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comments49.xml" ContentType="application/vnd.openxmlformats-officedocument.spreadsheetml.comments+xml"/>
  <Override PartName="/xl/comments50.xml" ContentType="application/vnd.openxmlformats-officedocument.spreadsheetml.comments+xml"/>
  <Override PartName="/xl/comments51.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workbookPr codeName="ThisWorkbook"/>
  <mc:AlternateContent xmlns:mc="http://schemas.openxmlformats.org/markup-compatibility/2006">
    <mc:Choice Requires="x15">
      <x15ac:absPath xmlns:x15ac="http://schemas.microsoft.com/office/spreadsheetml/2010/11/ac" url="\\10.1.103.226\NAS_Backup\総研システム部\総研システム３課\01_ケミストリ\99_資料\01_各種設計_定義書\DB設計書\"/>
    </mc:Choice>
  </mc:AlternateContent>
  <xr:revisionPtr revIDLastSave="0" documentId="13_ncr:1_{0024DBE4-975A-4286-997F-EC66337B697A}" xr6:coauthVersionLast="47" xr6:coauthVersionMax="47" xr10:uidLastSave="{00000000-0000-0000-0000-000000000000}"/>
  <bookViews>
    <workbookView xWindow="-120" yWindow="-120" windowWidth="20730" windowHeight="11160" tabRatio="910" firstSheet="29" activeTab="35" xr2:uid="{00000000-000D-0000-FFFF-FFFF00000000}"/>
  </bookViews>
  <sheets>
    <sheet name="テーブル一覧" sheetId="2" r:id="rId1"/>
    <sheet name="アッセイスケジュール" sheetId="33" r:id="rId2"/>
    <sheet name="分注量マスタ" sheetId="48" r:id="rId3"/>
    <sheet name="別紙コメントマスタ" sheetId="34" r:id="rId4"/>
    <sheet name="計算項目マスタ" sheetId="46" r:id="rId5"/>
    <sheet name="100％チェックマスタ" sheetId="42" r:id="rId6"/>
    <sheet name="チェック種別マスタ" sheetId="39" r:id="rId7"/>
    <sheet name="コメントマスタ" sheetId="10" r:id="rId8"/>
    <sheet name="コントロール異常判定マスタ" sheetId="21" r:id="rId9"/>
    <sheet name="コントロールマスタ" sheetId="19" r:id="rId10"/>
    <sheet name="コントロール種別マスタ" sheetId="20" r:id="rId11"/>
    <sheet name="デフォルトプリンタ" sheetId="26" r:id="rId12"/>
    <sheet name="営業所マスタ" sheetId="8" r:id="rId13"/>
    <sheet name="負荷パターンチェック" sheetId="17" r:id="rId14"/>
    <sheet name="グループ分類マスタ" sheetId="49" r:id="rId15"/>
    <sheet name="自動発生項目" sheetId="12" r:id="rId16"/>
    <sheet name="休業日マスタ" sheetId="32" r:id="rId17"/>
    <sheet name="緊急項目マスタ" sheetId="47" r:id="rId18"/>
    <sheet name="基準値マスタ" sheetId="4" r:id="rId19"/>
    <sheet name="結果フィルターマスタ" sheetId="36" r:id="rId20"/>
    <sheet name="結果補足マスタ" sheetId="44" r:id="rId21"/>
    <sheet name="項目グループマスタ" sheetId="11" r:id="rId22"/>
    <sheet name="項目マスタ" sheetId="3" r:id="rId23"/>
    <sheet name="機能権限マスタ" sheetId="30" r:id="rId24"/>
    <sheet name="検査グループマスタ" sheetId="6" r:id="rId25"/>
    <sheet name="関連項目マスタ" sheetId="13" r:id="rId26"/>
    <sheet name="希釈倍率マスタ" sheetId="14" r:id="rId27"/>
    <sheet name="分析機チャネルマスタ" sheetId="22" r:id="rId28"/>
    <sheet name="分析機ラインマスタ" sheetId="24" r:id="rId29"/>
    <sheet name="分析機マスタ" sheetId="23" r:id="rId30"/>
    <sheet name="メッセージマスタ" sheetId="45" r:id="rId31"/>
    <sheet name="通信管理" sheetId="27" r:id="rId32"/>
    <sheet name="プロセス管理" sheetId="28" r:id="rId33"/>
    <sheet name="ラック管理マスタ" sheetId="50" r:id="rId34"/>
    <sheet name="レンジチェックマスタ" sheetId="37" r:id="rId35"/>
    <sheet name="履歴チェックマスタ" sheetId="43" r:id="rId36"/>
    <sheet name="セクションマスタ" sheetId="40" r:id="rId37"/>
    <sheet name="相関チェック" sheetId="16" r:id="rId38"/>
    <sheet name="再検理由マスタ" sheetId="41" r:id="rId39"/>
    <sheet name="施設別基準値マスタ" sheetId="5" r:id="rId40"/>
    <sheet name="施設別処理マスタ" sheetId="7" r:id="rId41"/>
    <sheet name="スタンダードマスタ" sheetId="18" r:id="rId42"/>
    <sheet name="システム管理" sheetId="31" r:id="rId43"/>
    <sheet name="トレー管理マスタ" sheetId="25" r:id="rId44"/>
    <sheet name="透析前後チェック" sheetId="15" r:id="rId45"/>
    <sheet name="ユーザーマスタ" sheetId="29" r:id="rId46"/>
    <sheet name="XbarMチェックマスタ" sheetId="38" r:id="rId47"/>
    <sheet name="XEエラー" sheetId="35" r:id="rId48"/>
    <sheet name="材料マスタ" sheetId="9" r:id="rId49"/>
    <sheet name="システム間計算マスタ" sheetId="51" r:id="rId50"/>
    <sheet name="属性チェックマスタ" sheetId="53" r:id="rId51"/>
    <sheet name="システム間結果要求マスタ" sheetId="52" r:id="rId52"/>
    <sheet name="ZSライン制御マスタ" sheetId="54" r:id="rId53"/>
    <sheet name="LT不可施設マスタ" sheetId="56" r:id="rId54"/>
    <sheet name="LT不可項目マスタ" sheetId="57" r:id="rId55"/>
  </sheets>
  <externalReferences>
    <externalReference r:id="rId56"/>
  </externalReferences>
  <definedNames>
    <definedName name="_Regression_X" hidden="1">#REF!</definedName>
    <definedName name="_xlnm.Database">[1]PR!#REF!</definedName>
    <definedName name="_xlnm.Print_Area" localSheetId="5">'100％チェックマスタ'!$A$1:$P$92</definedName>
    <definedName name="_xlnm.Print_Area" localSheetId="54">LT不可項目マスタ!$A$1:$M$97</definedName>
    <definedName name="_xlnm.Print_Area" localSheetId="53">LT不可施設マスタ!$A$1:$M$98</definedName>
    <definedName name="_xlnm.Print_Area" localSheetId="46">XbarMチェックマスタ!$A$1:$P$92</definedName>
    <definedName name="_xlnm.Print_Area" localSheetId="47">XEエラー!$A$1:$P$91</definedName>
    <definedName name="_xlnm.Print_Area" localSheetId="52">ZSライン制御マスタ!$A$1:$Q$86</definedName>
    <definedName name="_xlnm.Print_Area" localSheetId="1">アッセイスケジュール!$A$1:$P$92</definedName>
    <definedName name="_xlnm.Print_Area" localSheetId="14">グループ分類マスタ!$A$1:$P$67</definedName>
    <definedName name="_xlnm.Print_Area" localSheetId="7">コメントマスタ!$A$1:$P$90</definedName>
    <definedName name="_xlnm.Print_Area" localSheetId="9">コントロールマスタ!$A$1:$P$86</definedName>
    <definedName name="_xlnm.Print_Area" localSheetId="8">コントロール異常判定マスタ!$A$1:$P$94</definedName>
    <definedName name="_xlnm.Print_Area" localSheetId="10">コントロール種別マスタ!$A$1:$P$86</definedName>
    <definedName name="_xlnm.Print_Area" localSheetId="42">システム管理!$A$1:$P$92</definedName>
    <definedName name="_xlnm.Print_Area" localSheetId="49">システム間計算マスタ!$A$1:$Q$90</definedName>
    <definedName name="_xlnm.Print_Area" localSheetId="51">システム間結果要求マスタ!$A$1:$Q$86</definedName>
    <definedName name="_xlnm.Print_Area" localSheetId="41">スタンダードマスタ!$A$1:$P$91</definedName>
    <definedName name="_xlnm.Print_Area" localSheetId="36">セクションマスタ!$A$1:$P$92</definedName>
    <definedName name="_xlnm.Print_Area" localSheetId="6">チェック種別マスタ!$A$1:$P$86</definedName>
    <definedName name="_xlnm.Print_Area" localSheetId="0">テーブル一覧!$A$1:$F$59</definedName>
    <definedName name="_xlnm.Print_Area" localSheetId="11">デフォルトプリンタ!$A$1:$P$92</definedName>
    <definedName name="_xlnm.Print_Area" localSheetId="43">トレー管理マスタ!$A$1:$Q$89</definedName>
    <definedName name="_xlnm.Print_Area" localSheetId="32">プロセス管理!$A$1:$P$88</definedName>
    <definedName name="_xlnm.Print_Area" localSheetId="30">メッセージマスタ!$A$1:$P$82</definedName>
    <definedName name="_xlnm.Print_Area" localSheetId="45">ユーザーマスタ!$A$1:$P$84</definedName>
    <definedName name="_xlnm.Print_Area" localSheetId="33">ラック管理マスタ!$A$1:$Q$89</definedName>
    <definedName name="_xlnm.Print_Area" localSheetId="34">レンジチェックマスタ!$A$1:$Q$81</definedName>
    <definedName name="_xlnm.Print_Area" localSheetId="12">営業所マスタ!$A$1:$P$91</definedName>
    <definedName name="_xlnm.Print_Area" localSheetId="25">関連項目マスタ!$A$1:$P$92</definedName>
    <definedName name="_xlnm.Print_Area" localSheetId="18">基準値マスタ!$A$1:$P$89</definedName>
    <definedName name="_xlnm.Print_Area" localSheetId="26">希釈倍率マスタ!$A$1:$P$81</definedName>
    <definedName name="_xlnm.Print_Area" localSheetId="23">機能権限マスタ!$A$1:$P$91</definedName>
    <definedName name="_xlnm.Print_Area" localSheetId="16">休業日マスタ!$A$1:$P$92</definedName>
    <definedName name="_xlnm.Print_Area" localSheetId="17">緊急項目マスタ!$A$1:$P$75</definedName>
    <definedName name="_xlnm.Print_Area" localSheetId="4">計算項目マスタ!$A$1:$P$74</definedName>
    <definedName name="_xlnm.Print_Area" localSheetId="19">結果フィルターマスタ!$A$1:$P$88</definedName>
    <definedName name="_xlnm.Print_Area" localSheetId="20">結果補足マスタ!$A$1:$P$92</definedName>
    <definedName name="_xlnm.Print_Area" localSheetId="24">検査グループマスタ!$A$1:$P$80</definedName>
    <definedName name="_xlnm.Print_Area" localSheetId="21">項目グループマスタ!$A$1:$P$92</definedName>
    <definedName name="_xlnm.Print_Area" localSheetId="22">項目マスタ!$A$1:$Q$57</definedName>
    <definedName name="_xlnm.Print_Area" localSheetId="38">再検理由マスタ!$A$1:$P$91</definedName>
    <definedName name="_xlnm.Print_Area" localSheetId="48">材料マスタ!$A$1:$P$92</definedName>
    <definedName name="_xlnm.Print_Area" localSheetId="39">施設別基準値マスタ!$A$1:$P$89</definedName>
    <definedName name="_xlnm.Print_Area" localSheetId="40">施設別処理マスタ!$A$1:$P$80</definedName>
    <definedName name="_xlnm.Print_Area" localSheetId="15">自動発生項目!$A$1:$P$88</definedName>
    <definedName name="_xlnm.Print_Area" localSheetId="37">相関チェック!$A$1:$P$62</definedName>
    <definedName name="_xlnm.Print_Area" localSheetId="50">属性チェックマスタ!$A$1:$P$95</definedName>
    <definedName name="_xlnm.Print_Area" localSheetId="31">通信管理!$A$1:$P$78</definedName>
    <definedName name="_xlnm.Print_Area" localSheetId="44">透析前後チェック!$A$1:$P$77</definedName>
    <definedName name="_xlnm.Print_Area" localSheetId="13">負荷パターンチェック!$A$1:$P$60</definedName>
    <definedName name="_xlnm.Print_Area" localSheetId="27">分析機チャネルマスタ!$A$1:$P$92</definedName>
    <definedName name="_xlnm.Print_Area" localSheetId="29">分析機マスタ!$A$1:$P$91</definedName>
    <definedName name="_xlnm.Print_Area" localSheetId="28">分析機ラインマスタ!$A$1:$P$92</definedName>
    <definedName name="_xlnm.Print_Area" localSheetId="2">分注量マスタ!$A$1:$P$67</definedName>
    <definedName name="_xlnm.Print_Area" localSheetId="3">別紙コメントマスタ!$A$1:$P$92</definedName>
    <definedName name="_xlnm.Print_Area" localSheetId="35">履歴チェックマスタ!$A$1:$P$83</definedName>
    <definedName name="_xlnm.Print_Area">#REF!</definedName>
    <definedName name="_xlnm.Print_Titles" localSheetId="14">グループ分類マスタ!$1:$6</definedName>
    <definedName name="_xlnm.Print_Titles" localSheetId="0">テーブル一覧!$1:$2</definedName>
    <definedName name="_xlnm.Print_Titles" localSheetId="24">検査グループマスタ!$1:$6</definedName>
    <definedName name="_xlnm.Print_Titles" localSheetId="2">分注量マスタ!$1:$6</definedName>
    <definedName name="関連表" hidden="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7" i="57" l="1"/>
  <c r="A96" i="57"/>
  <c r="A95" i="57"/>
  <c r="A94" i="57"/>
  <c r="A93" i="57"/>
  <c r="A92" i="57"/>
  <c r="A91" i="57"/>
  <c r="A90" i="57"/>
  <c r="A89" i="57"/>
  <c r="A88" i="57"/>
  <c r="A87" i="57"/>
  <c r="A86" i="57"/>
  <c r="A85" i="57"/>
  <c r="A84" i="57"/>
  <c r="A83" i="57"/>
  <c r="A82" i="57"/>
  <c r="A81" i="57"/>
  <c r="A80" i="57"/>
  <c r="A79" i="57"/>
  <c r="A78" i="57"/>
  <c r="A77" i="57"/>
  <c r="A76" i="57"/>
  <c r="A75" i="57"/>
  <c r="A74" i="57"/>
  <c r="A73" i="57"/>
  <c r="A72" i="57"/>
  <c r="A71" i="57"/>
  <c r="A70" i="57"/>
  <c r="A69" i="57"/>
  <c r="A68" i="57"/>
  <c r="A67" i="57"/>
  <c r="A66" i="57"/>
  <c r="A65" i="57"/>
  <c r="A64" i="57"/>
  <c r="A63" i="57"/>
  <c r="A62" i="57"/>
  <c r="A61" i="57"/>
  <c r="A60" i="57"/>
  <c r="A59" i="57"/>
  <c r="A58" i="57"/>
  <c r="A57" i="57"/>
  <c r="A56" i="57"/>
  <c r="A55" i="57"/>
  <c r="A54" i="57"/>
  <c r="A53" i="57"/>
  <c r="A52" i="57"/>
  <c r="A51" i="57"/>
  <c r="A50" i="57"/>
  <c r="A49" i="57"/>
  <c r="A48" i="57"/>
  <c r="A47" i="57"/>
  <c r="A46" i="57"/>
  <c r="A45" i="57"/>
  <c r="A44" i="57"/>
  <c r="A43" i="57"/>
  <c r="A42" i="57"/>
  <c r="A41" i="57"/>
  <c r="A40" i="57"/>
  <c r="A39" i="57"/>
  <c r="A38" i="57"/>
  <c r="A37" i="57"/>
  <c r="A36" i="57"/>
  <c r="A35" i="57"/>
  <c r="A34" i="57"/>
  <c r="A33" i="57"/>
  <c r="A32" i="57"/>
  <c r="A31" i="57"/>
  <c r="A30" i="57"/>
  <c r="A29" i="57"/>
  <c r="A28" i="57"/>
  <c r="A27" i="57"/>
  <c r="A26" i="57"/>
  <c r="A25" i="57"/>
  <c r="A24" i="57"/>
  <c r="A23" i="57"/>
  <c r="A22" i="57"/>
  <c r="A21" i="57"/>
  <c r="A20" i="57"/>
  <c r="A19" i="57"/>
  <c r="A18" i="57"/>
  <c r="A17" i="57"/>
  <c r="A16" i="57"/>
  <c r="A15" i="57"/>
  <c r="A14" i="57"/>
  <c r="A13" i="57"/>
  <c r="A12" i="57"/>
  <c r="A11" i="57"/>
  <c r="A10" i="57"/>
  <c r="J3" i="57" s="1"/>
  <c r="A9" i="57"/>
  <c r="G8" i="57"/>
  <c r="A8" i="57"/>
  <c r="G7" i="57"/>
  <c r="J4" i="57" s="1"/>
  <c r="A98" i="56"/>
  <c r="A97" i="56"/>
  <c r="A96" i="56"/>
  <c r="A95" i="56"/>
  <c r="A94" i="56"/>
  <c r="A93" i="56"/>
  <c r="A92" i="56"/>
  <c r="A91" i="56"/>
  <c r="A90" i="56"/>
  <c r="A89" i="56"/>
  <c r="A88" i="56"/>
  <c r="A87" i="56"/>
  <c r="A86" i="56"/>
  <c r="A85" i="56"/>
  <c r="A84" i="56"/>
  <c r="A83" i="56"/>
  <c r="A82" i="56"/>
  <c r="A81" i="56"/>
  <c r="A80" i="56"/>
  <c r="A79" i="56"/>
  <c r="A78" i="56"/>
  <c r="A77" i="56"/>
  <c r="A76" i="56"/>
  <c r="A75" i="56"/>
  <c r="A74" i="56"/>
  <c r="A73" i="56"/>
  <c r="A72" i="56"/>
  <c r="A71" i="56"/>
  <c r="A70" i="56"/>
  <c r="A69" i="56"/>
  <c r="A68" i="56"/>
  <c r="A67" i="56"/>
  <c r="A66" i="56"/>
  <c r="A65" i="56"/>
  <c r="A64" i="56"/>
  <c r="A63" i="56"/>
  <c r="A62" i="56"/>
  <c r="A61" i="56"/>
  <c r="A60" i="56"/>
  <c r="A59" i="56"/>
  <c r="A58" i="56"/>
  <c r="A57" i="56"/>
  <c r="A56" i="56"/>
  <c r="A55" i="56"/>
  <c r="A54" i="56"/>
  <c r="A53" i="56"/>
  <c r="A52" i="56"/>
  <c r="A51" i="56"/>
  <c r="A50" i="56"/>
  <c r="A49" i="56"/>
  <c r="A48" i="56"/>
  <c r="A47" i="56"/>
  <c r="A46" i="56"/>
  <c r="A45" i="56"/>
  <c r="A44" i="56"/>
  <c r="A43" i="56"/>
  <c r="A42" i="56"/>
  <c r="A41" i="56"/>
  <c r="A40" i="56"/>
  <c r="A39" i="56"/>
  <c r="A38" i="56"/>
  <c r="A37" i="56"/>
  <c r="A36" i="56"/>
  <c r="A35" i="56"/>
  <c r="A34" i="56"/>
  <c r="A33" i="56"/>
  <c r="A32" i="56"/>
  <c r="A31" i="56"/>
  <c r="A30" i="56"/>
  <c r="A29" i="56"/>
  <c r="A28" i="56"/>
  <c r="A27" i="56"/>
  <c r="A26" i="56"/>
  <c r="A25" i="56"/>
  <c r="A24" i="56"/>
  <c r="A23" i="56"/>
  <c r="A22" i="56"/>
  <c r="A21" i="56"/>
  <c r="A20" i="56"/>
  <c r="A19" i="56"/>
  <c r="A18" i="56"/>
  <c r="A17" i="56"/>
  <c r="A15" i="56"/>
  <c r="A14" i="56"/>
  <c r="A13" i="56"/>
  <c r="A12" i="56"/>
  <c r="G11" i="56"/>
  <c r="A8" i="56"/>
  <c r="A9" i="56" s="1"/>
  <c r="A10" i="56" s="1"/>
  <c r="A11" i="56" s="1"/>
  <c r="G10" i="56"/>
  <c r="G9" i="56"/>
  <c r="G8" i="56"/>
  <c r="J4" i="56" s="1"/>
  <c r="G7" i="56"/>
  <c r="C56" i="2"/>
  <c r="A97" i="54"/>
  <c r="A96" i="54"/>
  <c r="A95" i="54"/>
  <c r="A94" i="54"/>
  <c r="A93" i="54"/>
  <c r="A92" i="54"/>
  <c r="A91" i="54"/>
  <c r="A90" i="54"/>
  <c r="A89" i="54"/>
  <c r="A88" i="54"/>
  <c r="A87" i="54"/>
  <c r="A86" i="54"/>
  <c r="A85" i="54"/>
  <c r="A84" i="54"/>
  <c r="A83" i="54"/>
  <c r="A82" i="54"/>
  <c r="A81" i="54"/>
  <c r="A80" i="54"/>
  <c r="A79" i="54"/>
  <c r="A78" i="54"/>
  <c r="A77" i="54"/>
  <c r="A76" i="54"/>
  <c r="A75" i="54"/>
  <c r="A74" i="54"/>
  <c r="A73" i="54"/>
  <c r="A72" i="54"/>
  <c r="A71" i="54"/>
  <c r="A70" i="54"/>
  <c r="A69" i="54"/>
  <c r="A68" i="54"/>
  <c r="A67" i="54"/>
  <c r="A66" i="54"/>
  <c r="A65" i="54"/>
  <c r="A64" i="54"/>
  <c r="A63" i="54"/>
  <c r="A62" i="54"/>
  <c r="A61" i="54"/>
  <c r="A60" i="54"/>
  <c r="A59" i="54"/>
  <c r="A58" i="54"/>
  <c r="A57" i="54"/>
  <c r="A56" i="54"/>
  <c r="A55" i="54"/>
  <c r="A54" i="54"/>
  <c r="A53" i="54"/>
  <c r="A52" i="54"/>
  <c r="A51" i="54"/>
  <c r="A50" i="54"/>
  <c r="A49" i="54"/>
  <c r="A48" i="54"/>
  <c r="A47" i="54"/>
  <c r="A46" i="54"/>
  <c r="A45" i="54"/>
  <c r="A44" i="54"/>
  <c r="A43" i="54"/>
  <c r="A42" i="54"/>
  <c r="A41" i="54"/>
  <c r="A40" i="54"/>
  <c r="A39" i="54"/>
  <c r="A38" i="54"/>
  <c r="A37" i="54"/>
  <c r="A36" i="54"/>
  <c r="A35" i="54"/>
  <c r="A34" i="54"/>
  <c r="A33" i="54"/>
  <c r="A32" i="54"/>
  <c r="A31" i="54"/>
  <c r="A30" i="54"/>
  <c r="A29" i="54"/>
  <c r="A28" i="54"/>
  <c r="A27" i="54"/>
  <c r="A26" i="54"/>
  <c r="A25" i="54"/>
  <c r="A24" i="54"/>
  <c r="A23" i="54"/>
  <c r="A22" i="54"/>
  <c r="A21" i="54"/>
  <c r="A20" i="54"/>
  <c r="A19" i="54"/>
  <c r="A18" i="54"/>
  <c r="A7" i="54"/>
  <c r="A8" i="54" s="1"/>
  <c r="A9" i="54" s="1"/>
  <c r="A10" i="54" s="1"/>
  <c r="A11" i="54" s="1"/>
  <c r="A12" i="54" s="1"/>
  <c r="A17" i="54"/>
  <c r="A16" i="54"/>
  <c r="A15" i="54"/>
  <c r="A14" i="54"/>
  <c r="A13" i="54"/>
  <c r="G12" i="54"/>
  <c r="G11" i="54"/>
  <c r="G10" i="54"/>
  <c r="G9" i="54"/>
  <c r="G8" i="54"/>
  <c r="G7" i="54"/>
  <c r="J4" i="54"/>
  <c r="C55" i="2"/>
  <c r="C54" i="2"/>
  <c r="C53" i="2"/>
  <c r="B52" i="2"/>
  <c r="A105" i="53"/>
  <c r="A104" i="53"/>
  <c r="A103" i="53"/>
  <c r="A102" i="53"/>
  <c r="A101" i="53"/>
  <c r="A100" i="53"/>
  <c r="A99" i="53"/>
  <c r="A98" i="53"/>
  <c r="A97" i="53"/>
  <c r="A96" i="53"/>
  <c r="A95" i="53"/>
  <c r="A94" i="53"/>
  <c r="A93" i="53"/>
  <c r="A92" i="53"/>
  <c r="A91" i="53"/>
  <c r="A90" i="53"/>
  <c r="A89" i="53"/>
  <c r="A88" i="53"/>
  <c r="A87" i="53"/>
  <c r="A86" i="53"/>
  <c r="A85" i="53"/>
  <c r="A84" i="53"/>
  <c r="A83" i="53"/>
  <c r="A82" i="53"/>
  <c r="A81" i="53"/>
  <c r="A80" i="53"/>
  <c r="A79" i="53"/>
  <c r="A78" i="53"/>
  <c r="A77" i="53"/>
  <c r="A76" i="53"/>
  <c r="A75" i="53"/>
  <c r="A74" i="53"/>
  <c r="A73" i="53"/>
  <c r="A72" i="53"/>
  <c r="A71" i="53"/>
  <c r="A70" i="53"/>
  <c r="A69" i="53"/>
  <c r="A68" i="53"/>
  <c r="A67" i="53"/>
  <c r="A66" i="53"/>
  <c r="A65" i="53"/>
  <c r="A64" i="53"/>
  <c r="A63" i="53"/>
  <c r="A62" i="53"/>
  <c r="A61" i="53"/>
  <c r="A60" i="53"/>
  <c r="A59" i="53"/>
  <c r="A58" i="53"/>
  <c r="A57" i="53"/>
  <c r="A56" i="53"/>
  <c r="A55" i="53"/>
  <c r="A54" i="53"/>
  <c r="A53" i="53"/>
  <c r="A52" i="53"/>
  <c r="A51" i="53"/>
  <c r="A50" i="53"/>
  <c r="A49" i="53"/>
  <c r="A48" i="53"/>
  <c r="A47" i="53"/>
  <c r="A46" i="53"/>
  <c r="A45" i="53"/>
  <c r="G19" i="53"/>
  <c r="A8" i="53"/>
  <c r="A9" i="53" s="1"/>
  <c r="A10" i="53" s="1"/>
  <c r="A11" i="53" s="1"/>
  <c r="A12" i="53" s="1"/>
  <c r="A13" i="53" s="1"/>
  <c r="A14" i="53"/>
  <c r="A15" i="53" s="1"/>
  <c r="A16" i="53" s="1"/>
  <c r="A17" i="53" s="1"/>
  <c r="A18" i="53" s="1"/>
  <c r="A19" i="53" s="1"/>
  <c r="G18" i="53"/>
  <c r="G17" i="53"/>
  <c r="G16" i="53"/>
  <c r="G15" i="53"/>
  <c r="G14" i="53"/>
  <c r="G13" i="53"/>
  <c r="G12" i="53"/>
  <c r="G11" i="53"/>
  <c r="G10" i="53"/>
  <c r="G9" i="53"/>
  <c r="G8" i="53"/>
  <c r="J4" i="53" s="1"/>
  <c r="G7" i="53"/>
  <c r="A97" i="52"/>
  <c r="A96" i="52"/>
  <c r="A95" i="52"/>
  <c r="A94" i="52"/>
  <c r="A93" i="52"/>
  <c r="A92" i="52"/>
  <c r="A91" i="52"/>
  <c r="A90" i="52"/>
  <c r="A89" i="52"/>
  <c r="A88" i="52"/>
  <c r="A87" i="52"/>
  <c r="A86" i="52"/>
  <c r="A85" i="52"/>
  <c r="A84" i="52"/>
  <c r="A83" i="52"/>
  <c r="A82" i="52"/>
  <c r="A81" i="52"/>
  <c r="A80" i="52"/>
  <c r="A79" i="52"/>
  <c r="A78" i="52"/>
  <c r="A77" i="52"/>
  <c r="A76" i="52"/>
  <c r="A75" i="52"/>
  <c r="A74" i="52"/>
  <c r="A73" i="52"/>
  <c r="A72" i="52"/>
  <c r="A71" i="52"/>
  <c r="A70" i="52"/>
  <c r="A69" i="52"/>
  <c r="A68" i="52"/>
  <c r="A67" i="52"/>
  <c r="A66" i="52"/>
  <c r="A65" i="52"/>
  <c r="A64" i="52"/>
  <c r="A63" i="52"/>
  <c r="A62" i="52"/>
  <c r="A61" i="52"/>
  <c r="A60" i="52"/>
  <c r="A59" i="52"/>
  <c r="A58" i="52"/>
  <c r="A57" i="52"/>
  <c r="A56" i="52"/>
  <c r="A55" i="52"/>
  <c r="A54" i="52"/>
  <c r="A53" i="52"/>
  <c r="A52" i="52"/>
  <c r="A51" i="52"/>
  <c r="A50" i="52"/>
  <c r="A49" i="52"/>
  <c r="A48" i="52"/>
  <c r="A47" i="52"/>
  <c r="A46" i="52"/>
  <c r="A45" i="52"/>
  <c r="A44" i="52"/>
  <c r="A43" i="52"/>
  <c r="A42" i="52"/>
  <c r="A41" i="52"/>
  <c r="A40" i="52"/>
  <c r="A39" i="52"/>
  <c r="A38" i="52"/>
  <c r="A37" i="52"/>
  <c r="A36" i="52"/>
  <c r="A35" i="52"/>
  <c r="A34" i="52"/>
  <c r="A33" i="52"/>
  <c r="A32" i="52"/>
  <c r="A31" i="52"/>
  <c r="A30" i="52"/>
  <c r="A29" i="52"/>
  <c r="A28" i="52"/>
  <c r="A27" i="52"/>
  <c r="A26" i="52"/>
  <c r="A25" i="52"/>
  <c r="A24" i="52"/>
  <c r="A23" i="52"/>
  <c r="A22" i="52"/>
  <c r="A21" i="52"/>
  <c r="A20" i="52"/>
  <c r="A19" i="52"/>
  <c r="A18" i="52"/>
  <c r="A17" i="52"/>
  <c r="A16" i="52"/>
  <c r="A15" i="52"/>
  <c r="A14" i="52"/>
  <c r="A13" i="52"/>
  <c r="G12" i="52"/>
  <c r="A7" i="52"/>
  <c r="A8" i="52" s="1"/>
  <c r="G11" i="52"/>
  <c r="G10" i="52"/>
  <c r="G9" i="52"/>
  <c r="G8" i="52"/>
  <c r="G7" i="52"/>
  <c r="A101" i="51"/>
  <c r="A100" i="51"/>
  <c r="A99" i="51"/>
  <c r="A98" i="51"/>
  <c r="A97" i="51"/>
  <c r="A96" i="51"/>
  <c r="A95" i="51"/>
  <c r="A94" i="51"/>
  <c r="A93" i="51"/>
  <c r="A92" i="51"/>
  <c r="A91" i="51"/>
  <c r="A90" i="51"/>
  <c r="A89" i="51"/>
  <c r="A88" i="51"/>
  <c r="A87" i="51"/>
  <c r="A86" i="51"/>
  <c r="A85" i="51"/>
  <c r="A84" i="51"/>
  <c r="A83" i="51"/>
  <c r="A82" i="51"/>
  <c r="A81" i="51"/>
  <c r="A80" i="51"/>
  <c r="A79" i="51"/>
  <c r="A78" i="51"/>
  <c r="A77" i="51"/>
  <c r="A76" i="51"/>
  <c r="A75" i="51"/>
  <c r="A74" i="51"/>
  <c r="A73" i="51"/>
  <c r="A72" i="51"/>
  <c r="A71" i="51"/>
  <c r="A70" i="51"/>
  <c r="A69" i="51"/>
  <c r="A68" i="51"/>
  <c r="A67" i="51"/>
  <c r="A66" i="51"/>
  <c r="A65" i="51"/>
  <c r="A64" i="51"/>
  <c r="A63" i="51"/>
  <c r="A62" i="51"/>
  <c r="A61" i="51"/>
  <c r="A60" i="51"/>
  <c r="A59" i="51"/>
  <c r="A58" i="51"/>
  <c r="A57" i="51"/>
  <c r="A56" i="51"/>
  <c r="A55" i="51"/>
  <c r="A54" i="51"/>
  <c r="A53" i="51"/>
  <c r="A52" i="51"/>
  <c r="A51" i="51"/>
  <c r="A50" i="51"/>
  <c r="A49" i="51"/>
  <c r="A48" i="51"/>
  <c r="A47" i="51"/>
  <c r="A46" i="51"/>
  <c r="A45" i="51"/>
  <c r="A44" i="51"/>
  <c r="A43" i="51"/>
  <c r="A42" i="51"/>
  <c r="A41" i="51"/>
  <c r="A40" i="51"/>
  <c r="A39" i="51"/>
  <c r="A38" i="51"/>
  <c r="A37" i="51"/>
  <c r="A36" i="51"/>
  <c r="A35" i="51"/>
  <c r="A34" i="51"/>
  <c r="A33" i="51"/>
  <c r="A32" i="51"/>
  <c r="A31" i="51"/>
  <c r="A30" i="51"/>
  <c r="A29" i="51"/>
  <c r="A28" i="51"/>
  <c r="A27" i="51"/>
  <c r="A26" i="51"/>
  <c r="A25" i="51"/>
  <c r="A24" i="51"/>
  <c r="A23" i="51"/>
  <c r="A22" i="51"/>
  <c r="A21" i="51"/>
  <c r="A20" i="51"/>
  <c r="A19" i="51"/>
  <c r="A18" i="51"/>
  <c r="G16" i="51"/>
  <c r="A8" i="51"/>
  <c r="A9" i="51" s="1"/>
  <c r="G15" i="51"/>
  <c r="G14" i="51"/>
  <c r="G13" i="51"/>
  <c r="G11" i="51"/>
  <c r="G10" i="51"/>
  <c r="G9" i="51"/>
  <c r="G8" i="51"/>
  <c r="G7" i="51"/>
  <c r="B57" i="2"/>
  <c r="B55" i="2"/>
  <c r="B53" i="2"/>
  <c r="B54" i="2"/>
  <c r="B60" i="2"/>
  <c r="B59" i="2"/>
  <c r="B58" i="2"/>
  <c r="B56" i="2"/>
  <c r="B62" i="2"/>
  <c r="B61" i="2"/>
  <c r="C30"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4" i="2"/>
  <c r="B5" i="2"/>
  <c r="A13" i="42"/>
  <c r="A14" i="42"/>
  <c r="A15" i="42"/>
  <c r="A16" i="42"/>
  <c r="A17" i="42"/>
  <c r="A18" i="42"/>
  <c r="A19" i="42"/>
  <c r="A20" i="42"/>
  <c r="A21" i="42"/>
  <c r="A22" i="42"/>
  <c r="A23" i="42"/>
  <c r="A24" i="42"/>
  <c r="A25" i="42"/>
  <c r="A26" i="42"/>
  <c r="A27" i="42"/>
  <c r="A28" i="42"/>
  <c r="A29" i="42"/>
  <c r="A30" i="42"/>
  <c r="A31" i="42"/>
  <c r="A32" i="42"/>
  <c r="A33" i="42"/>
  <c r="A34" i="42"/>
  <c r="A35" i="42"/>
  <c r="A36" i="42"/>
  <c r="A37" i="42"/>
  <c r="A38" i="42"/>
  <c r="A39" i="42"/>
  <c r="A40" i="42"/>
  <c r="A41" i="42"/>
  <c r="A42" i="42"/>
  <c r="A43" i="42"/>
  <c r="A44" i="42"/>
  <c r="A45" i="42"/>
  <c r="A46" i="42"/>
  <c r="A47" i="42"/>
  <c r="A48" i="42"/>
  <c r="A49" i="42"/>
  <c r="A50" i="42"/>
  <c r="A51" i="42"/>
  <c r="A52" i="42"/>
  <c r="A53" i="42"/>
  <c r="A54" i="42"/>
  <c r="A55" i="42"/>
  <c r="A56" i="42"/>
  <c r="A57" i="42"/>
  <c r="A58" i="42"/>
  <c r="A59" i="42"/>
  <c r="A60" i="42"/>
  <c r="A61" i="42"/>
  <c r="A62" i="42"/>
  <c r="A63" i="42"/>
  <c r="A64" i="42"/>
  <c r="A65" i="42"/>
  <c r="A66" i="42"/>
  <c r="A67" i="42"/>
  <c r="A68" i="42"/>
  <c r="A69" i="42"/>
  <c r="A70" i="42"/>
  <c r="A71" i="42"/>
  <c r="A72" i="42"/>
  <c r="A73" i="42"/>
  <c r="A74" i="42"/>
  <c r="A75" i="42"/>
  <c r="A76" i="42"/>
  <c r="A77" i="42"/>
  <c r="A78" i="42"/>
  <c r="A79" i="42"/>
  <c r="A80" i="42"/>
  <c r="A81" i="42"/>
  <c r="A82" i="42"/>
  <c r="A83" i="42"/>
  <c r="A84" i="42"/>
  <c r="A85" i="42"/>
  <c r="A86" i="42"/>
  <c r="A87" i="42"/>
  <c r="A88" i="42"/>
  <c r="A89" i="42"/>
  <c r="A90" i="42"/>
  <c r="A91" i="42"/>
  <c r="A92" i="42"/>
  <c r="A93" i="42"/>
  <c r="A94" i="42"/>
  <c r="A95" i="42"/>
  <c r="A96" i="42"/>
  <c r="A97" i="42"/>
  <c r="A98" i="42"/>
  <c r="A99" i="42"/>
  <c r="A100" i="42"/>
  <c r="G7" i="42"/>
  <c r="J4" i="42" s="1"/>
  <c r="G8" i="42"/>
  <c r="G9" i="42"/>
  <c r="G10" i="42"/>
  <c r="G11" i="42"/>
  <c r="G12" i="42"/>
  <c r="A8"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G7" i="38"/>
  <c r="G8" i="38"/>
  <c r="G9" i="38"/>
  <c r="G10" i="38"/>
  <c r="G11" i="38"/>
  <c r="G12" i="38"/>
  <c r="G13" i="38"/>
  <c r="G14" i="38"/>
  <c r="G15" i="38"/>
  <c r="G16" i="38"/>
  <c r="G17" i="38"/>
  <c r="A14" i="35"/>
  <c r="J3" i="35" s="1"/>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64" i="35"/>
  <c r="A65" i="35"/>
  <c r="A66" i="35"/>
  <c r="A67" i="35"/>
  <c r="A68" i="35"/>
  <c r="A69" i="35"/>
  <c r="A70" i="35"/>
  <c r="A71" i="35"/>
  <c r="A72" i="35"/>
  <c r="A73" i="35"/>
  <c r="A74" i="35"/>
  <c r="A75" i="35"/>
  <c r="A76" i="35"/>
  <c r="A77" i="35"/>
  <c r="A78" i="35"/>
  <c r="A79" i="35"/>
  <c r="A80" i="35"/>
  <c r="A81" i="35"/>
  <c r="A82" i="35"/>
  <c r="A83" i="35"/>
  <c r="A84" i="35"/>
  <c r="A85" i="35"/>
  <c r="A86" i="35"/>
  <c r="A87" i="35"/>
  <c r="A88" i="35"/>
  <c r="A89" i="35"/>
  <c r="A90" i="35"/>
  <c r="A91" i="35"/>
  <c r="A92" i="35"/>
  <c r="A93" i="35"/>
  <c r="A94" i="35"/>
  <c r="A95" i="35"/>
  <c r="A96" i="35"/>
  <c r="A97" i="35"/>
  <c r="A98" i="35"/>
  <c r="A99" i="35"/>
  <c r="A100" i="35"/>
  <c r="G7" i="35"/>
  <c r="G8" i="35"/>
  <c r="G9" i="35"/>
  <c r="G10" i="35"/>
  <c r="G11" i="35"/>
  <c r="G12" i="35"/>
  <c r="G13" i="35"/>
  <c r="G14" i="35"/>
  <c r="A8" i="33"/>
  <c r="A9" i="33"/>
  <c r="A10" i="33" s="1"/>
  <c r="A11" i="33" s="1"/>
  <c r="A44" i="33"/>
  <c r="A45" i="33"/>
  <c r="A46" i="33"/>
  <c r="A47" i="33"/>
  <c r="A48" i="33"/>
  <c r="A49" i="33"/>
  <c r="A50" i="33"/>
  <c r="A51" i="33"/>
  <c r="A52" i="33"/>
  <c r="A53" i="33"/>
  <c r="A54" i="33"/>
  <c r="A55" i="33"/>
  <c r="A56"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G7" i="33"/>
  <c r="G8" i="33"/>
  <c r="G9" i="33"/>
  <c r="G10" i="33"/>
  <c r="G11" i="33"/>
  <c r="J4" i="33"/>
  <c r="A8" i="49"/>
  <c r="A9" i="49"/>
  <c r="A10" i="49" s="1"/>
  <c r="A17" i="49"/>
  <c r="A18" i="49"/>
  <c r="A19" i="49"/>
  <c r="A20" i="49"/>
  <c r="A21" i="49"/>
  <c r="A22" i="49"/>
  <c r="A23" i="49"/>
  <c r="A24" i="49"/>
  <c r="A25" i="49"/>
  <c r="A26" i="49"/>
  <c r="A27" i="49"/>
  <c r="A28" i="49"/>
  <c r="A29" i="49"/>
  <c r="A30" i="49"/>
  <c r="A31" i="49"/>
  <c r="A32" i="49"/>
  <c r="A33" i="49"/>
  <c r="A34" i="49"/>
  <c r="A35" i="49"/>
  <c r="A36" i="49"/>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64" i="49"/>
  <c r="A65" i="49"/>
  <c r="A66" i="49"/>
  <c r="A67" i="49"/>
  <c r="A68" i="49"/>
  <c r="A69" i="49"/>
  <c r="A70" i="49"/>
  <c r="A71" i="49"/>
  <c r="A72" i="49"/>
  <c r="A73" i="49"/>
  <c r="A74" i="49"/>
  <c r="A75" i="49"/>
  <c r="A76" i="49"/>
  <c r="A77" i="49"/>
  <c r="A78" i="49"/>
  <c r="A79" i="49"/>
  <c r="A80" i="49"/>
  <c r="A81" i="49"/>
  <c r="A82" i="49"/>
  <c r="A83" i="49"/>
  <c r="A84" i="49"/>
  <c r="A85" i="49"/>
  <c r="A86" i="49"/>
  <c r="A87" i="49"/>
  <c r="A88" i="49"/>
  <c r="A89" i="49"/>
  <c r="A90" i="49"/>
  <c r="A91" i="49"/>
  <c r="A92" i="49"/>
  <c r="A93" i="49"/>
  <c r="A94" i="49"/>
  <c r="A95" i="49"/>
  <c r="A96" i="49"/>
  <c r="A97" i="49"/>
  <c r="A98" i="49"/>
  <c r="A99" i="49"/>
  <c r="A100" i="49"/>
  <c r="G7" i="49"/>
  <c r="J4" i="49" s="1"/>
  <c r="G8" i="49"/>
  <c r="G9" i="49"/>
  <c r="G10" i="49"/>
  <c r="G11" i="49"/>
  <c r="G12" i="49"/>
  <c r="G13" i="49"/>
  <c r="G14" i="49"/>
  <c r="G15" i="49"/>
  <c r="G16" i="49"/>
  <c r="A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G8" i="10"/>
  <c r="G9" i="10"/>
  <c r="G10" i="10"/>
  <c r="G13" i="10"/>
  <c r="G14" i="10"/>
  <c r="G15" i="10"/>
  <c r="G16" i="10"/>
  <c r="G17" i="10"/>
  <c r="G18" i="10"/>
  <c r="A8" i="19"/>
  <c r="A45" i="19"/>
  <c r="A46" i="19"/>
  <c r="A47" i="19"/>
  <c r="A48" i="19"/>
  <c r="A49" i="19"/>
  <c r="A50" i="19"/>
  <c r="A51" i="19"/>
  <c r="A52" i="19"/>
  <c r="A53" i="19"/>
  <c r="A54" i="19"/>
  <c r="A55" i="19"/>
  <c r="A56" i="19"/>
  <c r="A57" i="19"/>
  <c r="A58" i="19"/>
  <c r="A59" i="19"/>
  <c r="A60" i="19"/>
  <c r="A61" i="19"/>
  <c r="A62" i="19"/>
  <c r="A63" i="19"/>
  <c r="A64" i="19"/>
  <c r="A65" i="19"/>
  <c r="A66" i="19"/>
  <c r="A67" i="19"/>
  <c r="A68" i="19"/>
  <c r="A69" i="19"/>
  <c r="A70" i="19"/>
  <c r="A71" i="19"/>
  <c r="A72" i="19"/>
  <c r="A73" i="19"/>
  <c r="A74" i="19"/>
  <c r="A75" i="19"/>
  <c r="A76" i="19"/>
  <c r="A77" i="19"/>
  <c r="A78" i="19"/>
  <c r="A79" i="19"/>
  <c r="A80" i="19"/>
  <c r="A81" i="19"/>
  <c r="A82" i="19"/>
  <c r="A83" i="19"/>
  <c r="A84" i="19"/>
  <c r="A85" i="19"/>
  <c r="A86" i="19"/>
  <c r="A87" i="19"/>
  <c r="A88" i="19"/>
  <c r="A89" i="19"/>
  <c r="A90" i="19"/>
  <c r="A91" i="19"/>
  <c r="A92" i="19"/>
  <c r="A93" i="19"/>
  <c r="A94" i="19"/>
  <c r="A95" i="19"/>
  <c r="A96" i="19"/>
  <c r="A97" i="19"/>
  <c r="A98" i="19"/>
  <c r="A99" i="19"/>
  <c r="A100"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A8" i="21"/>
  <c r="A9" i="21"/>
  <c r="A10" i="21" s="1"/>
  <c r="A11" i="21" s="1"/>
  <c r="A12" i="21" s="1"/>
  <c r="A13" i="21" s="1"/>
  <c r="A14" i="21" s="1"/>
  <c r="A15" i="21" s="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G7" i="21"/>
  <c r="G8" i="21"/>
  <c r="G9" i="21"/>
  <c r="G10" i="21"/>
  <c r="G11" i="21"/>
  <c r="G12" i="21"/>
  <c r="J4" i="21" s="1"/>
  <c r="G13" i="21"/>
  <c r="G14" i="21"/>
  <c r="G15" i="21"/>
  <c r="A101" i="21"/>
  <c r="A8" i="20"/>
  <c r="A9" i="20" s="1"/>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G7" i="20"/>
  <c r="G8" i="20"/>
  <c r="G9" i="20"/>
  <c r="G10" i="20"/>
  <c r="G11" i="20"/>
  <c r="G12" i="20"/>
  <c r="G13" i="20"/>
  <c r="J4" i="20" s="1"/>
  <c r="G14" i="20"/>
  <c r="G15" i="20"/>
  <c r="G16" i="20"/>
  <c r="G17" i="20"/>
  <c r="G18" i="20"/>
  <c r="A8" i="31"/>
  <c r="A9"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G7" i="31"/>
  <c r="G8" i="31"/>
  <c r="J4" i="31" s="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A34" i="18"/>
  <c r="A35" i="18"/>
  <c r="A36" i="18"/>
  <c r="A37" i="18"/>
  <c r="A38" i="18"/>
  <c r="A39" i="18"/>
  <c r="A40" i="18"/>
  <c r="A41" i="18"/>
  <c r="A42" i="18"/>
  <c r="A43" i="18"/>
  <c r="A44"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A72" i="18"/>
  <c r="A73" i="18"/>
  <c r="A74" i="18"/>
  <c r="A75" i="18"/>
  <c r="A76" i="18"/>
  <c r="A77" i="18"/>
  <c r="A78" i="18"/>
  <c r="A79" i="18"/>
  <c r="A80" i="18"/>
  <c r="A81" i="18"/>
  <c r="A82" i="18"/>
  <c r="A83" i="18"/>
  <c r="A84" i="18"/>
  <c r="A85" i="18"/>
  <c r="A86" i="18"/>
  <c r="A87" i="18"/>
  <c r="A88" i="18"/>
  <c r="A89" i="18"/>
  <c r="A90" i="18"/>
  <c r="A91" i="18"/>
  <c r="A92" i="18"/>
  <c r="A93" i="18"/>
  <c r="A94" i="18"/>
  <c r="A95" i="18"/>
  <c r="A96" i="18"/>
  <c r="A97" i="18"/>
  <c r="A98" i="18"/>
  <c r="A99" i="18"/>
  <c r="A100" i="18"/>
  <c r="G7" i="18"/>
  <c r="G8" i="18"/>
  <c r="G9" i="18"/>
  <c r="G10" i="18"/>
  <c r="G11" i="18"/>
  <c r="G12" i="18"/>
  <c r="G13" i="18"/>
  <c r="G14" i="18"/>
  <c r="G15" i="18"/>
  <c r="G16" i="18"/>
  <c r="G17" i="18"/>
  <c r="G18" i="18"/>
  <c r="G19" i="18"/>
  <c r="G20" i="18"/>
  <c r="G21" i="18"/>
  <c r="G22" i="18"/>
  <c r="G23" i="18"/>
  <c r="G24" i="18"/>
  <c r="G25" i="18"/>
  <c r="G26" i="18"/>
  <c r="G27" i="18"/>
  <c r="G28" i="18"/>
  <c r="G29" i="18"/>
  <c r="G30" i="18"/>
  <c r="G31" i="18"/>
  <c r="G32" i="18"/>
  <c r="G33" i="18"/>
  <c r="G34" i="18"/>
  <c r="A8" i="40"/>
  <c r="A9" i="40" s="1"/>
  <c r="A10" i="40" s="1"/>
  <c r="A11" i="40" s="1"/>
  <c r="A12" i="40" s="1"/>
  <c r="A13" i="40"/>
  <c r="A14" i="40"/>
  <c r="A15" i="40"/>
  <c r="A16" i="40"/>
  <c r="A17" i="40"/>
  <c r="A18" i="40"/>
  <c r="A19" i="40"/>
  <c r="A20" i="40"/>
  <c r="A21" i="40"/>
  <c r="A22" i="40"/>
  <c r="A23" i="40"/>
  <c r="A24" i="40"/>
  <c r="A25" i="40"/>
  <c r="A26" i="40"/>
  <c r="A27" i="40"/>
  <c r="A28" i="40"/>
  <c r="A29" i="40"/>
  <c r="A30" i="40"/>
  <c r="A31" i="40"/>
  <c r="A32" i="40"/>
  <c r="A33" i="40"/>
  <c r="A34" i="40"/>
  <c r="A35" i="40"/>
  <c r="A36" i="40"/>
  <c r="A37" i="40"/>
  <c r="A38" i="40"/>
  <c r="A39" i="40"/>
  <c r="A40" i="40"/>
  <c r="A41" i="40"/>
  <c r="A42" i="40"/>
  <c r="A43" i="40"/>
  <c r="A44" i="40"/>
  <c r="A45" i="40"/>
  <c r="A46" i="40"/>
  <c r="A47" i="40"/>
  <c r="A48" i="40"/>
  <c r="A49" i="40"/>
  <c r="A50" i="40"/>
  <c r="A51" i="40"/>
  <c r="A52" i="40"/>
  <c r="A53" i="40"/>
  <c r="A54" i="40"/>
  <c r="A55" i="40"/>
  <c r="A56" i="40"/>
  <c r="A57" i="40"/>
  <c r="A58" i="40"/>
  <c r="A59" i="40"/>
  <c r="A60" i="40"/>
  <c r="A61" i="40"/>
  <c r="A62" i="40"/>
  <c r="A63" i="40"/>
  <c r="A64" i="40"/>
  <c r="A65" i="40"/>
  <c r="A66" i="40"/>
  <c r="A67" i="40"/>
  <c r="A68" i="40"/>
  <c r="A69" i="40"/>
  <c r="A70" i="40"/>
  <c r="A71" i="40"/>
  <c r="A72" i="40"/>
  <c r="A73" i="40"/>
  <c r="A74" i="40"/>
  <c r="A75" i="40"/>
  <c r="A76" i="40"/>
  <c r="A77" i="40"/>
  <c r="A78" i="40"/>
  <c r="A79" i="40"/>
  <c r="A80" i="40"/>
  <c r="A81" i="40"/>
  <c r="A82" i="40"/>
  <c r="A83" i="40"/>
  <c r="A84" i="40"/>
  <c r="A85" i="40"/>
  <c r="A86" i="40"/>
  <c r="A87" i="40"/>
  <c r="A88" i="40"/>
  <c r="A89" i="40"/>
  <c r="A90" i="40"/>
  <c r="A91" i="40"/>
  <c r="A92" i="40"/>
  <c r="A93" i="40"/>
  <c r="A94" i="40"/>
  <c r="A95" i="40"/>
  <c r="A96" i="40"/>
  <c r="A97" i="40"/>
  <c r="A98" i="40"/>
  <c r="A99" i="40"/>
  <c r="A100" i="40"/>
  <c r="J3" i="40"/>
  <c r="G7" i="40"/>
  <c r="G8" i="40"/>
  <c r="J4" i="40" s="1"/>
  <c r="G9" i="40"/>
  <c r="G10" i="40"/>
  <c r="G11" i="40"/>
  <c r="G12" i="40"/>
  <c r="A101" i="40"/>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64" i="39"/>
  <c r="A65" i="39"/>
  <c r="A66" i="39"/>
  <c r="A67" i="39"/>
  <c r="A68" i="39"/>
  <c r="A69" i="39"/>
  <c r="A70" i="39"/>
  <c r="A71" i="39"/>
  <c r="A72" i="39"/>
  <c r="A73" i="39"/>
  <c r="A74" i="39"/>
  <c r="A75" i="39"/>
  <c r="A76" i="39"/>
  <c r="A77" i="39"/>
  <c r="A78" i="39"/>
  <c r="A79" i="39"/>
  <c r="A80" i="39"/>
  <c r="A81" i="39"/>
  <c r="A82" i="39"/>
  <c r="A83" i="39"/>
  <c r="A84" i="39"/>
  <c r="A85" i="39"/>
  <c r="A86" i="39"/>
  <c r="A87" i="39"/>
  <c r="A88" i="39"/>
  <c r="A89" i="39"/>
  <c r="A90" i="39"/>
  <c r="A91" i="39"/>
  <c r="A92" i="39"/>
  <c r="A93" i="39"/>
  <c r="A94" i="39"/>
  <c r="A95" i="39"/>
  <c r="A96" i="39"/>
  <c r="A97" i="39"/>
  <c r="A98" i="39"/>
  <c r="A99" i="39"/>
  <c r="A100" i="39"/>
  <c r="J3" i="39"/>
  <c r="G7" i="39"/>
  <c r="G8" i="39"/>
  <c r="G9" i="39"/>
  <c r="G10" i="39"/>
  <c r="G11" i="39"/>
  <c r="G12" i="39"/>
  <c r="G13" i="39"/>
  <c r="G14" i="39"/>
  <c r="C4" i="2"/>
  <c r="C5" i="2"/>
  <c r="C6" i="2"/>
  <c r="C7" i="2"/>
  <c r="C8" i="2"/>
  <c r="C9" i="2"/>
  <c r="C10" i="2"/>
  <c r="C11" i="2"/>
  <c r="C12" i="2"/>
  <c r="C13" i="2"/>
  <c r="C14" i="2"/>
  <c r="C15" i="2"/>
  <c r="C16" i="2"/>
  <c r="C17" i="2"/>
  <c r="C18" i="2"/>
  <c r="C19" i="2"/>
  <c r="C20" i="2"/>
  <c r="C21" i="2"/>
  <c r="C22" i="2"/>
  <c r="C23" i="2"/>
  <c r="C24" i="2"/>
  <c r="C25" i="2"/>
  <c r="C26" i="2"/>
  <c r="C27" i="2"/>
  <c r="C28" i="2"/>
  <c r="C29" i="2"/>
  <c r="C31" i="2"/>
  <c r="C32" i="2"/>
  <c r="C33" i="2"/>
  <c r="C34" i="2"/>
  <c r="C35" i="2"/>
  <c r="C36" i="2"/>
  <c r="C37" i="2"/>
  <c r="C38" i="2"/>
  <c r="C39" i="2"/>
  <c r="C40" i="2"/>
  <c r="C41" i="2"/>
  <c r="C42" i="2"/>
  <c r="C43" i="2"/>
  <c r="C44" i="2"/>
  <c r="C45" i="2"/>
  <c r="C46" i="2"/>
  <c r="C47" i="2"/>
  <c r="C48" i="2"/>
  <c r="C49" i="2"/>
  <c r="C50" i="2"/>
  <c r="C51" i="2"/>
  <c r="A8" i="26"/>
  <c r="A9" i="26"/>
  <c r="A10" i="26" s="1"/>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G7" i="26"/>
  <c r="G8" i="26"/>
  <c r="J4" i="26" s="1"/>
  <c r="G9" i="26"/>
  <c r="G10" i="26"/>
  <c r="G11" i="26"/>
  <c r="G12" i="26"/>
  <c r="A8" i="25"/>
  <c r="A9" i="25" s="1"/>
  <c r="A10" i="25"/>
  <c r="A11" i="25" s="1"/>
  <c r="A12" i="25" s="1"/>
  <c r="A13" i="25" s="1"/>
  <c r="A14" i="25" s="1"/>
  <c r="A15" i="25" s="1"/>
  <c r="A16" i="25" s="1"/>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G7" i="25"/>
  <c r="J4" i="25" s="1"/>
  <c r="G8" i="25"/>
  <c r="G9" i="25"/>
  <c r="G10" i="25"/>
  <c r="G11" i="25"/>
  <c r="G13" i="25"/>
  <c r="G14" i="25"/>
  <c r="G15" i="25"/>
  <c r="G16" i="25"/>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G7" i="28"/>
  <c r="G8" i="28"/>
  <c r="G9" i="28"/>
  <c r="G10" i="28"/>
  <c r="G11" i="28"/>
  <c r="G12" i="28"/>
  <c r="J4" i="28" s="1"/>
  <c r="G13" i="28"/>
  <c r="G14" i="28"/>
  <c r="G15" i="28"/>
  <c r="G16" i="28"/>
  <c r="A8" i="45"/>
  <c r="A9" i="45" s="1"/>
  <c r="A12" i="45"/>
  <c r="A13" i="45" s="1"/>
  <c r="A14" i="45"/>
  <c r="A15" i="45"/>
  <c r="A16" i="45"/>
  <c r="A17" i="45"/>
  <c r="A18" i="45"/>
  <c r="A19" i="45"/>
  <c r="A20" i="45"/>
  <c r="A21" i="45"/>
  <c r="A22" i="45"/>
  <c r="A23" i="45"/>
  <c r="A24" i="45"/>
  <c r="A25" i="45"/>
  <c r="A26" i="45"/>
  <c r="A27" i="45"/>
  <c r="A28" i="45"/>
  <c r="A29" i="45"/>
  <c r="A30" i="45"/>
  <c r="A31" i="45"/>
  <c r="A32" i="45"/>
  <c r="A33"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63" i="45"/>
  <c r="A64" i="45"/>
  <c r="A65" i="45"/>
  <c r="A66" i="45"/>
  <c r="A67" i="45"/>
  <c r="A68" i="45"/>
  <c r="A69" i="45"/>
  <c r="A70" i="45"/>
  <c r="A71" i="45"/>
  <c r="A72" i="45"/>
  <c r="A73" i="45"/>
  <c r="A74" i="45"/>
  <c r="A75" i="45"/>
  <c r="A76" i="45"/>
  <c r="A77" i="45"/>
  <c r="A78" i="45"/>
  <c r="A79" i="45"/>
  <c r="A80" i="45"/>
  <c r="A81" i="45"/>
  <c r="A82" i="45"/>
  <c r="A83" i="45"/>
  <c r="A84" i="45"/>
  <c r="A85" i="45"/>
  <c r="A86" i="45"/>
  <c r="A87" i="45"/>
  <c r="A88" i="45"/>
  <c r="A89" i="45"/>
  <c r="A90" i="45"/>
  <c r="A91" i="45"/>
  <c r="A92" i="45"/>
  <c r="A93" i="45"/>
  <c r="A94" i="45"/>
  <c r="A95" i="45"/>
  <c r="A96" i="45"/>
  <c r="A97" i="45"/>
  <c r="A98" i="45"/>
  <c r="A99" i="45"/>
  <c r="A100" i="45"/>
  <c r="G7" i="45"/>
  <c r="G8" i="45"/>
  <c r="J4" i="45" s="1"/>
  <c r="G9" i="45"/>
  <c r="G12" i="45"/>
  <c r="G13" i="45"/>
  <c r="A8" i="29"/>
  <c r="A9" i="29" s="1"/>
  <c r="A10" i="29" s="1"/>
  <c r="A11" i="29" s="1"/>
  <c r="A12" i="29" s="1"/>
  <c r="A13" i="29" s="1"/>
  <c r="A14" i="29" s="1"/>
  <c r="A15" i="29" s="1"/>
  <c r="A16" i="29" s="1"/>
  <c r="A44" i="29"/>
  <c r="A45" i="29"/>
  <c r="A46" i="29"/>
  <c r="A47" i="29"/>
  <c r="A48" i="29"/>
  <c r="A49" i="29"/>
  <c r="A50" i="29"/>
  <c r="A51" i="29"/>
  <c r="A52" i="29"/>
  <c r="A53" i="29"/>
  <c r="A54" i="29"/>
  <c r="A55" i="29"/>
  <c r="A56" i="29"/>
  <c r="A57" i="29"/>
  <c r="A58" i="29"/>
  <c r="A59" i="29"/>
  <c r="A60" i="29"/>
  <c r="A61" i="29"/>
  <c r="A62" i="29"/>
  <c r="A63" i="29"/>
  <c r="A64" i="29"/>
  <c r="A65" i="29"/>
  <c r="A66" i="29"/>
  <c r="A67" i="29"/>
  <c r="A68" i="29"/>
  <c r="A69" i="29"/>
  <c r="A70" i="29"/>
  <c r="A71" i="29"/>
  <c r="A72" i="29"/>
  <c r="A73" i="29"/>
  <c r="A74" i="29"/>
  <c r="A75" i="29"/>
  <c r="A76" i="29"/>
  <c r="A77" i="29"/>
  <c r="A78" i="29"/>
  <c r="A79" i="29"/>
  <c r="A80" i="29"/>
  <c r="A81" i="29"/>
  <c r="A82" i="29"/>
  <c r="A83" i="29"/>
  <c r="A84" i="29"/>
  <c r="A85" i="29"/>
  <c r="A86" i="29"/>
  <c r="A87" i="29"/>
  <c r="A88" i="29"/>
  <c r="A89" i="29"/>
  <c r="A90" i="29"/>
  <c r="A91" i="29"/>
  <c r="A92" i="29"/>
  <c r="A93" i="29"/>
  <c r="A94" i="29"/>
  <c r="A95" i="29"/>
  <c r="A96" i="29"/>
  <c r="A97" i="29"/>
  <c r="A98" i="29"/>
  <c r="A99" i="29"/>
  <c r="A100" i="29"/>
  <c r="G7" i="29"/>
  <c r="G8" i="29"/>
  <c r="G9" i="29"/>
  <c r="G10" i="29"/>
  <c r="G11" i="29"/>
  <c r="G12" i="29"/>
  <c r="G13" i="29"/>
  <c r="G14" i="29"/>
  <c r="G15" i="29"/>
  <c r="G16" i="29"/>
  <c r="G17" i="29"/>
  <c r="G18" i="29"/>
  <c r="G19" i="29"/>
  <c r="G20" i="29"/>
  <c r="G21" i="29"/>
  <c r="G22" i="29"/>
  <c r="A8" i="50"/>
  <c r="A9" i="50"/>
  <c r="A10" i="50" s="1"/>
  <c r="A17" i="50"/>
  <c r="A18" i="50"/>
  <c r="A19" i="50"/>
  <c r="A20" i="50"/>
  <c r="A21" i="50"/>
  <c r="A22" i="50"/>
  <c r="A23" i="50"/>
  <c r="A24" i="50"/>
  <c r="A25" i="50"/>
  <c r="A26" i="50"/>
  <c r="A27" i="50"/>
  <c r="A28" i="50"/>
  <c r="A29" i="50"/>
  <c r="A30" i="50"/>
  <c r="A31" i="50"/>
  <c r="A32" i="50"/>
  <c r="A33" i="50"/>
  <c r="A34" i="50"/>
  <c r="A35" i="50"/>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64" i="50"/>
  <c r="A65" i="50"/>
  <c r="A66" i="50"/>
  <c r="A67" i="50"/>
  <c r="A68" i="50"/>
  <c r="A69" i="50"/>
  <c r="A70" i="50"/>
  <c r="A71" i="50"/>
  <c r="A72" i="50"/>
  <c r="A73" i="50"/>
  <c r="A74" i="50"/>
  <c r="A75" i="50"/>
  <c r="A76" i="50"/>
  <c r="A77" i="50"/>
  <c r="A78" i="50"/>
  <c r="A79" i="50"/>
  <c r="A80" i="50"/>
  <c r="A81" i="50"/>
  <c r="A82" i="50"/>
  <c r="A83" i="50"/>
  <c r="A84" i="50"/>
  <c r="A85" i="50"/>
  <c r="A86" i="50"/>
  <c r="A87" i="50"/>
  <c r="A88" i="50"/>
  <c r="A89" i="50"/>
  <c r="A90" i="50"/>
  <c r="A91" i="50"/>
  <c r="A92" i="50"/>
  <c r="A93" i="50"/>
  <c r="A94" i="50"/>
  <c r="A95" i="50"/>
  <c r="A96" i="50"/>
  <c r="A97" i="50"/>
  <c r="A98" i="50"/>
  <c r="A99" i="50"/>
  <c r="A100" i="50"/>
  <c r="G7" i="50"/>
  <c r="G8" i="50"/>
  <c r="G9" i="50"/>
  <c r="G10" i="50"/>
  <c r="G11" i="50"/>
  <c r="G13" i="50"/>
  <c r="G14" i="50"/>
  <c r="G15" i="50"/>
  <c r="G16" i="50"/>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81" i="37"/>
  <c r="A82" i="37"/>
  <c r="A83" i="37"/>
  <c r="A84" i="37"/>
  <c r="A85" i="37"/>
  <c r="A86" i="37"/>
  <c r="A87" i="37"/>
  <c r="A88" i="37"/>
  <c r="A89" i="37"/>
  <c r="A90" i="37"/>
  <c r="A91" i="37"/>
  <c r="A92" i="37"/>
  <c r="A93" i="37"/>
  <c r="A94" i="37"/>
  <c r="A95" i="37"/>
  <c r="A96" i="37"/>
  <c r="A97" i="37"/>
  <c r="A98" i="37"/>
  <c r="A99" i="37"/>
  <c r="A100" i="37"/>
  <c r="G7" i="37"/>
  <c r="J4" i="37" s="1"/>
  <c r="G8" i="37"/>
  <c r="G9" i="37"/>
  <c r="G10" i="37"/>
  <c r="G11" i="37"/>
  <c r="G12" i="37"/>
  <c r="G13" i="37"/>
  <c r="G14" i="37"/>
  <c r="G15" i="37"/>
  <c r="G16" i="37"/>
  <c r="G17" i="37"/>
  <c r="G18" i="37"/>
  <c r="G19" i="37"/>
  <c r="G20" i="37"/>
  <c r="A8" i="8"/>
  <c r="A9" i="8"/>
  <c r="A10" i="8" s="1"/>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G7" i="8"/>
  <c r="G8" i="8"/>
  <c r="G9" i="8"/>
  <c r="G10" i="8"/>
  <c r="G11" i="8"/>
  <c r="G12" i="8"/>
  <c r="G13" i="8"/>
  <c r="G14" i="8"/>
  <c r="G15" i="8"/>
  <c r="G16" i="8"/>
  <c r="G17" i="8"/>
  <c r="G18" i="8"/>
  <c r="G19" i="8"/>
  <c r="G20" i="8"/>
  <c r="G21" i="8"/>
  <c r="A14" i="13"/>
  <c r="A15" i="13"/>
  <c r="A16" i="13"/>
  <c r="A17" i="13"/>
  <c r="A18" i="13"/>
  <c r="A19" i="13"/>
  <c r="A20" i="13"/>
  <c r="J3" i="13" s="1"/>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G7" i="13"/>
  <c r="G8" i="13"/>
  <c r="G9" i="13"/>
  <c r="G10" i="13"/>
  <c r="G11" i="13"/>
  <c r="G12" i="13"/>
  <c r="J4" i="13"/>
  <c r="A8" i="4"/>
  <c r="A9" i="4" s="1"/>
  <c r="A61"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A8" i="14"/>
  <c r="A9" i="14" s="1"/>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G8" i="14"/>
  <c r="J4" i="14" s="1"/>
  <c r="G9" i="14"/>
  <c r="G10" i="14"/>
  <c r="G11" i="14"/>
  <c r="G12" i="14"/>
  <c r="G13" i="14"/>
  <c r="G14" i="14"/>
  <c r="G15" i="14"/>
  <c r="G16" i="14"/>
  <c r="G7" i="14"/>
  <c r="A8" i="30"/>
  <c r="A9" i="30" s="1"/>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G7" i="30"/>
  <c r="G8" i="30"/>
  <c r="G9" i="30"/>
  <c r="G10" i="30"/>
  <c r="G11" i="30"/>
  <c r="G12" i="30"/>
  <c r="G13" i="30"/>
  <c r="G14" i="30"/>
  <c r="G15" i="30"/>
  <c r="G16" i="30"/>
  <c r="G17" i="30"/>
  <c r="G18" i="30"/>
  <c r="J4" i="30"/>
  <c r="A8" i="32"/>
  <c r="A9" i="32" s="1"/>
  <c r="J3" i="32" s="1"/>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G7" i="32"/>
  <c r="G8" i="32"/>
  <c r="J4" i="32" s="1"/>
  <c r="G9" i="32"/>
  <c r="A8" i="47"/>
  <c r="A9" i="47" s="1"/>
  <c r="A10" i="47" s="1"/>
  <c r="A11" i="47" s="1"/>
  <c r="A12" i="47" s="1"/>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A49" i="47"/>
  <c r="A50" i="47"/>
  <c r="A51" i="47"/>
  <c r="A52" i="47"/>
  <c r="A53" i="47"/>
  <c r="A54" i="47"/>
  <c r="A55" i="47"/>
  <c r="A56" i="47"/>
  <c r="A57" i="47"/>
  <c r="A58" i="47"/>
  <c r="A59" i="47"/>
  <c r="A60" i="47"/>
  <c r="A61" i="47"/>
  <c r="A62" i="47"/>
  <c r="A63" i="47"/>
  <c r="A64" i="47"/>
  <c r="A65" i="47"/>
  <c r="A66" i="47"/>
  <c r="A67" i="47"/>
  <c r="A68" i="47"/>
  <c r="A69" i="47"/>
  <c r="A70" i="47"/>
  <c r="A71" i="47"/>
  <c r="A72" i="47"/>
  <c r="A73" i="47"/>
  <c r="A74" i="47"/>
  <c r="A75" i="47"/>
  <c r="A76" i="47"/>
  <c r="A77" i="47"/>
  <c r="A78" i="47"/>
  <c r="A79" i="47"/>
  <c r="A80" i="47"/>
  <c r="A81" i="47"/>
  <c r="A82" i="47"/>
  <c r="A83" i="47"/>
  <c r="A84" i="47"/>
  <c r="A85" i="47"/>
  <c r="A86" i="47"/>
  <c r="A87" i="47"/>
  <c r="A88" i="47"/>
  <c r="A89" i="47"/>
  <c r="A90" i="47"/>
  <c r="A91" i="47"/>
  <c r="A92" i="47"/>
  <c r="A93" i="47"/>
  <c r="A94" i="47"/>
  <c r="A95" i="47"/>
  <c r="A96" i="47"/>
  <c r="A97" i="47"/>
  <c r="A98" i="47"/>
  <c r="A99" i="47"/>
  <c r="A100" i="47"/>
  <c r="J3" i="47"/>
  <c r="G7" i="47"/>
  <c r="J4" i="47" s="1"/>
  <c r="G8" i="47"/>
  <c r="G10" i="47"/>
  <c r="G11" i="47"/>
  <c r="G12" i="47"/>
  <c r="G13" i="47"/>
  <c r="A8" i="46"/>
  <c r="A16"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G7" i="46"/>
  <c r="G8" i="46"/>
  <c r="G9" i="46"/>
  <c r="J4" i="46" s="1"/>
  <c r="G10" i="46"/>
  <c r="G12" i="46"/>
  <c r="G13" i="46"/>
  <c r="G14" i="46"/>
  <c r="G15" i="46"/>
  <c r="A8" i="36"/>
  <c r="A9" i="36"/>
  <c r="A23" i="36"/>
  <c r="A24" i="36"/>
  <c r="A25" i="36"/>
  <c r="A26" i="36"/>
  <c r="A27" i="36"/>
  <c r="A28" i="36"/>
  <c r="A29" i="36"/>
  <c r="A30" i="36"/>
  <c r="A31" i="36"/>
  <c r="A32" i="36"/>
  <c r="A33" i="36"/>
  <c r="A34" i="36"/>
  <c r="A35" i="36"/>
  <c r="A36" i="36"/>
  <c r="A37" i="36"/>
  <c r="A38" i="36"/>
  <c r="A39" i="36"/>
  <c r="A40" i="36"/>
  <c r="A41" i="36"/>
  <c r="A42" i="36"/>
  <c r="A43" i="36"/>
  <c r="A44" i="36"/>
  <c r="A45" i="36"/>
  <c r="A46" i="36"/>
  <c r="A47" i="36"/>
  <c r="A48" i="36"/>
  <c r="A49" i="36"/>
  <c r="A50" i="36"/>
  <c r="A51" i="36"/>
  <c r="A52" i="36"/>
  <c r="A53" i="36"/>
  <c r="A54" i="36"/>
  <c r="A55" i="36"/>
  <c r="A56" i="36"/>
  <c r="A57" i="36"/>
  <c r="A58" i="36"/>
  <c r="A59" i="36"/>
  <c r="A60" i="36"/>
  <c r="A61" i="36"/>
  <c r="A62" i="36"/>
  <c r="A63" i="36"/>
  <c r="A64" i="36"/>
  <c r="A65" i="36"/>
  <c r="A66" i="36"/>
  <c r="A67" i="36"/>
  <c r="A68" i="36"/>
  <c r="A69" i="36"/>
  <c r="A70" i="36"/>
  <c r="A71" i="36"/>
  <c r="A72" i="36"/>
  <c r="A73" i="36"/>
  <c r="A74" i="36"/>
  <c r="A75" i="36"/>
  <c r="A76" i="36"/>
  <c r="A77" i="36"/>
  <c r="A78" i="36"/>
  <c r="A79" i="36"/>
  <c r="A80" i="36"/>
  <c r="A81" i="36"/>
  <c r="A82" i="36"/>
  <c r="A83" i="36"/>
  <c r="A84" i="36"/>
  <c r="A85" i="36"/>
  <c r="A86" i="36"/>
  <c r="A87" i="36"/>
  <c r="A88" i="36"/>
  <c r="A89" i="36"/>
  <c r="A90" i="36"/>
  <c r="A91" i="36"/>
  <c r="A92" i="36"/>
  <c r="A93" i="36"/>
  <c r="A94" i="36"/>
  <c r="A95" i="36"/>
  <c r="G7" i="36"/>
  <c r="G8" i="36"/>
  <c r="G9" i="36"/>
  <c r="G10" i="36"/>
  <c r="G11" i="36"/>
  <c r="G17" i="36"/>
  <c r="G18" i="36"/>
  <c r="G19" i="36"/>
  <c r="G20" i="36"/>
  <c r="G21" i="36"/>
  <c r="G22" i="36"/>
  <c r="A8" i="44"/>
  <c r="A9" i="44"/>
  <c r="A10" i="44" s="1"/>
  <c r="A18" i="44"/>
  <c r="A19" i="44"/>
  <c r="A20" i="44"/>
  <c r="A21" i="44"/>
  <c r="A22" i="44"/>
  <c r="A23" i="44"/>
  <c r="A24" i="44"/>
  <c r="A25" i="44"/>
  <c r="A26" i="44"/>
  <c r="A27" i="44"/>
  <c r="A28" i="44"/>
  <c r="A29" i="44"/>
  <c r="A30" i="44"/>
  <c r="A31" i="44"/>
  <c r="A32" i="44"/>
  <c r="A33" i="44"/>
  <c r="A34" i="44"/>
  <c r="A35" i="44"/>
  <c r="A36" i="44"/>
  <c r="A37" i="44"/>
  <c r="A38" i="44"/>
  <c r="A39" i="44"/>
  <c r="A40" i="44"/>
  <c r="A41" i="44"/>
  <c r="A42" i="44"/>
  <c r="A43" i="44"/>
  <c r="A44" i="44"/>
  <c r="A45" i="44"/>
  <c r="A46" i="44"/>
  <c r="A47" i="44"/>
  <c r="A48" i="44"/>
  <c r="A49" i="44"/>
  <c r="A50" i="44"/>
  <c r="A51" i="44"/>
  <c r="A52" i="44"/>
  <c r="A53" i="44"/>
  <c r="A54" i="44"/>
  <c r="A55" i="44"/>
  <c r="A56" i="44"/>
  <c r="A57" i="44"/>
  <c r="A58" i="44"/>
  <c r="A59" i="44"/>
  <c r="A60" i="44"/>
  <c r="A61" i="44"/>
  <c r="A62" i="44"/>
  <c r="A63" i="44"/>
  <c r="A64" i="44"/>
  <c r="A65" i="44"/>
  <c r="A66" i="44"/>
  <c r="A67" i="44"/>
  <c r="A68" i="44"/>
  <c r="A69" i="44"/>
  <c r="A70" i="44"/>
  <c r="A71" i="44"/>
  <c r="A72" i="44"/>
  <c r="A73" i="44"/>
  <c r="A74" i="44"/>
  <c r="A75" i="44"/>
  <c r="A76" i="44"/>
  <c r="A77" i="44"/>
  <c r="A78" i="44"/>
  <c r="A79" i="44"/>
  <c r="A80" i="44"/>
  <c r="A81" i="44"/>
  <c r="A82" i="44"/>
  <c r="A83" i="44"/>
  <c r="A84" i="44"/>
  <c r="A85" i="44"/>
  <c r="A86" i="44"/>
  <c r="A87" i="44"/>
  <c r="A88" i="44"/>
  <c r="A89" i="44"/>
  <c r="A90" i="44"/>
  <c r="A91" i="44"/>
  <c r="A92" i="44"/>
  <c r="A93" i="44"/>
  <c r="A94" i="44"/>
  <c r="A95" i="44"/>
  <c r="A96" i="44"/>
  <c r="A97" i="44"/>
  <c r="A98" i="44"/>
  <c r="A99" i="44"/>
  <c r="A100" i="44"/>
  <c r="G7" i="44"/>
  <c r="G8" i="44"/>
  <c r="G9" i="44"/>
  <c r="J4" i="44" s="1"/>
  <c r="G10" i="44"/>
  <c r="G11" i="44"/>
  <c r="G12" i="44"/>
  <c r="G13" i="44"/>
  <c r="A8" i="6"/>
  <c r="A9" i="6"/>
  <c r="A10"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A8" i="11"/>
  <c r="A9" i="11"/>
  <c r="A10" i="11"/>
  <c r="A11" i="11" s="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G7" i="11"/>
  <c r="G8" i="11"/>
  <c r="G9" i="11"/>
  <c r="G10" i="11"/>
  <c r="G11" i="11"/>
  <c r="G12" i="11"/>
  <c r="G13" i="11"/>
  <c r="G14" i="11"/>
  <c r="G15" i="11"/>
  <c r="G16" i="11"/>
  <c r="A8"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1" i="3"/>
  <c r="G52" i="3"/>
  <c r="G53" i="3"/>
  <c r="G54" i="3"/>
  <c r="A7" i="41"/>
  <c r="A8" i="41"/>
  <c r="A9" i="41"/>
  <c r="A14" i="41"/>
  <c r="A15" i="41"/>
  <c r="A16" i="41"/>
  <c r="A17" i="41"/>
  <c r="A18" i="41"/>
  <c r="A19" i="41"/>
  <c r="A20" i="41"/>
  <c r="A21" i="41"/>
  <c r="A22" i="41"/>
  <c r="A23" i="41"/>
  <c r="A24" i="41"/>
  <c r="A25" i="41"/>
  <c r="A26" i="41"/>
  <c r="A27" i="41"/>
  <c r="A28" i="41"/>
  <c r="A29" i="41"/>
  <c r="A30" i="41"/>
  <c r="A31" i="41"/>
  <c r="A32" i="41"/>
  <c r="A33" i="41"/>
  <c r="A34" i="41"/>
  <c r="A35" i="41"/>
  <c r="A36" i="41"/>
  <c r="A37" i="41"/>
  <c r="A38" i="41"/>
  <c r="A39" i="41"/>
  <c r="A40" i="41"/>
  <c r="A41" i="41"/>
  <c r="A42" i="41"/>
  <c r="A43" i="41"/>
  <c r="A44" i="41"/>
  <c r="A45" i="41"/>
  <c r="A46" i="41"/>
  <c r="A47" i="41"/>
  <c r="A48" i="41"/>
  <c r="A49" i="41"/>
  <c r="A50" i="41"/>
  <c r="A51" i="41"/>
  <c r="A52" i="41"/>
  <c r="A53" i="41"/>
  <c r="A54" i="41"/>
  <c r="A55" i="41"/>
  <c r="A56" i="41"/>
  <c r="A57" i="41"/>
  <c r="A58" i="41"/>
  <c r="A59" i="41"/>
  <c r="A60" i="41"/>
  <c r="A61" i="41"/>
  <c r="A62" i="41"/>
  <c r="A63" i="41"/>
  <c r="A64" i="41"/>
  <c r="A65" i="41"/>
  <c r="A66" i="41"/>
  <c r="A67" i="41"/>
  <c r="A68" i="41"/>
  <c r="A69" i="41"/>
  <c r="A70" i="41"/>
  <c r="A71" i="41"/>
  <c r="A72" i="41"/>
  <c r="A73" i="41"/>
  <c r="A74" i="41"/>
  <c r="A75" i="41"/>
  <c r="A76" i="41"/>
  <c r="A77" i="41"/>
  <c r="A78" i="41"/>
  <c r="A79" i="41"/>
  <c r="A80" i="41"/>
  <c r="A81" i="41"/>
  <c r="A82" i="41"/>
  <c r="A83" i="41"/>
  <c r="A84" i="41"/>
  <c r="A85" i="41"/>
  <c r="A86" i="41"/>
  <c r="A87" i="41"/>
  <c r="A88" i="41"/>
  <c r="A89" i="41"/>
  <c r="A90" i="41"/>
  <c r="A91" i="41"/>
  <c r="A92" i="41"/>
  <c r="A93" i="41"/>
  <c r="A94" i="41"/>
  <c r="A95" i="41"/>
  <c r="A96" i="41"/>
  <c r="A97" i="41"/>
  <c r="A98" i="41"/>
  <c r="A99" i="41"/>
  <c r="A100" i="41"/>
  <c r="G7" i="41"/>
  <c r="J4" i="41" s="1"/>
  <c r="G8" i="41"/>
  <c r="G9" i="41"/>
  <c r="G10" i="41"/>
  <c r="G11" i="41"/>
  <c r="G12" i="41"/>
  <c r="G13" i="41"/>
  <c r="A8" i="9"/>
  <c r="A9" i="9" s="1"/>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G7" i="9"/>
  <c r="G8" i="9"/>
  <c r="G9" i="9"/>
  <c r="G10" i="9"/>
  <c r="G11" i="9"/>
  <c r="G12" i="9"/>
  <c r="G13" i="9"/>
  <c r="G14" i="9"/>
  <c r="G15" i="9"/>
  <c r="A8" i="5"/>
  <c r="A9" i="5"/>
  <c r="A10" i="5" s="1"/>
  <c r="A11" i="5" s="1"/>
  <c r="A12" i="5"/>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G7"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A8"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G7" i="7"/>
  <c r="G8" i="7"/>
  <c r="G9" i="7"/>
  <c r="G10" i="7"/>
  <c r="G11" i="7"/>
  <c r="G12" i="7"/>
  <c r="G13" i="7"/>
  <c r="G14" i="7"/>
  <c r="G15" i="7"/>
  <c r="G16" i="7"/>
  <c r="G17" i="7"/>
  <c r="G18" i="7"/>
  <c r="G19" i="7"/>
  <c r="A8" i="12"/>
  <c r="A9" i="12"/>
  <c r="A10" i="12" s="1"/>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G7" i="12"/>
  <c r="G8" i="12"/>
  <c r="G9" i="12"/>
  <c r="G10" i="12"/>
  <c r="G11" i="12"/>
  <c r="G12" i="12"/>
  <c r="G13" i="12"/>
  <c r="G14" i="12"/>
  <c r="G15" i="12"/>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G7" i="16"/>
  <c r="G8" i="16"/>
  <c r="G9" i="16"/>
  <c r="G10" i="16"/>
  <c r="G11" i="16"/>
  <c r="G12" i="16"/>
  <c r="G13" i="16"/>
  <c r="G14" i="16"/>
  <c r="G15" i="16"/>
  <c r="G16" i="16"/>
  <c r="A22" i="27"/>
  <c r="A23" i="27"/>
  <c r="A24" i="27"/>
  <c r="A25" i="27"/>
  <c r="A26" i="27"/>
  <c r="A27" i="27"/>
  <c r="A28" i="27"/>
  <c r="A29" i="27"/>
  <c r="A30" i="27"/>
  <c r="A31" i="27"/>
  <c r="A32" i="27"/>
  <c r="A33" i="27"/>
  <c r="A34" i="27"/>
  <c r="A35" i="27"/>
  <c r="A36" i="27"/>
  <c r="A37" i="27"/>
  <c r="A38" i="27"/>
  <c r="A39" i="27"/>
  <c r="A40" i="27"/>
  <c r="A41" i="27"/>
  <c r="A42" i="27"/>
  <c r="A43" i="27"/>
  <c r="A44" i="27"/>
  <c r="A45" i="27"/>
  <c r="A46" i="27"/>
  <c r="A47" i="27"/>
  <c r="A48" i="27"/>
  <c r="A49" i="27"/>
  <c r="A50" i="27"/>
  <c r="A51" i="27"/>
  <c r="A52" i="27"/>
  <c r="A53" i="27"/>
  <c r="A54" i="27"/>
  <c r="A55" i="27"/>
  <c r="A56" i="27"/>
  <c r="A57" i="27"/>
  <c r="A58" i="27"/>
  <c r="A59" i="27"/>
  <c r="A60" i="27"/>
  <c r="A61" i="27"/>
  <c r="A62" i="27"/>
  <c r="A63" i="27"/>
  <c r="A64" i="27"/>
  <c r="A65" i="27"/>
  <c r="A66" i="27"/>
  <c r="A67" i="27"/>
  <c r="A68" i="27"/>
  <c r="A69" i="27"/>
  <c r="A70" i="27"/>
  <c r="A71" i="27"/>
  <c r="A72" i="27"/>
  <c r="A73" i="27"/>
  <c r="A74" i="27"/>
  <c r="A75" i="27"/>
  <c r="A76" i="27"/>
  <c r="A77" i="27"/>
  <c r="A78" i="27"/>
  <c r="A79" i="27"/>
  <c r="A80" i="27"/>
  <c r="A81" i="27"/>
  <c r="A82" i="27"/>
  <c r="A83" i="27"/>
  <c r="A84" i="27"/>
  <c r="A85" i="27"/>
  <c r="A86" i="27"/>
  <c r="A87" i="27"/>
  <c r="A88" i="27"/>
  <c r="A89" i="27"/>
  <c r="A90" i="27"/>
  <c r="A91" i="27"/>
  <c r="A92" i="27"/>
  <c r="A93" i="27"/>
  <c r="A94" i="27"/>
  <c r="A95" i="27"/>
  <c r="A96" i="27"/>
  <c r="A97" i="27"/>
  <c r="A98" i="27"/>
  <c r="A99" i="27"/>
  <c r="A100" i="27"/>
  <c r="G7" i="27"/>
  <c r="G8" i="27"/>
  <c r="G9" i="27"/>
  <c r="G10" i="27"/>
  <c r="G11" i="27"/>
  <c r="G12" i="27"/>
  <c r="G13" i="27"/>
  <c r="G14" i="27"/>
  <c r="G15" i="27"/>
  <c r="G16" i="27"/>
  <c r="G17" i="27"/>
  <c r="G18" i="27"/>
  <c r="G19" i="27"/>
  <c r="G20" i="27"/>
  <c r="G21" i="27"/>
  <c r="G22" i="27"/>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G7" i="15"/>
  <c r="G8" i="15"/>
  <c r="G9" i="15"/>
  <c r="G10" i="15"/>
  <c r="G11" i="15"/>
  <c r="G12" i="15"/>
  <c r="G13" i="15"/>
  <c r="G14" i="15"/>
  <c r="G15" i="15"/>
  <c r="A22" i="17"/>
  <c r="A23" i="17"/>
  <c r="A24" i="17"/>
  <c r="A25" i="17"/>
  <c r="A26" i="17"/>
  <c r="A27" i="17"/>
  <c r="A28" i="17"/>
  <c r="A29" i="17"/>
  <c r="A30" i="17"/>
  <c r="A31" i="17"/>
  <c r="A32" i="17"/>
  <c r="A33" i="17"/>
  <c r="A34" i="17"/>
  <c r="A35" i="17"/>
  <c r="A36" i="17"/>
  <c r="A37" i="17"/>
  <c r="A38" i="17"/>
  <c r="A39" i="17"/>
  <c r="A40" i="17"/>
  <c r="A41" i="17"/>
  <c r="A42" i="17"/>
  <c r="A43" i="17"/>
  <c r="A44" i="17"/>
  <c r="A45" i="17"/>
  <c r="A46" i="17"/>
  <c r="A47" i="17"/>
  <c r="A48" i="17"/>
  <c r="A49" i="17"/>
  <c r="A50" i="17"/>
  <c r="A51" i="17"/>
  <c r="A52" i="17"/>
  <c r="A53" i="17"/>
  <c r="A54" i="17"/>
  <c r="A55" i="17"/>
  <c r="A56" i="17"/>
  <c r="A57" i="17"/>
  <c r="A58" i="17"/>
  <c r="A59" i="17"/>
  <c r="A60" i="17"/>
  <c r="A61" i="17"/>
  <c r="A62" i="17"/>
  <c r="A63" i="17"/>
  <c r="A64" i="17"/>
  <c r="A65" i="17"/>
  <c r="A66" i="17"/>
  <c r="A67" i="17"/>
  <c r="A68" i="17"/>
  <c r="A69" i="17"/>
  <c r="A70" i="17"/>
  <c r="A71" i="17"/>
  <c r="A72" i="17"/>
  <c r="A73" i="17"/>
  <c r="A74" i="17"/>
  <c r="A75" i="17"/>
  <c r="A76" i="17"/>
  <c r="A77" i="17"/>
  <c r="A78" i="17"/>
  <c r="A79" i="17"/>
  <c r="A80" i="17"/>
  <c r="A81" i="17"/>
  <c r="A82" i="17"/>
  <c r="A83" i="17"/>
  <c r="A84" i="17"/>
  <c r="A85" i="17"/>
  <c r="A86" i="17"/>
  <c r="A87" i="17"/>
  <c r="A88" i="17"/>
  <c r="A89" i="17"/>
  <c r="A90" i="17"/>
  <c r="A91" i="17"/>
  <c r="A92" i="17"/>
  <c r="A93" i="17"/>
  <c r="A94" i="17"/>
  <c r="A95" i="17"/>
  <c r="A96" i="17"/>
  <c r="A97" i="17"/>
  <c r="A98" i="17"/>
  <c r="A99" i="17"/>
  <c r="A100" i="17"/>
  <c r="G7" i="17"/>
  <c r="G8" i="17"/>
  <c r="G9" i="17"/>
  <c r="G10" i="17"/>
  <c r="G11" i="17"/>
  <c r="G12" i="17"/>
  <c r="G13" i="17"/>
  <c r="J4" i="17" s="1"/>
  <c r="G14" i="17"/>
  <c r="G15" i="17"/>
  <c r="G16" i="17"/>
  <c r="G17" i="17"/>
  <c r="G18" i="17"/>
  <c r="G19" i="17"/>
  <c r="G20" i="17"/>
  <c r="G21" i="17"/>
  <c r="G22" i="17"/>
  <c r="A8" i="22"/>
  <c r="A9" i="22" s="1"/>
  <c r="A10" i="22" s="1"/>
  <c r="A11" i="22" s="1"/>
  <c r="A12" i="22" s="1"/>
  <c r="A13" i="22" s="1"/>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G7" i="22"/>
  <c r="G8" i="22"/>
  <c r="G9" i="22"/>
  <c r="G10" i="22"/>
  <c r="G11" i="22"/>
  <c r="G12" i="22"/>
  <c r="G13" i="22"/>
  <c r="G14" i="22"/>
  <c r="A7" i="23"/>
  <c r="A8" i="23" s="1"/>
  <c r="A18" i="23"/>
  <c r="A19"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G7" i="23"/>
  <c r="G8" i="23"/>
  <c r="G9" i="23"/>
  <c r="G10" i="23"/>
  <c r="G11" i="23"/>
  <c r="G12" i="23"/>
  <c r="G13" i="23"/>
  <c r="G14" i="23"/>
  <c r="G15" i="23"/>
  <c r="G16" i="23"/>
  <c r="G17" i="23"/>
  <c r="J3" i="24"/>
  <c r="G7" i="24"/>
  <c r="G8" i="24"/>
  <c r="G9" i="24"/>
  <c r="G10" i="24"/>
  <c r="J4" i="24" s="1"/>
  <c r="G11" i="24"/>
  <c r="G12" i="24"/>
  <c r="G13" i="24"/>
  <c r="G14" i="24"/>
  <c r="A36" i="24"/>
  <c r="A37" i="24"/>
  <c r="A38" i="24"/>
  <c r="A39" i="24"/>
  <c r="A40" i="24"/>
  <c r="A41" i="24"/>
  <c r="A42" i="24"/>
  <c r="A43" i="24"/>
  <c r="A44" i="24"/>
  <c r="A45" i="24"/>
  <c r="A46" i="24"/>
  <c r="A47" i="24"/>
  <c r="A48" i="24"/>
  <c r="A49" i="24"/>
  <c r="A50" i="24"/>
  <c r="A51" i="24"/>
  <c r="A52" i="24"/>
  <c r="A53" i="24"/>
  <c r="A54" i="24"/>
  <c r="A55" i="24"/>
  <c r="A56" i="24"/>
  <c r="A57" i="24"/>
  <c r="A58" i="24"/>
  <c r="A59" i="24"/>
  <c r="A60" i="24"/>
  <c r="A61" i="24"/>
  <c r="A62" i="24"/>
  <c r="A63" i="24"/>
  <c r="A64" i="24"/>
  <c r="A65" i="24"/>
  <c r="A66" i="24"/>
  <c r="A67" i="24"/>
  <c r="A68" i="24"/>
  <c r="A69" i="24"/>
  <c r="A70" i="24"/>
  <c r="A71" i="24"/>
  <c r="A72" i="24"/>
  <c r="A73" i="24"/>
  <c r="A74" i="24"/>
  <c r="A75" i="24"/>
  <c r="A76" i="24"/>
  <c r="A77" i="24"/>
  <c r="A78" i="24"/>
  <c r="A79" i="24"/>
  <c r="A80" i="24"/>
  <c r="A81" i="24"/>
  <c r="A82" i="24"/>
  <c r="A83" i="24"/>
  <c r="A84" i="24"/>
  <c r="A85" i="24"/>
  <c r="A86" i="24"/>
  <c r="A87" i="24"/>
  <c r="A88" i="24"/>
  <c r="A89" i="24"/>
  <c r="A90" i="24"/>
  <c r="A91" i="24"/>
  <c r="A92" i="24"/>
  <c r="A93" i="24"/>
  <c r="A94" i="24"/>
  <c r="A95" i="24"/>
  <c r="A96" i="24"/>
  <c r="A97" i="24"/>
  <c r="A98" i="24"/>
  <c r="A99" i="24"/>
  <c r="A100" i="24"/>
  <c r="A8" i="48"/>
  <c r="A9" i="48"/>
  <c r="A10" i="48" s="1"/>
  <c r="A11" i="48" s="1"/>
  <c r="A12" i="48" s="1"/>
  <c r="A13" i="48" s="1"/>
  <c r="A14" i="48" s="1"/>
  <c r="A15" i="48" s="1"/>
  <c r="A16" i="48" s="1"/>
  <c r="A17" i="48" s="1"/>
  <c r="A24" i="48"/>
  <c r="A25" i="48"/>
  <c r="A26" i="48"/>
  <c r="A27" i="48"/>
  <c r="A28" i="48"/>
  <c r="A29" i="48"/>
  <c r="A30" i="48"/>
  <c r="A31" i="48"/>
  <c r="A32" i="48"/>
  <c r="A33" i="48"/>
  <c r="A34" i="48"/>
  <c r="A35" i="48"/>
  <c r="A36" i="48"/>
  <c r="A37" i="48"/>
  <c r="A38" i="48"/>
  <c r="A39" i="48"/>
  <c r="A40" i="48"/>
  <c r="A41" i="48"/>
  <c r="A42" i="48"/>
  <c r="A43" i="48"/>
  <c r="A44" i="48"/>
  <c r="A45" i="48"/>
  <c r="A46" i="48"/>
  <c r="A47" i="48"/>
  <c r="A48" i="48"/>
  <c r="A49" i="48"/>
  <c r="A50" i="48"/>
  <c r="A51" i="48"/>
  <c r="A52" i="48"/>
  <c r="A53" i="48"/>
  <c r="A54" i="48"/>
  <c r="A55" i="48"/>
  <c r="A56" i="48"/>
  <c r="A57" i="48"/>
  <c r="A58" i="48"/>
  <c r="A59" i="48"/>
  <c r="A60" i="48"/>
  <c r="A61" i="48"/>
  <c r="A62" i="48"/>
  <c r="A63" i="48"/>
  <c r="A64" i="48"/>
  <c r="A65" i="48"/>
  <c r="A66" i="48"/>
  <c r="A67" i="48"/>
  <c r="A68" i="48"/>
  <c r="A69" i="48"/>
  <c r="A70" i="48"/>
  <c r="A71" i="48"/>
  <c r="A72" i="48"/>
  <c r="A73" i="48"/>
  <c r="A74" i="48"/>
  <c r="A75" i="48"/>
  <c r="A76" i="48"/>
  <c r="A77" i="48"/>
  <c r="A78" i="48"/>
  <c r="A79" i="48"/>
  <c r="A80" i="48"/>
  <c r="A81" i="48"/>
  <c r="A82" i="48"/>
  <c r="A83" i="48"/>
  <c r="A84" i="48"/>
  <c r="A85" i="48"/>
  <c r="A86" i="48"/>
  <c r="A87" i="48"/>
  <c r="A88" i="48"/>
  <c r="A89" i="48"/>
  <c r="A90" i="48"/>
  <c r="A91" i="48"/>
  <c r="A92" i="48"/>
  <c r="A93" i="48"/>
  <c r="A94" i="48"/>
  <c r="A95" i="48"/>
  <c r="A96" i="48"/>
  <c r="A97" i="48"/>
  <c r="A98" i="48"/>
  <c r="A99" i="48"/>
  <c r="A100" i="48"/>
  <c r="G7" i="48"/>
  <c r="G8" i="48"/>
  <c r="J4" i="48" s="1"/>
  <c r="G9" i="48"/>
  <c r="G10" i="48"/>
  <c r="G11" i="48"/>
  <c r="G12" i="48"/>
  <c r="G13" i="48"/>
  <c r="G14" i="48"/>
  <c r="G15" i="48"/>
  <c r="G16" i="48"/>
  <c r="G17" i="48"/>
  <c r="G18" i="48"/>
  <c r="G19" i="48"/>
  <c r="G20" i="48"/>
  <c r="G21" i="48"/>
  <c r="G22" i="48"/>
  <c r="G23" i="48"/>
  <c r="A13" i="34"/>
  <c r="A14" i="34"/>
  <c r="J3" i="34" s="1"/>
  <c r="A15" i="34"/>
  <c r="A16" i="34"/>
  <c r="A17" i="34"/>
  <c r="A18" i="34"/>
  <c r="A19" i="34"/>
  <c r="A20" i="34"/>
  <c r="A21" i="34"/>
  <c r="A22" i="34"/>
  <c r="A23" i="34"/>
  <c r="A24" i="34"/>
  <c r="A25" i="34"/>
  <c r="A26" i="34"/>
  <c r="A27" i="34"/>
  <c r="A28" i="34"/>
  <c r="A29" i="34"/>
  <c r="A30" i="34"/>
  <c r="A31" i="34"/>
  <c r="A32" i="34"/>
  <c r="A33" i="34"/>
  <c r="A34" i="34"/>
  <c r="A35" i="34"/>
  <c r="A36" i="34"/>
  <c r="A37" i="34"/>
  <c r="A38" i="34"/>
  <c r="A39" i="34"/>
  <c r="A40" i="34"/>
  <c r="A41" i="34"/>
  <c r="A42" i="34"/>
  <c r="A43" i="34"/>
  <c r="A44" i="34"/>
  <c r="A45" i="34"/>
  <c r="A46" i="34"/>
  <c r="A47" i="34"/>
  <c r="A48" i="34"/>
  <c r="A49" i="34"/>
  <c r="A50" i="34"/>
  <c r="A51" i="34"/>
  <c r="A52" i="34"/>
  <c r="A53" i="34"/>
  <c r="A54" i="34"/>
  <c r="A55" i="34"/>
  <c r="A56" i="34"/>
  <c r="A57" i="34"/>
  <c r="A58" i="34"/>
  <c r="A59" i="34"/>
  <c r="A60" i="34"/>
  <c r="A61" i="34"/>
  <c r="A62" i="34"/>
  <c r="A63" i="34"/>
  <c r="A64" i="34"/>
  <c r="A65" i="34"/>
  <c r="A66" i="34"/>
  <c r="A67" i="34"/>
  <c r="A68" i="34"/>
  <c r="A69" i="34"/>
  <c r="A70" i="34"/>
  <c r="A71" i="34"/>
  <c r="A72" i="34"/>
  <c r="A73" i="34"/>
  <c r="A74" i="34"/>
  <c r="A75" i="34"/>
  <c r="A76" i="34"/>
  <c r="A77" i="34"/>
  <c r="A78" i="34"/>
  <c r="A79" i="34"/>
  <c r="A80" i="34"/>
  <c r="A81" i="34"/>
  <c r="A82" i="34"/>
  <c r="A83" i="34"/>
  <c r="A84" i="34"/>
  <c r="A85" i="34"/>
  <c r="A86" i="34"/>
  <c r="A87" i="34"/>
  <c r="A88" i="34"/>
  <c r="A89" i="34"/>
  <c r="A90" i="34"/>
  <c r="A91" i="34"/>
  <c r="A92" i="34"/>
  <c r="A93" i="34"/>
  <c r="A94" i="34"/>
  <c r="A95" i="34"/>
  <c r="A96" i="34"/>
  <c r="A97" i="34"/>
  <c r="A98" i="34"/>
  <c r="A99" i="34"/>
  <c r="A100" i="34"/>
  <c r="G7" i="34"/>
  <c r="J4" i="34" s="1"/>
  <c r="G8" i="34"/>
  <c r="G9" i="34"/>
  <c r="G10" i="34"/>
  <c r="G11" i="34"/>
  <c r="G12" i="34"/>
  <c r="G13" i="34"/>
  <c r="A24" i="43"/>
  <c r="J3" i="43" s="1"/>
  <c r="A25" i="43"/>
  <c r="A26" i="43"/>
  <c r="A27" i="43"/>
  <c r="A28" i="43"/>
  <c r="A29" i="43"/>
  <c r="A30" i="43"/>
  <c r="A31" i="43"/>
  <c r="A32" i="43"/>
  <c r="A33" i="43"/>
  <c r="A34" i="43"/>
  <c r="A35" i="43"/>
  <c r="A36" i="43"/>
  <c r="A37" i="43"/>
  <c r="A38" i="43"/>
  <c r="A39" i="43"/>
  <c r="A40" i="43"/>
  <c r="A41" i="43"/>
  <c r="A42" i="43"/>
  <c r="A43" i="43"/>
  <c r="A44" i="43"/>
  <c r="A45" i="43"/>
  <c r="A46" i="43"/>
  <c r="A47" i="43"/>
  <c r="A48" i="43"/>
  <c r="A49" i="43"/>
  <c r="A50" i="43"/>
  <c r="A51" i="43"/>
  <c r="A52" i="43"/>
  <c r="A53" i="43"/>
  <c r="A54" i="43"/>
  <c r="A55" i="43"/>
  <c r="A56" i="43"/>
  <c r="A57" i="43"/>
  <c r="A58" i="43"/>
  <c r="A59" i="43"/>
  <c r="A60" i="43"/>
  <c r="A61" i="43"/>
  <c r="A62" i="43"/>
  <c r="A63" i="43"/>
  <c r="A64" i="43"/>
  <c r="A65" i="43"/>
  <c r="A66" i="43"/>
  <c r="A67" i="43"/>
  <c r="A68" i="43"/>
  <c r="A69" i="43"/>
  <c r="A70" i="43"/>
  <c r="A71" i="43"/>
  <c r="A72" i="43"/>
  <c r="A73" i="43"/>
  <c r="A74" i="43"/>
  <c r="A75" i="43"/>
  <c r="A76" i="43"/>
  <c r="A77" i="43"/>
  <c r="A78" i="43"/>
  <c r="A79" i="43"/>
  <c r="A80" i="43"/>
  <c r="A81" i="43"/>
  <c r="A82" i="43"/>
  <c r="A83" i="43"/>
  <c r="A84" i="43"/>
  <c r="A85" i="43"/>
  <c r="A86" i="43"/>
  <c r="A87" i="43"/>
  <c r="A88" i="43"/>
  <c r="A89" i="43"/>
  <c r="A90" i="43"/>
  <c r="A91" i="43"/>
  <c r="A92" i="43"/>
  <c r="A93" i="43"/>
  <c r="A94" i="43"/>
  <c r="A95" i="43"/>
  <c r="A96" i="43"/>
  <c r="A97" i="43"/>
  <c r="A98" i="43"/>
  <c r="A99" i="43"/>
  <c r="A100" i="43"/>
  <c r="G7" i="43"/>
  <c r="J4" i="43" s="1"/>
  <c r="G8" i="43"/>
  <c r="G9" i="43"/>
  <c r="G10" i="43"/>
  <c r="G11" i="43"/>
  <c r="G12" i="43"/>
  <c r="G13" i="43"/>
  <c r="G14" i="43"/>
  <c r="G15" i="43"/>
  <c r="G16" i="43"/>
  <c r="G17" i="43"/>
  <c r="G18" i="43"/>
  <c r="G19" i="43"/>
  <c r="G20" i="43"/>
  <c r="G21" i="43"/>
  <c r="G22" i="43"/>
  <c r="G23" i="43"/>
  <c r="G24" i="43"/>
  <c r="A18" i="48" l="1"/>
  <c r="A19" i="48" s="1"/>
  <c r="A20" i="48" s="1"/>
  <c r="A21" i="48" s="1"/>
  <c r="A22" i="48" s="1"/>
  <c r="A23" i="48" s="1"/>
  <c r="J3" i="48"/>
  <c r="A14" i="22"/>
  <c r="J3" i="22"/>
  <c r="A17" i="29"/>
  <c r="A18" i="29" s="1"/>
  <c r="A19" i="29" s="1"/>
  <c r="A20" i="29" s="1"/>
  <c r="A21" i="29" s="1"/>
  <c r="A22" i="29" s="1"/>
  <c r="A10" i="4"/>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J3" i="4"/>
  <c r="J4" i="23"/>
  <c r="J3" i="16"/>
  <c r="J4" i="3"/>
  <c r="J4" i="11"/>
  <c r="J4" i="36"/>
  <c r="J4" i="50"/>
  <c r="J4" i="29"/>
  <c r="J3" i="10"/>
  <c r="A11" i="49"/>
  <c r="A12" i="49" s="1"/>
  <c r="A13" i="49" s="1"/>
  <c r="A14" i="49" s="1"/>
  <c r="A15" i="49" s="1"/>
  <c r="A16" i="49" s="1"/>
  <c r="A9" i="52"/>
  <c r="A10" i="52" s="1"/>
  <c r="A11" i="52" s="1"/>
  <c r="A12" i="52" s="1"/>
  <c r="J4" i="22"/>
  <c r="A10" i="41"/>
  <c r="A11" i="41" s="1"/>
  <c r="A12" i="41" s="1"/>
  <c r="A13" i="41" s="1"/>
  <c r="J3" i="41"/>
  <c r="J3" i="37"/>
  <c r="J3" i="45"/>
  <c r="A10" i="3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J4" i="35"/>
  <c r="J3" i="27"/>
  <c r="J4" i="16"/>
  <c r="J4" i="12"/>
  <c r="J4" i="7"/>
  <c r="A10" i="9"/>
  <c r="A11" i="9" s="1"/>
  <c r="A12" i="9" s="1"/>
  <c r="A13" i="9" s="1"/>
  <c r="A14" i="9" s="1"/>
  <c r="A15" i="9" s="1"/>
  <c r="J3" i="9"/>
  <c r="A12" i="11"/>
  <c r="A13" i="11" s="1"/>
  <c r="A14" i="11" s="1"/>
  <c r="A15" i="11" s="1"/>
  <c r="A16" i="11" s="1"/>
  <c r="J3" i="11"/>
  <c r="J3" i="46"/>
  <c r="A9" i="46"/>
  <c r="A10" i="46" s="1"/>
  <c r="A11" i="46" s="1"/>
  <c r="A12" i="46" s="1"/>
  <c r="A13" i="46" s="1"/>
  <c r="A14" i="46" s="1"/>
  <c r="A15" i="46" s="1"/>
  <c r="J4" i="18"/>
  <c r="A10" i="20"/>
  <c r="A11" i="20" s="1"/>
  <c r="A12" i="20" s="1"/>
  <c r="A13" i="20" s="1"/>
  <c r="A14" i="20" s="1"/>
  <c r="A15" i="20" s="1"/>
  <c r="A16" i="20" s="1"/>
  <c r="A17" i="20" s="1"/>
  <c r="A18" i="20" s="1"/>
  <c r="J4" i="27"/>
  <c r="A10" i="36"/>
  <c r="A11" i="36" s="1"/>
  <c r="A12" i="36" s="1"/>
  <c r="A13" i="36" s="1"/>
  <c r="A14" i="36" s="1"/>
  <c r="A15" i="36" s="1"/>
  <c r="A16" i="36" s="1"/>
  <c r="A17" i="36" s="1"/>
  <c r="A18" i="36" s="1"/>
  <c r="A19" i="36" s="1"/>
  <c r="A20" i="36" s="1"/>
  <c r="A21" i="36" s="1"/>
  <c r="A22" i="36" s="1"/>
  <c r="J4" i="8"/>
  <c r="J4" i="52"/>
  <c r="A9" i="23"/>
  <c r="A10" i="23" s="1"/>
  <c r="A11" i="23" s="1"/>
  <c r="A12" i="23" s="1"/>
  <c r="A13" i="23" s="1"/>
  <c r="A14" i="23" s="1"/>
  <c r="A15" i="23" s="1"/>
  <c r="A16" i="23" s="1"/>
  <c r="A17" i="23" s="1"/>
  <c r="J3" i="15"/>
  <c r="A11" i="12"/>
  <c r="A12" i="12" s="1"/>
  <c r="A13" i="12" s="1"/>
  <c r="A14" i="12" s="1"/>
  <c r="A15" i="12" s="1"/>
  <c r="J3" i="12"/>
  <c r="J4" i="5"/>
  <c r="J3" i="5"/>
  <c r="J4" i="9"/>
  <c r="A11" i="44"/>
  <c r="A12" i="44" s="1"/>
  <c r="A13" i="44" s="1"/>
  <c r="A10" i="14"/>
  <c r="A11" i="14" s="1"/>
  <c r="A12" i="14" s="1"/>
  <c r="A13" i="14" s="1"/>
  <c r="A14" i="14" s="1"/>
  <c r="A15" i="14" s="1"/>
  <c r="A16" i="14" s="1"/>
  <c r="J3" i="14"/>
  <c r="J4" i="39"/>
  <c r="J4" i="10"/>
  <c r="J3" i="42"/>
  <c r="J4" i="51"/>
  <c r="J4" i="15"/>
  <c r="J3" i="7"/>
  <c r="A9" i="7"/>
  <c r="A10" i="7" s="1"/>
  <c r="A11" i="7" s="1"/>
  <c r="A12" i="7" s="1"/>
  <c r="A13" i="7" s="1"/>
  <c r="A14" i="7" s="1"/>
  <c r="A15" i="7" s="1"/>
  <c r="A16" i="7" s="1"/>
  <c r="A17" i="7" s="1"/>
  <c r="A18" i="7" s="1"/>
  <c r="A19" i="7" s="1"/>
  <c r="A10" i="30"/>
  <c r="A11" i="30" s="1"/>
  <c r="A12" i="30" s="1"/>
  <c r="A13" i="30" s="1"/>
  <c r="A14" i="30" s="1"/>
  <c r="A15" i="30" s="1"/>
  <c r="A16" i="30" s="1"/>
  <c r="A17" i="30" s="1"/>
  <c r="A18" i="30" s="1"/>
  <c r="J3" i="30"/>
  <c r="J3" i="28"/>
  <c r="A11" i="26"/>
  <c r="A12" i="26" s="1"/>
  <c r="J3" i="18"/>
  <c r="J3" i="21"/>
  <c r="J4" i="38"/>
  <c r="A10" i="51"/>
  <c r="A11" i="51" s="1"/>
  <c r="A12" i="51" s="1"/>
  <c r="A13" i="51" s="1"/>
  <c r="A14" i="51" s="1"/>
  <c r="A15" i="51" s="1"/>
  <c r="A16" i="51" s="1"/>
  <c r="J3" i="51"/>
  <c r="J3" i="17"/>
  <c r="A9" i="3"/>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J4" i="6"/>
  <c r="A11" i="6"/>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J4" i="4"/>
  <c r="A11" i="8"/>
  <c r="A12" i="8" s="1"/>
  <c r="A13" i="8" s="1"/>
  <c r="A14" i="8" s="1"/>
  <c r="A15" i="8" s="1"/>
  <c r="A16" i="8" s="1"/>
  <c r="A17" i="8" s="1"/>
  <c r="A18" i="8" s="1"/>
  <c r="A19" i="8" s="1"/>
  <c r="A20" i="8" s="1"/>
  <c r="A21" i="8" s="1"/>
  <c r="A11" i="50"/>
  <c r="A12" i="50" s="1"/>
  <c r="A13" i="50" s="1"/>
  <c r="A14" i="50" s="1"/>
  <c r="A15" i="50" s="1"/>
  <c r="A16" i="50" s="1"/>
  <c r="J3" i="50"/>
  <c r="J3" i="25"/>
  <c r="J4" i="19"/>
  <c r="A9" i="19"/>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9" i="10"/>
  <c r="A10" i="10" s="1"/>
  <c r="A11" i="10" s="1"/>
  <c r="A12" i="10" s="1"/>
  <c r="A13" i="10" s="1"/>
  <c r="A14" i="10" s="1"/>
  <c r="A15" i="10" s="1"/>
  <c r="A16" i="10" s="1"/>
  <c r="A17" i="10" s="1"/>
  <c r="A18" i="10" s="1"/>
  <c r="A9" i="38"/>
  <c r="A10" i="38" s="1"/>
  <c r="A11" i="38" s="1"/>
  <c r="A12" i="38" s="1"/>
  <c r="A13" i="38" s="1"/>
  <c r="A14" i="38" s="1"/>
  <c r="A15" i="38" s="1"/>
  <c r="A16" i="38" s="1"/>
  <c r="A17" i="38" s="1"/>
  <c r="J3" i="53"/>
  <c r="J3" i="56"/>
  <c r="J3" i="33"/>
  <c r="J3" i="54"/>
  <c r="J3" i="3" l="1"/>
  <c r="J3" i="26"/>
  <c r="J3" i="19"/>
  <c r="J3" i="8"/>
  <c r="J3" i="29"/>
  <c r="J3" i="36"/>
  <c r="J3" i="6"/>
  <c r="J3" i="31"/>
  <c r="J3" i="52"/>
  <c r="J3" i="38"/>
  <c r="J3" i="44"/>
  <c r="J3" i="23"/>
  <c r="J3" i="20"/>
  <c r="J3"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100-000001000000}">
      <text>
        <r>
          <rPr>
            <sz val="9"/>
            <color indexed="81"/>
            <rFont val="ＭＳ Ｐゴシック"/>
            <family val="3"/>
            <charset val="128"/>
          </rPr>
          <t>マクロにより自動計算されます</t>
        </r>
      </text>
    </comment>
    <comment ref="J6" authorId="0" shapeId="0" xr:uid="{00000000-0006-0000-01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200-000001000000}">
      <text>
        <r>
          <rPr>
            <sz val="9"/>
            <color indexed="81"/>
            <rFont val="ＭＳ Ｐゴシック"/>
            <family val="3"/>
            <charset val="128"/>
          </rPr>
          <t>マクロにより自動計算されます</t>
        </r>
      </text>
    </comment>
    <comment ref="J6" authorId="0" shapeId="0" xr:uid="{00000000-0006-0000-02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300-000001000000}">
      <text>
        <r>
          <rPr>
            <sz val="9"/>
            <color indexed="81"/>
            <rFont val="ＭＳ Ｐゴシック"/>
            <family val="3"/>
            <charset val="128"/>
          </rPr>
          <t>マクロにより自動計算されます</t>
        </r>
      </text>
    </comment>
    <comment ref="J6" authorId="0" shapeId="0" xr:uid="{00000000-0006-0000-03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400-000001000000}">
      <text>
        <r>
          <rPr>
            <sz val="9"/>
            <color indexed="81"/>
            <rFont val="ＭＳ Ｐゴシック"/>
            <family val="3"/>
            <charset val="128"/>
          </rPr>
          <t>マクロにより自動計算されます</t>
        </r>
      </text>
    </comment>
    <comment ref="J6" authorId="0" shapeId="0" xr:uid="{00000000-0006-0000-04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500-000001000000}">
      <text>
        <r>
          <rPr>
            <sz val="9"/>
            <color indexed="81"/>
            <rFont val="ＭＳ Ｐゴシック"/>
            <family val="3"/>
            <charset val="128"/>
          </rPr>
          <t>マクロにより自動計算されます</t>
        </r>
      </text>
    </comment>
    <comment ref="J6" authorId="0" shapeId="0" xr:uid="{00000000-0006-0000-05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600-000001000000}">
      <text>
        <r>
          <rPr>
            <sz val="9"/>
            <color indexed="81"/>
            <rFont val="ＭＳ Ｐゴシック"/>
            <family val="3"/>
            <charset val="128"/>
          </rPr>
          <t>マクロにより自動計算されます</t>
        </r>
      </text>
    </comment>
    <comment ref="J6" authorId="0" shapeId="0" xr:uid="{00000000-0006-0000-06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700-000001000000}">
      <text>
        <r>
          <rPr>
            <sz val="9"/>
            <color indexed="81"/>
            <rFont val="ＭＳ Ｐゴシック"/>
            <family val="3"/>
            <charset val="128"/>
          </rPr>
          <t>マクロにより自動計算されます</t>
        </r>
      </text>
    </comment>
    <comment ref="J6" authorId="0" shapeId="0" xr:uid="{00000000-0006-0000-07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800-000001000000}">
      <text>
        <r>
          <rPr>
            <sz val="9"/>
            <color indexed="81"/>
            <rFont val="ＭＳ Ｐゴシック"/>
            <family val="3"/>
            <charset val="128"/>
          </rPr>
          <t>マクロにより自動計算されます</t>
        </r>
      </text>
    </comment>
    <comment ref="J6" authorId="0" shapeId="0" xr:uid="{00000000-0006-0000-08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900-000001000000}">
      <text>
        <r>
          <rPr>
            <sz val="9"/>
            <color indexed="81"/>
            <rFont val="ＭＳ Ｐゴシック"/>
            <family val="3"/>
            <charset val="128"/>
          </rPr>
          <t>マクロにより自動計算されます</t>
        </r>
      </text>
    </comment>
    <comment ref="J6" authorId="0" shapeId="0" xr:uid="{00000000-0006-0000-09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A00-000001000000}">
      <text>
        <r>
          <rPr>
            <sz val="9"/>
            <color indexed="81"/>
            <rFont val="ＭＳ Ｐゴシック"/>
            <family val="3"/>
            <charset val="128"/>
          </rPr>
          <t>マクロにより自動計算されます</t>
        </r>
      </text>
    </comment>
    <comment ref="J6" authorId="0" shapeId="0" xr:uid="{00000000-0006-0000-0A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B00-000001000000}">
      <text>
        <r>
          <rPr>
            <sz val="9"/>
            <color indexed="81"/>
            <rFont val="ＭＳ Ｐゴシック"/>
            <family val="3"/>
            <charset val="128"/>
          </rPr>
          <t>マクロにより自動計算されます</t>
        </r>
      </text>
    </comment>
    <comment ref="J6" authorId="0" shapeId="0" xr:uid="{00000000-0006-0000-0B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C00-000001000000}">
      <text>
        <r>
          <rPr>
            <sz val="9"/>
            <color indexed="81"/>
            <rFont val="ＭＳ Ｐゴシック"/>
            <family val="3"/>
            <charset val="128"/>
          </rPr>
          <t>マクロにより自動計算されます</t>
        </r>
      </text>
    </comment>
    <comment ref="J6" authorId="0" shapeId="0" xr:uid="{00000000-0006-0000-0C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D00-000001000000}">
      <text>
        <r>
          <rPr>
            <sz val="9"/>
            <color indexed="81"/>
            <rFont val="ＭＳ Ｐゴシック"/>
            <family val="3"/>
            <charset val="128"/>
          </rPr>
          <t>マクロにより自動計算されます</t>
        </r>
      </text>
    </comment>
    <comment ref="J6" authorId="0" shapeId="0" xr:uid="{00000000-0006-0000-0D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E00-000001000000}">
      <text>
        <r>
          <rPr>
            <sz val="9"/>
            <color indexed="81"/>
            <rFont val="ＭＳ Ｐゴシック"/>
            <family val="3"/>
            <charset val="128"/>
          </rPr>
          <t>マクロにより自動計算されます</t>
        </r>
      </text>
    </comment>
    <comment ref="J6" authorId="0" shapeId="0" xr:uid="{00000000-0006-0000-0E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F00-000001000000}">
      <text>
        <r>
          <rPr>
            <sz val="9"/>
            <color indexed="81"/>
            <rFont val="ＭＳ Ｐゴシック"/>
            <family val="3"/>
            <charset val="128"/>
          </rPr>
          <t>マクロにより自動計算されます</t>
        </r>
      </text>
    </comment>
    <comment ref="J6" authorId="0" shapeId="0" xr:uid="{00000000-0006-0000-0F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000-000001000000}">
      <text>
        <r>
          <rPr>
            <sz val="9"/>
            <color indexed="81"/>
            <rFont val="ＭＳ Ｐゴシック"/>
            <family val="3"/>
            <charset val="128"/>
          </rPr>
          <t>マクロにより自動計算されます</t>
        </r>
      </text>
    </comment>
    <comment ref="J6" authorId="0" shapeId="0" xr:uid="{00000000-0006-0000-10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100-000001000000}">
      <text>
        <r>
          <rPr>
            <sz val="9"/>
            <color indexed="81"/>
            <rFont val="ＭＳ Ｐゴシック"/>
            <family val="3"/>
            <charset val="128"/>
          </rPr>
          <t>マクロにより自動計算されます</t>
        </r>
      </text>
    </comment>
    <comment ref="J6" authorId="0" shapeId="0" xr:uid="{00000000-0006-0000-11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200-000001000000}">
      <text>
        <r>
          <rPr>
            <sz val="9"/>
            <color indexed="81"/>
            <rFont val="ＭＳ Ｐゴシック"/>
            <family val="3"/>
            <charset val="128"/>
          </rPr>
          <t>マクロにより自動計算されます</t>
        </r>
      </text>
    </comment>
    <comment ref="J6" authorId="0" shapeId="0" xr:uid="{00000000-0006-0000-12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300-000001000000}">
      <text>
        <r>
          <rPr>
            <sz val="9"/>
            <color indexed="81"/>
            <rFont val="ＭＳ Ｐゴシック"/>
            <family val="3"/>
            <charset val="128"/>
          </rPr>
          <t>マクロにより自動計算されます</t>
        </r>
      </text>
    </comment>
    <comment ref="J6" authorId="0" shapeId="0" xr:uid="{00000000-0006-0000-13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400-000001000000}">
      <text>
        <r>
          <rPr>
            <sz val="9"/>
            <color indexed="81"/>
            <rFont val="ＭＳ Ｐゴシック"/>
            <family val="3"/>
            <charset val="128"/>
          </rPr>
          <t>マクロにより自動計算されます</t>
        </r>
      </text>
    </comment>
    <comment ref="J6" authorId="0" shapeId="0" xr:uid="{00000000-0006-0000-14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500-000001000000}">
      <text>
        <r>
          <rPr>
            <sz val="9"/>
            <color indexed="81"/>
            <rFont val="ＭＳ Ｐゴシック"/>
            <family val="3"/>
            <charset val="128"/>
          </rPr>
          <t>マクロにより自動計算されます</t>
        </r>
      </text>
    </comment>
    <comment ref="J6" authorId="0" shapeId="0" xr:uid="{00000000-0006-0000-15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600-000001000000}">
      <text>
        <r>
          <rPr>
            <sz val="9"/>
            <color indexed="81"/>
            <rFont val="ＭＳ Ｐゴシック"/>
            <family val="3"/>
            <charset val="128"/>
          </rPr>
          <t>マクロにより自動計算されます</t>
        </r>
      </text>
    </comment>
    <comment ref="J6" authorId="0" shapeId="0" xr:uid="{00000000-0006-0000-16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700-000001000000}">
      <text>
        <r>
          <rPr>
            <sz val="9"/>
            <color indexed="81"/>
            <rFont val="ＭＳ Ｐゴシック"/>
            <family val="3"/>
            <charset val="128"/>
          </rPr>
          <t>マクロにより自動計算されます</t>
        </r>
      </text>
    </comment>
    <comment ref="J6" authorId="0" shapeId="0" xr:uid="{00000000-0006-0000-17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800-000001000000}">
      <text>
        <r>
          <rPr>
            <sz val="9"/>
            <color indexed="81"/>
            <rFont val="ＭＳ Ｐゴシック"/>
            <family val="3"/>
            <charset val="128"/>
          </rPr>
          <t>マクロにより自動計算されます</t>
        </r>
      </text>
    </comment>
    <comment ref="J6" authorId="0" shapeId="0" xr:uid="{00000000-0006-0000-18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900-000001000000}">
      <text>
        <r>
          <rPr>
            <sz val="9"/>
            <color indexed="81"/>
            <rFont val="ＭＳ Ｐゴシック"/>
            <family val="3"/>
            <charset val="128"/>
          </rPr>
          <t>マクロにより自動計算されます</t>
        </r>
      </text>
    </comment>
    <comment ref="J6" authorId="0" shapeId="0" xr:uid="{00000000-0006-0000-19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A00-000001000000}">
      <text>
        <r>
          <rPr>
            <sz val="9"/>
            <color indexed="81"/>
            <rFont val="ＭＳ Ｐゴシック"/>
            <family val="3"/>
            <charset val="128"/>
          </rPr>
          <t>マクロにより自動計算されます</t>
        </r>
      </text>
    </comment>
    <comment ref="J6" authorId="0" shapeId="0" xr:uid="{00000000-0006-0000-1A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B00-000001000000}">
      <text>
        <r>
          <rPr>
            <sz val="9"/>
            <color indexed="81"/>
            <rFont val="ＭＳ Ｐゴシック"/>
            <family val="3"/>
            <charset val="128"/>
          </rPr>
          <t>マクロにより自動計算されます</t>
        </r>
      </text>
    </comment>
    <comment ref="J6" authorId="0" shapeId="0" xr:uid="{00000000-0006-0000-1B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C00-000001000000}">
      <text>
        <r>
          <rPr>
            <sz val="9"/>
            <color indexed="81"/>
            <rFont val="ＭＳ Ｐゴシック"/>
            <family val="3"/>
            <charset val="128"/>
          </rPr>
          <t>マクロにより自動計算されます</t>
        </r>
      </text>
    </comment>
    <comment ref="J6" authorId="0" shapeId="0" xr:uid="{00000000-0006-0000-1C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D00-000001000000}">
      <text>
        <r>
          <rPr>
            <sz val="9"/>
            <color indexed="81"/>
            <rFont val="ＭＳ Ｐゴシック"/>
            <family val="3"/>
            <charset val="128"/>
          </rPr>
          <t>マクロにより自動計算されます</t>
        </r>
      </text>
    </comment>
    <comment ref="J6" authorId="0" shapeId="0" xr:uid="{00000000-0006-0000-1D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E00-000001000000}">
      <text>
        <r>
          <rPr>
            <sz val="9"/>
            <color indexed="81"/>
            <rFont val="ＭＳ Ｐゴシック"/>
            <family val="3"/>
            <charset val="128"/>
          </rPr>
          <t>マクロにより自動計算されます</t>
        </r>
      </text>
    </comment>
    <comment ref="J6" authorId="0" shapeId="0" xr:uid="{00000000-0006-0000-1E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F00-000001000000}">
      <text>
        <r>
          <rPr>
            <sz val="9"/>
            <color indexed="81"/>
            <rFont val="ＭＳ Ｐゴシック"/>
            <family val="3"/>
            <charset val="128"/>
          </rPr>
          <t>マクロにより自動計算されます</t>
        </r>
      </text>
    </comment>
    <comment ref="J6" authorId="0" shapeId="0" xr:uid="{00000000-0006-0000-1F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000-000001000000}">
      <text>
        <r>
          <rPr>
            <sz val="9"/>
            <color indexed="81"/>
            <rFont val="ＭＳ Ｐゴシック"/>
            <family val="3"/>
            <charset val="128"/>
          </rPr>
          <t>マクロにより自動計算されます</t>
        </r>
      </text>
    </comment>
    <comment ref="J6" authorId="0" shapeId="0" xr:uid="{00000000-0006-0000-20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100-000001000000}">
      <text>
        <r>
          <rPr>
            <sz val="9"/>
            <color indexed="81"/>
            <rFont val="ＭＳ Ｐゴシック"/>
            <family val="3"/>
            <charset val="128"/>
          </rPr>
          <t>マクロにより自動計算されます</t>
        </r>
      </text>
    </comment>
    <comment ref="J6" authorId="0" shapeId="0" xr:uid="{00000000-0006-0000-21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200-000001000000}">
      <text>
        <r>
          <rPr>
            <sz val="9"/>
            <color indexed="81"/>
            <rFont val="ＭＳ Ｐゴシック"/>
            <family val="3"/>
            <charset val="128"/>
          </rPr>
          <t>マクロにより自動計算されます</t>
        </r>
      </text>
    </comment>
    <comment ref="J6" authorId="0" shapeId="0" xr:uid="{00000000-0006-0000-22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300-000001000000}">
      <text>
        <r>
          <rPr>
            <sz val="9"/>
            <color indexed="81"/>
            <rFont val="ＭＳ Ｐゴシック"/>
            <family val="3"/>
            <charset val="128"/>
          </rPr>
          <t>マクロにより自動計算されます</t>
        </r>
      </text>
    </comment>
    <comment ref="J6" authorId="0" shapeId="0" xr:uid="{00000000-0006-0000-23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400-000001000000}">
      <text>
        <r>
          <rPr>
            <sz val="9"/>
            <color indexed="81"/>
            <rFont val="ＭＳ Ｐゴシック"/>
            <family val="3"/>
            <charset val="128"/>
          </rPr>
          <t>マクロにより自動計算されます</t>
        </r>
      </text>
    </comment>
    <comment ref="J6" authorId="0" shapeId="0" xr:uid="{00000000-0006-0000-24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500-000001000000}">
      <text>
        <r>
          <rPr>
            <sz val="9"/>
            <color indexed="81"/>
            <rFont val="ＭＳ Ｐゴシック"/>
            <family val="3"/>
            <charset val="128"/>
          </rPr>
          <t>マクロにより自動計算されます</t>
        </r>
      </text>
    </comment>
    <comment ref="J6" authorId="0" shapeId="0" xr:uid="{00000000-0006-0000-25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600-000001000000}">
      <text>
        <r>
          <rPr>
            <sz val="9"/>
            <color indexed="81"/>
            <rFont val="ＭＳ Ｐゴシック"/>
            <family val="3"/>
            <charset val="128"/>
          </rPr>
          <t>マクロにより自動計算されます</t>
        </r>
      </text>
    </comment>
    <comment ref="J6" authorId="0" shapeId="0" xr:uid="{00000000-0006-0000-26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700-000001000000}">
      <text>
        <r>
          <rPr>
            <sz val="9"/>
            <color indexed="81"/>
            <rFont val="ＭＳ Ｐゴシック"/>
            <family val="3"/>
            <charset val="128"/>
          </rPr>
          <t>マクロにより自動計算されます</t>
        </r>
      </text>
    </comment>
    <comment ref="J6" authorId="0" shapeId="0" xr:uid="{00000000-0006-0000-27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800-000001000000}">
      <text>
        <r>
          <rPr>
            <sz val="9"/>
            <color indexed="81"/>
            <rFont val="ＭＳ Ｐゴシック"/>
            <family val="3"/>
            <charset val="128"/>
          </rPr>
          <t>マクロにより自動計算されます</t>
        </r>
      </text>
    </comment>
    <comment ref="J6" authorId="0" shapeId="0" xr:uid="{00000000-0006-0000-28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900-000001000000}">
      <text>
        <r>
          <rPr>
            <sz val="9"/>
            <color indexed="81"/>
            <rFont val="ＭＳ Ｐゴシック"/>
            <family val="3"/>
            <charset val="128"/>
          </rPr>
          <t>マクロにより自動計算されます</t>
        </r>
      </text>
    </comment>
    <comment ref="J6" authorId="0" shapeId="0" xr:uid="{00000000-0006-0000-29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A00-000001000000}">
      <text>
        <r>
          <rPr>
            <sz val="9"/>
            <color indexed="81"/>
            <rFont val="ＭＳ Ｐゴシック"/>
            <family val="3"/>
            <charset val="128"/>
          </rPr>
          <t>マクロにより自動計算されます</t>
        </r>
      </text>
    </comment>
    <comment ref="J6" authorId="0" shapeId="0" xr:uid="{00000000-0006-0000-2A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B00-000001000000}">
      <text>
        <r>
          <rPr>
            <sz val="9"/>
            <color indexed="81"/>
            <rFont val="ＭＳ Ｐゴシック"/>
            <family val="3"/>
            <charset val="128"/>
          </rPr>
          <t>マクロにより自動計算されます</t>
        </r>
      </text>
    </comment>
    <comment ref="J6" authorId="0" shapeId="0" xr:uid="{00000000-0006-0000-2B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C00-000001000000}">
      <text>
        <r>
          <rPr>
            <sz val="9"/>
            <color indexed="81"/>
            <rFont val="ＭＳ Ｐゴシック"/>
            <family val="3"/>
            <charset val="128"/>
          </rPr>
          <t>マクロにより自動計算されます</t>
        </r>
      </text>
    </comment>
    <comment ref="J6" authorId="0" shapeId="0" xr:uid="{00000000-0006-0000-2C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D00-000001000000}">
      <text>
        <r>
          <rPr>
            <sz val="9"/>
            <color indexed="81"/>
            <rFont val="ＭＳ Ｐゴシック"/>
            <family val="3"/>
            <charset val="128"/>
          </rPr>
          <t>マクロにより自動計算されます</t>
        </r>
      </text>
    </comment>
    <comment ref="J6" authorId="0" shapeId="0" xr:uid="{00000000-0006-0000-2D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E00-000001000000}">
      <text>
        <r>
          <rPr>
            <sz val="9"/>
            <color indexed="81"/>
            <rFont val="ＭＳ Ｐゴシック"/>
            <family val="3"/>
            <charset val="128"/>
          </rPr>
          <t>マクロにより自動計算されます</t>
        </r>
      </text>
    </comment>
    <comment ref="J6" authorId="0" shapeId="0" xr:uid="{00000000-0006-0000-2E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F00-000001000000}">
      <text>
        <r>
          <rPr>
            <sz val="9"/>
            <color indexed="81"/>
            <rFont val="ＭＳ Ｐゴシック"/>
            <family val="3"/>
            <charset val="128"/>
          </rPr>
          <t>マクロにより自動計算されます</t>
        </r>
      </text>
    </comment>
    <comment ref="J6" authorId="0" shapeId="0" xr:uid="{00000000-0006-0000-2F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3000-000001000000}">
      <text>
        <r>
          <rPr>
            <sz val="9"/>
            <color indexed="81"/>
            <rFont val="ＭＳ Ｐゴシック"/>
            <family val="3"/>
            <charset val="128"/>
          </rPr>
          <t>マクロにより自動計算されます</t>
        </r>
      </text>
    </comment>
    <comment ref="J6" authorId="0" shapeId="0" xr:uid="{00000000-0006-0000-30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3100-000001000000}">
      <text>
        <r>
          <rPr>
            <sz val="9"/>
            <rFont val="ＭＳ Ｐゴシック"/>
            <family val="3"/>
            <charset val="128"/>
          </rPr>
          <t>マクロにより自動計算されます</t>
        </r>
      </text>
    </comment>
    <comment ref="J6" authorId="0" shapeId="0" xr:uid="{00000000-0006-0000-31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3200-000001000000}">
      <text>
        <r>
          <rPr>
            <sz val="9"/>
            <rFont val="ＭＳ Ｐゴシック"/>
            <family val="3"/>
            <charset val="128"/>
          </rPr>
          <t>マクロにより自動計算されます</t>
        </r>
      </text>
    </comment>
    <comment ref="J6" authorId="0" shapeId="0" xr:uid="{00000000-0006-0000-32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3300-000001000000}">
      <text>
        <r>
          <rPr>
            <sz val="9"/>
            <rFont val="ＭＳ Ｐゴシック"/>
            <family val="3"/>
            <charset val="128"/>
          </rPr>
          <t>マクロにより自動計算されます</t>
        </r>
      </text>
    </comment>
    <comment ref="J6" authorId="0" shapeId="0" xr:uid="{00000000-0006-0000-33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3400-000001000000}">
      <text>
        <r>
          <rPr>
            <sz val="9"/>
            <rFont val="ＭＳ Ｐゴシック"/>
            <family val="3"/>
            <charset val="128"/>
          </rPr>
          <t>マクロにより自動計算されます</t>
        </r>
      </text>
    </comment>
    <comment ref="J6" authorId="0" shapeId="0" xr:uid="{00000000-0006-0000-34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3500-000001000000}">
      <text>
        <r>
          <rPr>
            <sz val="9"/>
            <color indexed="81"/>
            <rFont val="ＭＳ Ｐゴシック"/>
            <family val="3"/>
            <charset val="128"/>
          </rPr>
          <t>マクロにより自動計算されます</t>
        </r>
      </text>
    </comment>
    <comment ref="J6" authorId="0" shapeId="0" xr:uid="{00000000-0006-0000-35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3600-000001000000}">
      <text>
        <r>
          <rPr>
            <sz val="9"/>
            <color indexed="81"/>
            <rFont val="ＭＳ Ｐゴシック"/>
            <family val="3"/>
            <charset val="128"/>
          </rPr>
          <t>マクロにより自動計算されます</t>
        </r>
      </text>
    </comment>
    <comment ref="J6" authorId="0" shapeId="0" xr:uid="{00000000-0006-0000-3600-000002000000}">
      <text>
        <r>
          <rPr>
            <sz val="9"/>
            <color indexed="81"/>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sharedStrings.xml><?xml version="1.0" encoding="utf-8"?>
<sst xmlns="http://schemas.openxmlformats.org/spreadsheetml/2006/main" count="6650" uniqueCount="2017">
  <si>
    <t>　0:何もしない
　1:チェック⑥を実行
負荷後の最初の１本目の結果が、負荷前の結果の２倍以上ならエラー(項目1-10)</t>
    <rPh sb="3" eb="4">
      <t>ナニ</t>
    </rPh>
    <rPh sb="18" eb="20">
      <t>ジッコウ</t>
    </rPh>
    <phoneticPr fontId="6"/>
  </si>
  <si>
    <t>　0:何もしない
　1:チェック⑦を実行
いずれの負荷後であっても負荷前の値より３倍以上は、エラー(項目1-10)</t>
    <rPh sb="3" eb="4">
      <t>ナニ</t>
    </rPh>
    <rPh sb="18" eb="20">
      <t>ジッコウ</t>
    </rPh>
    <phoneticPr fontId="6"/>
  </si>
  <si>
    <t>履歴情報保存日数</t>
    <rPh sb="0" eb="2">
      <t>リレキ</t>
    </rPh>
    <rPh sb="2" eb="4">
      <t>ジョウホウ</t>
    </rPh>
    <rPh sb="4" eb="6">
      <t>ホゾン</t>
    </rPh>
    <rPh sb="6" eb="8">
      <t>ニッスウ</t>
    </rPh>
    <phoneticPr fontId="6"/>
  </si>
  <si>
    <t>RRKHZN</t>
    <phoneticPr fontId="6"/>
  </si>
  <si>
    <t>項目種別</t>
    <rPh sb="0" eb="2">
      <t>コウモク</t>
    </rPh>
    <rPh sb="2" eb="4">
      <t>シュベツ</t>
    </rPh>
    <phoneticPr fontId="5"/>
  </si>
  <si>
    <t>PRM1</t>
    <phoneticPr fontId="6"/>
  </si>
  <si>
    <t>PRM2</t>
    <phoneticPr fontId="6"/>
  </si>
  <si>
    <t>PRM3</t>
    <phoneticPr fontId="6"/>
  </si>
  <si>
    <t>PRM4</t>
    <phoneticPr fontId="6"/>
  </si>
  <si>
    <t>PRM5</t>
    <phoneticPr fontId="6"/>
  </si>
  <si>
    <t>特定した施設の処理種別
　001：結果リスト網掛け
　002：報告書枚数指定
　　　：
施設別換算処理もここで登録する
　KZN：施設別換算
　例　Y = (X + a) / b の場合
　　　PARAM01 
      ( [X] + [PRM2] ) / [PRM3]
      PRM2
      a の値
      PRM3
      b の値</t>
    <rPh sb="0" eb="2">
      <t>トクテイ</t>
    </rPh>
    <rPh sb="4" eb="6">
      <t>シセツ</t>
    </rPh>
    <rPh sb="7" eb="9">
      <t>ショリ</t>
    </rPh>
    <rPh sb="9" eb="11">
      <t>シュベツ</t>
    </rPh>
    <rPh sb="17" eb="19">
      <t>ケッカ</t>
    </rPh>
    <rPh sb="22" eb="24">
      <t>アミカ</t>
    </rPh>
    <rPh sb="31" eb="34">
      <t>ホウコクショ</t>
    </rPh>
    <rPh sb="34" eb="36">
      <t>マイスウ</t>
    </rPh>
    <rPh sb="36" eb="38">
      <t>シテイ</t>
    </rPh>
    <rPh sb="44" eb="46">
      <t>シセツ</t>
    </rPh>
    <rPh sb="46" eb="47">
      <t>ベツ</t>
    </rPh>
    <rPh sb="47" eb="49">
      <t>カンザン</t>
    </rPh>
    <rPh sb="49" eb="51">
      <t>ショリ</t>
    </rPh>
    <rPh sb="55" eb="57">
      <t>トウロク</t>
    </rPh>
    <rPh sb="65" eb="67">
      <t>シセツ</t>
    </rPh>
    <rPh sb="67" eb="68">
      <t>ベツ</t>
    </rPh>
    <rPh sb="68" eb="70">
      <t>カンザン</t>
    </rPh>
    <rPh sb="72" eb="73">
      <t>レイ</t>
    </rPh>
    <rPh sb="91" eb="93">
      <t>バアイ</t>
    </rPh>
    <rPh sb="158" eb="159">
      <t>アタイ</t>
    </rPh>
    <rPh sb="180" eb="181">
      <t>アタイ</t>
    </rPh>
    <phoneticPr fontId="6"/>
  </si>
  <si>
    <t>　Y = (X + a) / b</t>
    <phoneticPr fontId="6"/>
  </si>
  <si>
    <t>　Y = aX + b</t>
    <phoneticPr fontId="6"/>
  </si>
  <si>
    <t>換算式（例）</t>
    <rPh sb="0" eb="2">
      <t>カンザン</t>
    </rPh>
    <rPh sb="2" eb="3">
      <t>シキ</t>
    </rPh>
    <rPh sb="4" eb="5">
      <t>レイ</t>
    </rPh>
    <phoneticPr fontId="6"/>
  </si>
  <si>
    <t>2006/03/06　鎌倉</t>
    <rPh sb="11" eb="13">
      <t>カマクラ</t>
    </rPh>
    <phoneticPr fontId="6"/>
  </si>
  <si>
    <t>コード定義削除</t>
    <rPh sb="3" eb="5">
      <t>テイギ</t>
    </rPh>
    <rPh sb="5" eb="7">
      <t>サクジョ</t>
    </rPh>
    <phoneticPr fontId="6"/>
  </si>
  <si>
    <t>処理種別　</t>
    <rPh sb="0" eb="2">
      <t>ショリ</t>
    </rPh>
    <rPh sb="2" eb="4">
      <t>シュベツ</t>
    </rPh>
    <phoneticPr fontId="6"/>
  </si>
  <si>
    <t>101:Y = (X + a) / b</t>
    <phoneticPr fontId="6"/>
  </si>
  <si>
    <t>102:Y = aX + b</t>
    <phoneticPr fontId="6"/>
  </si>
  <si>
    <t>KZN:施設別換算</t>
    <rPh sb="4" eb="6">
      <t>シセツ</t>
    </rPh>
    <rPh sb="6" eb="7">
      <t>ベツ</t>
    </rPh>
    <rPh sb="7" eb="9">
      <t>カンザン</t>
    </rPh>
    <phoneticPr fontId="6"/>
  </si>
  <si>
    <t>フィールド変更</t>
    <rPh sb="5" eb="7">
      <t>ヘンコウ</t>
    </rPh>
    <phoneticPr fontId="6"/>
  </si>
  <si>
    <t>パラメータ０１　PARAM01 CHAR(20) ---&gt; PRM1 CHAR(50)</t>
    <phoneticPr fontId="6"/>
  </si>
  <si>
    <t>パラメータ０２　PARAM02 CHAR(20) ---&gt; PRM2 CHAR(50)</t>
    <phoneticPr fontId="6"/>
  </si>
  <si>
    <t>パラメータ０３　PARAM03 CHAR(20) ---&gt; PRM3 CHAR(50)</t>
    <phoneticPr fontId="6"/>
  </si>
  <si>
    <t>パラメータ０４　PARAM04 CHAR(20) ---&gt; PRM4 CHAR(50)</t>
    <phoneticPr fontId="6"/>
  </si>
  <si>
    <t>パラメータ０５　PARAM05 CHAR(20) ---&gt; PRM5 CHAR(50)</t>
    <phoneticPr fontId="6"/>
  </si>
  <si>
    <t>開始年月日</t>
    <rPh sb="0" eb="2">
      <t>カイシ</t>
    </rPh>
    <rPh sb="2" eb="5">
      <t>ネンガッピ</t>
    </rPh>
    <phoneticPr fontId="6"/>
  </si>
  <si>
    <t>廃止年月日</t>
    <rPh sb="0" eb="2">
      <t>ハイシ</t>
    </rPh>
    <rPh sb="2" eb="5">
      <t>ネンガッピ</t>
    </rPh>
    <phoneticPr fontId="6"/>
  </si>
  <si>
    <t>ヒストグラムで使用するＸ軸最小値規定値</t>
    <rPh sb="7" eb="9">
      <t>シヨウ</t>
    </rPh>
    <rPh sb="12" eb="13">
      <t>ジク</t>
    </rPh>
    <rPh sb="13" eb="16">
      <t>サイショウチ</t>
    </rPh>
    <rPh sb="16" eb="19">
      <t>キテイチ</t>
    </rPh>
    <phoneticPr fontId="6"/>
  </si>
  <si>
    <t>ヒストグラムで使用するＸ軸刻み幅規定値</t>
    <rPh sb="7" eb="9">
      <t>シヨウ</t>
    </rPh>
    <rPh sb="12" eb="13">
      <t>ジク</t>
    </rPh>
    <rPh sb="13" eb="14">
      <t>キザ</t>
    </rPh>
    <rPh sb="15" eb="16">
      <t>ハバ</t>
    </rPh>
    <rPh sb="16" eb="18">
      <t>キテイ</t>
    </rPh>
    <rPh sb="18" eb="19">
      <t>チ</t>
    </rPh>
    <phoneticPr fontId="6"/>
  </si>
  <si>
    <t>○</t>
    <phoneticPr fontId="6"/>
  </si>
  <si>
    <t>許容区分</t>
    <rPh sb="0" eb="2">
      <t>キョヨウ</t>
    </rPh>
    <rPh sb="2" eb="4">
      <t>クブン</t>
    </rPh>
    <phoneticPr fontId="5"/>
  </si>
  <si>
    <t>結果フィルターマスタ</t>
    <rPh sb="0" eb="2">
      <t>ケッカ</t>
    </rPh>
    <phoneticPr fontId="6"/>
  </si>
  <si>
    <t>No.</t>
    <phoneticPr fontId="6"/>
  </si>
  <si>
    <t>*</t>
    <phoneticPr fontId="6"/>
  </si>
  <si>
    <t>各種マスタ・バッチ処理用テーブル</t>
    <rPh sb="0" eb="2">
      <t>カクシュ</t>
    </rPh>
    <rPh sb="9" eb="11">
      <t>ショリ</t>
    </rPh>
    <rPh sb="11" eb="12">
      <t>ヨウ</t>
    </rPh>
    <phoneticPr fontId="6"/>
  </si>
  <si>
    <t>テーブル名</t>
    <rPh sb="4" eb="5">
      <t>メイ</t>
    </rPh>
    <phoneticPr fontId="6"/>
  </si>
  <si>
    <t>年月日</t>
    <rPh sb="0" eb="3">
      <t>ネンガッピ</t>
    </rPh>
    <phoneticPr fontId="6"/>
  </si>
  <si>
    <t>作成者</t>
    <rPh sb="0" eb="3">
      <t>サクセイシャ</t>
    </rPh>
    <phoneticPr fontId="6"/>
  </si>
  <si>
    <t>項目数</t>
    <rPh sb="0" eb="3">
      <t>コウモクスウ</t>
    </rPh>
    <phoneticPr fontId="6"/>
  </si>
  <si>
    <t>作成</t>
    <rPh sb="0" eb="2">
      <t>サクセイ</t>
    </rPh>
    <phoneticPr fontId="6"/>
  </si>
  <si>
    <t>PK・必須</t>
    <rPh sb="3" eb="5">
      <t>ヒッス</t>
    </rPh>
    <phoneticPr fontId="6"/>
  </si>
  <si>
    <t>データ型</t>
    <rPh sb="3" eb="4">
      <t>ガタ</t>
    </rPh>
    <phoneticPr fontId="6"/>
  </si>
  <si>
    <t>テーブル定義書</t>
    <rPh sb="4" eb="7">
      <t>テイギショ</t>
    </rPh>
    <phoneticPr fontId="6"/>
  </si>
  <si>
    <t>レコード長</t>
    <rPh sb="4" eb="5">
      <t>チョウ</t>
    </rPh>
    <phoneticPr fontId="6"/>
  </si>
  <si>
    <t>修正</t>
    <rPh sb="0" eb="2">
      <t>シュウセイ</t>
    </rPh>
    <phoneticPr fontId="6"/>
  </si>
  <si>
    <t>列名</t>
    <rPh sb="0" eb="1">
      <t>レツ</t>
    </rPh>
    <rPh sb="1" eb="2">
      <t>メイ</t>
    </rPh>
    <phoneticPr fontId="6"/>
  </si>
  <si>
    <t>属性</t>
    <rPh sb="0" eb="2">
      <t>ゾクセイ</t>
    </rPh>
    <phoneticPr fontId="6"/>
  </si>
  <si>
    <t>備考</t>
    <rPh sb="0" eb="2">
      <t>ビコウ</t>
    </rPh>
    <phoneticPr fontId="6"/>
  </si>
  <si>
    <t>論理名</t>
    <rPh sb="0" eb="2">
      <t>ロンリ</t>
    </rPh>
    <rPh sb="2" eb="3">
      <t>メイ</t>
    </rPh>
    <phoneticPr fontId="6"/>
  </si>
  <si>
    <t>物理名</t>
    <rPh sb="0" eb="2">
      <t>ブツリ</t>
    </rPh>
    <rPh sb="2" eb="3">
      <t>メイ</t>
    </rPh>
    <phoneticPr fontId="6"/>
  </si>
  <si>
    <t>桁数</t>
    <rPh sb="0" eb="2">
      <t>ケタスウ</t>
    </rPh>
    <phoneticPr fontId="6"/>
  </si>
  <si>
    <t>精度</t>
    <rPh sb="0" eb="2">
      <t>セイド</t>
    </rPh>
    <phoneticPr fontId="6"/>
  </si>
  <si>
    <t>必須</t>
    <rPh sb="0" eb="2">
      <t>ヒッス</t>
    </rPh>
    <phoneticPr fontId="6"/>
  </si>
  <si>
    <t>検査グループ</t>
    <rPh sb="0" eb="2">
      <t>ケンサ</t>
    </rPh>
    <phoneticPr fontId="6"/>
  </si>
  <si>
    <t>SMALLINT</t>
  </si>
  <si>
    <t>長田</t>
    <rPh sb="0" eb="2">
      <t>オサダ</t>
    </rPh>
    <phoneticPr fontId="6"/>
  </si>
  <si>
    <t xml:space="preserve">MINVAL      </t>
  </si>
  <si>
    <t xml:space="preserve">MAXVAL      </t>
  </si>
  <si>
    <t>再検処理</t>
    <rPh sb="0" eb="2">
      <t>サイケン</t>
    </rPh>
    <rPh sb="2" eb="4">
      <t>ショリ</t>
    </rPh>
    <phoneticPr fontId="6"/>
  </si>
  <si>
    <t>フラグ種別</t>
    <rPh sb="3" eb="5">
      <t>シュベツ</t>
    </rPh>
    <phoneticPr fontId="6"/>
  </si>
  <si>
    <t xml:space="preserve">ERRNAME     </t>
  </si>
  <si>
    <t>曜日指定</t>
    <rPh sb="0" eb="2">
      <t>ヨウビ</t>
    </rPh>
    <rPh sb="2" eb="4">
      <t>シテイ</t>
    </rPh>
    <phoneticPr fontId="6"/>
  </si>
  <si>
    <t>DATE</t>
    <phoneticPr fontId="6"/>
  </si>
  <si>
    <t xml:space="preserve">SMALLINT        </t>
  </si>
  <si>
    <t/>
  </si>
  <si>
    <t>項目コード</t>
    <rPh sb="0" eb="2">
      <t>コウモク</t>
    </rPh>
    <phoneticPr fontId="5"/>
  </si>
  <si>
    <t xml:space="preserve">項目コード      </t>
  </si>
  <si>
    <t>SMALLINT</t>
    <phoneticPr fontId="6"/>
  </si>
  <si>
    <t>下限</t>
    <rPh sb="0" eb="2">
      <t>カゲン</t>
    </rPh>
    <phoneticPr fontId="5"/>
  </si>
  <si>
    <t>希釈下限値</t>
    <rPh sb="0" eb="2">
      <t>キシャク</t>
    </rPh>
    <rPh sb="2" eb="5">
      <t>カゲンチ</t>
    </rPh>
    <phoneticPr fontId="5"/>
  </si>
  <si>
    <t>希釈上限値</t>
    <rPh sb="0" eb="2">
      <t>キシャク</t>
    </rPh>
    <rPh sb="2" eb="5">
      <t>ジョウゲンチ</t>
    </rPh>
    <phoneticPr fontId="5"/>
  </si>
  <si>
    <t xml:space="preserve">KMAX         </t>
  </si>
  <si>
    <t>希釈倍率</t>
    <rPh sb="0" eb="2">
      <t>キシャク</t>
    </rPh>
    <rPh sb="2" eb="4">
      <t>バイリツ</t>
    </rPh>
    <phoneticPr fontId="5"/>
  </si>
  <si>
    <t>検査グループ</t>
    <rPh sb="0" eb="2">
      <t>ケンサ</t>
    </rPh>
    <phoneticPr fontId="5"/>
  </si>
  <si>
    <t>上限</t>
    <rPh sb="0" eb="2">
      <t>ジョウゲン</t>
    </rPh>
    <phoneticPr fontId="5"/>
  </si>
  <si>
    <t>MAXVAL</t>
  </si>
  <si>
    <t>女・基準値（上）</t>
    <rPh sb="0" eb="1">
      <t>オンナ</t>
    </rPh>
    <rPh sb="2" eb="5">
      <t>キジュンチ</t>
    </rPh>
    <rPh sb="6" eb="7">
      <t>ウエ</t>
    </rPh>
    <phoneticPr fontId="5"/>
  </si>
  <si>
    <t xml:space="preserve">女・基準値（上）      </t>
  </si>
  <si>
    <t>女・基準値（下）</t>
    <rPh sb="0" eb="1">
      <t>オンナ</t>
    </rPh>
    <rPh sb="2" eb="5">
      <t>キジュンチ</t>
    </rPh>
    <rPh sb="6" eb="7">
      <t>シタ</t>
    </rPh>
    <phoneticPr fontId="5"/>
  </si>
  <si>
    <t xml:space="preserve">女・基準値（下）      </t>
  </si>
  <si>
    <t>女・基準値内１</t>
    <rPh sb="0" eb="1">
      <t>オンナ</t>
    </rPh>
    <rPh sb="2" eb="5">
      <t>キジュンチ</t>
    </rPh>
    <rPh sb="5" eb="6">
      <t>ナイ</t>
    </rPh>
    <phoneticPr fontId="5"/>
  </si>
  <si>
    <t xml:space="preserve">KJNNAF1     </t>
  </si>
  <si>
    <t xml:space="preserve">女・基準値内１              </t>
  </si>
  <si>
    <t>女・基準値内２</t>
    <rPh sb="0" eb="1">
      <t>オンナ</t>
    </rPh>
    <rPh sb="2" eb="5">
      <t>キジュンチ</t>
    </rPh>
    <rPh sb="5" eb="6">
      <t>ナイ</t>
    </rPh>
    <phoneticPr fontId="5"/>
  </si>
  <si>
    <t xml:space="preserve">KJNNAF2     </t>
  </si>
  <si>
    <t xml:space="preserve">女・基準値内２              </t>
  </si>
  <si>
    <t>女・基準値範囲（カナ）</t>
    <rPh sb="0" eb="1">
      <t>オンナ</t>
    </rPh>
    <rPh sb="2" eb="5">
      <t>キジュンチ</t>
    </rPh>
    <rPh sb="5" eb="7">
      <t>ハンイ</t>
    </rPh>
    <phoneticPr fontId="5"/>
  </si>
  <si>
    <t xml:space="preserve">KJNFHKN     </t>
  </si>
  <si>
    <t xml:space="preserve">女・基準値範囲(カナ)     </t>
  </si>
  <si>
    <t>WS作成規則（分注OK以外）</t>
    <rPh sb="7" eb="9">
      <t>ブンチュウ</t>
    </rPh>
    <rPh sb="11" eb="13">
      <t>イガイ</t>
    </rPh>
    <phoneticPr fontId="6"/>
  </si>
  <si>
    <t>使用トレイ（初回）</t>
    <rPh sb="0" eb="2">
      <t>シヨウ</t>
    </rPh>
    <phoneticPr fontId="6"/>
  </si>
  <si>
    <t>使用トレイ（分注NG）</t>
    <rPh sb="0" eb="2">
      <t>シヨウ</t>
    </rPh>
    <rPh sb="6" eb="7">
      <t>ブン</t>
    </rPh>
    <rPh sb="7" eb="8">
      <t>チュウ</t>
    </rPh>
    <phoneticPr fontId="6"/>
  </si>
  <si>
    <t>使用トレイ（再検）</t>
    <rPh sb="0" eb="2">
      <t>シヨウ</t>
    </rPh>
    <phoneticPr fontId="6"/>
  </si>
  <si>
    <t>使用トレイ（再測定）</t>
    <rPh sb="0" eb="2">
      <t>シヨウ</t>
    </rPh>
    <phoneticPr fontId="6"/>
  </si>
  <si>
    <t>ワークシート内規定本数
（分注NG以外）</t>
    <rPh sb="7" eb="9">
      <t>キテイ</t>
    </rPh>
    <rPh sb="13" eb="14">
      <t>ブン</t>
    </rPh>
    <rPh sb="14" eb="15">
      <t>チュウ</t>
    </rPh>
    <rPh sb="17" eb="19">
      <t>イガイ</t>
    </rPh>
    <phoneticPr fontId="6"/>
  </si>
  <si>
    <t>ワークシート内規定本数
（分注NG）</t>
    <rPh sb="7" eb="9">
      <t>キテイ</t>
    </rPh>
    <rPh sb="13" eb="14">
      <t>ブン</t>
    </rPh>
    <rPh sb="14" eb="15">
      <t>チュウ</t>
    </rPh>
    <phoneticPr fontId="6"/>
  </si>
  <si>
    <t>（分注OK・非分注用）
ワークシートの帳票レイアウトを設定する。（帳票IDを記入）
スペースの場合は、出力を行わない。</t>
    <rPh sb="1" eb="2">
      <t>ブン</t>
    </rPh>
    <rPh sb="2" eb="3">
      <t>チュウ</t>
    </rPh>
    <rPh sb="6" eb="7">
      <t>ヒ</t>
    </rPh>
    <rPh sb="7" eb="8">
      <t>ブン</t>
    </rPh>
    <rPh sb="8" eb="9">
      <t>チュウ</t>
    </rPh>
    <rPh sb="9" eb="10">
      <t>ヨウ</t>
    </rPh>
    <rPh sb="19" eb="21">
      <t>チョウヒョウ</t>
    </rPh>
    <rPh sb="27" eb="29">
      <t>セッテイ</t>
    </rPh>
    <rPh sb="33" eb="35">
      <t>チョウヒョウ</t>
    </rPh>
    <rPh sb="38" eb="40">
      <t>キニュウ</t>
    </rPh>
    <rPh sb="47" eb="49">
      <t>バアイ</t>
    </rPh>
    <rPh sb="51" eb="53">
      <t>シュツリョク</t>
    </rPh>
    <rPh sb="54" eb="55">
      <t>オコナ</t>
    </rPh>
    <phoneticPr fontId="6"/>
  </si>
  <si>
    <t>（再検・再測定用）
ワークシートの帳票レイアウトを設定する。（帳票IDを記入）
スペースの場合は、出力を行わない。</t>
    <rPh sb="1" eb="3">
      <t>サイケン</t>
    </rPh>
    <rPh sb="4" eb="7">
      <t>サイソクテイ</t>
    </rPh>
    <rPh sb="7" eb="8">
      <t>ヨウ</t>
    </rPh>
    <rPh sb="17" eb="19">
      <t>チョウヒョウ</t>
    </rPh>
    <rPh sb="25" eb="27">
      <t>セッテイ</t>
    </rPh>
    <rPh sb="31" eb="33">
      <t>チョウヒョウ</t>
    </rPh>
    <rPh sb="36" eb="38">
      <t>キニュウ</t>
    </rPh>
    <rPh sb="45" eb="47">
      <t>バアイ</t>
    </rPh>
    <rPh sb="49" eb="51">
      <t>シュツリョク</t>
    </rPh>
    <rPh sb="52" eb="53">
      <t>オコナ</t>
    </rPh>
    <phoneticPr fontId="6"/>
  </si>
  <si>
    <t>（分注NG用）
ワークシートの帳票レイアウトを設定する。（帳票IDを記入）
スペースの場合は、出力を行わない。</t>
    <rPh sb="1" eb="2">
      <t>ブン</t>
    </rPh>
    <rPh sb="2" eb="3">
      <t>チュウ</t>
    </rPh>
    <rPh sb="5" eb="6">
      <t>ヨウ</t>
    </rPh>
    <rPh sb="15" eb="17">
      <t>チョウヒョウ</t>
    </rPh>
    <rPh sb="23" eb="25">
      <t>セッテイ</t>
    </rPh>
    <rPh sb="29" eb="31">
      <t>チョウヒョウ</t>
    </rPh>
    <rPh sb="34" eb="36">
      <t>キニュウ</t>
    </rPh>
    <rPh sb="43" eb="45">
      <t>バアイ</t>
    </rPh>
    <rPh sb="47" eb="49">
      <t>シュツリョク</t>
    </rPh>
    <rPh sb="50" eb="51">
      <t>オコナ</t>
    </rPh>
    <phoneticPr fontId="6"/>
  </si>
  <si>
    <t>（再検履歴用）
ワークシートの帳票レイアウトを設定する。（帳票IDを記入）
スペースの場合は、出力を行わない。</t>
    <rPh sb="1" eb="3">
      <t>サイケン</t>
    </rPh>
    <rPh sb="3" eb="5">
      <t>リレキ</t>
    </rPh>
    <rPh sb="5" eb="6">
      <t>ヨウ</t>
    </rPh>
    <rPh sb="15" eb="17">
      <t>チョウヒョウ</t>
    </rPh>
    <rPh sb="23" eb="25">
      <t>セッテイ</t>
    </rPh>
    <rPh sb="29" eb="31">
      <t>チョウヒョウ</t>
    </rPh>
    <rPh sb="34" eb="36">
      <t>キニュウ</t>
    </rPh>
    <rPh sb="43" eb="45">
      <t>バアイ</t>
    </rPh>
    <rPh sb="47" eb="49">
      <t>シュツリョク</t>
    </rPh>
    <rPh sb="50" eb="51">
      <t>オコナ</t>
    </rPh>
    <phoneticPr fontId="6"/>
  </si>
  <si>
    <t>10連ラベルを発行する場合、出力IDを定義する。（10LABELと記入）
スペースは、出力を行わない。</t>
    <rPh sb="2" eb="3">
      <t>レン</t>
    </rPh>
    <rPh sb="7" eb="9">
      <t>ハッコウ</t>
    </rPh>
    <rPh sb="11" eb="13">
      <t>バアイ</t>
    </rPh>
    <rPh sb="14" eb="16">
      <t>シュツリョク</t>
    </rPh>
    <rPh sb="19" eb="21">
      <t>テイギ</t>
    </rPh>
    <rPh sb="33" eb="35">
      <t>キニュウ</t>
    </rPh>
    <phoneticPr fontId="6"/>
  </si>
  <si>
    <t>未使用</t>
    <rPh sb="0" eb="3">
      <t>ミシヨウ</t>
    </rPh>
    <phoneticPr fontId="6"/>
  </si>
  <si>
    <t>（分注ＮＧ用）
トレイＩＤの頭文字。</t>
    <rPh sb="14" eb="17">
      <t>カシラモジ</t>
    </rPh>
    <phoneticPr fontId="6"/>
  </si>
  <si>
    <t>（再検・再検履歴用）
トレイＩＤの頭文字。</t>
    <rPh sb="17" eb="20">
      <t>カシラモジ</t>
    </rPh>
    <phoneticPr fontId="6"/>
  </si>
  <si>
    <t>（再測定用）
トレイＩＤの頭文字。</t>
    <rPh sb="13" eb="16">
      <t>カシラモジ</t>
    </rPh>
    <phoneticPr fontId="6"/>
  </si>
  <si>
    <t>運用区分 
　S：SEQ№運用
　K：検体№運用
　R：ラックバーコード運用
　B：分注機SEQ№運用</t>
    <phoneticPr fontId="6"/>
  </si>
  <si>
    <t xml:space="preserve">               </t>
    <phoneticPr fontId="6"/>
  </si>
  <si>
    <t xml:space="preserve">（初回用）
ワークシート出力形式
</t>
    <rPh sb="3" eb="4">
      <t>ヨウ</t>
    </rPh>
    <rPh sb="12" eb="14">
      <t>シュツリョク</t>
    </rPh>
    <rPh sb="14" eb="16">
      <t>ケイシキ</t>
    </rPh>
    <phoneticPr fontId="6"/>
  </si>
  <si>
    <t>（再検・再測定用）
ワークシート出力形式</t>
    <rPh sb="4" eb="7">
      <t>サイソクテイ</t>
    </rPh>
    <rPh sb="7" eb="8">
      <t>ヨウ</t>
    </rPh>
    <rPh sb="16" eb="18">
      <t>シュツリョク</t>
    </rPh>
    <rPh sb="18" eb="20">
      <t>ケイシキ</t>
    </rPh>
    <phoneticPr fontId="6"/>
  </si>
  <si>
    <t>女・基準値範囲（漢字）</t>
    <rPh sb="0" eb="1">
      <t>オンナ</t>
    </rPh>
    <rPh sb="2" eb="5">
      <t>キジュンチ</t>
    </rPh>
    <rPh sb="5" eb="7">
      <t>ハンイ</t>
    </rPh>
    <rPh sb="8" eb="10">
      <t>カンジ</t>
    </rPh>
    <phoneticPr fontId="5"/>
  </si>
  <si>
    <t xml:space="preserve">KJNFHKJ     </t>
  </si>
  <si>
    <t xml:space="preserve">女・基準値範囲(漢字)     </t>
  </si>
  <si>
    <t>女・限界値（上）</t>
    <rPh sb="0" eb="1">
      <t>オンナ</t>
    </rPh>
    <rPh sb="2" eb="5">
      <t>ゲンカイチ</t>
    </rPh>
    <rPh sb="6" eb="7">
      <t>ウエ</t>
    </rPh>
    <phoneticPr fontId="5"/>
  </si>
  <si>
    <t xml:space="preserve">女・限界値（上）      </t>
  </si>
  <si>
    <t>女・限界値（下）</t>
    <rPh sb="0" eb="1">
      <t>オンナ</t>
    </rPh>
    <rPh sb="2" eb="5">
      <t>ゲンカイチ</t>
    </rPh>
    <rPh sb="6" eb="7">
      <t>シタ</t>
    </rPh>
    <phoneticPr fontId="5"/>
  </si>
  <si>
    <t xml:space="preserve">女・限界値（下）      </t>
  </si>
  <si>
    <t>旧項目マスタ対応順</t>
    <rPh sb="0" eb="1">
      <t>キュウ</t>
    </rPh>
    <rPh sb="1" eb="3">
      <t>コウモク</t>
    </rPh>
    <rPh sb="6" eb="8">
      <t>タイオウ</t>
    </rPh>
    <rPh sb="8" eb="9">
      <t>ジュン</t>
    </rPh>
    <phoneticPr fontId="5"/>
  </si>
  <si>
    <t xml:space="preserve">KYMSTJN     </t>
  </si>
  <si>
    <t>材料コード</t>
    <rPh sb="0" eb="2">
      <t>ザイリョウ</t>
    </rPh>
    <phoneticPr fontId="5"/>
  </si>
  <si>
    <t xml:space="preserve">材料コード      </t>
  </si>
  <si>
    <t>世代Ｎｏ</t>
    <rPh sb="0" eb="2">
      <t>セダイ</t>
    </rPh>
    <phoneticPr fontId="5"/>
  </si>
  <si>
    <t>設定条件</t>
    <rPh sb="0" eb="2">
      <t>セッテイ</t>
    </rPh>
    <rPh sb="2" eb="4">
      <t>ジョウケン</t>
    </rPh>
    <phoneticPr fontId="5"/>
  </si>
  <si>
    <t xml:space="preserve">STJYKEN     </t>
  </si>
  <si>
    <t xml:space="preserve">設定条件                  </t>
  </si>
  <si>
    <t>その他区分</t>
    <rPh sb="2" eb="3">
      <t>タ</t>
    </rPh>
    <rPh sb="3" eb="5">
      <t>クブン</t>
    </rPh>
    <phoneticPr fontId="5"/>
  </si>
  <si>
    <t>ETCKBN</t>
  </si>
  <si>
    <t xml:space="preserve">その他区分      </t>
  </si>
  <si>
    <t>単位</t>
    <rPh sb="0" eb="2">
      <t>タンイ</t>
    </rPh>
    <phoneticPr fontId="5"/>
  </si>
  <si>
    <t>年齢範囲区分</t>
    <rPh sb="0" eb="2">
      <t>ネンレイ</t>
    </rPh>
    <rPh sb="2" eb="4">
      <t>ハンイ</t>
    </rPh>
    <rPh sb="4" eb="6">
      <t>クブン</t>
    </rPh>
    <phoneticPr fontId="5"/>
  </si>
  <si>
    <t xml:space="preserve">年齢範囲区分              </t>
  </si>
  <si>
    <t xml:space="preserve">女・高値１ </t>
  </si>
  <si>
    <t>HIF1</t>
  </si>
  <si>
    <t xml:space="preserve">女・高値１      </t>
  </si>
  <si>
    <t xml:space="preserve">女・高値２ </t>
  </si>
  <si>
    <t>HIF2</t>
  </si>
  <si>
    <t xml:space="preserve">女・高値２      </t>
  </si>
  <si>
    <t xml:space="preserve">女・低値１ </t>
  </si>
  <si>
    <t>LWF1</t>
  </si>
  <si>
    <t xml:space="preserve">女・低値１      </t>
  </si>
  <si>
    <t xml:space="preserve">女・低値２ </t>
  </si>
  <si>
    <t>LWF2</t>
  </si>
  <si>
    <t xml:space="preserve">女・低値２      </t>
  </si>
  <si>
    <t xml:space="preserve">単位(カナ)           </t>
  </si>
  <si>
    <t xml:space="preserve">TANKN       </t>
  </si>
  <si>
    <t xml:space="preserve">単位(カナ)                </t>
  </si>
  <si>
    <t xml:space="preserve">単位(漢字)           </t>
  </si>
  <si>
    <t xml:space="preserve">TANKJ       </t>
  </si>
  <si>
    <t xml:space="preserve">単位(漢字)                </t>
  </si>
  <si>
    <t xml:space="preserve">KJNMLW      </t>
  </si>
  <si>
    <t>男・基準値範囲(カナ)</t>
  </si>
  <si>
    <t xml:space="preserve">KJNMHKN     </t>
  </si>
  <si>
    <t xml:space="preserve">男・基準値範囲(カナ)     </t>
  </si>
  <si>
    <t>男・基準値範囲(漢字)</t>
  </si>
  <si>
    <t xml:space="preserve">KJNMHKJ     </t>
  </si>
  <si>
    <t xml:space="preserve">男・基準値範囲(漢字)     </t>
  </si>
  <si>
    <t xml:space="preserve">男・基準値範囲内１ </t>
  </si>
  <si>
    <t>KJM1</t>
  </si>
  <si>
    <t xml:space="preserve">男・基準値範囲内１      </t>
  </si>
  <si>
    <t xml:space="preserve">男・基準値範囲内２ </t>
  </si>
  <si>
    <t>KJM2</t>
  </si>
  <si>
    <t xml:space="preserve">男・基準値範囲内２      </t>
  </si>
  <si>
    <t xml:space="preserve">男・限界値(下)         </t>
  </si>
  <si>
    <t xml:space="preserve">GENMLW      </t>
  </si>
  <si>
    <t xml:space="preserve">男・限界値(下)              </t>
  </si>
  <si>
    <t xml:space="preserve">男・限界値(上)         </t>
  </si>
  <si>
    <t xml:space="preserve">GENMHI      </t>
  </si>
  <si>
    <t xml:space="preserve">男・限界値(上)              </t>
  </si>
  <si>
    <t xml:space="preserve">男・高値１ </t>
  </si>
  <si>
    <t>HIM1</t>
  </si>
  <si>
    <t xml:space="preserve">男・高値１      </t>
  </si>
  <si>
    <t xml:space="preserve">男・高値２ </t>
  </si>
  <si>
    <t>HIM2</t>
  </si>
  <si>
    <t xml:space="preserve">男・高値２      </t>
  </si>
  <si>
    <t xml:space="preserve">男・低値１ </t>
  </si>
  <si>
    <t>LWM1</t>
  </si>
  <si>
    <t xml:space="preserve">男・低値１      </t>
  </si>
  <si>
    <t xml:space="preserve">男・低値２ </t>
  </si>
  <si>
    <t>LWM2</t>
  </si>
  <si>
    <t xml:space="preserve">男・低値２      </t>
  </si>
  <si>
    <t xml:space="preserve">日齢（下） </t>
  </si>
  <si>
    <t>NICHILW</t>
  </si>
  <si>
    <t xml:space="preserve">日齢（下）      </t>
  </si>
  <si>
    <t xml:space="preserve">日齢（上） </t>
  </si>
  <si>
    <t>NICHIHI</t>
  </si>
  <si>
    <t xml:space="preserve">日齢（上）      </t>
  </si>
  <si>
    <t xml:space="preserve">不明・基準値（下） </t>
  </si>
  <si>
    <t xml:space="preserve">不明・基準値（下）      </t>
  </si>
  <si>
    <t xml:space="preserve">不明・基準値（上） </t>
  </si>
  <si>
    <t xml:space="preserve">不明・基準値（上）      </t>
  </si>
  <si>
    <t>不明・基準値範囲(カナ)</t>
  </si>
  <si>
    <t xml:space="preserve">KJNOHKN     </t>
  </si>
  <si>
    <t xml:space="preserve">不明・基準値範囲(カナ)     </t>
  </si>
  <si>
    <t>不明・基準値範囲(漢字)</t>
  </si>
  <si>
    <t xml:space="preserve">KJNOHKJ     </t>
  </si>
  <si>
    <t xml:space="preserve">不明・基準値範囲(漢字)     </t>
  </si>
  <si>
    <t xml:space="preserve">不明・基準値範囲内１ </t>
  </si>
  <si>
    <t>KJE1</t>
  </si>
  <si>
    <t xml:space="preserve">不明・基準値範囲内１      </t>
  </si>
  <si>
    <t xml:space="preserve">不明・基準値範囲内２ </t>
  </si>
  <si>
    <t>KJE2</t>
  </si>
  <si>
    <t xml:space="preserve">不明・基準値範囲内２      </t>
  </si>
  <si>
    <t xml:space="preserve">不明・限界値（下） </t>
  </si>
  <si>
    <t xml:space="preserve">不明・限界値（下）      </t>
  </si>
  <si>
    <t xml:space="preserve">不明・限界値（上） </t>
  </si>
  <si>
    <t xml:space="preserve">不明・限界値（上）      </t>
  </si>
  <si>
    <t xml:space="preserve">不明・高値１ </t>
  </si>
  <si>
    <t>HIE1</t>
  </si>
  <si>
    <t xml:space="preserve">不明・高値１      </t>
  </si>
  <si>
    <t xml:space="preserve">不明・高値２ </t>
  </si>
  <si>
    <t>HIE2</t>
  </si>
  <si>
    <t xml:space="preserve">不明・高値２      </t>
  </si>
  <si>
    <t xml:space="preserve">不明・低値１ </t>
  </si>
  <si>
    <t>LWE1</t>
  </si>
  <si>
    <t xml:space="preserve">不明・低値１      </t>
  </si>
  <si>
    <t xml:space="preserve">不明・低値２ </t>
  </si>
  <si>
    <t>LWE2</t>
  </si>
  <si>
    <t xml:space="preserve">不明・低値２      </t>
  </si>
  <si>
    <t>計算式</t>
    <rPh sb="0" eb="2">
      <t>ケイサン</t>
    </rPh>
    <rPh sb="2" eb="3">
      <t>シキ</t>
    </rPh>
    <phoneticPr fontId="5"/>
  </si>
  <si>
    <t>SMALLINT</t>
    <phoneticPr fontId="6"/>
  </si>
  <si>
    <t>親項目コード</t>
    <rPh sb="0" eb="1">
      <t>オヤ</t>
    </rPh>
    <rPh sb="1" eb="3">
      <t>コウモク</t>
    </rPh>
    <phoneticPr fontId="5"/>
  </si>
  <si>
    <t>計算項目フラグ</t>
    <rPh sb="0" eb="2">
      <t>ケイサン</t>
    </rPh>
    <rPh sb="2" eb="4">
      <t>コウモク</t>
    </rPh>
    <phoneticPr fontId="5"/>
  </si>
  <si>
    <t>測定方法</t>
    <rPh sb="0" eb="2">
      <t>ソクテイ</t>
    </rPh>
    <rPh sb="2" eb="4">
      <t>ホウホウ</t>
    </rPh>
    <phoneticPr fontId="5"/>
  </si>
  <si>
    <t xml:space="preserve">ASSAY       </t>
  </si>
  <si>
    <t>凍結フラグ</t>
    <rPh sb="0" eb="2">
      <t>トウケツ</t>
    </rPh>
    <phoneticPr fontId="5"/>
  </si>
  <si>
    <t>透析フラグ</t>
    <rPh sb="0" eb="2">
      <t>トウセキ</t>
    </rPh>
    <phoneticPr fontId="5"/>
  </si>
  <si>
    <t>負荷順番</t>
    <rPh sb="0" eb="2">
      <t>フカ</t>
    </rPh>
    <rPh sb="2" eb="4">
      <t>ジュンバン</t>
    </rPh>
    <phoneticPr fontId="5"/>
  </si>
  <si>
    <t>負荷分画区分</t>
    <rPh sb="0" eb="2">
      <t>フカ</t>
    </rPh>
    <rPh sb="2" eb="3">
      <t>ブン</t>
    </rPh>
    <rPh sb="3" eb="4">
      <t>カク</t>
    </rPh>
    <rPh sb="4" eb="6">
      <t>クブン</t>
    </rPh>
    <phoneticPr fontId="5"/>
  </si>
  <si>
    <t>FKBNKKB</t>
  </si>
  <si>
    <t xml:space="preserve">小数点桁数             </t>
  </si>
  <si>
    <t>ドキュメント</t>
    <phoneticPr fontId="6"/>
  </si>
  <si>
    <t>赤伝フラグ</t>
    <rPh sb="0" eb="1">
      <t>アカ</t>
    </rPh>
    <rPh sb="1" eb="2">
      <t>デン</t>
    </rPh>
    <phoneticPr fontId="5"/>
  </si>
  <si>
    <t>AKADEN</t>
  </si>
  <si>
    <t>異常値マーク</t>
    <rPh sb="0" eb="3">
      <t>イジョウチ</t>
    </rPh>
    <phoneticPr fontId="5"/>
  </si>
  <si>
    <t>IJOUCHI</t>
  </si>
  <si>
    <t>コメントコード</t>
  </si>
  <si>
    <t>R</t>
  </si>
  <si>
    <t>R限界値</t>
    <rPh sb="1" eb="3">
      <t>ゲンカイ</t>
    </rPh>
    <rPh sb="3" eb="4">
      <t>チ</t>
    </rPh>
    <phoneticPr fontId="5"/>
  </si>
  <si>
    <t>区分</t>
    <rPh sb="0" eb="2">
      <t>クブン</t>
    </rPh>
    <phoneticPr fontId="5"/>
  </si>
  <si>
    <t>コントロール名称</t>
    <rPh sb="6" eb="8">
      <t>メイショウ</t>
    </rPh>
    <phoneticPr fontId="5"/>
  </si>
  <si>
    <t>ファクター１</t>
  </si>
  <si>
    <t>ファクター２</t>
  </si>
  <si>
    <t>ベース１</t>
  </si>
  <si>
    <t>分析機種類を区分で表す。</t>
    <rPh sb="0" eb="2">
      <t>ブンセキ</t>
    </rPh>
    <rPh sb="2" eb="3">
      <t>キ</t>
    </rPh>
    <rPh sb="3" eb="5">
      <t>シュルイ</t>
    </rPh>
    <rPh sb="6" eb="8">
      <t>クブン</t>
    </rPh>
    <rPh sb="9" eb="10">
      <t>アラワ</t>
    </rPh>
    <phoneticPr fontId="6"/>
  </si>
  <si>
    <t>ベース２</t>
  </si>
  <si>
    <t>分析機チャネルマスタ</t>
    <phoneticPr fontId="6"/>
  </si>
  <si>
    <t>KNSGRP</t>
    <phoneticPr fontId="6"/>
  </si>
  <si>
    <t>SKITRAY</t>
    <phoneticPr fontId="6"/>
  </si>
  <si>
    <t>MBTTRAY</t>
    <phoneticPr fontId="6"/>
  </si>
  <si>
    <t>SKNTRAY</t>
    <phoneticPr fontId="6"/>
  </si>
  <si>
    <t>SSTTRAY</t>
    <phoneticPr fontId="6"/>
  </si>
  <si>
    <t>BSKKBN</t>
    <phoneticPr fontId="6"/>
  </si>
  <si>
    <t>NBKMCD</t>
    <phoneticPr fontId="6"/>
  </si>
  <si>
    <t>DATE</t>
    <phoneticPr fontId="6"/>
  </si>
  <si>
    <t>CHNM</t>
    <phoneticPr fontId="6"/>
  </si>
  <si>
    <t>DECIMAL</t>
    <phoneticPr fontId="6"/>
  </si>
  <si>
    <t>TIME</t>
    <phoneticPr fontId="6"/>
  </si>
  <si>
    <t>TINYINT</t>
    <phoneticPr fontId="6"/>
  </si>
  <si>
    <t>分析機マスタ</t>
    <phoneticPr fontId="6"/>
  </si>
  <si>
    <t>BSKGOK</t>
    <phoneticPr fontId="6"/>
  </si>
  <si>
    <t>BSKNM</t>
    <phoneticPr fontId="6"/>
  </si>
  <si>
    <t>TIME</t>
    <phoneticPr fontId="6"/>
  </si>
  <si>
    <t>TINYINT</t>
    <phoneticPr fontId="6"/>
  </si>
  <si>
    <t>GOKNM</t>
    <phoneticPr fontId="6"/>
  </si>
  <si>
    <t>CHAR</t>
    <phoneticPr fontId="6"/>
  </si>
  <si>
    <t>○</t>
    <phoneticPr fontId="6"/>
  </si>
  <si>
    <t>TINYINT</t>
    <phoneticPr fontId="6"/>
  </si>
  <si>
    <t>SKTMAX</t>
    <phoneticPr fontId="6"/>
  </si>
  <si>
    <t>2007/01/31 永田</t>
    <rPh sb="11" eb="13">
      <t>ナガタ</t>
    </rPh>
    <phoneticPr fontId="6"/>
  </si>
  <si>
    <t>プライマリキー追加</t>
    <rPh sb="7" eb="9">
      <t>ツイカ</t>
    </rPh>
    <phoneticPr fontId="6"/>
  </si>
  <si>
    <t>INTEGER</t>
    <phoneticPr fontId="6"/>
  </si>
  <si>
    <t>TINYINT</t>
    <phoneticPr fontId="6"/>
  </si>
  <si>
    <t>BSKRS</t>
    <phoneticPr fontId="6"/>
  </si>
  <si>
    <t>2006/02/15　鎌倉</t>
    <rPh sb="11" eb="13">
      <t>カマクラ</t>
    </rPh>
    <phoneticPr fontId="6"/>
  </si>
  <si>
    <t>分析機ラインマスタ</t>
    <phoneticPr fontId="6"/>
  </si>
  <si>
    <t>BSKLNE</t>
    <phoneticPr fontId="6"/>
  </si>
  <si>
    <t>MEMAX</t>
    <phoneticPr fontId="6"/>
  </si>
  <si>
    <t>DATE</t>
    <phoneticPr fontId="6"/>
  </si>
  <si>
    <t>KRKNSGRP</t>
    <phoneticPr fontId="6"/>
  </si>
  <si>
    <t>トレーＩＤ</t>
    <phoneticPr fontId="6"/>
  </si>
  <si>
    <t>TRSBT</t>
    <phoneticPr fontId="6"/>
  </si>
  <si>
    <t>INTEGER</t>
    <phoneticPr fontId="6"/>
  </si>
  <si>
    <t>SMALLINT</t>
    <phoneticPr fontId="6"/>
  </si>
  <si>
    <t>通信管理マスタ</t>
    <phoneticPr fontId="6"/>
  </si>
  <si>
    <t>オンラインＮｏ</t>
    <phoneticPr fontId="5"/>
  </si>
  <si>
    <t>ONCODE</t>
    <phoneticPr fontId="6"/>
  </si>
  <si>
    <t>オンラインコード</t>
    <phoneticPr fontId="6"/>
  </si>
  <si>
    <t>CHAR</t>
    <phoneticPr fontId="6"/>
  </si>
  <si>
    <t>○</t>
    <phoneticPr fontId="6"/>
  </si>
  <si>
    <t>　0：分析機          
　1：ホスト          
　2：フロンティア    
　3：搬送ライン      
　4：自ＵＮＩＸ      
　5：他ＵＮＩＸ
　6：ＵＰＳ</t>
    <phoneticPr fontId="6"/>
  </si>
  <si>
    <t>ラインNo</t>
    <phoneticPr fontId="6"/>
  </si>
  <si>
    <t>NCHAR</t>
    <phoneticPr fontId="6"/>
  </si>
  <si>
    <t>SSTCD</t>
    <phoneticPr fontId="6"/>
  </si>
  <si>
    <t>2006/4/9 akiyama</t>
    <phoneticPr fontId="6"/>
  </si>
  <si>
    <t>2006/4/9 akiyama</t>
    <phoneticPr fontId="6"/>
  </si>
  <si>
    <t>SSTCD　CHAR(7)　→　OYASSTCD　CHAR(7)</t>
    <phoneticPr fontId="6"/>
  </si>
  <si>
    <t>施設コード　→　親施設コード　OYASSTCD CHAR(7)</t>
    <phoneticPr fontId="6"/>
  </si>
  <si>
    <t xml:space="preserve">ホスト名称(接続） 
( "/ETC/HOSTS"定義名称 )                </t>
    <phoneticPr fontId="6"/>
  </si>
  <si>
    <t>オープンタイプ
0:サーバー
1:クライアント</t>
    <phoneticPr fontId="6"/>
  </si>
  <si>
    <t>INTEGER</t>
    <phoneticPr fontId="6"/>
  </si>
  <si>
    <t>オンラインパス</t>
    <phoneticPr fontId="6"/>
  </si>
  <si>
    <t>ONPATH</t>
    <phoneticPr fontId="6"/>
  </si>
  <si>
    <t>プロセス管理</t>
    <phoneticPr fontId="6"/>
  </si>
  <si>
    <t>PRNO</t>
    <phoneticPr fontId="6"/>
  </si>
  <si>
    <t xml:space="preserve">起動タイプ
　0：デーモン
　1：システム常駐１
　2：システム常駐２
　3：バッチ   </t>
    <phoneticPr fontId="6"/>
  </si>
  <si>
    <t>DATE</t>
    <phoneticPr fontId="6"/>
  </si>
  <si>
    <t>USERID</t>
    <phoneticPr fontId="6"/>
  </si>
  <si>
    <t>KKAHSKCD</t>
    <phoneticPr fontId="6"/>
  </si>
  <si>
    <t>結果補足名称（カナ）</t>
    <rPh sb="0" eb="2">
      <t>ケッカ</t>
    </rPh>
    <rPh sb="2" eb="4">
      <t>ホソク</t>
    </rPh>
    <rPh sb="4" eb="6">
      <t>メイショウ</t>
    </rPh>
    <phoneticPr fontId="6"/>
  </si>
  <si>
    <t>結果補足名称（漢字）</t>
    <rPh sb="0" eb="2">
      <t>ケッカ</t>
    </rPh>
    <rPh sb="2" eb="4">
      <t>ホソク</t>
    </rPh>
    <rPh sb="4" eb="6">
      <t>メイショウ</t>
    </rPh>
    <rPh sb="7" eb="9">
      <t>カンジ</t>
    </rPh>
    <phoneticPr fontId="6"/>
  </si>
  <si>
    <t>KKAHSKNM</t>
    <phoneticPr fontId="6"/>
  </si>
  <si>
    <t>KKAHSKNMJ</t>
    <phoneticPr fontId="6"/>
  </si>
  <si>
    <t>KRNKMK1</t>
    <phoneticPr fontId="6"/>
  </si>
  <si>
    <t>KRNKMK2</t>
    <phoneticPr fontId="6"/>
  </si>
  <si>
    <t>KRNKMK3</t>
    <phoneticPr fontId="6"/>
  </si>
  <si>
    <t>"0"の場合対象無しとする</t>
    <phoneticPr fontId="6"/>
  </si>
  <si>
    <t>KRNKMK4</t>
    <phoneticPr fontId="6"/>
  </si>
  <si>
    <t>KRNKMK5</t>
    <phoneticPr fontId="6"/>
  </si>
  <si>
    <t>WEEK</t>
    <phoneticPr fontId="6"/>
  </si>
  <si>
    <t>SKTLOW</t>
    <phoneticPr fontId="6"/>
  </si>
  <si>
    <t>SKTHIGH</t>
    <phoneticPr fontId="6"/>
  </si>
  <si>
    <t>KYUKBN</t>
    <phoneticPr fontId="6"/>
  </si>
  <si>
    <t>許容限界(LOW)</t>
    <phoneticPr fontId="6"/>
  </si>
  <si>
    <t>KYULOW</t>
    <phoneticPr fontId="6"/>
  </si>
  <si>
    <t>許容限界(HIGH)</t>
    <phoneticPr fontId="6"/>
  </si>
  <si>
    <t>KYUHIGH</t>
    <phoneticPr fontId="6"/>
  </si>
  <si>
    <t>100％チェックマスタ</t>
    <phoneticPr fontId="6"/>
  </si>
  <si>
    <t>セクションマスタ</t>
    <phoneticPr fontId="6"/>
  </si>
  <si>
    <t>セクションコード</t>
    <phoneticPr fontId="5"/>
  </si>
  <si>
    <t>セクションコード</t>
    <phoneticPr fontId="6"/>
  </si>
  <si>
    <t>SECCD</t>
    <phoneticPr fontId="6"/>
  </si>
  <si>
    <t>緊急依頼展開処理にて使用。AS/400からの依頼電文には項目が存在しないため、当内容を依頼情報にセットする。</t>
    <rPh sb="0" eb="2">
      <t>キンキュウ</t>
    </rPh>
    <rPh sb="2" eb="4">
      <t>イライ</t>
    </rPh>
    <rPh sb="4" eb="6">
      <t>テンカイ</t>
    </rPh>
    <rPh sb="6" eb="8">
      <t>ショリ</t>
    </rPh>
    <rPh sb="10" eb="12">
      <t>シヨウ</t>
    </rPh>
    <rPh sb="22" eb="24">
      <t>イライ</t>
    </rPh>
    <rPh sb="24" eb="26">
      <t>デンブン</t>
    </rPh>
    <rPh sb="28" eb="30">
      <t>コウモク</t>
    </rPh>
    <rPh sb="31" eb="33">
      <t>ソンザイ</t>
    </rPh>
    <rPh sb="39" eb="40">
      <t>トウ</t>
    </rPh>
    <rPh sb="40" eb="42">
      <t>ナイヨウ</t>
    </rPh>
    <rPh sb="43" eb="45">
      <t>イライ</t>
    </rPh>
    <rPh sb="45" eb="47">
      <t>ジョウホウ</t>
    </rPh>
    <phoneticPr fontId="6"/>
  </si>
  <si>
    <t>2006/03/16　永田</t>
    <rPh sb="11" eb="13">
      <t>ナガタ</t>
    </rPh>
    <phoneticPr fontId="6"/>
  </si>
  <si>
    <t>SECCD</t>
    <phoneticPr fontId="6"/>
  </si>
  <si>
    <t>SECNM</t>
    <phoneticPr fontId="6"/>
  </si>
  <si>
    <t>メッセージマスタ</t>
    <phoneticPr fontId="6"/>
  </si>
  <si>
    <t>ドキュメント</t>
    <phoneticPr fontId="6"/>
  </si>
  <si>
    <t>CHKSBT</t>
    <phoneticPr fontId="6"/>
  </si>
  <si>
    <t>CHKKMMN</t>
    <phoneticPr fontId="6"/>
  </si>
  <si>
    <t>CHKTMG</t>
    <phoneticPr fontId="6"/>
  </si>
  <si>
    <t>CHKKBN</t>
    <phoneticPr fontId="6"/>
  </si>
  <si>
    <t>SMALLINT</t>
    <phoneticPr fontId="6"/>
  </si>
  <si>
    <t>XbarMチェックマスタ</t>
    <phoneticPr fontId="6"/>
  </si>
  <si>
    <t xml:space="preserve">上限    </t>
    <phoneticPr fontId="6"/>
  </si>
  <si>
    <t xml:space="preserve">下限    </t>
    <phoneticPr fontId="6"/>
  </si>
  <si>
    <t xml:space="preserve">平均値  </t>
    <phoneticPr fontId="6"/>
  </si>
  <si>
    <t>警告上限</t>
    <phoneticPr fontId="6"/>
  </si>
  <si>
    <t>警告下限</t>
    <phoneticPr fontId="6"/>
  </si>
  <si>
    <t>SKERR</t>
    <phoneticPr fontId="6"/>
  </si>
  <si>
    <t>SKRY</t>
    <phoneticPr fontId="6"/>
  </si>
  <si>
    <t>TKHKKBN</t>
    <phoneticPr fontId="6"/>
  </si>
  <si>
    <t>CHAR</t>
    <phoneticPr fontId="6"/>
  </si>
  <si>
    <t>○</t>
    <phoneticPr fontId="6"/>
  </si>
  <si>
    <t>DECIMAL</t>
    <phoneticPr fontId="6"/>
  </si>
  <si>
    <t>フラグ</t>
    <phoneticPr fontId="6"/>
  </si>
  <si>
    <t>ERRFLG</t>
    <phoneticPr fontId="6"/>
  </si>
  <si>
    <t>FLGSBT</t>
    <phoneticPr fontId="6"/>
  </si>
  <si>
    <t>エラーメッセージ</t>
    <phoneticPr fontId="6"/>
  </si>
  <si>
    <t>SKSRI</t>
    <phoneticPr fontId="6"/>
  </si>
  <si>
    <t xml:space="preserve">再検処理          
　0：再検処理無し  
　1：再検処理有り  </t>
    <phoneticPr fontId="6"/>
  </si>
  <si>
    <t>TIME</t>
    <phoneticPr fontId="6"/>
  </si>
  <si>
    <t>XEエラー</t>
    <phoneticPr fontId="6"/>
  </si>
  <si>
    <t>2007/3/6 秋山</t>
    <rPh sb="9" eb="11">
      <t>アキヤマ</t>
    </rPh>
    <phoneticPr fontId="6"/>
  </si>
  <si>
    <t>BUNCDNM2</t>
    <phoneticPr fontId="6"/>
  </si>
  <si>
    <t>BNUCDNM2→BUNCDNM2間違いを修正。</t>
    <rPh sb="17" eb="19">
      <t>マチガ</t>
    </rPh>
    <rPh sb="21" eb="23">
      <t>シュウセイ</t>
    </rPh>
    <phoneticPr fontId="6"/>
  </si>
  <si>
    <t>BSCMTCD</t>
    <phoneticPr fontId="6"/>
  </si>
  <si>
    <t>INTEGER</t>
    <phoneticPr fontId="6"/>
  </si>
  <si>
    <t>○</t>
    <phoneticPr fontId="6"/>
  </si>
  <si>
    <t>SMALLINT</t>
    <phoneticPr fontId="6"/>
  </si>
  <si>
    <t>GYONO</t>
    <phoneticPr fontId="6"/>
  </si>
  <si>
    <t>INTEGER</t>
    <phoneticPr fontId="6"/>
  </si>
  <si>
    <t>○</t>
    <phoneticPr fontId="6"/>
  </si>
  <si>
    <t>DECIMAL</t>
    <phoneticPr fontId="6"/>
  </si>
  <si>
    <t>BSCMT</t>
    <phoneticPr fontId="6"/>
  </si>
  <si>
    <t>レンジチェックマスタ</t>
    <phoneticPr fontId="6"/>
  </si>
  <si>
    <t>XMCOUNT</t>
    <phoneticPr fontId="6"/>
  </si>
  <si>
    <t>HNIKBN</t>
    <phoneticPr fontId="6"/>
  </si>
  <si>
    <t>CHAR</t>
    <phoneticPr fontId="6"/>
  </si>
  <si>
    <t>ZEN_KYOYOU</t>
    <phoneticPr fontId="6"/>
  </si>
  <si>
    <t>SMALLINT</t>
    <phoneticPr fontId="6"/>
  </si>
  <si>
    <t xml:space="preserve">HRNG  </t>
    <phoneticPr fontId="6"/>
  </si>
  <si>
    <t xml:space="preserve">LRNG   </t>
    <phoneticPr fontId="6"/>
  </si>
  <si>
    <t>上限値が不要の場合、"0"</t>
    <rPh sb="0" eb="2">
      <t>ジョウゲン</t>
    </rPh>
    <rPh sb="2" eb="3">
      <t>チ</t>
    </rPh>
    <rPh sb="4" eb="6">
      <t>フヨウ</t>
    </rPh>
    <rPh sb="7" eb="9">
      <t>バアイ</t>
    </rPh>
    <phoneticPr fontId="6"/>
  </si>
  <si>
    <t>保留テーブル</t>
    <rPh sb="0" eb="2">
      <t>ホリュウ</t>
    </rPh>
    <phoneticPr fontId="6"/>
  </si>
  <si>
    <t>休業日マスタ</t>
    <rPh sb="0" eb="2">
      <t>キュウギョウ</t>
    </rPh>
    <rPh sb="2" eb="3">
      <t>ニチ</t>
    </rPh>
    <phoneticPr fontId="6"/>
  </si>
  <si>
    <t>パラメータ０１</t>
    <phoneticPr fontId="6"/>
  </si>
  <si>
    <t>パラメータ０２</t>
    <phoneticPr fontId="6"/>
  </si>
  <si>
    <t>パラメータ０３</t>
    <phoneticPr fontId="6"/>
  </si>
  <si>
    <t>パラメータ０４</t>
    <phoneticPr fontId="6"/>
  </si>
  <si>
    <t>パラメータ０５</t>
    <phoneticPr fontId="6"/>
  </si>
  <si>
    <t>内容調整中</t>
    <rPh sb="0" eb="2">
      <t>ナイヨウ</t>
    </rPh>
    <rPh sb="2" eb="4">
      <t>チョウセイ</t>
    </rPh>
    <rPh sb="4" eb="5">
      <t>チュウ</t>
    </rPh>
    <phoneticPr fontId="6"/>
  </si>
  <si>
    <t>TRHDID</t>
    <phoneticPr fontId="6"/>
  </si>
  <si>
    <t>TRRCKSU</t>
    <phoneticPr fontId="6"/>
  </si>
  <si>
    <t xml:space="preserve">TRKNHSU       </t>
    <phoneticPr fontId="6"/>
  </si>
  <si>
    <t>SMALLINT</t>
    <phoneticPr fontId="6"/>
  </si>
  <si>
    <t>ラボコード</t>
    <phoneticPr fontId="6"/>
  </si>
  <si>
    <t>サテライトＩＤ</t>
    <phoneticPr fontId="6"/>
  </si>
  <si>
    <t>LBCD</t>
    <phoneticPr fontId="6"/>
  </si>
  <si>
    <t>SATEID</t>
    <phoneticPr fontId="6"/>
  </si>
  <si>
    <t>基準処理年月日</t>
    <rPh sb="0" eb="2">
      <t>キジュン</t>
    </rPh>
    <rPh sb="2" eb="4">
      <t>ショリ</t>
    </rPh>
    <rPh sb="4" eb="7">
      <t>ネンガッピ</t>
    </rPh>
    <phoneticPr fontId="6"/>
  </si>
  <si>
    <t>KJNSRIYMD</t>
    <phoneticPr fontId="6"/>
  </si>
  <si>
    <t>次依頼処理年月日</t>
    <rPh sb="0" eb="1">
      <t>ツギ</t>
    </rPh>
    <rPh sb="1" eb="3">
      <t>イライ</t>
    </rPh>
    <rPh sb="3" eb="5">
      <t>ショリ</t>
    </rPh>
    <rPh sb="5" eb="8">
      <t>ネンガッピ</t>
    </rPh>
    <phoneticPr fontId="6"/>
  </si>
  <si>
    <t>次認識処理年月日</t>
    <rPh sb="0" eb="1">
      <t>ツギ</t>
    </rPh>
    <rPh sb="1" eb="3">
      <t>ニンシキ</t>
    </rPh>
    <rPh sb="3" eb="5">
      <t>ショリ</t>
    </rPh>
    <rPh sb="5" eb="8">
      <t>ネンガッピ</t>
    </rPh>
    <phoneticPr fontId="6"/>
  </si>
  <si>
    <t>次分注処理年月日</t>
    <rPh sb="0" eb="1">
      <t>ツギ</t>
    </rPh>
    <rPh sb="1" eb="2">
      <t>ブン</t>
    </rPh>
    <rPh sb="2" eb="3">
      <t>チュウ</t>
    </rPh>
    <rPh sb="3" eb="5">
      <t>ショリ</t>
    </rPh>
    <rPh sb="5" eb="8">
      <t>ネンガッピ</t>
    </rPh>
    <phoneticPr fontId="6"/>
  </si>
  <si>
    <t>依頼ＥＮＤフラグ</t>
    <rPh sb="0" eb="2">
      <t>イライ</t>
    </rPh>
    <phoneticPr fontId="6"/>
  </si>
  <si>
    <t>依頼ＥＮＤ日時</t>
    <rPh sb="0" eb="2">
      <t>イライ</t>
    </rPh>
    <rPh sb="5" eb="7">
      <t>ニチジ</t>
    </rPh>
    <phoneticPr fontId="6"/>
  </si>
  <si>
    <t>認識ＥＮＤフラグ</t>
    <rPh sb="0" eb="2">
      <t>ニンシキ</t>
    </rPh>
    <phoneticPr fontId="6"/>
  </si>
  <si>
    <t>認識ＥＮＤ時刻</t>
    <rPh sb="0" eb="2">
      <t>ニンシキ</t>
    </rPh>
    <rPh sb="5" eb="7">
      <t>ジコク</t>
    </rPh>
    <phoneticPr fontId="6"/>
  </si>
  <si>
    <t>分注ＥＮＤフラグ</t>
    <rPh sb="0" eb="1">
      <t>ブン</t>
    </rPh>
    <rPh sb="1" eb="2">
      <t>チュウ</t>
    </rPh>
    <phoneticPr fontId="6"/>
  </si>
  <si>
    <t>分注ＥＮＤ－０時刻</t>
    <rPh sb="0" eb="1">
      <t>ブン</t>
    </rPh>
    <rPh sb="1" eb="2">
      <t>チュウ</t>
    </rPh>
    <rPh sb="7" eb="9">
      <t>ジコク</t>
    </rPh>
    <phoneticPr fontId="6"/>
  </si>
  <si>
    <t>分注ＥＮＤ－１時刻</t>
    <rPh sb="0" eb="1">
      <t>ブン</t>
    </rPh>
    <rPh sb="1" eb="2">
      <t>チュウ</t>
    </rPh>
    <rPh sb="7" eb="9">
      <t>ジコク</t>
    </rPh>
    <phoneticPr fontId="6"/>
  </si>
  <si>
    <t>分注ＥＮＤ－２時刻</t>
    <rPh sb="0" eb="1">
      <t>ブン</t>
    </rPh>
    <rPh sb="1" eb="2">
      <t>チュウ</t>
    </rPh>
    <rPh sb="7" eb="9">
      <t>ジコク</t>
    </rPh>
    <phoneticPr fontId="6"/>
  </si>
  <si>
    <t>分注ＥＮＤ－３時刻</t>
    <rPh sb="0" eb="1">
      <t>ブン</t>
    </rPh>
    <rPh sb="1" eb="2">
      <t>チュウ</t>
    </rPh>
    <rPh sb="7" eb="9">
      <t>ジコク</t>
    </rPh>
    <phoneticPr fontId="6"/>
  </si>
  <si>
    <t>分注ＥＮＤ－４時刻</t>
    <rPh sb="0" eb="1">
      <t>ブン</t>
    </rPh>
    <rPh sb="1" eb="2">
      <t>チュウ</t>
    </rPh>
    <rPh sb="7" eb="9">
      <t>ジコク</t>
    </rPh>
    <phoneticPr fontId="6"/>
  </si>
  <si>
    <t>運用フラグ</t>
    <rPh sb="0" eb="2">
      <t>ウンヨウ</t>
    </rPh>
    <phoneticPr fontId="6"/>
  </si>
  <si>
    <t>送信通番</t>
    <rPh sb="0" eb="2">
      <t>ソウシン</t>
    </rPh>
    <rPh sb="2" eb="4">
      <t>ツウバン</t>
    </rPh>
    <phoneticPr fontId="6"/>
  </si>
  <si>
    <t>処理確認フラグ01</t>
    <rPh sb="0" eb="2">
      <t>ショリ</t>
    </rPh>
    <rPh sb="2" eb="4">
      <t>カクニン</t>
    </rPh>
    <phoneticPr fontId="6"/>
  </si>
  <si>
    <t>処理確認フラグ02</t>
    <rPh sb="0" eb="2">
      <t>ショリ</t>
    </rPh>
    <rPh sb="2" eb="4">
      <t>カクニン</t>
    </rPh>
    <phoneticPr fontId="6"/>
  </si>
  <si>
    <t>処理確認フラグ03</t>
    <rPh sb="0" eb="2">
      <t>ショリ</t>
    </rPh>
    <rPh sb="2" eb="4">
      <t>カクニン</t>
    </rPh>
    <phoneticPr fontId="6"/>
  </si>
  <si>
    <t>処理確認フラグ04</t>
    <rPh sb="0" eb="2">
      <t>ショリ</t>
    </rPh>
    <rPh sb="2" eb="4">
      <t>カクニン</t>
    </rPh>
    <phoneticPr fontId="6"/>
  </si>
  <si>
    <t>処理確認フラグ05</t>
    <rPh sb="0" eb="2">
      <t>ショリ</t>
    </rPh>
    <rPh sb="2" eb="4">
      <t>カクニン</t>
    </rPh>
    <phoneticPr fontId="6"/>
  </si>
  <si>
    <t>処理確認フラグ06</t>
    <rPh sb="0" eb="2">
      <t>ショリ</t>
    </rPh>
    <rPh sb="2" eb="4">
      <t>カクニン</t>
    </rPh>
    <phoneticPr fontId="6"/>
  </si>
  <si>
    <t>処理確認フラグ07</t>
    <rPh sb="0" eb="2">
      <t>ショリ</t>
    </rPh>
    <rPh sb="2" eb="4">
      <t>カクニン</t>
    </rPh>
    <phoneticPr fontId="6"/>
  </si>
  <si>
    <t>処理確認フラグ08</t>
    <rPh sb="0" eb="2">
      <t>ショリ</t>
    </rPh>
    <rPh sb="2" eb="4">
      <t>カクニン</t>
    </rPh>
    <phoneticPr fontId="6"/>
  </si>
  <si>
    <t>処理確認フラグ09</t>
    <rPh sb="0" eb="2">
      <t>ショリ</t>
    </rPh>
    <rPh sb="2" eb="4">
      <t>カクニン</t>
    </rPh>
    <phoneticPr fontId="6"/>
  </si>
  <si>
    <t>処理確認フラグ10</t>
    <rPh sb="0" eb="2">
      <t>ショリ</t>
    </rPh>
    <rPh sb="2" eb="4">
      <t>カクニン</t>
    </rPh>
    <phoneticPr fontId="6"/>
  </si>
  <si>
    <t>処理確認フラグ11</t>
    <rPh sb="0" eb="2">
      <t>ショリ</t>
    </rPh>
    <rPh sb="2" eb="4">
      <t>カクニン</t>
    </rPh>
    <phoneticPr fontId="6"/>
  </si>
  <si>
    <t>処理確認フラグ12</t>
    <rPh sb="0" eb="2">
      <t>ショリ</t>
    </rPh>
    <rPh sb="2" eb="4">
      <t>カクニン</t>
    </rPh>
    <phoneticPr fontId="6"/>
  </si>
  <si>
    <t>処理確認フラグ13</t>
    <rPh sb="0" eb="2">
      <t>ショリ</t>
    </rPh>
    <rPh sb="2" eb="4">
      <t>カクニン</t>
    </rPh>
    <phoneticPr fontId="6"/>
  </si>
  <si>
    <t>処理確認フラグ14</t>
    <rPh sb="0" eb="2">
      <t>ショリ</t>
    </rPh>
    <rPh sb="2" eb="4">
      <t>カクニン</t>
    </rPh>
    <phoneticPr fontId="6"/>
  </si>
  <si>
    <t>処理確認フラグ15</t>
    <rPh sb="0" eb="2">
      <t>ショリ</t>
    </rPh>
    <rPh sb="2" eb="4">
      <t>カクニン</t>
    </rPh>
    <phoneticPr fontId="6"/>
  </si>
  <si>
    <t>処理確認フラグ16</t>
    <rPh sb="0" eb="2">
      <t>ショリ</t>
    </rPh>
    <rPh sb="2" eb="4">
      <t>カクニン</t>
    </rPh>
    <phoneticPr fontId="6"/>
  </si>
  <si>
    <t>処理確認フラグ17</t>
    <rPh sb="0" eb="2">
      <t>ショリ</t>
    </rPh>
    <rPh sb="2" eb="4">
      <t>カクニン</t>
    </rPh>
    <phoneticPr fontId="6"/>
  </si>
  <si>
    <t>処理確認フラグ18</t>
    <rPh sb="0" eb="2">
      <t>ショリ</t>
    </rPh>
    <rPh sb="2" eb="4">
      <t>カクニン</t>
    </rPh>
    <phoneticPr fontId="6"/>
  </si>
  <si>
    <t>処理確認フラグ19</t>
    <rPh sb="0" eb="2">
      <t>ショリ</t>
    </rPh>
    <rPh sb="2" eb="4">
      <t>カクニン</t>
    </rPh>
    <phoneticPr fontId="6"/>
  </si>
  <si>
    <t>処理確認フラグ20</t>
    <rPh sb="0" eb="2">
      <t>ショリ</t>
    </rPh>
    <rPh sb="2" eb="4">
      <t>カクニン</t>
    </rPh>
    <phoneticPr fontId="6"/>
  </si>
  <si>
    <t>１レコードのみ存在</t>
    <rPh sb="7" eb="9">
      <t>ソンザイ</t>
    </rPh>
    <phoneticPr fontId="6"/>
  </si>
  <si>
    <t>NXIRISRIYMD</t>
    <phoneticPr fontId="6"/>
  </si>
  <si>
    <t>2006/06/05 秋山</t>
    <rPh sb="11" eb="13">
      <t>アキヤマ</t>
    </rPh>
    <phoneticPr fontId="6"/>
  </si>
  <si>
    <t>WS作成規則（分注OK）→　　4：ソートキー順+2ID</t>
    <phoneticPr fontId="6"/>
  </si>
  <si>
    <t>WS作成規則（分注NG）→　　4：ソートキー順+2ID</t>
    <phoneticPr fontId="6"/>
  </si>
  <si>
    <t>NCNSKSRIYMD</t>
    <phoneticPr fontId="6"/>
  </si>
  <si>
    <t>NXBCHSRIYMD</t>
    <phoneticPr fontId="6"/>
  </si>
  <si>
    <t>IRIENDFLG</t>
    <phoneticPr fontId="6"/>
  </si>
  <si>
    <t>IRIENDDH</t>
    <phoneticPr fontId="6"/>
  </si>
  <si>
    <t>NSKENDFLG</t>
    <phoneticPr fontId="6"/>
  </si>
  <si>
    <t>NSKENDDH</t>
    <phoneticPr fontId="6"/>
  </si>
  <si>
    <t>BCHENDFLG</t>
    <phoneticPr fontId="6"/>
  </si>
  <si>
    <t>BCHEND0DH</t>
    <phoneticPr fontId="6"/>
  </si>
  <si>
    <t>BCHEND1DH</t>
    <phoneticPr fontId="6"/>
  </si>
  <si>
    <t>BCHEND2DH</t>
    <phoneticPr fontId="6"/>
  </si>
  <si>
    <t>BCHEND3DH</t>
    <phoneticPr fontId="6"/>
  </si>
  <si>
    <t>BCHEND4DH</t>
    <phoneticPr fontId="6"/>
  </si>
  <si>
    <t>UNYFLG</t>
    <phoneticPr fontId="6"/>
  </si>
  <si>
    <t>SSNTUBN</t>
    <phoneticPr fontId="6"/>
  </si>
  <si>
    <t>SRIKNFLG02</t>
    <phoneticPr fontId="6"/>
  </si>
  <si>
    <t>SRIKNFLG03</t>
    <phoneticPr fontId="6"/>
  </si>
  <si>
    <t>SRIKNFLG04</t>
    <phoneticPr fontId="6"/>
  </si>
  <si>
    <t>SRIKNFLG05</t>
    <phoneticPr fontId="6"/>
  </si>
  <si>
    <t>SRIKNFLG06</t>
    <phoneticPr fontId="6"/>
  </si>
  <si>
    <t>SRIKNFLG07</t>
    <phoneticPr fontId="6"/>
  </si>
  <si>
    <t>SRIKNFLG08</t>
    <phoneticPr fontId="6"/>
  </si>
  <si>
    <t>SRIKNFLG09</t>
    <phoneticPr fontId="6"/>
  </si>
  <si>
    <t>SRIKNFLG10</t>
    <phoneticPr fontId="6"/>
  </si>
  <si>
    <t>SRIKNFLG11</t>
    <phoneticPr fontId="6"/>
  </si>
  <si>
    <t>SRIKNFLG12</t>
    <phoneticPr fontId="6"/>
  </si>
  <si>
    <t>SRIKNFLG13</t>
    <phoneticPr fontId="6"/>
  </si>
  <si>
    <t>SRIKNFLG14</t>
    <phoneticPr fontId="6"/>
  </si>
  <si>
    <t>SRIKNFLG15</t>
    <phoneticPr fontId="6"/>
  </si>
  <si>
    <t>SRIKNFLG16</t>
    <phoneticPr fontId="6"/>
  </si>
  <si>
    <t>SRIKNFLG17</t>
    <phoneticPr fontId="6"/>
  </si>
  <si>
    <t>SRIKNFLG18</t>
    <phoneticPr fontId="6"/>
  </si>
  <si>
    <t>SRIKNFLG19</t>
    <phoneticPr fontId="6"/>
  </si>
  <si>
    <t>SRIKNFLG20</t>
    <phoneticPr fontId="6"/>
  </si>
  <si>
    <t>TIMESTAMP</t>
    <phoneticPr fontId="6"/>
  </si>
  <si>
    <t>[ 0:END受信前 1:END受信済 ]</t>
    <rPh sb="7" eb="9">
      <t>ジュシン</t>
    </rPh>
    <rPh sb="9" eb="10">
      <t>マエ</t>
    </rPh>
    <rPh sb="16" eb="18">
      <t>ジュシン</t>
    </rPh>
    <rPh sb="18" eb="19">
      <t>ズ</t>
    </rPh>
    <phoneticPr fontId="6"/>
  </si>
  <si>
    <t>[ 0:運用中 1:日次処理中 ]</t>
    <rPh sb="4" eb="7">
      <t>ウンヨウチュウ</t>
    </rPh>
    <rPh sb="10" eb="12">
      <t>ニチジ</t>
    </rPh>
    <rPh sb="12" eb="14">
      <t>ショリ</t>
    </rPh>
    <rPh sb="14" eb="15">
      <t>チュウ</t>
    </rPh>
    <phoneticPr fontId="6"/>
  </si>
  <si>
    <t>[ 0:処理前 1:処理済 ]
処理確認フラグ01～20まで、すべてが　1：処理済　になった場合、日次処理を行えることとする。</t>
    <rPh sb="4" eb="6">
      <t>ショリ</t>
    </rPh>
    <rPh sb="6" eb="7">
      <t>マエ</t>
    </rPh>
    <rPh sb="10" eb="12">
      <t>ショリ</t>
    </rPh>
    <rPh sb="12" eb="13">
      <t>ズ</t>
    </rPh>
    <rPh sb="17" eb="19">
      <t>ショリ</t>
    </rPh>
    <rPh sb="19" eb="21">
      <t>カクニン</t>
    </rPh>
    <rPh sb="39" eb="41">
      <t>ショリ</t>
    </rPh>
    <rPh sb="41" eb="42">
      <t>ズ</t>
    </rPh>
    <rPh sb="47" eb="49">
      <t>バアイ</t>
    </rPh>
    <rPh sb="50" eb="52">
      <t>ニチジ</t>
    </rPh>
    <rPh sb="52" eb="54">
      <t>ショリ</t>
    </rPh>
    <rPh sb="55" eb="56">
      <t>オコナ</t>
    </rPh>
    <phoneticPr fontId="6"/>
  </si>
  <si>
    <t>KGYMD</t>
    <phoneticPr fontId="6"/>
  </si>
  <si>
    <t>アッセイスケジュールマスタ</t>
    <phoneticPr fontId="6"/>
  </si>
  <si>
    <t>ASYSTARTYMD</t>
    <phoneticPr fontId="6"/>
  </si>
  <si>
    <t>ASYENDYMD</t>
    <phoneticPr fontId="6"/>
  </si>
  <si>
    <t>上限値</t>
    <phoneticPr fontId="6"/>
  </si>
  <si>
    <t>下限値</t>
    <phoneticPr fontId="6"/>
  </si>
  <si>
    <t>MINVAL</t>
    <phoneticPr fontId="6"/>
  </si>
  <si>
    <t>変換結果</t>
    <phoneticPr fontId="6"/>
  </si>
  <si>
    <t>FLTKKA</t>
    <phoneticPr fontId="6"/>
  </si>
  <si>
    <t>有効期限</t>
    <rPh sb="0" eb="2">
      <t>ユウコウ</t>
    </rPh>
    <rPh sb="2" eb="4">
      <t>キゲン</t>
    </rPh>
    <phoneticPr fontId="5"/>
  </si>
  <si>
    <t>自動発生項目コード</t>
    <rPh sb="0" eb="2">
      <t>ジドウ</t>
    </rPh>
    <rPh sb="2" eb="4">
      <t>ハッセイ</t>
    </rPh>
    <rPh sb="4" eb="6">
      <t>コウモク</t>
    </rPh>
    <phoneticPr fontId="5"/>
  </si>
  <si>
    <t>材料区分</t>
    <rPh sb="0" eb="2">
      <t>ザイリョウ</t>
    </rPh>
    <rPh sb="2" eb="4">
      <t>クブン</t>
    </rPh>
    <phoneticPr fontId="5"/>
  </si>
  <si>
    <t>相関式</t>
    <rPh sb="0" eb="2">
      <t>ソウカン</t>
    </rPh>
    <rPh sb="2" eb="3">
      <t>シキ</t>
    </rPh>
    <phoneticPr fontId="5"/>
  </si>
  <si>
    <t>SOUKAN</t>
  </si>
  <si>
    <t>不等号</t>
    <rPh sb="0" eb="3">
      <t>フトウゴウ</t>
    </rPh>
    <phoneticPr fontId="5"/>
  </si>
  <si>
    <t>アプリケーションプロトコル</t>
  </si>
  <si>
    <t xml:space="preserve">APPROTOCOL   </t>
  </si>
  <si>
    <t>サーバクライアント区分</t>
    <rPh sb="9" eb="11">
      <t>クブン</t>
    </rPh>
    <phoneticPr fontId="5"/>
  </si>
  <si>
    <t xml:space="preserve">OPENTYPE     </t>
  </si>
  <si>
    <t>障害レベル</t>
    <rPh sb="0" eb="2">
      <t>ショウガイ</t>
    </rPh>
    <phoneticPr fontId="5"/>
  </si>
  <si>
    <t xml:space="preserve">ERRORLEVEL  </t>
  </si>
  <si>
    <t xml:space="preserve">WSNAME      </t>
  </si>
  <si>
    <t>プロトコル名</t>
    <rPh sb="5" eb="6">
      <t>メイ</t>
    </rPh>
    <phoneticPr fontId="5"/>
  </si>
  <si>
    <t xml:space="preserve">PROTOCOL    </t>
  </si>
  <si>
    <t>ポートＮｏ</t>
  </si>
  <si>
    <t xml:space="preserve">PORTNO      </t>
  </si>
  <si>
    <t>パスワード</t>
  </si>
  <si>
    <t>○</t>
    <phoneticPr fontId="6"/>
  </si>
  <si>
    <t>CHAR</t>
    <phoneticPr fontId="6"/>
  </si>
  <si>
    <t>起動タイプ</t>
    <rPh sb="0" eb="2">
      <t>キドウ</t>
    </rPh>
    <phoneticPr fontId="5"/>
  </si>
  <si>
    <t xml:space="preserve">LMTYPE      </t>
  </si>
  <si>
    <t>初期起動ホスト</t>
    <rPh sb="0" eb="2">
      <t>ショキ</t>
    </rPh>
    <rPh sb="2" eb="4">
      <t>キドウ</t>
    </rPh>
    <phoneticPr fontId="5"/>
  </si>
  <si>
    <t>プロセスＮｏ</t>
  </si>
  <si>
    <t xml:space="preserve">プロセスNO.                 </t>
  </si>
  <si>
    <t>プロセスグループＮｏ</t>
  </si>
  <si>
    <t xml:space="preserve">PGID        </t>
  </si>
  <si>
    <t xml:space="preserve">プロセスグループNO.         </t>
  </si>
  <si>
    <t xml:space="preserve">     </t>
  </si>
  <si>
    <t xml:space="preserve">SSA          </t>
  </si>
  <si>
    <t>SMALLINT</t>
    <phoneticPr fontId="6"/>
  </si>
  <si>
    <t>DECIMAL</t>
    <phoneticPr fontId="6"/>
  </si>
  <si>
    <t>DATE</t>
    <phoneticPr fontId="6"/>
  </si>
  <si>
    <t>DECIMAL</t>
    <phoneticPr fontId="6"/>
  </si>
  <si>
    <t>DECIMAL</t>
    <phoneticPr fontId="6"/>
  </si>
  <si>
    <t>SMALLINT</t>
    <phoneticPr fontId="6"/>
  </si>
  <si>
    <t>CHAR</t>
    <phoneticPr fontId="6"/>
  </si>
  <si>
    <t>CHAR</t>
    <phoneticPr fontId="6"/>
  </si>
  <si>
    <t>施設コード</t>
    <rPh sb="0" eb="2">
      <t>シセツ</t>
    </rPh>
    <phoneticPr fontId="6"/>
  </si>
  <si>
    <t>小数点桁数</t>
    <rPh sb="0" eb="3">
      <t>ショウスウテン</t>
    </rPh>
    <rPh sb="3" eb="5">
      <t>ケタスウ</t>
    </rPh>
    <phoneticPr fontId="6"/>
  </si>
  <si>
    <t>CHAR</t>
    <phoneticPr fontId="6"/>
  </si>
  <si>
    <t>○</t>
    <phoneticPr fontId="6"/>
  </si>
  <si>
    <t xml:space="preserve">男・基準値（上） </t>
    <rPh sb="6" eb="7">
      <t>ジョウ</t>
    </rPh>
    <phoneticPr fontId="6"/>
  </si>
  <si>
    <t xml:space="preserve">男・基準値（上）      </t>
    <rPh sb="6" eb="7">
      <t>ジョウ</t>
    </rPh>
    <phoneticPr fontId="6"/>
  </si>
  <si>
    <t>TIME</t>
    <phoneticPr fontId="6"/>
  </si>
  <si>
    <t>秋山</t>
    <rPh sb="0" eb="2">
      <t>アキヤマ</t>
    </rPh>
    <phoneticPr fontId="6"/>
  </si>
  <si>
    <t>CHAR</t>
  </si>
  <si>
    <t>営業所マスタ</t>
    <rPh sb="0" eb="3">
      <t>エイギョウショ</t>
    </rPh>
    <phoneticPr fontId="6"/>
  </si>
  <si>
    <t>営業所コード</t>
  </si>
  <si>
    <t>営業所名（漢字）</t>
  </si>
  <si>
    <t>営業所電話番号</t>
  </si>
  <si>
    <t>営業所ＦＡＸ番号</t>
  </si>
  <si>
    <t>EIGKJ</t>
  </si>
  <si>
    <t>EIFAXNO</t>
  </si>
  <si>
    <t>コントロール本数</t>
  </si>
  <si>
    <t>項目コード</t>
  </si>
  <si>
    <t>検査グループ</t>
  </si>
  <si>
    <t>SEQ採番規則</t>
  </si>
  <si>
    <t>DECIMAL</t>
    <phoneticPr fontId="6"/>
  </si>
  <si>
    <t>ロードモジュール名</t>
    <rPh sb="8" eb="9">
      <t>メイ</t>
    </rPh>
    <phoneticPr fontId="6"/>
  </si>
  <si>
    <t>○</t>
    <phoneticPr fontId="6"/>
  </si>
  <si>
    <t>CHAR</t>
    <phoneticPr fontId="6"/>
  </si>
  <si>
    <t>CHAR</t>
    <phoneticPr fontId="6"/>
  </si>
  <si>
    <t>TIME</t>
    <phoneticPr fontId="6"/>
  </si>
  <si>
    <t>DATE</t>
    <phoneticPr fontId="6"/>
  </si>
  <si>
    <t>DECIMAL</t>
    <phoneticPr fontId="6"/>
  </si>
  <si>
    <t>CHAR</t>
    <phoneticPr fontId="6"/>
  </si>
  <si>
    <t>LMNAME</t>
    <phoneticPr fontId="6"/>
  </si>
  <si>
    <t>ロードモジュール名</t>
    <phoneticPr fontId="6"/>
  </si>
  <si>
    <t>SMALLINT</t>
    <phoneticPr fontId="6"/>
  </si>
  <si>
    <t>DECIMAL</t>
    <phoneticPr fontId="6"/>
  </si>
  <si>
    <t>SMALLINT</t>
    <phoneticPr fontId="6"/>
  </si>
  <si>
    <t>DECIMAL</t>
    <phoneticPr fontId="6"/>
  </si>
  <si>
    <t>VARCHAR</t>
    <phoneticPr fontId="6"/>
  </si>
  <si>
    <t>DATE</t>
    <phoneticPr fontId="6"/>
  </si>
  <si>
    <t>DECIMAL</t>
    <phoneticPr fontId="6"/>
  </si>
  <si>
    <t>DATE</t>
    <phoneticPr fontId="6"/>
  </si>
  <si>
    <t>TIME</t>
    <phoneticPr fontId="6"/>
  </si>
  <si>
    <t>TINYINT</t>
    <phoneticPr fontId="6"/>
  </si>
  <si>
    <t>DATE</t>
    <phoneticPr fontId="6"/>
  </si>
  <si>
    <t>DECIMAL</t>
    <phoneticPr fontId="6"/>
  </si>
  <si>
    <t>DATE</t>
    <phoneticPr fontId="6"/>
  </si>
  <si>
    <t>CHAR</t>
    <phoneticPr fontId="6"/>
  </si>
  <si>
    <t>TINYINT</t>
    <phoneticPr fontId="6"/>
  </si>
  <si>
    <t>DECIMAL</t>
    <phoneticPr fontId="6"/>
  </si>
  <si>
    <t>DATE</t>
    <phoneticPr fontId="6"/>
  </si>
  <si>
    <t>○</t>
    <phoneticPr fontId="6"/>
  </si>
  <si>
    <t>○</t>
    <phoneticPr fontId="6"/>
  </si>
  <si>
    <t>DECIMAL</t>
    <phoneticPr fontId="6"/>
  </si>
  <si>
    <t>○</t>
    <phoneticPr fontId="6"/>
  </si>
  <si>
    <t>SMALLINT</t>
    <phoneticPr fontId="6"/>
  </si>
  <si>
    <t>TINYINT</t>
    <phoneticPr fontId="6"/>
  </si>
  <si>
    <t>SMALLINT</t>
    <phoneticPr fontId="6"/>
  </si>
  <si>
    <t>CHAR</t>
    <phoneticPr fontId="6"/>
  </si>
  <si>
    <t>○</t>
    <phoneticPr fontId="6"/>
  </si>
  <si>
    <t>○</t>
    <phoneticPr fontId="6"/>
  </si>
  <si>
    <t>○</t>
    <phoneticPr fontId="6"/>
  </si>
  <si>
    <t>KJNMHI</t>
    <phoneticPr fontId="6"/>
  </si>
  <si>
    <t>KJNFHI</t>
    <phoneticPr fontId="6"/>
  </si>
  <si>
    <t>KJNFLW</t>
    <phoneticPr fontId="6"/>
  </si>
  <si>
    <t>KJNEHI</t>
    <phoneticPr fontId="6"/>
  </si>
  <si>
    <t>KJNELW</t>
    <phoneticPr fontId="6"/>
  </si>
  <si>
    <t>GENFHI</t>
    <phoneticPr fontId="6"/>
  </si>
  <si>
    <t>GENFLW</t>
    <phoneticPr fontId="6"/>
  </si>
  <si>
    <t>GENELW</t>
    <phoneticPr fontId="6"/>
  </si>
  <si>
    <t>GENEHI</t>
    <phoneticPr fontId="6"/>
  </si>
  <si>
    <t>GHABA</t>
  </si>
  <si>
    <t>AVGVAL</t>
  </si>
  <si>
    <t>関連項目コード</t>
  </si>
  <si>
    <t>乳び溶血優先フラグ</t>
    <rPh sb="0" eb="1">
      <t>ニュウ</t>
    </rPh>
    <rPh sb="2" eb="3">
      <t>ヨウ</t>
    </rPh>
    <rPh sb="3" eb="4">
      <t>ケツ</t>
    </rPh>
    <rPh sb="4" eb="6">
      <t>ユウセン</t>
    </rPh>
    <phoneticPr fontId="6"/>
  </si>
  <si>
    <t>MAXRYO</t>
  </si>
  <si>
    <t>項目グループ</t>
    <rPh sb="0" eb="2">
      <t>コウモク</t>
    </rPh>
    <phoneticPr fontId="5"/>
  </si>
  <si>
    <t>○</t>
    <phoneticPr fontId="6"/>
  </si>
  <si>
    <t>システム管理マスタ</t>
    <rPh sb="4" eb="6">
      <t>カンリ</t>
    </rPh>
    <phoneticPr fontId="6"/>
  </si>
  <si>
    <t>KMKCD</t>
    <phoneticPr fontId="6"/>
  </si>
  <si>
    <t>ドキュメント</t>
    <phoneticPr fontId="6"/>
  </si>
  <si>
    <t>No.</t>
    <phoneticPr fontId="6"/>
  </si>
  <si>
    <t>キー</t>
    <phoneticPr fontId="6"/>
  </si>
  <si>
    <t>VARCHAR</t>
    <phoneticPr fontId="6"/>
  </si>
  <si>
    <t>サイズ</t>
    <phoneticPr fontId="6"/>
  </si>
  <si>
    <t>PK</t>
    <phoneticPr fontId="6"/>
  </si>
  <si>
    <t>INDEX</t>
    <phoneticPr fontId="6"/>
  </si>
  <si>
    <t>INTEGER</t>
    <phoneticPr fontId="6"/>
  </si>
  <si>
    <t>DATE</t>
    <phoneticPr fontId="6"/>
  </si>
  <si>
    <t>SEQKTHSOK</t>
    <phoneticPr fontId="6"/>
  </si>
  <si>
    <t>SEQKTHSNG</t>
    <phoneticPr fontId="6"/>
  </si>
  <si>
    <t>ワークシート内規定本数（分注OK）</t>
    <rPh sb="6" eb="7">
      <t>ナイ</t>
    </rPh>
    <rPh sb="7" eb="9">
      <t>キテイ</t>
    </rPh>
    <rPh sb="9" eb="11">
      <t>ホンスウ</t>
    </rPh>
    <rPh sb="12" eb="14">
      <t>ブンチュウ</t>
    </rPh>
    <phoneticPr fontId="6"/>
  </si>
  <si>
    <t>ワークシート内規定本数を分注OK、分注NGで分ける。</t>
    <rPh sb="6" eb="7">
      <t>ナイ</t>
    </rPh>
    <rPh sb="7" eb="9">
      <t>キテイ</t>
    </rPh>
    <rPh sb="9" eb="11">
      <t>ホンスウ</t>
    </rPh>
    <rPh sb="12" eb="14">
      <t>ブンチュウ</t>
    </rPh>
    <rPh sb="17" eb="19">
      <t>ブンチュウ</t>
    </rPh>
    <rPh sb="22" eb="23">
      <t>ワ</t>
    </rPh>
    <phoneticPr fontId="6"/>
  </si>
  <si>
    <t>ワークシート内規定本数（分注NG）</t>
    <rPh sb="6" eb="7">
      <t>ナイ</t>
    </rPh>
    <rPh sb="7" eb="9">
      <t>キテイ</t>
    </rPh>
    <rPh sb="9" eb="11">
      <t>ホンスウ</t>
    </rPh>
    <rPh sb="12" eb="14">
      <t>ブンチュウ</t>
    </rPh>
    <phoneticPr fontId="6"/>
  </si>
  <si>
    <t>WS作成規則（分注OK）</t>
    <rPh sb="2" eb="4">
      <t>サクセイ</t>
    </rPh>
    <rPh sb="4" eb="6">
      <t>キソク</t>
    </rPh>
    <rPh sb="7" eb="9">
      <t>ブンチュウ</t>
    </rPh>
    <phoneticPr fontId="6"/>
  </si>
  <si>
    <t>WS作成規則（分注NG）</t>
    <rPh sb="2" eb="4">
      <t>サクセイ</t>
    </rPh>
    <rPh sb="4" eb="6">
      <t>キソク</t>
    </rPh>
    <rPh sb="7" eb="9">
      <t>ブンチュウ</t>
    </rPh>
    <phoneticPr fontId="6"/>
  </si>
  <si>
    <t>WS作成規則を分注OK、分注NGで分ける。</t>
    <rPh sb="2" eb="4">
      <t>サクセイ</t>
    </rPh>
    <rPh sb="4" eb="6">
      <t>キソク</t>
    </rPh>
    <rPh sb="7" eb="9">
      <t>ブンチュウ</t>
    </rPh>
    <rPh sb="12" eb="14">
      <t>ブンチュウ</t>
    </rPh>
    <rPh sb="17" eb="18">
      <t>ワ</t>
    </rPh>
    <phoneticPr fontId="6"/>
  </si>
  <si>
    <t>WS作成規則（分注OK）</t>
    <rPh sb="7" eb="9">
      <t>ブンチュウ</t>
    </rPh>
    <phoneticPr fontId="6"/>
  </si>
  <si>
    <t>WSSSKSOK</t>
    <phoneticPr fontId="6"/>
  </si>
  <si>
    <t>WSSSKSNG</t>
    <phoneticPr fontId="6"/>
  </si>
  <si>
    <t>検査グループ種別　 [ T:テスト ]</t>
    <rPh sb="0" eb="2">
      <t>ケンサ</t>
    </rPh>
    <rPh sb="6" eb="8">
      <t>シュベツ</t>
    </rPh>
    <phoneticPr fontId="6"/>
  </si>
  <si>
    <t>フィールド廃止</t>
    <rPh sb="5" eb="7">
      <t>ハイシ</t>
    </rPh>
    <phoneticPr fontId="6"/>
  </si>
  <si>
    <t>WS作成規則　　フィールドを分割した為、等フィールドは廃止</t>
    <rPh sb="2" eb="4">
      <t>サクセイ</t>
    </rPh>
    <rPh sb="4" eb="6">
      <t>キソク</t>
    </rPh>
    <rPh sb="20" eb="21">
      <t>トウ</t>
    </rPh>
    <rPh sb="27" eb="29">
      <t>ハイシ</t>
    </rPh>
    <phoneticPr fontId="6"/>
  </si>
  <si>
    <t>ワークシート内規定本数　　フィールドを分割した為、等フィールドは廃止</t>
    <rPh sb="6" eb="7">
      <t>ナイ</t>
    </rPh>
    <rPh sb="7" eb="9">
      <t>キテイ</t>
    </rPh>
    <rPh sb="9" eb="11">
      <t>ホンスウ</t>
    </rPh>
    <rPh sb="25" eb="26">
      <t>トウ</t>
    </rPh>
    <rPh sb="32" eb="34">
      <t>ハイシ</t>
    </rPh>
    <phoneticPr fontId="6"/>
  </si>
  <si>
    <t>[ 3:アッセイラック順 ] → [ 3:トレーID＋アッセイラック順 ]</t>
    <rPh sb="11" eb="12">
      <t>ジュン</t>
    </rPh>
    <rPh sb="34" eb="35">
      <t>ジュン</t>
    </rPh>
    <phoneticPr fontId="6"/>
  </si>
  <si>
    <t>[ 4:トレーID順 ] → [ 4:ソートキー順 ]</t>
    <rPh sb="9" eb="10">
      <t>ジュン</t>
    </rPh>
    <rPh sb="24" eb="25">
      <t>ジュン</t>
    </rPh>
    <phoneticPr fontId="6"/>
  </si>
  <si>
    <t>WS作成規則（分注OK）、WS作成規則（分注NG）</t>
    <rPh sb="2" eb="4">
      <t>サクセイ</t>
    </rPh>
    <rPh sb="4" eb="6">
      <t>キソク</t>
    </rPh>
    <rPh sb="7" eb="9">
      <t>ブンチュウ</t>
    </rPh>
    <phoneticPr fontId="6"/>
  </si>
  <si>
    <t>初回ワークシート出力形式</t>
    <rPh sb="0" eb="2">
      <t>ショカイ</t>
    </rPh>
    <rPh sb="8" eb="10">
      <t>シュツリョク</t>
    </rPh>
    <rPh sb="10" eb="12">
      <t>ケイシキ</t>
    </rPh>
    <phoneticPr fontId="6"/>
  </si>
  <si>
    <t>SKIWSID</t>
    <phoneticPr fontId="6"/>
  </si>
  <si>
    <t>再検ワークシート出力形式</t>
    <rPh sb="0" eb="2">
      <t>サイケン</t>
    </rPh>
    <rPh sb="8" eb="10">
      <t>シュツリョク</t>
    </rPh>
    <rPh sb="10" eb="12">
      <t>ケイシキ</t>
    </rPh>
    <phoneticPr fontId="6"/>
  </si>
  <si>
    <t>リスト出力形式（予備１）</t>
    <rPh sb="3" eb="5">
      <t>シュツリョク</t>
    </rPh>
    <rPh sb="5" eb="7">
      <t>ケイシキ</t>
    </rPh>
    <rPh sb="8" eb="10">
      <t>ヨビ</t>
    </rPh>
    <phoneticPr fontId="6"/>
  </si>
  <si>
    <t>リスト出力形式（予備２）</t>
    <rPh sb="3" eb="5">
      <t>シュツリョク</t>
    </rPh>
    <rPh sb="5" eb="7">
      <t>ケイシキ</t>
    </rPh>
    <rPh sb="8" eb="10">
      <t>ヨビ</t>
    </rPh>
    <phoneticPr fontId="6"/>
  </si>
  <si>
    <t>結果リスト出力形式</t>
    <rPh sb="0" eb="2">
      <t>ケッカ</t>
    </rPh>
    <rPh sb="5" eb="7">
      <t>シュツリョク</t>
    </rPh>
    <rPh sb="7" eb="9">
      <t>ケイシキ</t>
    </rPh>
    <phoneticPr fontId="6"/>
  </si>
  <si>
    <t>SKNWSID</t>
    <phoneticPr fontId="6"/>
  </si>
  <si>
    <t>KKALSTID</t>
    <phoneticPr fontId="6"/>
  </si>
  <si>
    <t>SPLBLID</t>
    <phoneticPr fontId="6"/>
  </si>
  <si>
    <t>LSTYB1</t>
    <phoneticPr fontId="6"/>
  </si>
  <si>
    <t>LSTYB2</t>
    <phoneticPr fontId="6"/>
  </si>
  <si>
    <t>２：ok以外</t>
    <rPh sb="4" eb="6">
      <t>イガイ</t>
    </rPh>
    <phoneticPr fontId="6"/>
  </si>
  <si>
    <t>TRNM</t>
    <phoneticPr fontId="6"/>
  </si>
  <si>
    <t>FILSKDIR</t>
    <phoneticPr fontId="6"/>
  </si>
  <si>
    <t>KAIYMD</t>
    <phoneticPr fontId="6"/>
  </si>
  <si>
    <t>関連項目マスタ</t>
    <rPh sb="0" eb="2">
      <t>カンレン</t>
    </rPh>
    <rPh sb="2" eb="4">
      <t>コウモク</t>
    </rPh>
    <phoneticPr fontId="6"/>
  </si>
  <si>
    <t>負荷パターンチェック</t>
    <rPh sb="0" eb="2">
      <t>フカ</t>
    </rPh>
    <phoneticPr fontId="6"/>
  </si>
  <si>
    <t>別紙コメントマスタ</t>
    <rPh sb="0" eb="2">
      <t>ベッシ</t>
    </rPh>
    <phoneticPr fontId="6"/>
  </si>
  <si>
    <t>分析機号機</t>
    <rPh sb="0" eb="2">
      <t>ブンセキ</t>
    </rPh>
    <rPh sb="2" eb="3">
      <t>キ</t>
    </rPh>
    <rPh sb="3" eb="5">
      <t>ゴウキ</t>
    </rPh>
    <phoneticPr fontId="6"/>
  </si>
  <si>
    <t>分析機の種類</t>
    <rPh sb="0" eb="2">
      <t>ブンセキ</t>
    </rPh>
    <rPh sb="2" eb="3">
      <t>キ</t>
    </rPh>
    <rPh sb="4" eb="6">
      <t>シュルイ</t>
    </rPh>
    <phoneticPr fontId="6"/>
  </si>
  <si>
    <t>負荷チェックフラグ１</t>
    <rPh sb="0" eb="2">
      <t>フカ</t>
    </rPh>
    <phoneticPr fontId="6"/>
  </si>
  <si>
    <t>負荷チェックフラグ２</t>
    <rPh sb="0" eb="2">
      <t>フカ</t>
    </rPh>
    <phoneticPr fontId="6"/>
  </si>
  <si>
    <t>負荷チェックフラグ３</t>
    <rPh sb="0" eb="2">
      <t>フカ</t>
    </rPh>
    <phoneticPr fontId="6"/>
  </si>
  <si>
    <t>負荷チェックフラグ４</t>
    <rPh sb="0" eb="2">
      <t>フカ</t>
    </rPh>
    <phoneticPr fontId="6"/>
  </si>
  <si>
    <t>負荷チェックフラグ５</t>
    <rPh sb="0" eb="2">
      <t>フカ</t>
    </rPh>
    <phoneticPr fontId="6"/>
  </si>
  <si>
    <t>負荷チェックフラグ６</t>
    <rPh sb="0" eb="2">
      <t>フカ</t>
    </rPh>
    <phoneticPr fontId="6"/>
  </si>
  <si>
    <t>負荷チェックフラグ７</t>
    <rPh sb="0" eb="2">
      <t>フカ</t>
    </rPh>
    <phoneticPr fontId="6"/>
  </si>
  <si>
    <t>負荷チェックフラグ８</t>
    <rPh sb="0" eb="2">
      <t>フカ</t>
    </rPh>
    <phoneticPr fontId="6"/>
  </si>
  <si>
    <t>負荷チェックフラグ９</t>
    <rPh sb="0" eb="2">
      <t>フカ</t>
    </rPh>
    <phoneticPr fontId="6"/>
  </si>
  <si>
    <t>負荷チェックフラグ１０</t>
    <rPh sb="0" eb="2">
      <t>フカ</t>
    </rPh>
    <phoneticPr fontId="6"/>
  </si>
  <si>
    <t>CHK3</t>
  </si>
  <si>
    <t>CHK4</t>
  </si>
  <si>
    <t>CHK5</t>
  </si>
  <si>
    <t>CHK6</t>
  </si>
  <si>
    <t>CHK7</t>
  </si>
  <si>
    <t>CHK8</t>
  </si>
  <si>
    <t>CHK9</t>
  </si>
  <si>
    <t>CHK10</t>
  </si>
  <si>
    <t>親負荷項目コードを入力</t>
    <rPh sb="0" eb="1">
      <t>オヤ</t>
    </rPh>
    <rPh sb="1" eb="3">
      <t>フカ</t>
    </rPh>
    <rPh sb="3" eb="5">
      <t>コウモク</t>
    </rPh>
    <rPh sb="9" eb="11">
      <t>ニュウリョク</t>
    </rPh>
    <phoneticPr fontId="6"/>
  </si>
  <si>
    <t>分析機ライン</t>
    <rPh sb="0" eb="2">
      <t>ブンセキ</t>
    </rPh>
    <rPh sb="2" eb="3">
      <t>キ</t>
    </rPh>
    <phoneticPr fontId="6"/>
  </si>
  <si>
    <t>分析機名称</t>
    <rPh sb="0" eb="2">
      <t>ブンセキ</t>
    </rPh>
    <rPh sb="2" eb="3">
      <t>キ</t>
    </rPh>
    <phoneticPr fontId="6"/>
  </si>
  <si>
    <t>分析機略称</t>
    <rPh sb="0" eb="2">
      <t>ブンセキ</t>
    </rPh>
    <rPh sb="2" eb="3">
      <t>キ</t>
    </rPh>
    <rPh sb="3" eb="5">
      <t>リャクショウ</t>
    </rPh>
    <phoneticPr fontId="6"/>
  </si>
  <si>
    <t>コントロール種別</t>
    <rPh sb="6" eb="8">
      <t>シュベツ</t>
    </rPh>
    <phoneticPr fontId="5"/>
  </si>
  <si>
    <t>コントロール略称</t>
    <rPh sb="6" eb="8">
      <t>リャクショウ</t>
    </rPh>
    <phoneticPr fontId="5"/>
  </si>
  <si>
    <t xml:space="preserve">標準偏差(SD)    </t>
    <rPh sb="0" eb="2">
      <t>ヒョウジュン</t>
    </rPh>
    <rPh sb="2" eb="4">
      <t>ヘンサ</t>
    </rPh>
    <phoneticPr fontId="5"/>
  </si>
  <si>
    <t xml:space="preserve">変動係数(CV)    </t>
  </si>
  <si>
    <t>永田</t>
    <rPh sb="0" eb="2">
      <t>ナガタ</t>
    </rPh>
    <phoneticPr fontId="6"/>
  </si>
  <si>
    <t>KMKNMJ</t>
  </si>
  <si>
    <t>検査するために指定する項目のくくり</t>
    <rPh sb="0" eb="2">
      <t>ケンサ</t>
    </rPh>
    <rPh sb="7" eb="9">
      <t>シテイ</t>
    </rPh>
    <rPh sb="11" eb="13">
      <t>コウモク</t>
    </rPh>
    <phoneticPr fontId="6"/>
  </si>
  <si>
    <t>測定方法</t>
    <rPh sb="0" eb="2">
      <t>ソクテイ</t>
    </rPh>
    <rPh sb="2" eb="4">
      <t>ホウホウ</t>
    </rPh>
    <phoneticPr fontId="6"/>
  </si>
  <si>
    <t>負荷順番</t>
    <rPh sb="0" eb="2">
      <t>フカ</t>
    </rPh>
    <rPh sb="2" eb="4">
      <t>ジュンバン</t>
    </rPh>
    <phoneticPr fontId="6"/>
  </si>
  <si>
    <t>項目コード</t>
    <rPh sb="0" eb="2">
      <t>コウモク</t>
    </rPh>
    <phoneticPr fontId="6"/>
  </si>
  <si>
    <t>上下限区分</t>
    <rPh sb="0" eb="3">
      <t>ジョウカゲン</t>
    </rPh>
    <rPh sb="3" eb="5">
      <t>クブン</t>
    </rPh>
    <phoneticPr fontId="5"/>
  </si>
  <si>
    <t>性別</t>
    <rPh sb="0" eb="2">
      <t>セイベツ</t>
    </rPh>
    <phoneticPr fontId="6"/>
  </si>
  <si>
    <t>SBT</t>
  </si>
  <si>
    <t>INTEGER</t>
    <phoneticPr fontId="6"/>
  </si>
  <si>
    <t>範囲区分</t>
    <rPh sb="0" eb="2">
      <t>ハンイ</t>
    </rPh>
    <rPh sb="2" eb="4">
      <t>クブン</t>
    </rPh>
    <phoneticPr fontId="6"/>
  </si>
  <si>
    <t>透析前コード</t>
    <rPh sb="0" eb="2">
      <t>トウセキ</t>
    </rPh>
    <rPh sb="2" eb="3">
      <t>マエ</t>
    </rPh>
    <phoneticPr fontId="5"/>
  </si>
  <si>
    <t xml:space="preserve">透析後コード </t>
    <rPh sb="2" eb="3">
      <t>アト</t>
    </rPh>
    <phoneticPr fontId="6"/>
  </si>
  <si>
    <t>透析前項目コード</t>
    <rPh sb="0" eb="2">
      <t>トウセキ</t>
    </rPh>
    <rPh sb="2" eb="3">
      <t>マエ</t>
    </rPh>
    <rPh sb="3" eb="5">
      <t>コウモク</t>
    </rPh>
    <phoneticPr fontId="6"/>
  </si>
  <si>
    <t>透析後項目コード</t>
    <rPh sb="0" eb="2">
      <t>トウセキ</t>
    </rPh>
    <rPh sb="2" eb="3">
      <t>ゴ</t>
    </rPh>
    <rPh sb="3" eb="5">
      <t>コウモク</t>
    </rPh>
    <phoneticPr fontId="6"/>
  </si>
  <si>
    <t>透析後検査グループ</t>
    <rPh sb="0" eb="2">
      <t>トウセキ</t>
    </rPh>
    <rPh sb="2" eb="3">
      <t>ゴ</t>
    </rPh>
    <rPh sb="3" eb="5">
      <t>ケンサ</t>
    </rPh>
    <phoneticPr fontId="6"/>
  </si>
  <si>
    <t>透析前後チェックタイプ</t>
    <rPh sb="0" eb="2">
      <t>トウセキ</t>
    </rPh>
    <rPh sb="2" eb="4">
      <t>ゼンゴ</t>
    </rPh>
    <phoneticPr fontId="6"/>
  </si>
  <si>
    <t>ボタン種別</t>
  </si>
  <si>
    <t>INTEGER</t>
    <phoneticPr fontId="6"/>
  </si>
  <si>
    <t>○</t>
    <phoneticPr fontId="6"/>
  </si>
  <si>
    <t>アイコン種別</t>
  </si>
  <si>
    <t>INTEGER</t>
    <phoneticPr fontId="6"/>
  </si>
  <si>
    <t>[ O:正常 E:エラー W:ﾜｰﾆﾝｸﾞ(警告)　Q:Question（判断） ]</t>
    <rPh sb="4" eb="6">
      <t>セイジョウ</t>
    </rPh>
    <rPh sb="22" eb="24">
      <t>ケイコク</t>
    </rPh>
    <rPh sb="37" eb="39">
      <t>ハンダン</t>
    </rPh>
    <phoneticPr fontId="6"/>
  </si>
  <si>
    <t>ﾒｯｾｰｼﾞ出力する文字列</t>
    <phoneticPr fontId="6"/>
  </si>
  <si>
    <t>ステータスにQ：Questionを追加。</t>
    <rPh sb="17" eb="19">
      <t>ツイカ</t>
    </rPh>
    <phoneticPr fontId="6"/>
  </si>
  <si>
    <t>アイコン種別を追加。</t>
    <rPh sb="4" eb="6">
      <t>シュベツ</t>
    </rPh>
    <rPh sb="7" eb="9">
      <t>ツイカ</t>
    </rPh>
    <phoneticPr fontId="6"/>
  </si>
  <si>
    <t>ボタン種別を追加。</t>
    <rPh sb="3" eb="5">
      <t>シュベツ</t>
    </rPh>
    <rPh sb="6" eb="8">
      <t>ツイカ</t>
    </rPh>
    <phoneticPr fontId="6"/>
  </si>
  <si>
    <t>VB用ボタン種別（設定はVBの設定値）
OK：TypeButton.OK
CANCEL：TypeButton.CANCEL
YESNO：TypeButton.YESNO
YESNOCANCEL：TypeButton.YESNOCANCEL</t>
    <rPh sb="2" eb="3">
      <t>ヨウ</t>
    </rPh>
    <rPh sb="6" eb="8">
      <t>シュベツ</t>
    </rPh>
    <rPh sb="9" eb="11">
      <t>セッテイ</t>
    </rPh>
    <rPh sb="15" eb="18">
      <t>セッテイチ</t>
    </rPh>
    <phoneticPr fontId="6"/>
  </si>
  <si>
    <t>VB用アイコン種別（設定はVBの設定値）
STOP：TypeIcon.STP
INFOMATION：TypeIcon.INF
QUESTION：TypeIcon.QUE
EXCLAMATION：TypeIcon.EXC</t>
    <rPh sb="2" eb="3">
      <t>ヨウ</t>
    </rPh>
    <rPh sb="7" eb="9">
      <t>シュベツ</t>
    </rPh>
    <rPh sb="16" eb="19">
      <t>セッテイチ</t>
    </rPh>
    <phoneticPr fontId="6"/>
  </si>
  <si>
    <t>MSGBTN</t>
    <phoneticPr fontId="6"/>
  </si>
  <si>
    <t>MSGICO</t>
    <phoneticPr fontId="6"/>
  </si>
  <si>
    <t>KNSKKA2KBN</t>
    <phoneticPr fontId="6"/>
  </si>
  <si>
    <t>HJKKA</t>
    <phoneticPr fontId="6"/>
  </si>
  <si>
    <t>2006/02/21　鎌倉</t>
    <rPh sb="11" eb="13">
      <t>カマクラ</t>
    </rPh>
    <phoneticPr fontId="6"/>
  </si>
  <si>
    <t>　　　　　　　 検査結果２</t>
    <rPh sb="8" eb="10">
      <t>ケンサ</t>
    </rPh>
    <rPh sb="10" eb="12">
      <t>ケッカ</t>
    </rPh>
    <phoneticPr fontId="6"/>
  </si>
  <si>
    <t>　　　　　　　 検査結果２区分</t>
    <rPh sb="8" eb="10">
      <t>ケンサ</t>
    </rPh>
    <rPh sb="10" eb="12">
      <t>ケッカ</t>
    </rPh>
    <rPh sb="13" eb="15">
      <t>クブン</t>
    </rPh>
    <phoneticPr fontId="6"/>
  </si>
  <si>
    <t>ラボ名称</t>
    <rPh sb="2" eb="4">
      <t>メイショウ</t>
    </rPh>
    <phoneticPr fontId="6"/>
  </si>
  <si>
    <t>検査責任者</t>
    <rPh sb="0" eb="2">
      <t>ケンサ</t>
    </rPh>
    <rPh sb="2" eb="5">
      <t>セキニンシャ</t>
    </rPh>
    <phoneticPr fontId="6"/>
  </si>
  <si>
    <t>連絡先</t>
    <rPh sb="0" eb="3">
      <t>レンラクサキ</t>
    </rPh>
    <phoneticPr fontId="6"/>
  </si>
  <si>
    <t>LABONM</t>
    <phoneticPr fontId="6"/>
  </si>
  <si>
    <t>KNSMNGR</t>
    <phoneticPr fontId="6"/>
  </si>
  <si>
    <t>TELNO</t>
    <phoneticPr fontId="6"/>
  </si>
  <si>
    <t>SRIKNFLG01</t>
    <phoneticPr fontId="6"/>
  </si>
  <si>
    <t>連絡先</t>
    <rPh sb="0" eb="2">
      <t>レンラク</t>
    </rPh>
    <rPh sb="2" eb="3">
      <t>サキ</t>
    </rPh>
    <phoneticPr fontId="6"/>
  </si>
  <si>
    <t>　　　　　　　 表示結果</t>
    <rPh sb="8" eb="10">
      <t>ヒョウジ</t>
    </rPh>
    <rPh sb="10" eb="12">
      <t>ケッカ</t>
    </rPh>
    <phoneticPr fontId="6"/>
  </si>
  <si>
    <t>　　　　　　　 検査結果補足</t>
    <rPh sb="8" eb="10">
      <t>ケンサ</t>
    </rPh>
    <rPh sb="10" eb="12">
      <t>ケッカ</t>
    </rPh>
    <rPh sb="12" eb="14">
      <t>ホソク</t>
    </rPh>
    <phoneticPr fontId="6"/>
  </si>
  <si>
    <t>　　　　　　　 検査結果１</t>
    <rPh sb="8" eb="10">
      <t>ケンサ</t>
    </rPh>
    <rPh sb="10" eb="12">
      <t>ケッカ</t>
    </rPh>
    <phoneticPr fontId="6"/>
  </si>
  <si>
    <t>データセット時（結果取込時、手入力時、補正時）用に下記フィールド追加</t>
    <rPh sb="6" eb="7">
      <t>ジ</t>
    </rPh>
    <rPh sb="8" eb="10">
      <t>ケッカ</t>
    </rPh>
    <rPh sb="10" eb="11">
      <t>ト</t>
    </rPh>
    <rPh sb="11" eb="12">
      <t>コ</t>
    </rPh>
    <rPh sb="12" eb="13">
      <t>ジ</t>
    </rPh>
    <rPh sb="14" eb="15">
      <t>テ</t>
    </rPh>
    <rPh sb="15" eb="17">
      <t>ニュウリョク</t>
    </rPh>
    <rPh sb="17" eb="18">
      <t>ジ</t>
    </rPh>
    <rPh sb="19" eb="21">
      <t>ホセイ</t>
    </rPh>
    <rPh sb="21" eb="22">
      <t>ジ</t>
    </rPh>
    <rPh sb="23" eb="24">
      <t>ヨウ</t>
    </rPh>
    <rPh sb="27" eb="29">
      <t>カキツイカ</t>
    </rPh>
    <phoneticPr fontId="6"/>
  </si>
  <si>
    <t>※結果値を１倍に戻した値で上限値/下限値を見ること。</t>
    <rPh sb="6" eb="7">
      <t>バイ</t>
    </rPh>
    <rPh sb="8" eb="9">
      <t>モド</t>
    </rPh>
    <rPh sb="11" eb="12">
      <t>アタイ</t>
    </rPh>
    <rPh sb="13" eb="16">
      <t>ジョウゲンチ</t>
    </rPh>
    <rPh sb="17" eb="20">
      <t>カゲンチ</t>
    </rPh>
    <rPh sb="21" eb="22">
      <t>ミ</t>
    </rPh>
    <phoneticPr fontId="6"/>
  </si>
  <si>
    <t>内容調整中を解除</t>
    <rPh sb="0" eb="2">
      <t>ナイヨウ</t>
    </rPh>
    <rPh sb="2" eb="5">
      <t>チョウセイチュウ</t>
    </rPh>
    <rPh sb="6" eb="8">
      <t>カイジョ</t>
    </rPh>
    <phoneticPr fontId="6"/>
  </si>
  <si>
    <t>2006/3/27　秋山</t>
    <rPh sb="10" eb="12">
      <t>アキヤマ</t>
    </rPh>
    <phoneticPr fontId="6"/>
  </si>
  <si>
    <t>内容調整中解除</t>
    <rPh sb="0" eb="2">
      <t>ナイヨウ</t>
    </rPh>
    <rPh sb="2" eb="5">
      <t>チョウセイチュウ</t>
    </rPh>
    <rPh sb="5" eb="7">
      <t>カイジョ</t>
    </rPh>
    <phoneticPr fontId="6"/>
  </si>
  <si>
    <t>フィールド削除　検査グループ</t>
    <rPh sb="5" eb="7">
      <t>サクジョ</t>
    </rPh>
    <rPh sb="8" eb="10">
      <t>ケンサ</t>
    </rPh>
    <phoneticPr fontId="6"/>
  </si>
  <si>
    <t>関連検査グループ</t>
    <rPh sb="0" eb="2">
      <t>カンレン</t>
    </rPh>
    <rPh sb="2" eb="4">
      <t>ケンサ</t>
    </rPh>
    <phoneticPr fontId="6"/>
  </si>
  <si>
    <t>材料コード 4桁（増桁）
"001 "：随時尿
"002 "：蓄尿
"000 "：上記以外はこのコードで検索</t>
    <phoneticPr fontId="6"/>
  </si>
  <si>
    <t>範囲区分</t>
    <phoneticPr fontId="6"/>
  </si>
  <si>
    <t>　　　備考編集　　5：自動補正範囲→削除</t>
    <phoneticPr fontId="6"/>
  </si>
  <si>
    <t>　　　データ型変更　SMALLINT　→　CHAR（１）</t>
    <rPh sb="6" eb="7">
      <t>ガタ</t>
    </rPh>
    <rPh sb="7" eb="9">
      <t>ヘンコウ</t>
    </rPh>
    <phoneticPr fontId="6"/>
  </si>
  <si>
    <t>　　　備考編集　　ｽﾍﾟｰｽ：デフォルト</t>
    <phoneticPr fontId="6"/>
  </si>
  <si>
    <t>許容区分</t>
    <phoneticPr fontId="6"/>
  </si>
  <si>
    <t>材料コード　CHAR(4)</t>
    <rPh sb="0" eb="2">
      <t>ザイリョウ</t>
    </rPh>
    <phoneticPr fontId="6"/>
  </si>
  <si>
    <t xml:space="preserve">ｽﾍﾟｰｽ：ﾃﾞﾌｫﾙﾄ値
　  1：比(%) 
　  2：差(絶対値)   </t>
    <rPh sb="12" eb="13">
      <t>チ</t>
    </rPh>
    <phoneticPr fontId="6"/>
  </si>
  <si>
    <t>透析前検査グループ</t>
    <rPh sb="0" eb="2">
      <t>トウセキ</t>
    </rPh>
    <rPh sb="2" eb="3">
      <t>ゼン</t>
    </rPh>
    <rPh sb="3" eb="5">
      <t>ケンサ</t>
    </rPh>
    <phoneticPr fontId="6"/>
  </si>
  <si>
    <t>データ型変換</t>
    <rPh sb="3" eb="4">
      <t>ガタ</t>
    </rPh>
    <rPh sb="4" eb="6">
      <t>ヘンカン</t>
    </rPh>
    <phoneticPr fontId="6"/>
  </si>
  <si>
    <t>透析前後チェックタイプ　SMALLINT　→　CHAR(1)</t>
    <rPh sb="0" eb="2">
      <t>トウセキ</t>
    </rPh>
    <rPh sb="2" eb="4">
      <t>ゼンゴ</t>
    </rPh>
    <phoneticPr fontId="6"/>
  </si>
  <si>
    <t>備考（フラグ）修正　　　1：比　2：差</t>
    <rPh sb="0" eb="2">
      <t>ビコウ</t>
    </rPh>
    <rPh sb="7" eb="9">
      <t>シュウセイ</t>
    </rPh>
    <rPh sb="14" eb="15">
      <t>ヒ</t>
    </rPh>
    <rPh sb="18" eb="19">
      <t>サ</t>
    </rPh>
    <phoneticPr fontId="6"/>
  </si>
  <si>
    <t>上限　　　　　　　　　　8　→　20</t>
    <rPh sb="0" eb="2">
      <t>ジョウゲン</t>
    </rPh>
    <phoneticPr fontId="6"/>
  </si>
  <si>
    <t>下限　　　　　　　　　　8　→　20</t>
    <rPh sb="0" eb="2">
      <t>カゲン</t>
    </rPh>
    <phoneticPr fontId="6"/>
  </si>
  <si>
    <t>材料区分　→　材料コード　CHAR(4)</t>
    <rPh sb="0" eb="2">
      <t>ザイリョウ</t>
    </rPh>
    <rPh sb="2" eb="4">
      <t>クブン</t>
    </rPh>
    <rPh sb="7" eb="9">
      <t>ザイリョウ</t>
    </rPh>
    <phoneticPr fontId="6"/>
  </si>
  <si>
    <t>"0"の場合（ALL指定）</t>
    <rPh sb="4" eb="6">
      <t>バアイ</t>
    </rPh>
    <rPh sb="10" eb="12">
      <t>シテイ</t>
    </rPh>
    <phoneticPr fontId="6"/>
  </si>
  <si>
    <t>ZAICD</t>
  </si>
  <si>
    <t>ZAICD</t>
    <phoneticPr fontId="6"/>
  </si>
  <si>
    <t>相関チェックが実際に行われるトリガーとなるべき項目を記述する。</t>
    <rPh sb="0" eb="2">
      <t>ソウカン</t>
    </rPh>
    <rPh sb="7" eb="9">
      <t>ジッサイ</t>
    </rPh>
    <rPh sb="10" eb="11">
      <t>オコナ</t>
    </rPh>
    <rPh sb="23" eb="25">
      <t>コウモク</t>
    </rPh>
    <rPh sb="26" eb="28">
      <t>キジュツ</t>
    </rPh>
    <phoneticPr fontId="6"/>
  </si>
  <si>
    <t>変更担当者ID　CAHR(8)</t>
    <rPh sb="0" eb="2">
      <t>ヘンコウ</t>
    </rPh>
    <rPh sb="2" eb="5">
      <t>タントウシャ</t>
    </rPh>
    <phoneticPr fontId="6"/>
  </si>
  <si>
    <t>変更担当者ID　CHAR(8)</t>
    <rPh sb="0" eb="2">
      <t>ヘンコウ</t>
    </rPh>
    <rPh sb="2" eb="5">
      <t>タントウシャ</t>
    </rPh>
    <phoneticPr fontId="6"/>
  </si>
  <si>
    <t>施設コード　→　親施設コード</t>
    <rPh sb="0" eb="2">
      <t>シセツ</t>
    </rPh>
    <rPh sb="8" eb="9">
      <t>オヤ</t>
    </rPh>
    <rPh sb="9" eb="11">
      <t>シセツ</t>
    </rPh>
    <phoneticPr fontId="6"/>
  </si>
  <si>
    <t>検査グループと項目コードの順を変更</t>
    <rPh sb="0" eb="2">
      <t>ケンサ</t>
    </rPh>
    <rPh sb="7" eb="9">
      <t>コウモク</t>
    </rPh>
    <rPh sb="13" eb="14">
      <t>ジュン</t>
    </rPh>
    <rPh sb="15" eb="17">
      <t>ヘンコウ</t>
    </rPh>
    <phoneticPr fontId="6"/>
  </si>
  <si>
    <t>負荷親項目コード</t>
    <rPh sb="0" eb="2">
      <t>フカ</t>
    </rPh>
    <rPh sb="2" eb="3">
      <t>オヤ</t>
    </rPh>
    <rPh sb="3" eb="5">
      <t>コウモク</t>
    </rPh>
    <phoneticPr fontId="6"/>
  </si>
  <si>
    <t>　0:何もしない
　1:チェック⑨を実行
予約</t>
    <rPh sb="3" eb="4">
      <t>ナニ</t>
    </rPh>
    <rPh sb="18" eb="20">
      <t>ジッコウ</t>
    </rPh>
    <rPh sb="21" eb="23">
      <t>ヨヤク</t>
    </rPh>
    <phoneticPr fontId="6"/>
  </si>
  <si>
    <t>　0：レンジチェック
　1：相関チェック
　2：透析前後チェック
　3：負荷パターンチェック
　4：関連チェック</t>
    <rPh sb="14" eb="16">
      <t>ソウカン</t>
    </rPh>
    <rPh sb="24" eb="26">
      <t>トウセキ</t>
    </rPh>
    <rPh sb="26" eb="28">
      <t>ゼンゴ</t>
    </rPh>
    <rPh sb="36" eb="38">
      <t>フカ</t>
    </rPh>
    <rPh sb="50" eb="52">
      <t>カンレン</t>
    </rPh>
    <phoneticPr fontId="6"/>
  </si>
  <si>
    <t>容器コード</t>
  </si>
  <si>
    <t>容器コード</t>
    <rPh sb="0" eb="2">
      <t>ヨウキ</t>
    </rPh>
    <phoneticPr fontId="6"/>
  </si>
  <si>
    <t>YKCD</t>
  </si>
  <si>
    <t>桁数変更</t>
    <rPh sb="0" eb="2">
      <t>ケタスウ</t>
    </rPh>
    <rPh sb="2" eb="4">
      <t>ヘンコウ</t>
    </rPh>
    <phoneticPr fontId="6"/>
  </si>
  <si>
    <t>検査法区分　CHAR(1)　→　CHAR(40)</t>
    <rPh sb="0" eb="2">
      <t>ケンサ</t>
    </rPh>
    <rPh sb="2" eb="3">
      <t>ホウ</t>
    </rPh>
    <rPh sb="3" eb="5">
      <t>クブン</t>
    </rPh>
    <phoneticPr fontId="6"/>
  </si>
  <si>
    <t>コード定義追加</t>
    <rPh sb="3" eb="5">
      <t>テイギ</t>
    </rPh>
    <rPh sb="5" eb="7">
      <t>ツイカ</t>
    </rPh>
    <phoneticPr fontId="6"/>
  </si>
  <si>
    <t>検査グループ種別　[ Ａ：オールマイティ ]</t>
    <rPh sb="0" eb="2">
      <t>ケンサ</t>
    </rPh>
    <rPh sb="6" eb="8">
      <t>シュベツ</t>
    </rPh>
    <phoneticPr fontId="6"/>
  </si>
  <si>
    <t>履歴チェックマスタ</t>
    <rPh sb="0" eb="2">
      <t>リレキ</t>
    </rPh>
    <phoneticPr fontId="6"/>
  </si>
  <si>
    <t>許容限界下限</t>
    <rPh sb="0" eb="2">
      <t>キョヨウ</t>
    </rPh>
    <rPh sb="2" eb="4">
      <t>ゲンカイ</t>
    </rPh>
    <rPh sb="4" eb="6">
      <t>カゲン</t>
    </rPh>
    <phoneticPr fontId="6"/>
  </si>
  <si>
    <t>許容限界上限</t>
    <rPh sb="0" eb="2">
      <t>キョヨウ</t>
    </rPh>
    <rPh sb="2" eb="4">
      <t>ゲンカイ</t>
    </rPh>
    <rPh sb="4" eb="6">
      <t>ジョウゲン</t>
    </rPh>
    <phoneticPr fontId="6"/>
  </si>
  <si>
    <t>　0:何もしない
　1:チェック⑩を実行
予約</t>
    <rPh sb="3" eb="4">
      <t>ナニ</t>
    </rPh>
    <rPh sb="18" eb="20">
      <t>ジッコウ</t>
    </rPh>
    <rPh sb="21" eb="23">
      <t>ヨヤク</t>
    </rPh>
    <phoneticPr fontId="6"/>
  </si>
  <si>
    <t>分析機区分</t>
    <rPh sb="0" eb="2">
      <t>ブンセキ</t>
    </rPh>
    <rPh sb="2" eb="3">
      <t>キ</t>
    </rPh>
    <rPh sb="3" eb="5">
      <t>クブン</t>
    </rPh>
    <phoneticPr fontId="5"/>
  </si>
  <si>
    <t>　0：前
　1：後
　2：規定ルール毎</t>
    <rPh sb="3" eb="4">
      <t>マエ</t>
    </rPh>
    <rPh sb="8" eb="9">
      <t>アト</t>
    </rPh>
    <rPh sb="13" eb="15">
      <t>キテイ</t>
    </rPh>
    <rPh sb="18" eb="19">
      <t>マイ</t>
    </rPh>
    <phoneticPr fontId="6"/>
  </si>
  <si>
    <t>平均値</t>
    <rPh sb="0" eb="2">
      <t>ヘイキン</t>
    </rPh>
    <rPh sb="2" eb="3">
      <t>チ</t>
    </rPh>
    <phoneticPr fontId="5"/>
  </si>
  <si>
    <t>コントロール種別表示順番</t>
    <rPh sb="6" eb="8">
      <t>シュベツ</t>
    </rPh>
    <rPh sb="8" eb="10">
      <t>ヒョウジ</t>
    </rPh>
    <rPh sb="10" eb="12">
      <t>ジュンバン</t>
    </rPh>
    <phoneticPr fontId="6"/>
  </si>
  <si>
    <t>画面及び、帳票での種別表示順番を示す。</t>
    <rPh sb="0" eb="2">
      <t>ガメン</t>
    </rPh>
    <rPh sb="2" eb="3">
      <t>オヨ</t>
    </rPh>
    <rPh sb="5" eb="7">
      <t>チョウヒョウ</t>
    </rPh>
    <rPh sb="9" eb="11">
      <t>シュベツ</t>
    </rPh>
    <rPh sb="11" eb="13">
      <t>ヒョウジ</t>
    </rPh>
    <rPh sb="13" eb="15">
      <t>ジュンバン</t>
    </rPh>
    <rPh sb="16" eb="17">
      <t>シメ</t>
    </rPh>
    <phoneticPr fontId="6"/>
  </si>
  <si>
    <t>開始位置</t>
    <rPh sb="0" eb="2">
      <t>カイシ</t>
    </rPh>
    <rPh sb="2" eb="4">
      <t>イチ</t>
    </rPh>
    <phoneticPr fontId="6"/>
  </si>
  <si>
    <t>挿入間隔</t>
    <rPh sb="0" eb="2">
      <t>ソウニュウ</t>
    </rPh>
    <rPh sb="2" eb="4">
      <t>カンカク</t>
    </rPh>
    <phoneticPr fontId="6"/>
  </si>
  <si>
    <t>ヘマトで使用</t>
    <rPh sb="4" eb="6">
      <t>シヨウ</t>
    </rPh>
    <phoneticPr fontId="6"/>
  </si>
  <si>
    <t>ライン名称</t>
    <rPh sb="3" eb="5">
      <t>メイショウ</t>
    </rPh>
    <phoneticPr fontId="6"/>
  </si>
  <si>
    <t>接続分析機号機数</t>
    <rPh sb="0" eb="2">
      <t>セツゾク</t>
    </rPh>
    <rPh sb="2" eb="4">
      <t>ブンセキ</t>
    </rPh>
    <rPh sb="4" eb="5">
      <t>キ</t>
    </rPh>
    <rPh sb="5" eb="7">
      <t>ゴウキ</t>
    </rPh>
    <rPh sb="7" eb="8">
      <t>スウ</t>
    </rPh>
    <phoneticPr fontId="6"/>
  </si>
  <si>
    <t>接続分析機種別</t>
    <rPh sb="0" eb="2">
      <t>セツゾク</t>
    </rPh>
    <rPh sb="2" eb="4">
      <t>ブンセキ</t>
    </rPh>
    <rPh sb="4" eb="5">
      <t>キ</t>
    </rPh>
    <rPh sb="5" eb="7">
      <t>シュベツ</t>
    </rPh>
    <phoneticPr fontId="6"/>
  </si>
  <si>
    <t>負荷パターンチェック時に参照するマスタ</t>
    <rPh sb="0" eb="2">
      <t>フカ</t>
    </rPh>
    <rPh sb="10" eb="11">
      <t>ジ</t>
    </rPh>
    <rPh sb="12" eb="14">
      <t>サンショウ</t>
    </rPh>
    <phoneticPr fontId="6"/>
  </si>
  <si>
    <t>スタンダード種別の項目単位にスタンダード試薬情報を設定する。</t>
    <rPh sb="20" eb="22">
      <t>シヤク</t>
    </rPh>
    <phoneticPr fontId="6"/>
  </si>
  <si>
    <t>各検査項目に対する情報を定義する。
[検査グループ＋項目コード]をプライマリーキーとする。</t>
    <rPh sb="0" eb="1">
      <t>カク</t>
    </rPh>
    <rPh sb="1" eb="3">
      <t>ケンサ</t>
    </rPh>
    <rPh sb="3" eb="5">
      <t>コウモク</t>
    </rPh>
    <rPh sb="6" eb="7">
      <t>タイ</t>
    </rPh>
    <rPh sb="9" eb="11">
      <t>ジョウホウ</t>
    </rPh>
    <rPh sb="12" eb="14">
      <t>テイギ</t>
    </rPh>
    <rPh sb="19" eb="21">
      <t>ケンサ</t>
    </rPh>
    <rPh sb="26" eb="28">
      <t>コウモク</t>
    </rPh>
    <phoneticPr fontId="6"/>
  </si>
  <si>
    <t>履歴情報の保存日数を表す
　0：履歴を使用しない
　1以上：履歴情報を蓄積する日数</t>
    <rPh sb="0" eb="2">
      <t>リレキ</t>
    </rPh>
    <rPh sb="2" eb="4">
      <t>ジョウホウ</t>
    </rPh>
    <rPh sb="5" eb="7">
      <t>ホゾン</t>
    </rPh>
    <rPh sb="7" eb="9">
      <t>ニッスウ</t>
    </rPh>
    <rPh sb="10" eb="11">
      <t>アラワ</t>
    </rPh>
    <rPh sb="16" eb="18">
      <t>リレキ</t>
    </rPh>
    <rPh sb="19" eb="21">
      <t>シヨウ</t>
    </rPh>
    <rPh sb="27" eb="29">
      <t>イジョウ</t>
    </rPh>
    <rPh sb="39" eb="41">
      <t>ニッスウ</t>
    </rPh>
    <phoneticPr fontId="6"/>
  </si>
  <si>
    <t>基準値マスタに施設別指定の要素を加えた物。</t>
    <rPh sb="0" eb="3">
      <t>キジュンチ</t>
    </rPh>
    <rPh sb="7" eb="10">
      <t>シセツベツ</t>
    </rPh>
    <rPh sb="10" eb="12">
      <t>シテイ</t>
    </rPh>
    <rPh sb="13" eb="15">
      <t>ヨウソ</t>
    </rPh>
    <rPh sb="16" eb="17">
      <t>クワ</t>
    </rPh>
    <rPh sb="19" eb="20">
      <t>モノ</t>
    </rPh>
    <phoneticPr fontId="6"/>
  </si>
  <si>
    <t>営業所の情報を定義したマスタ</t>
    <rPh sb="0" eb="3">
      <t>エイギョウショ</t>
    </rPh>
    <rPh sb="4" eb="6">
      <t>ジョウホウ</t>
    </rPh>
    <rPh sb="7" eb="9">
      <t>テイギ</t>
    </rPh>
    <phoneticPr fontId="6"/>
  </si>
  <si>
    <t>材料の情報を定義したマスタ</t>
    <rPh sb="0" eb="2">
      <t>ザイリョウ</t>
    </rPh>
    <rPh sb="3" eb="5">
      <t>ジョウホウ</t>
    </rPh>
    <rPh sb="6" eb="8">
      <t>テイギ</t>
    </rPh>
    <phoneticPr fontId="6"/>
  </si>
  <si>
    <t>検査グループコードを登録</t>
    <rPh sb="0" eb="2">
      <t>ケンサ</t>
    </rPh>
    <rPh sb="10" eb="12">
      <t>トウロク</t>
    </rPh>
    <phoneticPr fontId="6"/>
  </si>
  <si>
    <t>自動発生検査グループ</t>
    <rPh sb="0" eb="2">
      <t>ジドウ</t>
    </rPh>
    <rPh sb="2" eb="4">
      <t>ハッセイ</t>
    </rPh>
    <rPh sb="4" eb="6">
      <t>ケンサ</t>
    </rPh>
    <phoneticPr fontId="5"/>
  </si>
  <si>
    <t>希釈倍率マスタ</t>
    <rPh sb="2" eb="4">
      <t>バイリツ</t>
    </rPh>
    <phoneticPr fontId="6"/>
  </si>
  <si>
    <t>透析前後チェックを行なう前後の項目コードを設定する。</t>
    <phoneticPr fontId="6"/>
  </si>
  <si>
    <t>分析機固有の情報を定義。</t>
    <rPh sb="0" eb="2">
      <t>ブンセキ</t>
    </rPh>
    <rPh sb="2" eb="3">
      <t>キ</t>
    </rPh>
    <rPh sb="3" eb="5">
      <t>コユウ</t>
    </rPh>
    <rPh sb="6" eb="8">
      <t>ジョウホウ</t>
    </rPh>
    <rPh sb="9" eb="11">
      <t>テイギ</t>
    </rPh>
    <phoneticPr fontId="6"/>
  </si>
  <si>
    <t>分析機ライン固有の情報を定義。</t>
    <rPh sb="0" eb="2">
      <t>ブンセキ</t>
    </rPh>
    <rPh sb="2" eb="3">
      <t>キ</t>
    </rPh>
    <rPh sb="6" eb="8">
      <t>コユウ</t>
    </rPh>
    <rPh sb="9" eb="11">
      <t>ジョウホウ</t>
    </rPh>
    <rPh sb="12" eb="14">
      <t>テイギ</t>
    </rPh>
    <phoneticPr fontId="6"/>
  </si>
  <si>
    <t>分析機のチャネルと検査項目を紐づける為のマスタ。
項目コードと分析機チャネルの対応関係を分析機ごとに設定する。</t>
    <rPh sb="0" eb="2">
      <t>ブンセキ</t>
    </rPh>
    <rPh sb="2" eb="3">
      <t>キ</t>
    </rPh>
    <rPh sb="9" eb="11">
      <t>ケンサ</t>
    </rPh>
    <rPh sb="11" eb="13">
      <t>コウモク</t>
    </rPh>
    <rPh sb="14" eb="15">
      <t>ヒモ</t>
    </rPh>
    <rPh sb="18" eb="19">
      <t>タメ</t>
    </rPh>
    <phoneticPr fontId="6"/>
  </si>
  <si>
    <t>サテライトで発生するプロセスの管理情報を設定する。</t>
    <rPh sb="6" eb="8">
      <t>ハッセイ</t>
    </rPh>
    <rPh sb="15" eb="17">
      <t>カンリ</t>
    </rPh>
    <rPh sb="17" eb="19">
      <t>ジョウホウ</t>
    </rPh>
    <rPh sb="20" eb="22">
      <t>セッテイ</t>
    </rPh>
    <phoneticPr fontId="6"/>
  </si>
  <si>
    <t>項目グループマスタ</t>
    <phoneticPr fontId="6"/>
  </si>
  <si>
    <t>KMKGRP</t>
    <phoneticPr fontId="6"/>
  </si>
  <si>
    <t xml:space="preserve">項目グループ名称 </t>
    <rPh sb="0" eb="2">
      <t>コウモク</t>
    </rPh>
    <rPh sb="6" eb="8">
      <t>メイショウ</t>
    </rPh>
    <phoneticPr fontId="6"/>
  </si>
  <si>
    <t>項目グループ略称</t>
    <rPh sb="0" eb="2">
      <t>コウモク</t>
    </rPh>
    <rPh sb="6" eb="8">
      <t>リャクショウ</t>
    </rPh>
    <phoneticPr fontId="6"/>
  </si>
  <si>
    <t>KMKGRPNM</t>
    <phoneticPr fontId="6"/>
  </si>
  <si>
    <t>KMKGRPRS</t>
    <phoneticPr fontId="6"/>
  </si>
  <si>
    <t>2006/02/01　永田</t>
    <rPh sb="11" eb="13">
      <t>ナガタ</t>
    </rPh>
    <phoneticPr fontId="6"/>
  </si>
  <si>
    <t>2006/02/14　鎌倉</t>
    <rPh sb="11" eb="13">
      <t>カマクラ</t>
    </rPh>
    <phoneticPr fontId="6"/>
  </si>
  <si>
    <t>2006/02/02　永田</t>
    <rPh sb="11" eb="13">
      <t>ナガタ</t>
    </rPh>
    <phoneticPr fontId="6"/>
  </si>
  <si>
    <t>帳票印字、画面表示順番</t>
    <rPh sb="5" eb="7">
      <t>ガメン</t>
    </rPh>
    <rPh sb="7" eb="9">
      <t>ヒョウジ</t>
    </rPh>
    <phoneticPr fontId="6"/>
  </si>
  <si>
    <t>KMKNM</t>
    <phoneticPr fontId="6"/>
  </si>
  <si>
    <t>KMKRS</t>
    <phoneticPr fontId="6"/>
  </si>
  <si>
    <t>KMKRSJ</t>
    <phoneticPr fontId="6"/>
  </si>
  <si>
    <t>KMKNME</t>
    <phoneticPr fontId="6"/>
  </si>
  <si>
    <t>KMKHSKNMJ</t>
    <phoneticPr fontId="6"/>
  </si>
  <si>
    <t>FKKMKNM</t>
    <phoneticPr fontId="6"/>
  </si>
  <si>
    <t>DATE</t>
    <phoneticPr fontId="6"/>
  </si>
  <si>
    <t>FKKMKNMJ</t>
    <phoneticPr fontId="6"/>
  </si>
  <si>
    <t>サンプリングコード</t>
    <phoneticPr fontId="6"/>
  </si>
  <si>
    <t>SMPCD</t>
    <phoneticPr fontId="6"/>
  </si>
  <si>
    <t>KORRN</t>
    <phoneticPr fontId="6"/>
  </si>
  <si>
    <t xml:space="preserve">セクションコード </t>
    <phoneticPr fontId="6"/>
  </si>
  <si>
    <t>SECCD</t>
    <phoneticPr fontId="6"/>
  </si>
  <si>
    <t>STNFLG</t>
    <phoneticPr fontId="6"/>
  </si>
  <si>
    <t>SSTNKSU</t>
    <phoneticPr fontId="6"/>
  </si>
  <si>
    <t>FKJBN</t>
    <phoneticPr fontId="6"/>
  </si>
  <si>
    <t>LTMMNFLG</t>
    <phoneticPr fontId="6"/>
  </si>
  <si>
    <t>ZRKBN</t>
    <phoneticPr fontId="6"/>
  </si>
  <si>
    <t>BCRTJ</t>
    <phoneticPr fontId="6"/>
  </si>
  <si>
    <t>INTEGER</t>
    <phoneticPr fontId="6"/>
  </si>
  <si>
    <t>BCRSR</t>
    <phoneticPr fontId="6"/>
  </si>
  <si>
    <t>BCRSN</t>
    <phoneticPr fontId="6"/>
  </si>
  <si>
    <t>YKNKNSFLG</t>
    <phoneticPr fontId="6"/>
  </si>
  <si>
    <t>CHAR</t>
    <phoneticPr fontId="6"/>
  </si>
  <si>
    <t>○</t>
    <phoneticPr fontId="6"/>
  </si>
  <si>
    <t>HRYNSU</t>
    <phoneticPr fontId="6"/>
  </si>
  <si>
    <t>JDHSKKA</t>
    <phoneticPr fontId="6"/>
  </si>
  <si>
    <t>SMALLINT</t>
    <phoneticPr fontId="6"/>
  </si>
  <si>
    <t xml:space="preserve">KSNKMKFLG      </t>
    <phoneticPr fontId="6"/>
  </si>
  <si>
    <t xml:space="preserve">計算項目フラグ 
　0：計算しない
　1：計算項目            </t>
    <phoneticPr fontId="6"/>
  </si>
  <si>
    <t xml:space="preserve">HSIUMFLG     </t>
    <phoneticPr fontId="6"/>
  </si>
  <si>
    <t>SMALLINT</t>
    <phoneticPr fontId="6"/>
  </si>
  <si>
    <t>CHAR</t>
    <phoneticPr fontId="6"/>
  </si>
  <si>
    <t>KMKSBT</t>
    <phoneticPr fontId="6"/>
  </si>
  <si>
    <t xml:space="preserve"> </t>
    <phoneticPr fontId="6"/>
  </si>
  <si>
    <t>表示順</t>
    <rPh sb="0" eb="2">
      <t>ヒョウジ</t>
    </rPh>
    <rPh sb="2" eb="3">
      <t>ジュン</t>
    </rPh>
    <phoneticPr fontId="5"/>
  </si>
  <si>
    <t>HYJIJN</t>
    <phoneticPr fontId="6"/>
  </si>
  <si>
    <t>SMALLINT</t>
    <phoneticPr fontId="6"/>
  </si>
  <si>
    <t>JKNSGRP</t>
    <phoneticPr fontId="6"/>
  </si>
  <si>
    <t>JKMKCD</t>
    <phoneticPr fontId="6"/>
  </si>
  <si>
    <t>DECIMAL</t>
    <phoneticPr fontId="6"/>
  </si>
  <si>
    <t>報告有無フラグ</t>
    <rPh sb="0" eb="2">
      <t>ホウコク</t>
    </rPh>
    <rPh sb="2" eb="4">
      <t>ウム</t>
    </rPh>
    <phoneticPr fontId="5"/>
  </si>
  <si>
    <t xml:space="preserve">HHKUMFLG   </t>
    <phoneticPr fontId="6"/>
  </si>
  <si>
    <t>報告フラグ
　0：報告しない
　1：報告する
依頼情報テーブル等の依頼発生元区分に反映されることとする</t>
    <rPh sb="23" eb="25">
      <t>イライ</t>
    </rPh>
    <rPh sb="25" eb="26">
      <t>ジョウ</t>
    </rPh>
    <rPh sb="26" eb="27">
      <t>ホウ</t>
    </rPh>
    <rPh sb="31" eb="32">
      <t>トウ</t>
    </rPh>
    <rPh sb="33" eb="35">
      <t>イライ</t>
    </rPh>
    <rPh sb="35" eb="37">
      <t>ハッセイ</t>
    </rPh>
    <rPh sb="37" eb="38">
      <t>モト</t>
    </rPh>
    <rPh sb="38" eb="40">
      <t>クブン</t>
    </rPh>
    <rPh sb="41" eb="43">
      <t>ハンエイ</t>
    </rPh>
    <phoneticPr fontId="6"/>
  </si>
  <si>
    <t>計算項目マスタ</t>
    <phoneticPr fontId="6"/>
  </si>
  <si>
    <t>KSNSK</t>
    <phoneticPr fontId="6"/>
  </si>
  <si>
    <t>VARCHAR</t>
    <phoneticPr fontId="6"/>
  </si>
  <si>
    <t>TIME</t>
    <phoneticPr fontId="6"/>
  </si>
  <si>
    <t>TINYINT</t>
    <phoneticPr fontId="6"/>
  </si>
  <si>
    <t>CALCKMKMST</t>
    <phoneticPr fontId="6"/>
  </si>
  <si>
    <t xml:space="preserve">赤伝フラグ 
 0:デフォルト 1:赤伝対象     </t>
    <phoneticPr fontId="6"/>
  </si>
  <si>
    <t>自動発生項目マスタ</t>
    <phoneticPr fontId="6"/>
  </si>
  <si>
    <t>TINYINT</t>
    <phoneticPr fontId="6"/>
  </si>
  <si>
    <t>KMKCD</t>
    <phoneticPr fontId="6"/>
  </si>
  <si>
    <t>KRKMKCD</t>
    <phoneticPr fontId="6"/>
  </si>
  <si>
    <t>SMALLINT</t>
    <phoneticPr fontId="6"/>
  </si>
  <si>
    <t>透析前後チェック</t>
    <phoneticPr fontId="6"/>
  </si>
  <si>
    <t>KMKCDZEN</t>
    <phoneticPr fontId="6"/>
  </si>
  <si>
    <t>KMKCDGO</t>
    <phoneticPr fontId="6"/>
  </si>
  <si>
    <t>DATE</t>
    <phoneticPr fontId="6"/>
  </si>
  <si>
    <t>TSKCHKTYP</t>
    <phoneticPr fontId="6"/>
  </si>
  <si>
    <t>TINYINT</t>
    <phoneticPr fontId="6"/>
  </si>
  <si>
    <t>HAIYMD</t>
    <phoneticPr fontId="6"/>
  </si>
  <si>
    <t>KSNDH</t>
    <phoneticPr fontId="6"/>
  </si>
  <si>
    <t>TIMESTAMP</t>
    <phoneticPr fontId="6"/>
  </si>
  <si>
    <t>相関チェックマスタ</t>
    <phoneticPr fontId="6"/>
  </si>
  <si>
    <t>KRKNSGRP</t>
    <phoneticPr fontId="6"/>
  </si>
  <si>
    <t>TIME</t>
    <phoneticPr fontId="6"/>
  </si>
  <si>
    <t>KAIYMD</t>
    <phoneticPr fontId="6"/>
  </si>
  <si>
    <t>HAIYMD</t>
    <phoneticPr fontId="6"/>
  </si>
  <si>
    <t>OYAKMKCD</t>
    <phoneticPr fontId="6"/>
  </si>
  <si>
    <t>CHK1</t>
    <phoneticPr fontId="6"/>
  </si>
  <si>
    <t>DECIMAL</t>
    <phoneticPr fontId="6"/>
  </si>
  <si>
    <t>DATE</t>
    <phoneticPr fontId="6"/>
  </si>
  <si>
    <t>TIME</t>
    <phoneticPr fontId="6"/>
  </si>
  <si>
    <t>KAIYMD</t>
    <phoneticPr fontId="6"/>
  </si>
  <si>
    <t>HAIYMD</t>
    <phoneticPr fontId="6"/>
  </si>
  <si>
    <t>スタンダードマスタ</t>
    <phoneticPr fontId="6"/>
  </si>
  <si>
    <t>BSKKBN</t>
    <phoneticPr fontId="6"/>
  </si>
  <si>
    <t>NBKMKCD</t>
    <phoneticPr fontId="6"/>
  </si>
  <si>
    <t>STDSBT</t>
    <phoneticPr fontId="6"/>
  </si>
  <si>
    <t>STDNM</t>
    <phoneticPr fontId="6"/>
  </si>
  <si>
    <t>○</t>
    <phoneticPr fontId="6"/>
  </si>
  <si>
    <t>STDRK</t>
    <phoneticPr fontId="6"/>
  </si>
  <si>
    <t>STDX</t>
    <phoneticPr fontId="6"/>
  </si>
  <si>
    <t>STDSD</t>
    <phoneticPr fontId="6"/>
  </si>
  <si>
    <t>STDCV</t>
    <phoneticPr fontId="6"/>
  </si>
  <si>
    <t>VALUER</t>
    <phoneticPr fontId="6"/>
  </si>
  <si>
    <t>MAXR</t>
    <phoneticPr fontId="6"/>
  </si>
  <si>
    <t>○</t>
    <phoneticPr fontId="6"/>
  </si>
  <si>
    <t>DATE</t>
    <phoneticPr fontId="6"/>
  </si>
  <si>
    <t>PLACE</t>
    <phoneticPr fontId="6"/>
  </si>
  <si>
    <t>SMALLINT</t>
    <phoneticPr fontId="6"/>
  </si>
  <si>
    <t>UNIT</t>
    <phoneticPr fontId="6"/>
  </si>
  <si>
    <t>SMALLINT</t>
    <phoneticPr fontId="6"/>
  </si>
  <si>
    <t>FACTER1</t>
    <phoneticPr fontId="6"/>
  </si>
  <si>
    <t>ファクター１</t>
    <phoneticPr fontId="6"/>
  </si>
  <si>
    <t>FACTER2</t>
    <phoneticPr fontId="6"/>
  </si>
  <si>
    <t>ファクター２</t>
    <phoneticPr fontId="6"/>
  </si>
  <si>
    <t>BASE1</t>
    <phoneticPr fontId="6"/>
  </si>
  <si>
    <t>ベース１</t>
    <phoneticPr fontId="6"/>
  </si>
  <si>
    <t>BASE2</t>
    <phoneticPr fontId="6"/>
  </si>
  <si>
    <t>ベース２</t>
    <phoneticPr fontId="6"/>
  </si>
  <si>
    <t>ファイルＮｏ</t>
    <phoneticPr fontId="6"/>
  </si>
  <si>
    <t>FILENUM</t>
    <phoneticPr fontId="6"/>
  </si>
  <si>
    <t>INTEGER</t>
    <phoneticPr fontId="6"/>
  </si>
  <si>
    <t>KIGEN</t>
    <phoneticPr fontId="6"/>
  </si>
  <si>
    <t>TIMESTAMP</t>
    <phoneticPr fontId="6"/>
  </si>
  <si>
    <t>○</t>
    <phoneticPr fontId="6"/>
  </si>
  <si>
    <t>スタンダード位置</t>
    <phoneticPr fontId="6"/>
  </si>
  <si>
    <t>CTLSTART</t>
    <phoneticPr fontId="6"/>
  </si>
  <si>
    <t>スタンダード本数</t>
    <phoneticPr fontId="6"/>
  </si>
  <si>
    <t>CTLCNT</t>
    <phoneticPr fontId="6"/>
  </si>
  <si>
    <t>SMALLINT</t>
    <phoneticPr fontId="6"/>
  </si>
  <si>
    <t>CTLPOS</t>
    <phoneticPr fontId="6"/>
  </si>
  <si>
    <t>CTLITV</t>
    <phoneticPr fontId="6"/>
  </si>
  <si>
    <t>CTLLV</t>
    <phoneticPr fontId="6"/>
  </si>
  <si>
    <t>コントロールマスタ</t>
    <phoneticPr fontId="6"/>
  </si>
  <si>
    <t>TIME</t>
    <phoneticPr fontId="6"/>
  </si>
  <si>
    <t>CTRLSBT</t>
    <phoneticPr fontId="6"/>
  </si>
  <si>
    <t>CTRLNM</t>
    <phoneticPr fontId="6"/>
  </si>
  <si>
    <t>SYKLOTNO</t>
    <phoneticPr fontId="6"/>
  </si>
  <si>
    <t>コントロールレベル</t>
    <phoneticPr fontId="5"/>
  </si>
  <si>
    <t>CTRLLBL</t>
    <phoneticPr fontId="6"/>
  </si>
  <si>
    <t>CTRLX</t>
    <phoneticPr fontId="6"/>
  </si>
  <si>
    <t>CTRLSD</t>
    <phoneticPr fontId="6"/>
  </si>
  <si>
    <t>CTRLCV</t>
    <phoneticPr fontId="6"/>
  </si>
  <si>
    <t>CHAR</t>
    <phoneticPr fontId="6"/>
  </si>
  <si>
    <t>ファクター２（手動補正で使用）</t>
    <phoneticPr fontId="6"/>
  </si>
  <si>
    <t>ベース１（手動補正で使用）</t>
    <phoneticPr fontId="6"/>
  </si>
  <si>
    <t>ベース２（手動補正で使用）</t>
    <phoneticPr fontId="6"/>
  </si>
  <si>
    <t>GKTKS</t>
    <phoneticPr fontId="6"/>
  </si>
  <si>
    <t>SMALLINT</t>
    <phoneticPr fontId="6"/>
  </si>
  <si>
    <t>KAIYMD</t>
    <phoneticPr fontId="6"/>
  </si>
  <si>
    <t>DATE</t>
    <phoneticPr fontId="6"/>
  </si>
  <si>
    <t>HAIYMD</t>
    <phoneticPr fontId="6"/>
  </si>
  <si>
    <t>KSNDH</t>
    <phoneticPr fontId="6"/>
  </si>
  <si>
    <t>TIMESTAMP</t>
    <phoneticPr fontId="6"/>
  </si>
  <si>
    <t>コントロールレベル</t>
    <phoneticPr fontId="6"/>
  </si>
  <si>
    <t>CTRLRS</t>
    <phoneticPr fontId="6"/>
  </si>
  <si>
    <t>コントロール管理上、基準となる値。
コントロール結果照会での「基準値」、XbarR管理図では、「表示値」となる。</t>
    <rPh sb="6" eb="8">
      <t>カンリ</t>
    </rPh>
    <rPh sb="8" eb="9">
      <t>ジョウ</t>
    </rPh>
    <rPh sb="10" eb="12">
      <t>キジュン</t>
    </rPh>
    <rPh sb="15" eb="16">
      <t>アタイ</t>
    </rPh>
    <rPh sb="24" eb="26">
      <t>ケッカ</t>
    </rPh>
    <rPh sb="26" eb="28">
      <t>ショウカイ</t>
    </rPh>
    <rPh sb="31" eb="34">
      <t>キジュンチ</t>
    </rPh>
    <rPh sb="41" eb="43">
      <t>カンリ</t>
    </rPh>
    <rPh sb="43" eb="44">
      <t>ズ</t>
    </rPh>
    <rPh sb="48" eb="50">
      <t>ヒョウジ</t>
    </rPh>
    <rPh sb="50" eb="51">
      <t>チ</t>
    </rPh>
    <phoneticPr fontId="6"/>
  </si>
  <si>
    <t>Ｒ</t>
    <phoneticPr fontId="6"/>
  </si>
  <si>
    <t>Ｒ限界値</t>
    <rPh sb="1" eb="3">
      <t>ゲンカイ</t>
    </rPh>
    <rPh sb="3" eb="4">
      <t>チ</t>
    </rPh>
    <phoneticPr fontId="5"/>
  </si>
  <si>
    <t>XbarR管理図での参照用データ</t>
  </si>
  <si>
    <t>YKKIGEN</t>
    <phoneticPr fontId="6"/>
  </si>
  <si>
    <t>CTRLHYJN</t>
    <phoneticPr fontId="6"/>
  </si>
  <si>
    <t>2006/02/03　永田</t>
    <rPh sb="11" eb="13">
      <t>ナガタ</t>
    </rPh>
    <phoneticPr fontId="6"/>
  </si>
  <si>
    <t>NBKMKCD</t>
    <phoneticPr fontId="6"/>
  </si>
  <si>
    <t>CTRLHNSU</t>
    <phoneticPr fontId="6"/>
  </si>
  <si>
    <t>SJHNSU</t>
    <phoneticPr fontId="6"/>
  </si>
  <si>
    <t>KAIYMD</t>
    <phoneticPr fontId="6"/>
  </si>
  <si>
    <t>DATE</t>
    <phoneticPr fontId="6"/>
  </si>
  <si>
    <t>HAIYMD</t>
    <phoneticPr fontId="6"/>
  </si>
  <si>
    <t>KSNDH</t>
    <phoneticPr fontId="6"/>
  </si>
  <si>
    <t>TIMESTAMP</t>
    <phoneticPr fontId="6"/>
  </si>
  <si>
    <t>コントロール位置</t>
    <phoneticPr fontId="6"/>
  </si>
  <si>
    <t>SMALLINT</t>
    <phoneticPr fontId="6"/>
  </si>
  <si>
    <t>CTRLSBTMST</t>
    <phoneticPr fontId="6"/>
  </si>
  <si>
    <t>コントロール種別マスタ</t>
    <rPh sb="6" eb="8">
      <t>シュベツ</t>
    </rPh>
    <phoneticPr fontId="6"/>
  </si>
  <si>
    <t>STIRCKID</t>
    <phoneticPr fontId="6"/>
  </si>
  <si>
    <t>STIRCKPOS</t>
    <phoneticPr fontId="6"/>
  </si>
  <si>
    <t>CTRLITI</t>
    <phoneticPr fontId="6"/>
  </si>
  <si>
    <t>CTRLCNT</t>
    <phoneticPr fontId="6"/>
  </si>
  <si>
    <t>CTRLSTART</t>
    <phoneticPr fontId="6"/>
  </si>
  <si>
    <t>CTRLITV</t>
    <phoneticPr fontId="6"/>
  </si>
  <si>
    <t>CTRLIJHTMST</t>
    <phoneticPr fontId="6"/>
  </si>
  <si>
    <t>KYUHNIFLG</t>
    <phoneticPr fontId="6"/>
  </si>
  <si>
    <t>[ 1:1SD 2:2SD 3:3SD ･･･ 9:9SD ]</t>
    <phoneticPr fontId="6"/>
  </si>
  <si>
    <t>下記の様なコントロール異常判定ルールをマスター化する
5本設定:
 異常なしが3本以上であればOK
 コントロール本数:5
 許容範囲フラグ:2
 正常コントロール本数:3
下記はマルチルール
5本設定:
 異常なしが3本以上であればOK
4本設定:
 異常なしが3本以上であればOK 
3本設定:
 異常なしが2本以上であればOK 
2本設定:
 異常なしが1本以上であればOK 
1本設定:
 3SDと設定されていなければOK（3SDを越えてなければOK）</t>
    <rPh sb="0" eb="2">
      <t>カキ</t>
    </rPh>
    <rPh sb="3" eb="4">
      <t>ヨウ</t>
    </rPh>
    <rPh sb="11" eb="13">
      <t>イジョウ</t>
    </rPh>
    <rPh sb="13" eb="15">
      <t>ハンテイ</t>
    </rPh>
    <rPh sb="23" eb="24">
      <t>カ</t>
    </rPh>
    <rPh sb="59" eb="61">
      <t>ホンスウ</t>
    </rPh>
    <rPh sb="65" eb="67">
      <t>キョヨウ</t>
    </rPh>
    <rPh sb="67" eb="69">
      <t>ハンイ</t>
    </rPh>
    <rPh sb="76" eb="78">
      <t>セイジョウ</t>
    </rPh>
    <rPh sb="84" eb="86">
      <t>ホンスウ</t>
    </rPh>
    <rPh sb="90" eb="92">
      <t>カキ</t>
    </rPh>
    <phoneticPr fontId="6"/>
  </si>
  <si>
    <t>KNSGRPNM</t>
    <phoneticPr fontId="6"/>
  </si>
  <si>
    <t>KNSGRPRS</t>
    <phoneticPr fontId="6"/>
  </si>
  <si>
    <t xml:space="preserve">セクションコード </t>
    <phoneticPr fontId="6"/>
  </si>
  <si>
    <t>SECCD</t>
    <phoneticPr fontId="6"/>
  </si>
  <si>
    <t>KNSSBT</t>
    <phoneticPr fontId="6"/>
  </si>
  <si>
    <t>BGROUP</t>
    <phoneticPr fontId="6"/>
  </si>
  <si>
    <t>運用区分</t>
    <phoneticPr fontId="6"/>
  </si>
  <si>
    <t>○</t>
    <phoneticPr fontId="6"/>
  </si>
  <si>
    <t>DATE</t>
    <phoneticPr fontId="6"/>
  </si>
  <si>
    <t>CHAR</t>
    <phoneticPr fontId="6"/>
  </si>
  <si>
    <t>○</t>
    <phoneticPr fontId="6"/>
  </si>
  <si>
    <t>○</t>
    <phoneticPr fontId="6"/>
  </si>
  <si>
    <t>KNSYB</t>
    <phoneticPr fontId="6"/>
  </si>
  <si>
    <t>CHAR</t>
    <phoneticPr fontId="6"/>
  </si>
  <si>
    <t>UNYOKBN</t>
    <phoneticPr fontId="6"/>
  </si>
  <si>
    <t>KNSHOKBN</t>
    <phoneticPr fontId="6"/>
  </si>
  <si>
    <t>分注量ＭＩＮ</t>
    <rPh sb="0" eb="1">
      <t>ブン</t>
    </rPh>
    <rPh sb="1" eb="2">
      <t>チュウ</t>
    </rPh>
    <rPh sb="2" eb="3">
      <t>リョウ</t>
    </rPh>
    <phoneticPr fontId="6"/>
  </si>
  <si>
    <t>分注量ＭＡＸ</t>
    <rPh sb="0" eb="1">
      <t>ブン</t>
    </rPh>
    <rPh sb="1" eb="2">
      <t>チュウ</t>
    </rPh>
    <rPh sb="2" eb="3">
      <t>リョウ</t>
    </rPh>
    <phoneticPr fontId="6"/>
  </si>
  <si>
    <t>MINRYO</t>
    <phoneticPr fontId="6"/>
  </si>
  <si>
    <t>希釈倍率</t>
    <rPh sb="0" eb="2">
      <t>キシャク</t>
    </rPh>
    <rPh sb="2" eb="4">
      <t>バイリツ</t>
    </rPh>
    <phoneticPr fontId="6"/>
  </si>
  <si>
    <t>ドキュメント</t>
    <phoneticPr fontId="6"/>
  </si>
  <si>
    <t>○</t>
    <phoneticPr fontId="6"/>
  </si>
  <si>
    <t>CHAR</t>
    <phoneticPr fontId="6"/>
  </si>
  <si>
    <t>No.</t>
    <phoneticPr fontId="6"/>
  </si>
  <si>
    <t>キー</t>
    <phoneticPr fontId="6"/>
  </si>
  <si>
    <t>KMKMST</t>
    <phoneticPr fontId="6"/>
  </si>
  <si>
    <t>KJNMST</t>
    <phoneticPr fontId="6"/>
  </si>
  <si>
    <t>KNSGMST</t>
    <phoneticPr fontId="6"/>
  </si>
  <si>
    <t>SSTSRMST</t>
    <phoneticPr fontId="6"/>
  </si>
  <si>
    <t>SSTSRMST</t>
    <phoneticPr fontId="6"/>
  </si>
  <si>
    <t>EIGMST</t>
    <phoneticPr fontId="6"/>
  </si>
  <si>
    <t>ZAIRMST</t>
    <phoneticPr fontId="6"/>
  </si>
  <si>
    <t>CMTMST</t>
    <phoneticPr fontId="6"/>
  </si>
  <si>
    <t>JDKMKMST</t>
    <phoneticPr fontId="6"/>
  </si>
  <si>
    <t>KRKMKMST</t>
    <phoneticPr fontId="6"/>
  </si>
  <si>
    <t>KSKBRMST</t>
    <phoneticPr fontId="6"/>
  </si>
  <si>
    <t>TSCHKMST</t>
    <phoneticPr fontId="6"/>
  </si>
  <si>
    <t>SKCHKMST</t>
    <phoneticPr fontId="6"/>
  </si>
  <si>
    <t>FKPTCHKMST</t>
    <phoneticPr fontId="6"/>
  </si>
  <si>
    <t>CTRLMST</t>
    <phoneticPr fontId="6"/>
  </si>
  <si>
    <t>MECHMST</t>
    <phoneticPr fontId="6"/>
  </si>
  <si>
    <t>MEMST</t>
    <phoneticPr fontId="6"/>
  </si>
  <si>
    <t>TRMST</t>
    <phoneticPr fontId="6"/>
  </si>
  <si>
    <t>USERMST</t>
    <phoneticPr fontId="6"/>
  </si>
  <si>
    <t>KNOKGNMST</t>
    <phoneticPr fontId="6"/>
  </si>
  <si>
    <t>DATE</t>
    <phoneticPr fontId="6"/>
  </si>
  <si>
    <t>KNSGRP</t>
    <phoneticPr fontId="6"/>
  </si>
  <si>
    <t>KMKCD</t>
    <phoneticPr fontId="6"/>
  </si>
  <si>
    <t>CHAR</t>
    <phoneticPr fontId="6"/>
  </si>
  <si>
    <t>○</t>
    <phoneticPr fontId="6"/>
  </si>
  <si>
    <t>SMALLINT</t>
    <phoneticPr fontId="6"/>
  </si>
  <si>
    <t>KSBR</t>
    <phoneticPr fontId="6"/>
  </si>
  <si>
    <t>CHAR</t>
    <phoneticPr fontId="6"/>
  </si>
  <si>
    <t>BMオンラインのみ参照
設定値 D1,D2,D3,D4
注：分析機区分"BIOM"のレコードには全て付加すること。</t>
    <rPh sb="9" eb="11">
      <t>サンショウ</t>
    </rPh>
    <rPh sb="12" eb="15">
      <t>セッテイチ</t>
    </rPh>
    <rPh sb="28" eb="29">
      <t>チュウ</t>
    </rPh>
    <rPh sb="30" eb="32">
      <t>ブンセキ</t>
    </rPh>
    <rPh sb="32" eb="33">
      <t>キ</t>
    </rPh>
    <rPh sb="33" eb="35">
      <t>クブン</t>
    </rPh>
    <rPh sb="48" eb="49">
      <t>スベ</t>
    </rPh>
    <rPh sb="50" eb="52">
      <t>フカ</t>
    </rPh>
    <phoneticPr fontId="6"/>
  </si>
  <si>
    <t>希釈倍率の頭１桁に分析機区分（希釈方法）を示すコードを入力する。
例
[L3,L5,L10 → 日立用指示希釈倍率]
[B2,B4,B10 → ＢＭ用指示希釈倍率]
[Y20,Y100  → 用手希釈倍率]</t>
    <rPh sb="0" eb="2">
      <t>キシャク</t>
    </rPh>
    <rPh sb="2" eb="4">
      <t>バイリツ</t>
    </rPh>
    <rPh sb="5" eb="6">
      <t>アタマ</t>
    </rPh>
    <rPh sb="7" eb="8">
      <t>ケタ</t>
    </rPh>
    <rPh sb="9" eb="11">
      <t>ブンセキ</t>
    </rPh>
    <rPh sb="11" eb="12">
      <t>キ</t>
    </rPh>
    <rPh sb="12" eb="14">
      <t>クブン</t>
    </rPh>
    <rPh sb="15" eb="17">
      <t>キシャク</t>
    </rPh>
    <rPh sb="17" eb="19">
      <t>ホウホウ</t>
    </rPh>
    <rPh sb="21" eb="22">
      <t>シメ</t>
    </rPh>
    <rPh sb="27" eb="29">
      <t>ニュウリョク</t>
    </rPh>
    <rPh sb="34" eb="35">
      <t>レイ</t>
    </rPh>
    <rPh sb="49" eb="51">
      <t>ヒタチ</t>
    </rPh>
    <rPh sb="51" eb="52">
      <t>ヨウ</t>
    </rPh>
    <rPh sb="52" eb="54">
      <t>シジ</t>
    </rPh>
    <rPh sb="54" eb="56">
      <t>キシャク</t>
    </rPh>
    <rPh sb="56" eb="58">
      <t>バイリツ</t>
    </rPh>
    <rPh sb="78" eb="80">
      <t>キシャク</t>
    </rPh>
    <rPh sb="97" eb="98">
      <t>ヨウ</t>
    </rPh>
    <rPh sb="98" eb="99">
      <t>テ</t>
    </rPh>
    <rPh sb="99" eb="101">
      <t>キシャク</t>
    </rPh>
    <rPh sb="101" eb="103">
      <t>バイリツ</t>
    </rPh>
    <phoneticPr fontId="6"/>
  </si>
  <si>
    <t>DECIMAL</t>
    <phoneticPr fontId="6"/>
  </si>
  <si>
    <t>KMIN</t>
    <phoneticPr fontId="6"/>
  </si>
  <si>
    <t>TIME</t>
    <phoneticPr fontId="6"/>
  </si>
  <si>
    <t>TINYINT</t>
    <phoneticPr fontId="6"/>
  </si>
  <si>
    <t>KAIYMD</t>
    <phoneticPr fontId="6"/>
  </si>
  <si>
    <t>DATE</t>
    <phoneticPr fontId="6"/>
  </si>
  <si>
    <t>○</t>
    <phoneticPr fontId="6"/>
  </si>
  <si>
    <t>HAIYMD</t>
    <phoneticPr fontId="6"/>
  </si>
  <si>
    <t xml:space="preserve">HNKTNTID    </t>
    <phoneticPr fontId="6"/>
  </si>
  <si>
    <t>KSNDH</t>
    <phoneticPr fontId="6"/>
  </si>
  <si>
    <t>TIME</t>
    <phoneticPr fontId="6"/>
  </si>
  <si>
    <t>2006/04/05　永田</t>
    <rPh sb="11" eb="13">
      <t>ナガタ</t>
    </rPh>
    <phoneticPr fontId="6"/>
  </si>
  <si>
    <t>記述方法変更</t>
    <rPh sb="0" eb="2">
      <t>キジュツ</t>
    </rPh>
    <rPh sb="2" eb="4">
      <t>ホウホウ</t>
    </rPh>
    <rPh sb="4" eb="6">
      <t>ヘンコウ</t>
    </rPh>
    <phoneticPr fontId="6"/>
  </si>
  <si>
    <t>希釈倍率の頭１桁に分析機区分を示すコードを入力する。</t>
    <rPh sb="0" eb="2">
      <t>キシャク</t>
    </rPh>
    <rPh sb="2" eb="4">
      <t>バイリツ</t>
    </rPh>
    <rPh sb="5" eb="6">
      <t>アタマ</t>
    </rPh>
    <rPh sb="7" eb="8">
      <t>ケタ</t>
    </rPh>
    <rPh sb="9" eb="11">
      <t>ブンセキ</t>
    </rPh>
    <rPh sb="11" eb="12">
      <t>キ</t>
    </rPh>
    <rPh sb="12" eb="14">
      <t>クブン</t>
    </rPh>
    <rPh sb="15" eb="16">
      <t>シメ</t>
    </rPh>
    <rPh sb="21" eb="23">
      <t>ニュウリョク</t>
    </rPh>
    <phoneticPr fontId="6"/>
  </si>
  <si>
    <t>検査開始曜日指定（日曜日から土曜日まで）
　0:オフ
　1:オン
(ex."0010010"→火金アッセイを示す）</t>
    <rPh sb="0" eb="2">
      <t>ケンサ</t>
    </rPh>
    <rPh sb="2" eb="4">
      <t>カイシ</t>
    </rPh>
    <rPh sb="47" eb="48">
      <t>カ</t>
    </rPh>
    <rPh sb="48" eb="49">
      <t>キン</t>
    </rPh>
    <rPh sb="54" eb="55">
      <t>シメ</t>
    </rPh>
    <phoneticPr fontId="6"/>
  </si>
  <si>
    <t>SYRSBT</t>
    <phoneticPr fontId="6"/>
  </si>
  <si>
    <t>TIME</t>
    <phoneticPr fontId="6"/>
  </si>
  <si>
    <t>CHAR</t>
    <phoneticPr fontId="6"/>
  </si>
  <si>
    <t>TINYINT</t>
    <phoneticPr fontId="6"/>
  </si>
  <si>
    <t>ファクター自動１</t>
    <rPh sb="5" eb="7">
      <t>ジドウ</t>
    </rPh>
    <phoneticPr fontId="6"/>
  </si>
  <si>
    <t>ファクター自動２</t>
    <rPh sb="5" eb="7">
      <t>ジドウ</t>
    </rPh>
    <phoneticPr fontId="6"/>
  </si>
  <si>
    <t>ファクター手動１</t>
    <rPh sb="5" eb="7">
      <t>シュドウ</t>
    </rPh>
    <phoneticPr fontId="6"/>
  </si>
  <si>
    <t>ファクター手動２</t>
    <rPh sb="5" eb="7">
      <t>シュドウ</t>
    </rPh>
    <phoneticPr fontId="6"/>
  </si>
  <si>
    <t>ベース自動１</t>
    <rPh sb="3" eb="5">
      <t>ジドウ</t>
    </rPh>
    <phoneticPr fontId="6"/>
  </si>
  <si>
    <t>ベース自動２</t>
    <rPh sb="3" eb="5">
      <t>ジドウ</t>
    </rPh>
    <phoneticPr fontId="6"/>
  </si>
  <si>
    <t>ベース手動１</t>
    <rPh sb="3" eb="5">
      <t>シュドウ</t>
    </rPh>
    <phoneticPr fontId="6"/>
  </si>
  <si>
    <t>ベース手動２</t>
    <rPh sb="3" eb="5">
      <t>シュドウ</t>
    </rPh>
    <phoneticPr fontId="6"/>
  </si>
  <si>
    <t>ファクター１（自動補正で使用）</t>
    <rPh sb="7" eb="9">
      <t>ジドウ</t>
    </rPh>
    <rPh sb="9" eb="11">
      <t>ホセイ</t>
    </rPh>
    <rPh sb="12" eb="14">
      <t>シヨウ</t>
    </rPh>
    <phoneticPr fontId="6"/>
  </si>
  <si>
    <t>ファクター２（自動補正で使用）</t>
    <rPh sb="7" eb="9">
      <t>ジドウ</t>
    </rPh>
    <phoneticPr fontId="6"/>
  </si>
  <si>
    <t>ベース１（自動補正で使用）</t>
    <rPh sb="5" eb="7">
      <t>ジドウ</t>
    </rPh>
    <phoneticPr fontId="6"/>
  </si>
  <si>
    <t>ベース２（自動補正で使用）</t>
    <rPh sb="5" eb="7">
      <t>ジドウ</t>
    </rPh>
    <phoneticPr fontId="6"/>
  </si>
  <si>
    <t>FACTERJD1</t>
    <phoneticPr fontId="6"/>
  </si>
  <si>
    <t>FACTERJD2</t>
    <phoneticPr fontId="6"/>
  </si>
  <si>
    <t>FACTERSD1</t>
    <phoneticPr fontId="6"/>
  </si>
  <si>
    <t>FACTERSD2</t>
    <phoneticPr fontId="6"/>
  </si>
  <si>
    <t>BASEJD1</t>
    <phoneticPr fontId="6"/>
  </si>
  <si>
    <t>BASEJD2</t>
    <phoneticPr fontId="6"/>
  </si>
  <si>
    <t>BASESD1</t>
    <phoneticPr fontId="6"/>
  </si>
  <si>
    <t>BASESD2</t>
    <phoneticPr fontId="6"/>
  </si>
  <si>
    <t>最頻レンジ下限値補正前</t>
    <rPh sb="0" eb="1">
      <t>サイ</t>
    </rPh>
    <rPh sb="1" eb="2">
      <t>ヒン</t>
    </rPh>
    <rPh sb="5" eb="8">
      <t>カゲンチ</t>
    </rPh>
    <rPh sb="8" eb="10">
      <t>ホセイ</t>
    </rPh>
    <rPh sb="10" eb="11">
      <t>マエ</t>
    </rPh>
    <phoneticPr fontId="6"/>
  </si>
  <si>
    <t>最頻レンジ上限値補正前</t>
    <rPh sb="0" eb="1">
      <t>サイ</t>
    </rPh>
    <rPh sb="1" eb="2">
      <t>ヒン</t>
    </rPh>
    <rPh sb="5" eb="8">
      <t>ジョウゲンチ</t>
    </rPh>
    <rPh sb="8" eb="10">
      <t>ホセイ</t>
    </rPh>
    <rPh sb="10" eb="11">
      <t>マエ</t>
    </rPh>
    <phoneticPr fontId="6"/>
  </si>
  <si>
    <t>最頻レンジ下限値補正後</t>
    <rPh sb="0" eb="1">
      <t>サイ</t>
    </rPh>
    <rPh sb="1" eb="2">
      <t>ヒン</t>
    </rPh>
    <rPh sb="5" eb="8">
      <t>カゲンチ</t>
    </rPh>
    <rPh sb="8" eb="10">
      <t>ホセイ</t>
    </rPh>
    <rPh sb="10" eb="11">
      <t>ゴ</t>
    </rPh>
    <phoneticPr fontId="6"/>
  </si>
  <si>
    <t>最頻レンジ上限値補正後</t>
    <rPh sb="0" eb="1">
      <t>サイ</t>
    </rPh>
    <rPh sb="1" eb="2">
      <t>ヒン</t>
    </rPh>
    <rPh sb="5" eb="8">
      <t>ジョウゲンチ</t>
    </rPh>
    <rPh sb="8" eb="10">
      <t>ホセイ</t>
    </rPh>
    <rPh sb="10" eb="11">
      <t>ゴ</t>
    </rPh>
    <phoneticPr fontId="6"/>
  </si>
  <si>
    <t>校正基準サンプル数</t>
    <rPh sb="0" eb="2">
      <t>コウセイ</t>
    </rPh>
    <rPh sb="2" eb="4">
      <t>キジュン</t>
    </rPh>
    <rPh sb="8" eb="9">
      <t>スウ</t>
    </rPh>
    <phoneticPr fontId="6"/>
  </si>
  <si>
    <t>KSIKJNSPSU</t>
    <phoneticPr fontId="6"/>
  </si>
  <si>
    <t>SHRNGLWHF</t>
    <phoneticPr fontId="6"/>
  </si>
  <si>
    <t>SHRNGHIHF</t>
    <phoneticPr fontId="6"/>
  </si>
  <si>
    <t>SHRNGLWHB</t>
    <phoneticPr fontId="6"/>
  </si>
  <si>
    <t>SHRNGHIHB</t>
    <phoneticPr fontId="6"/>
  </si>
  <si>
    <t>ヒスト作成基準点</t>
    <rPh sb="3" eb="5">
      <t>サクセイ</t>
    </rPh>
    <rPh sb="5" eb="8">
      <t>キジュンテン</t>
    </rPh>
    <phoneticPr fontId="6"/>
  </si>
  <si>
    <t>ヒスト刻み幅</t>
    <rPh sb="3" eb="4">
      <t>キザ</t>
    </rPh>
    <rPh sb="5" eb="6">
      <t>ハバ</t>
    </rPh>
    <phoneticPr fontId="6"/>
  </si>
  <si>
    <t>ヒスト階級数</t>
    <rPh sb="3" eb="5">
      <t>カイキュウ</t>
    </rPh>
    <rPh sb="5" eb="6">
      <t>カズ</t>
    </rPh>
    <phoneticPr fontId="6"/>
  </si>
  <si>
    <t>HSTKJNTN</t>
    <phoneticPr fontId="6"/>
  </si>
  <si>
    <t>HSTKZMHB</t>
    <phoneticPr fontId="6"/>
  </si>
  <si>
    <t>HSTKAIKYU</t>
    <phoneticPr fontId="6"/>
  </si>
  <si>
    <t>営業所名（かな）</t>
    <phoneticPr fontId="6"/>
  </si>
  <si>
    <t>[ 1：翌日1回目報告対象 2:翌日2回目報告対象 ]</t>
    <rPh sb="4" eb="6">
      <t>ヨクジツ</t>
    </rPh>
    <rPh sb="7" eb="9">
      <t>カイメ</t>
    </rPh>
    <rPh sb="9" eb="11">
      <t>ホウコク</t>
    </rPh>
    <rPh sb="11" eb="13">
      <t>タイショウ</t>
    </rPh>
    <rPh sb="16" eb="18">
      <t>ヨクジツ</t>
    </rPh>
    <rPh sb="19" eb="21">
      <t>カイメ</t>
    </rPh>
    <rPh sb="21" eb="23">
      <t>ホウコク</t>
    </rPh>
    <rPh sb="23" eb="25">
      <t>タイショウ</t>
    </rPh>
    <phoneticPr fontId="6"/>
  </si>
  <si>
    <t>変更担当者ＩＤ</t>
    <rPh sb="0" eb="2">
      <t>ヘンコウ</t>
    </rPh>
    <rPh sb="2" eb="5">
      <t>タントウシャ</t>
    </rPh>
    <phoneticPr fontId="5"/>
  </si>
  <si>
    <t xml:space="preserve">HNKTNTID    </t>
    <phoneticPr fontId="6"/>
  </si>
  <si>
    <t xml:space="preserve">                </t>
    <phoneticPr fontId="6"/>
  </si>
  <si>
    <t xml:space="preserve">             </t>
    <phoneticPr fontId="6"/>
  </si>
  <si>
    <t xml:space="preserve">            </t>
    <phoneticPr fontId="6"/>
  </si>
  <si>
    <t xml:space="preserve">               </t>
    <phoneticPr fontId="6"/>
  </si>
  <si>
    <t>EIGMST</t>
    <phoneticPr fontId="6"/>
  </si>
  <si>
    <t>YJHKKBN</t>
    <phoneticPr fontId="6"/>
  </si>
  <si>
    <t>SKECD</t>
    <phoneticPr fontId="6"/>
  </si>
  <si>
    <t>SKCSNM</t>
    <phoneticPr fontId="6"/>
  </si>
  <si>
    <t>材料マスタ</t>
    <phoneticPr fontId="6"/>
  </si>
  <si>
    <t>ZAICD</t>
    <phoneticPr fontId="6"/>
  </si>
  <si>
    <t>材料名（カナ）</t>
    <rPh sb="0" eb="2">
      <t>ザイリョウ</t>
    </rPh>
    <rPh sb="2" eb="3">
      <t>メイ</t>
    </rPh>
    <phoneticPr fontId="6"/>
  </si>
  <si>
    <t>XbarMカウント数</t>
  </si>
  <si>
    <t>XbarMカウント数</t>
    <rPh sb="9" eb="10">
      <t>スウ</t>
    </rPh>
    <phoneticPr fontId="5"/>
  </si>
  <si>
    <t>2006/03/28　秋山</t>
    <rPh sb="11" eb="13">
      <t>アキヤマ</t>
    </rPh>
    <phoneticPr fontId="6"/>
  </si>
  <si>
    <t>XbarMの異常判定を行うか否かを設定する。
　0:XbarM異常判定を行う
　1:XbarM異常判定を行わない</t>
    <rPh sb="6" eb="8">
      <t>イジョウ</t>
    </rPh>
    <rPh sb="8" eb="10">
      <t>ハンテイ</t>
    </rPh>
    <rPh sb="11" eb="12">
      <t>オコナ</t>
    </rPh>
    <rPh sb="14" eb="15">
      <t>イナ</t>
    </rPh>
    <rPh sb="17" eb="19">
      <t>セッテイ</t>
    </rPh>
    <rPh sb="31" eb="33">
      <t>イジョウ</t>
    </rPh>
    <rPh sb="33" eb="35">
      <t>ハンテイ</t>
    </rPh>
    <rPh sb="36" eb="37">
      <t>オコナ</t>
    </rPh>
    <rPh sb="47" eb="49">
      <t>イジョウ</t>
    </rPh>
    <rPh sb="49" eb="51">
      <t>ハンテイ</t>
    </rPh>
    <rPh sb="52" eb="53">
      <t>オコナ</t>
    </rPh>
    <phoneticPr fontId="6"/>
  </si>
  <si>
    <t>XbarMのカウント数</t>
    <rPh sb="10" eb="11">
      <t>スウ</t>
    </rPh>
    <phoneticPr fontId="6"/>
  </si>
  <si>
    <t>材料名（漢字）</t>
    <rPh sb="0" eb="2">
      <t>ザイリョウ</t>
    </rPh>
    <rPh sb="2" eb="3">
      <t>メイ</t>
    </rPh>
    <rPh sb="4" eb="6">
      <t>カンジ</t>
    </rPh>
    <phoneticPr fontId="6"/>
  </si>
  <si>
    <t>材料名（英字）</t>
    <rPh sb="0" eb="2">
      <t>ザイリョウ</t>
    </rPh>
    <rPh sb="2" eb="3">
      <t>メイ</t>
    </rPh>
    <rPh sb="4" eb="6">
      <t>エイジ</t>
    </rPh>
    <phoneticPr fontId="6"/>
  </si>
  <si>
    <t>材料記号</t>
    <rPh sb="0" eb="2">
      <t>ザイリョウ</t>
    </rPh>
    <rPh sb="2" eb="4">
      <t>キゴウ</t>
    </rPh>
    <phoneticPr fontId="5"/>
  </si>
  <si>
    <t>ドキュメント</t>
    <phoneticPr fontId="6"/>
  </si>
  <si>
    <t>材料コード 4桁（増桁）</t>
    <phoneticPr fontId="6"/>
  </si>
  <si>
    <t>ZAINMKN</t>
    <phoneticPr fontId="6"/>
  </si>
  <si>
    <t>ZAINMKJ</t>
    <phoneticPr fontId="6"/>
  </si>
  <si>
    <t>ZAINMEJ</t>
    <phoneticPr fontId="6"/>
  </si>
  <si>
    <t>ZAIKG</t>
    <phoneticPr fontId="6"/>
  </si>
  <si>
    <t>2桁に増桁。材料の区分化</t>
    <phoneticPr fontId="6"/>
  </si>
  <si>
    <t xml:space="preserve">HNKTNTID    </t>
    <phoneticPr fontId="6"/>
  </si>
  <si>
    <t xml:space="preserve">                </t>
    <phoneticPr fontId="6"/>
  </si>
  <si>
    <t>項目正式名称（カナ）</t>
    <rPh sb="0" eb="2">
      <t>コウモク</t>
    </rPh>
    <rPh sb="2" eb="4">
      <t>セイシキ</t>
    </rPh>
    <rPh sb="4" eb="6">
      <t>メイショウ</t>
    </rPh>
    <phoneticPr fontId="6"/>
  </si>
  <si>
    <t>項目正式名称（漢字）</t>
    <rPh sb="0" eb="2">
      <t>コウモク</t>
    </rPh>
    <rPh sb="2" eb="4">
      <t>セイシキ</t>
    </rPh>
    <rPh sb="4" eb="6">
      <t>メイショウ</t>
    </rPh>
    <rPh sb="7" eb="9">
      <t>カンジ</t>
    </rPh>
    <phoneticPr fontId="6"/>
  </si>
  <si>
    <t>項目略称名（カナ）</t>
    <rPh sb="0" eb="2">
      <t>コウモク</t>
    </rPh>
    <rPh sb="2" eb="4">
      <t>リャクショウ</t>
    </rPh>
    <rPh sb="4" eb="5">
      <t>メイ</t>
    </rPh>
    <phoneticPr fontId="6"/>
  </si>
  <si>
    <t>項目略称名（漢字）</t>
    <rPh sb="0" eb="2">
      <t>コウモク</t>
    </rPh>
    <rPh sb="2" eb="4">
      <t>リャクショウ</t>
    </rPh>
    <rPh sb="4" eb="5">
      <t>メイ</t>
    </rPh>
    <rPh sb="6" eb="8">
      <t>カンジ</t>
    </rPh>
    <phoneticPr fontId="6"/>
  </si>
  <si>
    <t>項目正式名称（カナ）</t>
    <rPh sb="0" eb="2">
      <t>コウモク</t>
    </rPh>
    <rPh sb="2" eb="4">
      <t>セイシキ</t>
    </rPh>
    <rPh sb="4" eb="6">
      <t>メイショウ</t>
    </rPh>
    <phoneticPr fontId="5"/>
  </si>
  <si>
    <t>項目正式名称（漢字）</t>
    <rPh sb="0" eb="2">
      <t>コウモク</t>
    </rPh>
    <rPh sb="2" eb="4">
      <t>セイシキ</t>
    </rPh>
    <rPh sb="4" eb="6">
      <t>メイショウ</t>
    </rPh>
    <rPh sb="7" eb="9">
      <t>カンジ</t>
    </rPh>
    <phoneticPr fontId="5"/>
  </si>
  <si>
    <t>項目略称（カナ）</t>
    <rPh sb="0" eb="2">
      <t>コウモク</t>
    </rPh>
    <rPh sb="2" eb="4">
      <t>リャクショウ</t>
    </rPh>
    <phoneticPr fontId="5"/>
  </si>
  <si>
    <t>項目略称（漢字）</t>
    <rPh sb="0" eb="2">
      <t>コウモク</t>
    </rPh>
    <rPh sb="2" eb="4">
      <t>リャクショウ</t>
    </rPh>
    <rPh sb="5" eb="7">
      <t>カンジ</t>
    </rPh>
    <phoneticPr fontId="5"/>
  </si>
  <si>
    <t>項目名（英語）</t>
    <rPh sb="0" eb="2">
      <t>コウモク</t>
    </rPh>
    <rPh sb="2" eb="3">
      <t>メイ</t>
    </rPh>
    <rPh sb="4" eb="6">
      <t>エイゴ</t>
    </rPh>
    <phoneticPr fontId="5"/>
  </si>
  <si>
    <t>項目補足名（漢字）</t>
    <rPh sb="0" eb="2">
      <t>コウモク</t>
    </rPh>
    <rPh sb="2" eb="4">
      <t>ホソク</t>
    </rPh>
    <rPh sb="4" eb="5">
      <t>メイ</t>
    </rPh>
    <rPh sb="6" eb="8">
      <t>カンジ</t>
    </rPh>
    <phoneticPr fontId="5"/>
  </si>
  <si>
    <t>項目名（英語）</t>
    <rPh sb="0" eb="2">
      <t>コウモク</t>
    </rPh>
    <rPh sb="2" eb="3">
      <t>メイ</t>
    </rPh>
    <rPh sb="4" eb="6">
      <t>エイゴ</t>
    </rPh>
    <phoneticPr fontId="6"/>
  </si>
  <si>
    <t>項目補足名（漢字）</t>
    <rPh sb="0" eb="2">
      <t>コウモク</t>
    </rPh>
    <rPh sb="2" eb="4">
      <t>ホソク</t>
    </rPh>
    <rPh sb="4" eb="5">
      <t>メイ</t>
    </rPh>
    <rPh sb="6" eb="8">
      <t>カンジ</t>
    </rPh>
    <phoneticPr fontId="6"/>
  </si>
  <si>
    <t>負荷項目名（カナ）</t>
    <rPh sb="0" eb="2">
      <t>フカ</t>
    </rPh>
    <rPh sb="2" eb="4">
      <t>コウモク</t>
    </rPh>
    <rPh sb="4" eb="5">
      <t>メイ</t>
    </rPh>
    <phoneticPr fontId="5"/>
  </si>
  <si>
    <t>負荷項目名（漢字）</t>
    <rPh sb="0" eb="2">
      <t>フカ</t>
    </rPh>
    <rPh sb="2" eb="4">
      <t>コウモク</t>
    </rPh>
    <rPh sb="4" eb="5">
      <t>メイ</t>
    </rPh>
    <rPh sb="6" eb="8">
      <t>カンジ</t>
    </rPh>
    <phoneticPr fontId="5"/>
  </si>
  <si>
    <t>子ＲＲＮ</t>
    <rPh sb="0" eb="1">
      <t>コ</t>
    </rPh>
    <phoneticPr fontId="5"/>
  </si>
  <si>
    <t>分画・負荷の次の子項目コード</t>
    <rPh sb="0" eb="1">
      <t>ブン</t>
    </rPh>
    <rPh sb="1" eb="2">
      <t>カク</t>
    </rPh>
    <rPh sb="3" eb="5">
      <t>フカ</t>
    </rPh>
    <rPh sb="6" eb="7">
      <t>ツギ</t>
    </rPh>
    <rPh sb="8" eb="9">
      <t>コ</t>
    </rPh>
    <rPh sb="9" eb="11">
      <t>コウモク</t>
    </rPh>
    <phoneticPr fontId="6"/>
  </si>
  <si>
    <t>親展フラグ</t>
    <rPh sb="0" eb="2">
      <t>シンテン</t>
    </rPh>
    <phoneticPr fontId="6"/>
  </si>
  <si>
    <t>親展報告の対象か否かを示す</t>
    <rPh sb="0" eb="2">
      <t>シンテン</t>
    </rPh>
    <rPh sb="2" eb="4">
      <t>ホウコク</t>
    </rPh>
    <rPh sb="5" eb="7">
      <t>タイショウ</t>
    </rPh>
    <rPh sb="8" eb="9">
      <t>イナ</t>
    </rPh>
    <rPh sb="11" eb="12">
      <t>シメ</t>
    </rPh>
    <phoneticPr fontId="6"/>
  </si>
  <si>
    <t>ＬＴ未満フラグ</t>
    <rPh sb="2" eb="4">
      <t>ミマン</t>
    </rPh>
    <phoneticPr fontId="5"/>
  </si>
  <si>
    <t>検査結果数値の未満/以下を示す</t>
    <rPh sb="0" eb="2">
      <t>ケンサ</t>
    </rPh>
    <rPh sb="2" eb="4">
      <t>ケッカ</t>
    </rPh>
    <rPh sb="4" eb="6">
      <t>スウチ</t>
    </rPh>
    <rPh sb="7" eb="9">
      <t>ミマン</t>
    </rPh>
    <rPh sb="10" eb="12">
      <t>イカ</t>
    </rPh>
    <rPh sb="13" eb="14">
      <t>シメ</t>
    </rPh>
    <phoneticPr fontId="6"/>
  </si>
  <si>
    <t>材料の区分化</t>
    <rPh sb="0" eb="2">
      <t>ザイリョウ</t>
    </rPh>
    <rPh sb="3" eb="5">
      <t>クブン</t>
    </rPh>
    <rPh sb="5" eb="6">
      <t>カ</t>
    </rPh>
    <phoneticPr fontId="6"/>
  </si>
  <si>
    <t>分注量（通常）</t>
    <rPh sb="0" eb="1">
      <t>ブン</t>
    </rPh>
    <rPh sb="1" eb="2">
      <t>チュウ</t>
    </rPh>
    <rPh sb="2" eb="3">
      <t>リョウ</t>
    </rPh>
    <rPh sb="4" eb="6">
      <t>ツウジョウ</t>
    </rPh>
    <phoneticPr fontId="5"/>
  </si>
  <si>
    <t>分注量（少量）</t>
    <rPh sb="0" eb="1">
      <t>ブン</t>
    </rPh>
    <rPh sb="1" eb="2">
      <t>チュウ</t>
    </rPh>
    <rPh sb="2" eb="3">
      <t>リョウ</t>
    </rPh>
    <rPh sb="4" eb="6">
      <t>ショウリョウ</t>
    </rPh>
    <phoneticPr fontId="5"/>
  </si>
  <si>
    <t>分注量（小児）</t>
    <rPh sb="0" eb="1">
      <t>ブン</t>
    </rPh>
    <rPh sb="1" eb="2">
      <t>チュウ</t>
    </rPh>
    <rPh sb="2" eb="3">
      <t>リョウ</t>
    </rPh>
    <rPh sb="4" eb="6">
      <t>ショウニ</t>
    </rPh>
    <phoneticPr fontId="5"/>
  </si>
  <si>
    <t>夜間検査フラグ</t>
    <rPh sb="0" eb="2">
      <t>ヤカン</t>
    </rPh>
    <rPh sb="2" eb="4">
      <t>ケンサ</t>
    </rPh>
    <phoneticPr fontId="5"/>
  </si>
  <si>
    <t>夜間検査をするか否か</t>
    <rPh sb="0" eb="2">
      <t>ヤカン</t>
    </rPh>
    <rPh sb="2" eb="4">
      <t>ケンサ</t>
    </rPh>
    <rPh sb="8" eb="9">
      <t>イナ</t>
    </rPh>
    <phoneticPr fontId="6"/>
  </si>
  <si>
    <t>保留日数</t>
    <rPh sb="0" eb="2">
      <t>ホリュウ</t>
    </rPh>
    <rPh sb="2" eb="4">
      <t>ニッスウ</t>
    </rPh>
    <phoneticPr fontId="5"/>
  </si>
  <si>
    <t>自動発生結果</t>
    <rPh sb="0" eb="2">
      <t>ジドウ</t>
    </rPh>
    <rPh sb="2" eb="4">
      <t>ハッセイ</t>
    </rPh>
    <rPh sb="4" eb="6">
      <t>ケッカ</t>
    </rPh>
    <phoneticPr fontId="5"/>
  </si>
  <si>
    <t>結果入力を保留する最大日数</t>
    <rPh sb="0" eb="2">
      <t>ケッカ</t>
    </rPh>
    <rPh sb="2" eb="4">
      <t>ニュウリョク</t>
    </rPh>
    <rPh sb="5" eb="7">
      <t>ホリュウ</t>
    </rPh>
    <rPh sb="9" eb="11">
      <t>サイダイ</t>
    </rPh>
    <rPh sb="11" eb="13">
      <t>ニッスウ</t>
    </rPh>
    <phoneticPr fontId="6"/>
  </si>
  <si>
    <t>自動発生結果</t>
    <rPh sb="0" eb="2">
      <t>ジドウ</t>
    </rPh>
    <rPh sb="2" eb="4">
      <t>ハッセイ</t>
    </rPh>
    <rPh sb="4" eb="6">
      <t>ケッカ</t>
    </rPh>
    <phoneticPr fontId="6"/>
  </si>
  <si>
    <t>集配コード（ＦＲＯＭ）</t>
    <rPh sb="0" eb="2">
      <t>シュウハイ</t>
    </rPh>
    <phoneticPr fontId="6"/>
  </si>
  <si>
    <t>集配コード（ＴＯ）</t>
    <rPh sb="0" eb="2">
      <t>シュウハイ</t>
    </rPh>
    <phoneticPr fontId="6"/>
  </si>
  <si>
    <t>SHCDFR</t>
    <phoneticPr fontId="6"/>
  </si>
  <si>
    <t>SHCDTO</t>
    <phoneticPr fontId="6"/>
  </si>
  <si>
    <t>SKSHCD</t>
    <phoneticPr fontId="6"/>
  </si>
  <si>
    <t>コメントマスタ</t>
    <phoneticPr fontId="6"/>
  </si>
  <si>
    <t>CMCD</t>
    <phoneticPr fontId="6"/>
  </si>
  <si>
    <t>TIME</t>
    <phoneticPr fontId="6"/>
  </si>
  <si>
    <t>○</t>
    <phoneticPr fontId="6"/>
  </si>
  <si>
    <t>コメント記号（入力）</t>
    <rPh sb="4" eb="6">
      <t>キゴウ</t>
    </rPh>
    <rPh sb="7" eb="9">
      <t>ニュウリョク</t>
    </rPh>
    <phoneticPr fontId="5"/>
  </si>
  <si>
    <t>CMTKG</t>
    <phoneticPr fontId="6"/>
  </si>
  <si>
    <t xml:space="preserve">コメント記号(入力用)     </t>
    <phoneticPr fontId="6"/>
  </si>
  <si>
    <t>コメント名（漢字）</t>
    <rPh sb="4" eb="5">
      <t>メイ</t>
    </rPh>
    <rPh sb="6" eb="8">
      <t>カンジ</t>
    </rPh>
    <phoneticPr fontId="5"/>
  </si>
  <si>
    <t>コメント名（カナ）</t>
    <rPh sb="4" eb="5">
      <t>メイ</t>
    </rPh>
    <phoneticPr fontId="5"/>
  </si>
  <si>
    <t>CMTNM</t>
    <phoneticPr fontId="6"/>
  </si>
  <si>
    <t>CMTNMJ</t>
    <phoneticPr fontId="6"/>
  </si>
  <si>
    <t>コメント内容（カナ）</t>
    <rPh sb="4" eb="6">
      <t>ナイヨウ</t>
    </rPh>
    <phoneticPr fontId="6"/>
  </si>
  <si>
    <t>コメント内容（漢字）</t>
    <rPh sb="4" eb="6">
      <t>ナイヨウ</t>
    </rPh>
    <rPh sb="7" eb="9">
      <t>カンジ</t>
    </rPh>
    <phoneticPr fontId="6"/>
  </si>
  <si>
    <t>CHAR</t>
    <phoneticPr fontId="6"/>
  </si>
  <si>
    <t>診療科コード</t>
    <rPh sb="0" eb="2">
      <t>シンリョウ</t>
    </rPh>
    <rPh sb="2" eb="3">
      <t>カ</t>
    </rPh>
    <phoneticPr fontId="6"/>
  </si>
  <si>
    <t>CHAR</t>
    <phoneticPr fontId="6"/>
  </si>
  <si>
    <t>CHAR</t>
    <phoneticPr fontId="6"/>
  </si>
  <si>
    <t>CHAR</t>
    <phoneticPr fontId="6"/>
  </si>
  <si>
    <t>TIME</t>
    <phoneticPr fontId="6"/>
  </si>
  <si>
    <t>検査結果１</t>
    <rPh sb="0" eb="2">
      <t>ケンサ</t>
    </rPh>
    <rPh sb="2" eb="4">
      <t>ケッカ</t>
    </rPh>
    <phoneticPr fontId="6"/>
  </si>
  <si>
    <t>基本的に数値データを保管する
必要に応じ換算、補正、校正後の値</t>
    <rPh sb="0" eb="3">
      <t>キホンテキ</t>
    </rPh>
    <rPh sb="4" eb="6">
      <t>スウチ</t>
    </rPh>
    <rPh sb="10" eb="12">
      <t>ホカン</t>
    </rPh>
    <phoneticPr fontId="6"/>
  </si>
  <si>
    <t>KNSKKA1</t>
    <phoneticPr fontId="6"/>
  </si>
  <si>
    <t>○</t>
    <phoneticPr fontId="6"/>
  </si>
  <si>
    <t>SMALLINT</t>
    <phoneticPr fontId="6"/>
  </si>
  <si>
    <t>SRKCD</t>
    <phoneticPr fontId="6"/>
  </si>
  <si>
    <t>システムを管理するために用いる情報をサテライト単位（Z内区画）単位で定義する。</t>
    <rPh sb="5" eb="7">
      <t>カンリ</t>
    </rPh>
    <rPh sb="12" eb="13">
      <t>モチ</t>
    </rPh>
    <rPh sb="15" eb="17">
      <t>ジョウホウ</t>
    </rPh>
    <rPh sb="23" eb="25">
      <t>タンイ</t>
    </rPh>
    <rPh sb="27" eb="28">
      <t>ナイ</t>
    </rPh>
    <rPh sb="28" eb="30">
      <t>クカク</t>
    </rPh>
    <rPh sb="31" eb="33">
      <t>タンイ</t>
    </rPh>
    <rPh sb="34" eb="36">
      <t>テイギ</t>
    </rPh>
    <phoneticPr fontId="6"/>
  </si>
  <si>
    <t>検査グループごとにアッセイ日のスケジュールを定義する。</t>
    <rPh sb="0" eb="2">
      <t>ケンサ</t>
    </rPh>
    <rPh sb="13" eb="14">
      <t>ヒ</t>
    </rPh>
    <rPh sb="22" eb="24">
      <t>テイギ</t>
    </rPh>
    <phoneticPr fontId="6"/>
  </si>
  <si>
    <t>別紙で入力する定型コメントを定義する。</t>
    <rPh sb="0" eb="2">
      <t>ベッシ</t>
    </rPh>
    <rPh sb="3" eb="5">
      <t>ニュウリョク</t>
    </rPh>
    <rPh sb="7" eb="9">
      <t>テイケイ</t>
    </rPh>
    <rPh sb="14" eb="16">
      <t>テイギ</t>
    </rPh>
    <phoneticPr fontId="6"/>
  </si>
  <si>
    <t>XEが出力する、エラー情報の種別と意味を定義する。</t>
    <rPh sb="3" eb="5">
      <t>シュツリョク</t>
    </rPh>
    <rPh sb="11" eb="13">
      <t>ジョウホウ</t>
    </rPh>
    <rPh sb="14" eb="16">
      <t>シュベツ</t>
    </rPh>
    <rPh sb="17" eb="19">
      <t>イミ</t>
    </rPh>
    <rPh sb="20" eb="22">
      <t>テイギ</t>
    </rPh>
    <phoneticPr fontId="6"/>
  </si>
  <si>
    <t>画面でカレンダーを表現する際に参照する祭日、祝日のマスタ</t>
    <rPh sb="0" eb="2">
      <t>ガメン</t>
    </rPh>
    <rPh sb="9" eb="11">
      <t>ヒョウゲン</t>
    </rPh>
    <rPh sb="13" eb="14">
      <t>サイ</t>
    </rPh>
    <rPh sb="15" eb="17">
      <t>サンショウ</t>
    </rPh>
    <rPh sb="19" eb="21">
      <t>サイジツ</t>
    </rPh>
    <rPh sb="22" eb="24">
      <t>シュクジツ</t>
    </rPh>
    <phoneticPr fontId="6"/>
  </si>
  <si>
    <t>上下限範囲に当てはまる結果値を、特定の結果に変換する。</t>
    <rPh sb="0" eb="3">
      <t>ジョウカゲン</t>
    </rPh>
    <rPh sb="3" eb="5">
      <t>ハンイ</t>
    </rPh>
    <rPh sb="6" eb="7">
      <t>ア</t>
    </rPh>
    <rPh sb="11" eb="13">
      <t>ケッカ</t>
    </rPh>
    <rPh sb="13" eb="14">
      <t>チ</t>
    </rPh>
    <rPh sb="16" eb="18">
      <t>トクテイ</t>
    </rPh>
    <rPh sb="19" eb="21">
      <t>ケッカ</t>
    </rPh>
    <rPh sb="22" eb="24">
      <t>ヘンカン</t>
    </rPh>
    <phoneticPr fontId="6"/>
  </si>
  <si>
    <t>レンジ上限</t>
    <rPh sb="3" eb="5">
      <t>ジョウゲン</t>
    </rPh>
    <phoneticPr fontId="5"/>
  </si>
  <si>
    <t>レンジ下限</t>
    <rPh sb="3" eb="5">
      <t>カゲン</t>
    </rPh>
    <phoneticPr fontId="5"/>
  </si>
  <si>
    <t>XbarM管理項目の情報を設定する。</t>
    <rPh sb="5" eb="7">
      <t>カンリ</t>
    </rPh>
    <rPh sb="7" eb="9">
      <t>コウモク</t>
    </rPh>
    <rPh sb="10" eb="12">
      <t>ジョウホウ</t>
    </rPh>
    <rPh sb="13" eb="15">
      <t>セッテイ</t>
    </rPh>
    <phoneticPr fontId="6"/>
  </si>
  <si>
    <t>チェック項目の種別、情報を定義する。</t>
    <rPh sb="4" eb="6">
      <t>コウモク</t>
    </rPh>
    <rPh sb="7" eb="9">
      <t>シュベツ</t>
    </rPh>
    <rPh sb="10" eb="12">
      <t>ジョウホウ</t>
    </rPh>
    <rPh sb="13" eb="15">
      <t>テイギ</t>
    </rPh>
    <phoneticPr fontId="6"/>
  </si>
  <si>
    <t>セクションコードとセクション名を定義。</t>
    <rPh sb="14" eb="15">
      <t>メイ</t>
    </rPh>
    <rPh sb="16" eb="18">
      <t>テイギ</t>
    </rPh>
    <phoneticPr fontId="6"/>
  </si>
  <si>
    <t>再検理由コードと再検理由を定義。</t>
    <rPh sb="0" eb="2">
      <t>サイケン</t>
    </rPh>
    <rPh sb="2" eb="4">
      <t>リユウ</t>
    </rPh>
    <rPh sb="8" eb="10">
      <t>サイケン</t>
    </rPh>
    <rPh sb="10" eb="12">
      <t>リユウ</t>
    </rPh>
    <rPh sb="13" eb="15">
      <t>テイギ</t>
    </rPh>
    <phoneticPr fontId="6"/>
  </si>
  <si>
    <t>表示結果</t>
    <rPh sb="0" eb="2">
      <t>ヒョウジ</t>
    </rPh>
    <rPh sb="2" eb="4">
      <t>ケッカ</t>
    </rPh>
    <phoneticPr fontId="6"/>
  </si>
  <si>
    <t>2006/03/13　永田</t>
    <rPh sb="11" eb="13">
      <t>ナガタ</t>
    </rPh>
    <phoneticPr fontId="6"/>
  </si>
  <si>
    <t>備考欄に説明文を追加</t>
    <rPh sb="0" eb="3">
      <t>ビコウラン</t>
    </rPh>
    <rPh sb="4" eb="7">
      <t>セツメイブン</t>
    </rPh>
    <rPh sb="8" eb="10">
      <t>ツイカ</t>
    </rPh>
    <phoneticPr fontId="6"/>
  </si>
  <si>
    <t>検査結果２</t>
    <rPh sb="0" eb="2">
      <t>ケンサ</t>
    </rPh>
    <rPh sb="2" eb="4">
      <t>ケッカ</t>
    </rPh>
    <phoneticPr fontId="6"/>
  </si>
  <si>
    <t>KNSKKA2</t>
    <phoneticPr fontId="6"/>
  </si>
  <si>
    <t>検査結果２区分</t>
    <rPh sb="0" eb="2">
      <t>ケンサ</t>
    </rPh>
    <rPh sb="2" eb="4">
      <t>ケッカ</t>
    </rPh>
    <rPh sb="5" eb="7">
      <t>クブン</t>
    </rPh>
    <phoneticPr fontId="6"/>
  </si>
  <si>
    <t>ラベル出力ＩＤ</t>
    <rPh sb="3" eb="5">
      <t>シュツリョク</t>
    </rPh>
    <phoneticPr fontId="6"/>
  </si>
  <si>
    <t>（分注NG用）
ワークシート出力形式</t>
    <rPh sb="1" eb="2">
      <t>ブン</t>
    </rPh>
    <rPh sb="2" eb="3">
      <t>チュウ</t>
    </rPh>
    <rPh sb="5" eb="6">
      <t>ヨウ</t>
    </rPh>
    <rPh sb="14" eb="16">
      <t>シュツリョク</t>
    </rPh>
    <rPh sb="16" eb="18">
      <t>ケイシキ</t>
    </rPh>
    <phoneticPr fontId="6"/>
  </si>
  <si>
    <t>（再検履歴用）
ワークシート出力形式</t>
    <rPh sb="1" eb="3">
      <t>サイケン</t>
    </rPh>
    <rPh sb="3" eb="5">
      <t>リレキ</t>
    </rPh>
    <rPh sb="5" eb="6">
      <t>ヨウ</t>
    </rPh>
    <rPh sb="14" eb="16">
      <t>シュツリョク</t>
    </rPh>
    <rPh sb="16" eb="18">
      <t>ケイシキ</t>
    </rPh>
    <phoneticPr fontId="6"/>
  </si>
  <si>
    <t>分注グループ</t>
    <rPh sb="0" eb="1">
      <t>ブン</t>
    </rPh>
    <rPh sb="1" eb="2">
      <t>チュウ</t>
    </rPh>
    <phoneticPr fontId="6"/>
  </si>
  <si>
    <t xml:space="preserve">分注グループコード 
[0：非分注]
　ワークシートを非分注で出力する検査グループ
[1：分注]
　分注OK、分注NG分に該当するワークシートに対してこの種別を振る（夜間に処理される分注検体）
[2：元検]
　検体認識で処理される検体のワークシートに対してこの種別を振る
[3：非分注（仕分け分注）]
　仕分け分注に対してこの種別を振る。分注END受信後でないと発行されない。
　ワークシートは非分注となる。
</t>
    <rPh sb="31" eb="33">
      <t>シュツリョク</t>
    </rPh>
    <rPh sb="35" eb="37">
      <t>ケンサ</t>
    </rPh>
    <rPh sb="51" eb="53">
      <t>ブンチュウ</t>
    </rPh>
    <rPh sb="56" eb="58">
      <t>ブンチュウ</t>
    </rPh>
    <rPh sb="60" eb="61">
      <t>ブン</t>
    </rPh>
    <rPh sb="62" eb="64">
      <t>ガイトウ</t>
    </rPh>
    <rPh sb="73" eb="74">
      <t>タイ</t>
    </rPh>
    <rPh sb="78" eb="80">
      <t>シュベツ</t>
    </rPh>
    <rPh sb="81" eb="82">
      <t>フ</t>
    </rPh>
    <rPh sb="84" eb="86">
      <t>ヤカン</t>
    </rPh>
    <rPh sb="87" eb="89">
      <t>ショリ</t>
    </rPh>
    <rPh sb="92" eb="94">
      <t>ブンチュウ</t>
    </rPh>
    <rPh sb="94" eb="96">
      <t>ケンタイ</t>
    </rPh>
    <rPh sb="102" eb="103">
      <t>モト</t>
    </rPh>
    <rPh sb="103" eb="104">
      <t>ケン</t>
    </rPh>
    <rPh sb="107" eb="109">
      <t>ケンタイ</t>
    </rPh>
    <rPh sb="109" eb="111">
      <t>ニンシキ</t>
    </rPh>
    <rPh sb="112" eb="114">
      <t>ショリ</t>
    </rPh>
    <rPh sb="117" eb="119">
      <t>ケンタイ</t>
    </rPh>
    <rPh sb="127" eb="128">
      <t>タイ</t>
    </rPh>
    <rPh sb="132" eb="134">
      <t>シュベツ</t>
    </rPh>
    <rPh sb="135" eb="136">
      <t>フ</t>
    </rPh>
    <rPh sb="142" eb="143">
      <t>ヒ</t>
    </rPh>
    <rPh sb="143" eb="144">
      <t>ブン</t>
    </rPh>
    <rPh sb="144" eb="145">
      <t>チュウ</t>
    </rPh>
    <rPh sb="146" eb="148">
      <t>シワ</t>
    </rPh>
    <rPh sb="149" eb="150">
      <t>ブン</t>
    </rPh>
    <rPh sb="150" eb="151">
      <t>チュウ</t>
    </rPh>
    <rPh sb="155" eb="157">
      <t>シワ</t>
    </rPh>
    <rPh sb="158" eb="159">
      <t>ブン</t>
    </rPh>
    <rPh sb="159" eb="160">
      <t>チュウ</t>
    </rPh>
    <rPh sb="172" eb="173">
      <t>ブン</t>
    </rPh>
    <rPh sb="173" eb="174">
      <t>チュウ</t>
    </rPh>
    <rPh sb="177" eb="179">
      <t>ジュシン</t>
    </rPh>
    <rPh sb="179" eb="180">
      <t>ゴ</t>
    </rPh>
    <rPh sb="184" eb="186">
      <t>ハッコウ</t>
    </rPh>
    <rPh sb="200" eb="201">
      <t>ヒ</t>
    </rPh>
    <rPh sb="201" eb="202">
      <t>ブン</t>
    </rPh>
    <rPh sb="202" eb="203">
      <t>チュウ</t>
    </rPh>
    <phoneticPr fontId="6"/>
  </si>
  <si>
    <t>（分注OK用）
　WS出力する際のソート順を設定する。
　0：依頼書№順
　1：2ND-ID順
　2：分注Ｎｏ順
　3：トレーＩＤ＋アッセイラック順
　4：ソートキー順+2ID</t>
    <rPh sb="5" eb="6">
      <t>ヨウ</t>
    </rPh>
    <rPh sb="11" eb="13">
      <t>シュツリョク</t>
    </rPh>
    <rPh sb="15" eb="16">
      <t>サイ</t>
    </rPh>
    <rPh sb="20" eb="21">
      <t>ジュン</t>
    </rPh>
    <rPh sb="22" eb="24">
      <t>セッテイ</t>
    </rPh>
    <rPh sb="73" eb="74">
      <t>ジュン</t>
    </rPh>
    <rPh sb="83" eb="84">
      <t>ジュン</t>
    </rPh>
    <phoneticPr fontId="6"/>
  </si>
  <si>
    <t>（分注OK用）
　WS出力する際のソート順を設定する。
　0：依頼書№順
　1：2ND-ID順
　2：分注Ｎｏ順
　3：トレーＩＤ＋アッセイラック順
　4：ソートキー順+2ID</t>
    <rPh sb="73" eb="74">
      <t>ジュン</t>
    </rPh>
    <rPh sb="83" eb="84">
      <t>ジュン</t>
    </rPh>
    <phoneticPr fontId="6"/>
  </si>
  <si>
    <t>2007/03/05 秋山</t>
    <rPh sb="11" eb="13">
      <t>アキヤマ</t>
    </rPh>
    <phoneticPr fontId="6"/>
  </si>
  <si>
    <t>論理名と備考のみをわかりやすく変更。その他は変わってません。</t>
    <rPh sb="0" eb="2">
      <t>ロンリ</t>
    </rPh>
    <rPh sb="2" eb="3">
      <t>メイ</t>
    </rPh>
    <rPh sb="4" eb="6">
      <t>ビコウ</t>
    </rPh>
    <rPh sb="15" eb="17">
      <t>ヘンコウ</t>
    </rPh>
    <rPh sb="20" eb="21">
      <t>タ</t>
    </rPh>
    <rPh sb="22" eb="23">
      <t>カ</t>
    </rPh>
    <phoneticPr fontId="6"/>
  </si>
  <si>
    <t>１ワークシートを作成する際の1トレー内に収める検体の本数。
（非分注・再検・再検（履歴）・再測定で使用）</t>
    <rPh sb="8" eb="10">
      <t>サクセイ</t>
    </rPh>
    <rPh sb="12" eb="13">
      <t>サイ</t>
    </rPh>
    <rPh sb="18" eb="19">
      <t>ナイ</t>
    </rPh>
    <rPh sb="20" eb="21">
      <t>オサ</t>
    </rPh>
    <rPh sb="23" eb="25">
      <t>ケンタイ</t>
    </rPh>
    <rPh sb="26" eb="28">
      <t>ホンスウ</t>
    </rPh>
    <rPh sb="31" eb="32">
      <t>ヒ</t>
    </rPh>
    <rPh sb="32" eb="33">
      <t>ブン</t>
    </rPh>
    <rPh sb="33" eb="34">
      <t>チュウ</t>
    </rPh>
    <rPh sb="35" eb="37">
      <t>サイケン</t>
    </rPh>
    <rPh sb="38" eb="40">
      <t>サイケン</t>
    </rPh>
    <rPh sb="41" eb="43">
      <t>リレキ</t>
    </rPh>
    <rPh sb="45" eb="48">
      <t>サイソクテイ</t>
    </rPh>
    <rPh sb="49" eb="51">
      <t>シヨウ</t>
    </rPh>
    <phoneticPr fontId="6"/>
  </si>
  <si>
    <t>１ワークシートを作成する際の1トレー内に収める検体の本数。
（分注NGで使用）</t>
    <rPh sb="31" eb="32">
      <t>ブン</t>
    </rPh>
    <rPh sb="32" eb="33">
      <t>チュウ</t>
    </rPh>
    <rPh sb="36" eb="38">
      <t>シヨウ</t>
    </rPh>
    <phoneticPr fontId="6"/>
  </si>
  <si>
    <t>"0"の場合、条件に含めない（ALL指定）</t>
    <rPh sb="4" eb="6">
      <t>バアイ</t>
    </rPh>
    <rPh sb="7" eb="9">
      <t>ジョウケン</t>
    </rPh>
    <rPh sb="10" eb="11">
      <t>フク</t>
    </rPh>
    <rPh sb="18" eb="20">
      <t>シテイ</t>
    </rPh>
    <phoneticPr fontId="6"/>
  </si>
  <si>
    <t>　1：高値側
　2：低値側</t>
    <rPh sb="3" eb="5">
      <t>タカネ</t>
    </rPh>
    <rPh sb="5" eb="6">
      <t>ガワ</t>
    </rPh>
    <rPh sb="10" eb="12">
      <t>ヒクネ</t>
    </rPh>
    <rPh sb="12" eb="13">
      <t>ガワ</t>
    </rPh>
    <phoneticPr fontId="6"/>
  </si>
  <si>
    <t>　"0"：男
　"1"：女
　"9"：不明
　" "：ALL指定</t>
    <rPh sb="5" eb="6">
      <t>オトコ</t>
    </rPh>
    <rPh sb="12" eb="13">
      <t>オンナ</t>
    </rPh>
    <rPh sb="19" eb="21">
      <t>フメイ</t>
    </rPh>
    <rPh sb="30" eb="32">
      <t>シテイ</t>
    </rPh>
    <phoneticPr fontId="6"/>
  </si>
  <si>
    <t>チェック区分</t>
    <rPh sb="4" eb="6">
      <t>クブン</t>
    </rPh>
    <phoneticPr fontId="6"/>
  </si>
  <si>
    <t>　0：バッチチェック
　1：リアルタイムチェック
　2：両方</t>
    <rPh sb="28" eb="30">
      <t>リョウホウ</t>
    </rPh>
    <phoneticPr fontId="6"/>
  </si>
  <si>
    <t>チェック位置</t>
    <rPh sb="4" eb="6">
      <t>イチ</t>
    </rPh>
    <phoneticPr fontId="6"/>
  </si>
  <si>
    <t>下限値が不要の場合、"0"</t>
    <rPh sb="2" eb="3">
      <t>チ</t>
    </rPh>
    <rPh sb="4" eb="6">
      <t>フヨウ</t>
    </rPh>
    <rPh sb="7" eb="9">
      <t>バアイ</t>
    </rPh>
    <phoneticPr fontId="6"/>
  </si>
  <si>
    <t>トレー管理マスタ</t>
    <rPh sb="3" eb="5">
      <t>カンリ</t>
    </rPh>
    <phoneticPr fontId="6"/>
  </si>
  <si>
    <t>トレー種別</t>
    <rPh sb="3" eb="5">
      <t>シュベツ</t>
    </rPh>
    <phoneticPr fontId="5"/>
  </si>
  <si>
    <t>トレー名称</t>
    <rPh sb="3" eb="5">
      <t>メイショウ</t>
    </rPh>
    <phoneticPr fontId="6"/>
  </si>
  <si>
    <t>トレー内検体本数</t>
    <rPh sb="3" eb="4">
      <t>ナイ</t>
    </rPh>
    <rPh sb="4" eb="6">
      <t>ケンタイ</t>
    </rPh>
    <rPh sb="6" eb="8">
      <t>ホンスウ</t>
    </rPh>
    <phoneticPr fontId="5"/>
  </si>
  <si>
    <t>トレー内ラック搭載数</t>
    <rPh sb="3" eb="4">
      <t>ナイ</t>
    </rPh>
    <rPh sb="7" eb="9">
      <t>トウサイ</t>
    </rPh>
    <rPh sb="9" eb="10">
      <t>スウ</t>
    </rPh>
    <phoneticPr fontId="5"/>
  </si>
  <si>
    <t>制御ホスト名</t>
    <rPh sb="0" eb="2">
      <t>セイギョ</t>
    </rPh>
    <rPh sb="5" eb="6">
      <t>メイ</t>
    </rPh>
    <phoneticPr fontId="5"/>
  </si>
  <si>
    <t>プロセス名称</t>
    <rPh sb="4" eb="6">
      <t>メイショウ</t>
    </rPh>
    <phoneticPr fontId="6"/>
  </si>
  <si>
    <t>プロセス名</t>
    <rPh sb="4" eb="5">
      <t>メイ</t>
    </rPh>
    <phoneticPr fontId="6"/>
  </si>
  <si>
    <t>セクション名</t>
    <rPh sb="5" eb="6">
      <t>メイ</t>
    </rPh>
    <phoneticPr fontId="6"/>
  </si>
  <si>
    <t>別紙コメントコード</t>
    <rPh sb="0" eb="2">
      <t>ベッシ</t>
    </rPh>
    <phoneticPr fontId="6"/>
  </si>
  <si>
    <t>行Ｎｏ</t>
    <rPh sb="0" eb="1">
      <t>ギョウ</t>
    </rPh>
    <phoneticPr fontId="6"/>
  </si>
  <si>
    <t>○</t>
    <phoneticPr fontId="6"/>
  </si>
  <si>
    <t>CHAR</t>
    <phoneticPr fontId="6"/>
  </si>
  <si>
    <t>No.</t>
    <phoneticPr fontId="6"/>
  </si>
  <si>
    <t>キー</t>
    <phoneticPr fontId="6"/>
  </si>
  <si>
    <t>KNSGRP</t>
    <phoneticPr fontId="6"/>
  </si>
  <si>
    <t xml:space="preserve">               </t>
    <phoneticPr fontId="6"/>
  </si>
  <si>
    <t>2006/12/05　鎌倉</t>
    <rPh sb="11" eb="13">
      <t>カマクラ</t>
    </rPh>
    <phoneticPr fontId="6"/>
  </si>
  <si>
    <t xml:space="preserve">標準分注量ＭＩＮ </t>
    <phoneticPr fontId="6"/>
  </si>
  <si>
    <t>標準分注量ＭＡＸ</t>
    <phoneticPr fontId="6"/>
  </si>
  <si>
    <t xml:space="preserve">標準分注量ＢＡＳ </t>
    <phoneticPr fontId="6"/>
  </si>
  <si>
    <t>少量分注量ＭＩＮ</t>
    <rPh sb="0" eb="2">
      <t>ショウリョウ</t>
    </rPh>
    <rPh sb="2" eb="4">
      <t>ブンチュウ</t>
    </rPh>
    <rPh sb="4" eb="5">
      <t>リョウ</t>
    </rPh>
    <phoneticPr fontId="6"/>
  </si>
  <si>
    <t>少量分注量ＭＡＸ</t>
    <rPh sb="0" eb="2">
      <t>ショウリョウ</t>
    </rPh>
    <rPh sb="2" eb="4">
      <t>ブンチュウ</t>
    </rPh>
    <rPh sb="4" eb="5">
      <t>リョウ</t>
    </rPh>
    <phoneticPr fontId="6"/>
  </si>
  <si>
    <t>小児分注量ＭＩＮ</t>
    <rPh sb="0" eb="2">
      <t>ショウニ</t>
    </rPh>
    <rPh sb="2" eb="4">
      <t>ブンチュウ</t>
    </rPh>
    <rPh sb="4" eb="5">
      <t>リョウ</t>
    </rPh>
    <phoneticPr fontId="6"/>
  </si>
  <si>
    <t>小児分注量ＭＡＸ</t>
    <rPh sb="0" eb="2">
      <t>ショウニ</t>
    </rPh>
    <rPh sb="2" eb="4">
      <t>ブンチュウ</t>
    </rPh>
    <rPh sb="4" eb="5">
      <t>リョウ</t>
    </rPh>
    <phoneticPr fontId="6"/>
  </si>
  <si>
    <t>小児分注量ＢＡＳ</t>
  </si>
  <si>
    <t>予備１</t>
  </si>
  <si>
    <t>予備２</t>
    <rPh sb="0" eb="2">
      <t>ヨビ</t>
    </rPh>
    <phoneticPr fontId="6"/>
  </si>
  <si>
    <t>予備３</t>
    <rPh sb="0" eb="2">
      <t>ヨビ</t>
    </rPh>
    <phoneticPr fontId="6"/>
  </si>
  <si>
    <t>分注量マスタ</t>
    <rPh sb="0" eb="1">
      <t>ブン</t>
    </rPh>
    <rPh sb="1" eb="2">
      <t>チュウ</t>
    </rPh>
    <rPh sb="2" eb="3">
      <t>リョウ</t>
    </rPh>
    <phoneticPr fontId="6"/>
  </si>
  <si>
    <t>BNCRYMST</t>
    <phoneticPr fontId="6"/>
  </si>
  <si>
    <t>HJBCRMAX</t>
    <phoneticPr fontId="6"/>
  </si>
  <si>
    <t>HJBCRMIN</t>
    <phoneticPr fontId="6"/>
  </si>
  <si>
    <t>HJBCRBAS</t>
    <phoneticPr fontId="6"/>
  </si>
  <si>
    <t>SRBCRMIN</t>
    <phoneticPr fontId="6"/>
  </si>
  <si>
    <t>SRBCRMAX</t>
    <phoneticPr fontId="6"/>
  </si>
  <si>
    <t>SRBCRBAS</t>
    <phoneticPr fontId="6"/>
  </si>
  <si>
    <t>SNBCRMIN</t>
    <phoneticPr fontId="6"/>
  </si>
  <si>
    <t>SNBCRMAX</t>
    <phoneticPr fontId="6"/>
  </si>
  <si>
    <t>SNBCRBAS</t>
    <phoneticPr fontId="6"/>
  </si>
  <si>
    <t>YOBI1</t>
    <phoneticPr fontId="6"/>
  </si>
  <si>
    <t>YOBI2</t>
    <phoneticPr fontId="6"/>
  </si>
  <si>
    <t>YOBI3</t>
    <phoneticPr fontId="6"/>
  </si>
  <si>
    <t>コメント内容</t>
    <rPh sb="4" eb="6">
      <t>ナイヨウ</t>
    </rPh>
    <phoneticPr fontId="6"/>
  </si>
  <si>
    <t>初回測定時に使用されるトレイＩＤの頭文字。
例："1MLT"
頭文字の文字数は規定せず、可変長とする。</t>
    <rPh sb="0" eb="2">
      <t>ショカイ</t>
    </rPh>
    <rPh sb="2" eb="4">
      <t>ソクテイ</t>
    </rPh>
    <rPh sb="4" eb="5">
      <t>ジ</t>
    </rPh>
    <rPh sb="6" eb="8">
      <t>シヨウ</t>
    </rPh>
    <rPh sb="17" eb="18">
      <t>アタマ</t>
    </rPh>
    <rPh sb="18" eb="20">
      <t>モジ</t>
    </rPh>
    <rPh sb="22" eb="23">
      <t>レイ</t>
    </rPh>
    <rPh sb="31" eb="34">
      <t>カシラモジ</t>
    </rPh>
    <rPh sb="35" eb="38">
      <t>モジスウ</t>
    </rPh>
    <rPh sb="39" eb="41">
      <t>キテイ</t>
    </rPh>
    <rPh sb="44" eb="47">
      <t>カヘンチョウ</t>
    </rPh>
    <phoneticPr fontId="6"/>
  </si>
  <si>
    <t>ラックの名称</t>
    <rPh sb="4" eb="6">
      <t>メイショウ</t>
    </rPh>
    <phoneticPr fontId="6"/>
  </si>
  <si>
    <t>トレイＩＤの頭文字。
通番をのぞいた部分を記述する事。
頭文字の文字数は規定せず、可変長とする。</t>
    <rPh sb="6" eb="9">
      <t>カシラモジ</t>
    </rPh>
    <rPh sb="11" eb="12">
      <t>ツウ</t>
    </rPh>
    <rPh sb="12" eb="13">
      <t>バン</t>
    </rPh>
    <rPh sb="18" eb="20">
      <t>ブブン</t>
    </rPh>
    <rPh sb="21" eb="23">
      <t>キジュツ</t>
    </rPh>
    <rPh sb="25" eb="26">
      <t>コト</t>
    </rPh>
    <phoneticPr fontId="6"/>
  </si>
  <si>
    <t>ホスト名</t>
    <rPh sb="3" eb="4">
      <t>メイ</t>
    </rPh>
    <phoneticPr fontId="6"/>
  </si>
  <si>
    <t>休業日の設定を行う</t>
    <rPh sb="0" eb="3">
      <t>キュウギョウビ</t>
    </rPh>
    <rPh sb="4" eb="6">
      <t>セッテイ</t>
    </rPh>
    <rPh sb="7" eb="8">
      <t>オコナ</t>
    </rPh>
    <phoneticPr fontId="6"/>
  </si>
  <si>
    <t>休業日</t>
    <rPh sb="0" eb="3">
      <t>キュウギョウビ</t>
    </rPh>
    <phoneticPr fontId="6"/>
  </si>
  <si>
    <t>最大測定数</t>
    <rPh sb="0" eb="2">
      <t>サイダイ</t>
    </rPh>
    <rPh sb="2" eb="4">
      <t>ソクテイ</t>
    </rPh>
    <rPh sb="4" eb="5">
      <t>スウ</t>
    </rPh>
    <phoneticPr fontId="6"/>
  </si>
  <si>
    <t>検査終了予定日</t>
    <rPh sb="0" eb="2">
      <t>ケンサ</t>
    </rPh>
    <rPh sb="2" eb="4">
      <t>シュウリョウ</t>
    </rPh>
    <rPh sb="4" eb="7">
      <t>ヨテイビ</t>
    </rPh>
    <phoneticPr fontId="6"/>
  </si>
  <si>
    <t>検査開始予定日</t>
    <rPh sb="0" eb="2">
      <t>ケンサ</t>
    </rPh>
    <rPh sb="2" eb="4">
      <t>カイシ</t>
    </rPh>
    <rPh sb="4" eb="6">
      <t>ヨテイ</t>
    </rPh>
    <rPh sb="6" eb="7">
      <t>ヒ</t>
    </rPh>
    <phoneticPr fontId="6"/>
  </si>
  <si>
    <t>検査開始予定日</t>
    <rPh sb="0" eb="2">
      <t>ケンサ</t>
    </rPh>
    <rPh sb="2" eb="4">
      <t>カイシ</t>
    </rPh>
    <rPh sb="4" eb="7">
      <t>ヨテイビ</t>
    </rPh>
    <phoneticPr fontId="6"/>
  </si>
  <si>
    <t>分析機号機</t>
    <rPh sb="0" eb="2">
      <t>ブンセキ</t>
    </rPh>
    <rPh sb="2" eb="3">
      <t>キ</t>
    </rPh>
    <rPh sb="3" eb="4">
      <t>ゴウ</t>
    </rPh>
    <rPh sb="4" eb="5">
      <t>キ</t>
    </rPh>
    <phoneticPr fontId="6"/>
  </si>
  <si>
    <t>2006/03/03　鎌倉</t>
    <rPh sb="11" eb="13">
      <t>カマクラ</t>
    </rPh>
    <phoneticPr fontId="6"/>
  </si>
  <si>
    <t>緊急基準処理年月日</t>
    <rPh sb="0" eb="2">
      <t>キンキュウ</t>
    </rPh>
    <rPh sb="2" eb="4">
      <t>キジュン</t>
    </rPh>
    <rPh sb="4" eb="6">
      <t>ショリ</t>
    </rPh>
    <rPh sb="6" eb="9">
      <t>ネンガッピ</t>
    </rPh>
    <phoneticPr fontId="6"/>
  </si>
  <si>
    <t>KKKJSRIYMD</t>
    <phoneticPr fontId="6"/>
  </si>
  <si>
    <t>2006/02/21　秋山</t>
    <rPh sb="11" eb="13">
      <t>アキヤマ</t>
    </rPh>
    <phoneticPr fontId="6"/>
  </si>
  <si>
    <t>補正
  0：補正しない
　1：手動補正する
　2：自動補正する</t>
    <rPh sb="7" eb="9">
      <t>ホセイ</t>
    </rPh>
    <rPh sb="16" eb="18">
      <t>シュドウ</t>
    </rPh>
    <rPh sb="26" eb="28">
      <t>ジドウ</t>
    </rPh>
    <phoneticPr fontId="6"/>
  </si>
  <si>
    <t>2006/03/09　鎌倉</t>
    <rPh sb="11" eb="13">
      <t>カマクラ</t>
    </rPh>
    <phoneticPr fontId="6"/>
  </si>
  <si>
    <t>コード定義変更</t>
    <rPh sb="3" eb="5">
      <t>テイギ</t>
    </rPh>
    <rPh sb="5" eb="7">
      <t>ヘンコウ</t>
    </rPh>
    <phoneticPr fontId="6"/>
  </si>
  <si>
    <t>補正有無フラグ [ :0:補正しない 1:手動補正する 2:自動補正する ]</t>
    <rPh sb="0" eb="2">
      <t>ホセイ</t>
    </rPh>
    <rPh sb="2" eb="4">
      <t>ウム</t>
    </rPh>
    <rPh sb="13" eb="15">
      <t>ホセイ</t>
    </rPh>
    <rPh sb="21" eb="23">
      <t>シュドウ</t>
    </rPh>
    <rPh sb="23" eb="25">
      <t>ホセイ</t>
    </rPh>
    <rPh sb="30" eb="32">
      <t>ジドウ</t>
    </rPh>
    <rPh sb="32" eb="34">
      <t>ホセイ</t>
    </rPh>
    <phoneticPr fontId="6"/>
  </si>
  <si>
    <t>グループ分類マスタ</t>
    <rPh sb="4" eb="6">
      <t>ブンルイ</t>
    </rPh>
    <phoneticPr fontId="6"/>
  </si>
  <si>
    <t>分類コード１（セクション）</t>
    <rPh sb="0" eb="2">
      <t>ブンルイ</t>
    </rPh>
    <phoneticPr fontId="6"/>
  </si>
  <si>
    <t>BUNCD1</t>
    <phoneticPr fontId="6"/>
  </si>
  <si>
    <t>SMALLINT</t>
    <phoneticPr fontId="6"/>
  </si>
  <si>
    <t>分類コード２（分類グループ）</t>
    <rPh sb="0" eb="2">
      <t>ブンルイ</t>
    </rPh>
    <rPh sb="7" eb="9">
      <t>ブンルイ</t>
    </rPh>
    <phoneticPr fontId="6"/>
  </si>
  <si>
    <t>BUNCD2</t>
    <phoneticPr fontId="6"/>
  </si>
  <si>
    <t>○</t>
    <phoneticPr fontId="6"/>
  </si>
  <si>
    <t>例えば、マルチの中で分ける分類コードを登録</t>
    <rPh sb="0" eb="1">
      <t>タト</t>
    </rPh>
    <rPh sb="8" eb="9">
      <t>ナカ</t>
    </rPh>
    <rPh sb="10" eb="11">
      <t>ワ</t>
    </rPh>
    <rPh sb="13" eb="15">
      <t>ブンルイ</t>
    </rPh>
    <rPh sb="19" eb="21">
      <t>トウロク</t>
    </rPh>
    <phoneticPr fontId="6"/>
  </si>
  <si>
    <t>KNSGRP</t>
  </si>
  <si>
    <t>検査グループ表示順</t>
    <rPh sb="0" eb="2">
      <t>ケンサ</t>
    </rPh>
    <rPh sb="6" eb="8">
      <t>ヒョウジ</t>
    </rPh>
    <rPh sb="8" eb="9">
      <t>ジュン</t>
    </rPh>
    <phoneticPr fontId="6"/>
  </si>
  <si>
    <t>分類コード２でくくられる検査グループの表示順番</t>
    <rPh sb="0" eb="2">
      <t>ブンルイ</t>
    </rPh>
    <rPh sb="12" eb="14">
      <t>ケンサ</t>
    </rPh>
    <rPh sb="19" eb="21">
      <t>ヒョウジ</t>
    </rPh>
    <rPh sb="21" eb="23">
      <t>ジュンバン</t>
    </rPh>
    <phoneticPr fontId="6"/>
  </si>
  <si>
    <t>グループ分類名称1（セクション）</t>
    <rPh sb="4" eb="6">
      <t>ブンルイ</t>
    </rPh>
    <rPh sb="6" eb="8">
      <t>メイショウ</t>
    </rPh>
    <phoneticPr fontId="6"/>
  </si>
  <si>
    <t>BUNCDNM1</t>
    <phoneticPr fontId="6"/>
  </si>
  <si>
    <t>画面表示用セクションの名称</t>
    <rPh sb="0" eb="2">
      <t>ガメン</t>
    </rPh>
    <rPh sb="2" eb="4">
      <t>ヒョウジ</t>
    </rPh>
    <rPh sb="4" eb="5">
      <t>ヨウ</t>
    </rPh>
    <rPh sb="11" eb="13">
      <t>メイショウ</t>
    </rPh>
    <phoneticPr fontId="6"/>
  </si>
  <si>
    <t>グループ分類名称2（分類グループ）</t>
    <rPh sb="4" eb="6">
      <t>ブンルイ</t>
    </rPh>
    <rPh sb="6" eb="8">
      <t>メイショウ</t>
    </rPh>
    <rPh sb="10" eb="12">
      <t>ブンルイ</t>
    </rPh>
    <phoneticPr fontId="6"/>
  </si>
  <si>
    <t>画面表示用グループ分類の名称</t>
    <rPh sb="0" eb="2">
      <t>ガメン</t>
    </rPh>
    <rPh sb="2" eb="4">
      <t>ヒョウジ</t>
    </rPh>
    <rPh sb="4" eb="5">
      <t>ヨウ</t>
    </rPh>
    <rPh sb="9" eb="11">
      <t>ブンルイ</t>
    </rPh>
    <rPh sb="12" eb="14">
      <t>メイショウ</t>
    </rPh>
    <phoneticPr fontId="6"/>
  </si>
  <si>
    <t xml:space="preserve">               </t>
    <phoneticPr fontId="6"/>
  </si>
  <si>
    <t>2007/1/17　秋山</t>
    <rPh sb="10" eb="12">
      <t>アキヤマ</t>
    </rPh>
    <phoneticPr fontId="6"/>
  </si>
  <si>
    <t>2007/2/6 永田</t>
    <rPh sb="9" eb="11">
      <t>ナガタ</t>
    </rPh>
    <phoneticPr fontId="6"/>
  </si>
  <si>
    <t>フィールド名、物理名変更</t>
    <rPh sb="5" eb="6">
      <t>メイ</t>
    </rPh>
    <rPh sb="7" eb="9">
      <t>ブツリ</t>
    </rPh>
    <rPh sb="9" eb="10">
      <t>メイ</t>
    </rPh>
    <rPh sb="10" eb="12">
      <t>ヘンコウ</t>
    </rPh>
    <phoneticPr fontId="6"/>
  </si>
  <si>
    <t>表示順 HYJIJN  →　検査グループ表示順 GHYJIJN</t>
    <rPh sb="0" eb="2">
      <t>ヒョウジ</t>
    </rPh>
    <rPh sb="2" eb="3">
      <t>ジュン</t>
    </rPh>
    <rPh sb="14" eb="16">
      <t>ケンサ</t>
    </rPh>
    <rPh sb="20" eb="22">
      <t>ヒョウジ</t>
    </rPh>
    <rPh sb="22" eb="23">
      <t>ジュン</t>
    </rPh>
    <phoneticPr fontId="6"/>
  </si>
  <si>
    <t>ドキュメント</t>
    <phoneticPr fontId="6"/>
  </si>
  <si>
    <t>No.</t>
    <phoneticPr fontId="6"/>
  </si>
  <si>
    <t>キー</t>
    <phoneticPr fontId="6"/>
  </si>
  <si>
    <t>GHYJIJN</t>
    <phoneticPr fontId="6"/>
  </si>
  <si>
    <t>SMALLINT</t>
    <phoneticPr fontId="6"/>
  </si>
  <si>
    <t>トレーラック種別
　0:分注投入トレー
　1:分注収納トレー
　2:未分注トレー
　3:元検用トレー</t>
    <rPh sb="12" eb="13">
      <t>ブン</t>
    </rPh>
    <rPh sb="13" eb="14">
      <t>チュウ</t>
    </rPh>
    <rPh sb="14" eb="16">
      <t>トウニュウ</t>
    </rPh>
    <rPh sb="23" eb="24">
      <t>ブン</t>
    </rPh>
    <rPh sb="24" eb="25">
      <t>チュウ</t>
    </rPh>
    <rPh sb="25" eb="27">
      <t>シュウノウ</t>
    </rPh>
    <rPh sb="34" eb="35">
      <t>ミ</t>
    </rPh>
    <rPh sb="35" eb="36">
      <t>ブン</t>
    </rPh>
    <rPh sb="36" eb="37">
      <t>チュウ</t>
    </rPh>
    <rPh sb="44" eb="45">
      <t>モト</t>
    </rPh>
    <rPh sb="45" eb="46">
      <t>ケン</t>
    </rPh>
    <rPh sb="46" eb="47">
      <t>ヨウ</t>
    </rPh>
    <phoneticPr fontId="6"/>
  </si>
  <si>
    <t>分析機号機（ユニット、モジュール単位）</t>
    <rPh sb="0" eb="2">
      <t>ブンセキ</t>
    </rPh>
    <rPh sb="2" eb="3">
      <t>キ</t>
    </rPh>
    <rPh sb="3" eb="5">
      <t>ゴウキ</t>
    </rPh>
    <rPh sb="16" eb="18">
      <t>タンイ</t>
    </rPh>
    <phoneticPr fontId="6"/>
  </si>
  <si>
    <t>表現する範囲を区分で表す
　0：正常値
　1：再検値
　2：パニック１（BMLﾊﾟﾆｯｸ）
　3：パニック２（検査室ﾊﾟﾆｯｸ）
　4：照合チェック</t>
    <rPh sb="0" eb="2">
      <t>ヒョウゲン</t>
    </rPh>
    <rPh sb="4" eb="6">
      <t>ハンイ</t>
    </rPh>
    <rPh sb="7" eb="9">
      <t>クブン</t>
    </rPh>
    <rPh sb="10" eb="11">
      <t>アラワ</t>
    </rPh>
    <rPh sb="16" eb="19">
      <t>セイジョウチ</t>
    </rPh>
    <rPh sb="23" eb="25">
      <t>サイケン</t>
    </rPh>
    <rPh sb="25" eb="26">
      <t>チ</t>
    </rPh>
    <rPh sb="55" eb="57">
      <t>ケンサ</t>
    </rPh>
    <rPh sb="57" eb="58">
      <t>シツ</t>
    </rPh>
    <rPh sb="68" eb="70">
      <t>ショウゴウ</t>
    </rPh>
    <phoneticPr fontId="6"/>
  </si>
  <si>
    <t>※ⅰ
透析前後チェックについて
チェックタイプＡ（マルチ、シングル系）
　（透析後－透析前≧0）をエラーとする
チェックタイプＢ（血算系）
　（透析後/透析前）の比を求め
　上限値、下限値と照らし合わせる。
　上限を越えたら、透析Ｈエラー
　下限を越えたら、透析Ｌエラーとなる</t>
    <rPh sb="3" eb="5">
      <t>トウセキ</t>
    </rPh>
    <rPh sb="5" eb="7">
      <t>ゼンゴ</t>
    </rPh>
    <rPh sb="33" eb="34">
      <t>ケイ</t>
    </rPh>
    <rPh sb="65" eb="66">
      <t>チ</t>
    </rPh>
    <rPh sb="66" eb="67">
      <t>サン</t>
    </rPh>
    <rPh sb="67" eb="68">
      <t>ケイ</t>
    </rPh>
    <rPh sb="72" eb="74">
      <t>トウセキ</t>
    </rPh>
    <rPh sb="74" eb="75">
      <t>ゴ</t>
    </rPh>
    <rPh sb="76" eb="78">
      <t>トウセキ</t>
    </rPh>
    <rPh sb="78" eb="79">
      <t>マエ</t>
    </rPh>
    <rPh sb="81" eb="82">
      <t>ヒ</t>
    </rPh>
    <rPh sb="83" eb="84">
      <t>モト</t>
    </rPh>
    <rPh sb="87" eb="90">
      <t>ジョウゲンチ</t>
    </rPh>
    <rPh sb="91" eb="94">
      <t>カゲンチ</t>
    </rPh>
    <rPh sb="95" eb="96">
      <t>テ</t>
    </rPh>
    <rPh sb="98" eb="99">
      <t>ア</t>
    </rPh>
    <rPh sb="105" eb="107">
      <t>ジョウゲン</t>
    </rPh>
    <rPh sb="108" eb="109">
      <t>コ</t>
    </rPh>
    <rPh sb="113" eb="115">
      <t>トウセキ</t>
    </rPh>
    <rPh sb="121" eb="123">
      <t>カゲン</t>
    </rPh>
    <rPh sb="129" eb="131">
      <t>トウセキ</t>
    </rPh>
    <phoneticPr fontId="6"/>
  </si>
  <si>
    <t>※ⅰ参照
1：比（計算方法）
2：差（計算方法）</t>
    <rPh sb="2" eb="4">
      <t>サンショウ</t>
    </rPh>
    <rPh sb="7" eb="8">
      <t>ヒ</t>
    </rPh>
    <rPh sb="9" eb="11">
      <t>ケイサン</t>
    </rPh>
    <rPh sb="11" eb="13">
      <t>ホウホウ</t>
    </rPh>
    <rPh sb="17" eb="18">
      <t>サ</t>
    </rPh>
    <rPh sb="19" eb="21">
      <t>ケイサン</t>
    </rPh>
    <rPh sb="21" eb="23">
      <t>ホウホウ</t>
    </rPh>
    <phoneticPr fontId="6"/>
  </si>
  <si>
    <t>2006/4/9　秋山</t>
    <rPh sb="9" eb="11">
      <t>アキヤマ</t>
    </rPh>
    <phoneticPr fontId="6"/>
  </si>
  <si>
    <t>施設ｺｰﾄﾞをPKに設定。</t>
    <rPh sb="0" eb="2">
      <t>シセツ</t>
    </rPh>
    <rPh sb="10" eb="12">
      <t>セッテイ</t>
    </rPh>
    <phoneticPr fontId="6"/>
  </si>
  <si>
    <t>号機別名称</t>
    <rPh sb="0" eb="2">
      <t>ゴウキ</t>
    </rPh>
    <rPh sb="2" eb="3">
      <t>ベツ</t>
    </rPh>
    <rPh sb="3" eb="5">
      <t>メイショウ</t>
    </rPh>
    <phoneticPr fontId="6"/>
  </si>
  <si>
    <t>モジュール、ユニットの名前</t>
    <rPh sb="11" eb="13">
      <t>ナマエ</t>
    </rPh>
    <phoneticPr fontId="6"/>
  </si>
  <si>
    <t>分析機区分に紐付く名称(BM,LABOSPECT)</t>
    <rPh sb="0" eb="2">
      <t>ブンセキ</t>
    </rPh>
    <rPh sb="2" eb="3">
      <t>キ</t>
    </rPh>
    <rPh sb="3" eb="5">
      <t>クブン</t>
    </rPh>
    <rPh sb="6" eb="7">
      <t>ヒモ</t>
    </rPh>
    <rPh sb="7" eb="8">
      <t>ヅ</t>
    </rPh>
    <rPh sb="9" eb="11">
      <t>メイショウ</t>
    </rPh>
    <phoneticPr fontId="6"/>
  </si>
  <si>
    <t>分析機区分に紐付く略称</t>
    <rPh sb="0" eb="2">
      <t>ブンセキ</t>
    </rPh>
    <rPh sb="2" eb="3">
      <t>キ</t>
    </rPh>
    <rPh sb="3" eb="5">
      <t>クブン</t>
    </rPh>
    <rPh sb="6" eb="7">
      <t>ヒモ</t>
    </rPh>
    <rPh sb="7" eb="8">
      <t>ヅ</t>
    </rPh>
    <rPh sb="9" eb="11">
      <t>リャクショウ</t>
    </rPh>
    <phoneticPr fontId="6"/>
  </si>
  <si>
    <t>モジュール、ユニット単位で号機を付ける事になったため、分析機マスタの意味づけを変更</t>
    <rPh sb="10" eb="12">
      <t>タンイ</t>
    </rPh>
    <rPh sb="13" eb="15">
      <t>ゴウキ</t>
    </rPh>
    <rPh sb="16" eb="17">
      <t>ツ</t>
    </rPh>
    <rPh sb="19" eb="20">
      <t>コト</t>
    </rPh>
    <rPh sb="27" eb="29">
      <t>ブンセキ</t>
    </rPh>
    <rPh sb="29" eb="30">
      <t>キ</t>
    </rPh>
    <rPh sb="34" eb="36">
      <t>イミ</t>
    </rPh>
    <rPh sb="39" eb="41">
      <t>ヘンコウ</t>
    </rPh>
    <phoneticPr fontId="6"/>
  </si>
  <si>
    <t>分析機区分にぶら下がる分析機号機（モジュール、ユニット）を管理するテーブルとする。</t>
    <rPh sb="0" eb="2">
      <t>ブンセキ</t>
    </rPh>
    <rPh sb="2" eb="3">
      <t>キ</t>
    </rPh>
    <rPh sb="3" eb="5">
      <t>クブン</t>
    </rPh>
    <rPh sb="8" eb="9">
      <t>サ</t>
    </rPh>
    <rPh sb="11" eb="13">
      <t>ブンセキ</t>
    </rPh>
    <rPh sb="13" eb="14">
      <t>キ</t>
    </rPh>
    <rPh sb="14" eb="16">
      <t>ゴウキ</t>
    </rPh>
    <rPh sb="29" eb="31">
      <t>カンリ</t>
    </rPh>
    <phoneticPr fontId="6"/>
  </si>
  <si>
    <t>プライマリーキーに設定</t>
    <rPh sb="9" eb="11">
      <t>セッテイ</t>
    </rPh>
    <phoneticPr fontId="6"/>
  </si>
  <si>
    <t>BSKLNE</t>
    <phoneticPr fontId="6"/>
  </si>
  <si>
    <t>プライマリーキーを変更。トレーＩＤのみとする。</t>
    <rPh sb="9" eb="11">
      <t>ヘンコウ</t>
    </rPh>
    <phoneticPr fontId="6"/>
  </si>
  <si>
    <t>結果補足マスタ</t>
    <rPh sb="0" eb="2">
      <t>ケッカ</t>
    </rPh>
    <rPh sb="2" eb="4">
      <t>ホソク</t>
    </rPh>
    <phoneticPr fontId="6"/>
  </si>
  <si>
    <t>結果補足コード</t>
    <rPh sb="0" eb="2">
      <t>ケッカ</t>
    </rPh>
    <rPh sb="2" eb="4">
      <t>ホソク</t>
    </rPh>
    <phoneticPr fontId="6"/>
  </si>
  <si>
    <t>マスタ新規作成</t>
    <rPh sb="3" eb="5">
      <t>シンキ</t>
    </rPh>
    <rPh sb="5" eb="7">
      <t>サクセイ</t>
    </rPh>
    <phoneticPr fontId="6"/>
  </si>
  <si>
    <t>関連項目１</t>
    <rPh sb="0" eb="2">
      <t>カンレン</t>
    </rPh>
    <rPh sb="2" eb="4">
      <t>コウモク</t>
    </rPh>
    <phoneticPr fontId="6"/>
  </si>
  <si>
    <t>関連項目２</t>
    <rPh sb="0" eb="2">
      <t>カンレン</t>
    </rPh>
    <rPh sb="2" eb="4">
      <t>コウモク</t>
    </rPh>
    <phoneticPr fontId="6"/>
  </si>
  <si>
    <t>関連項目３</t>
    <rPh sb="0" eb="2">
      <t>カンレン</t>
    </rPh>
    <rPh sb="2" eb="4">
      <t>コウモク</t>
    </rPh>
    <phoneticPr fontId="6"/>
  </si>
  <si>
    <t>関連項目４</t>
    <rPh sb="0" eb="2">
      <t>カンレン</t>
    </rPh>
    <rPh sb="2" eb="4">
      <t>コウモク</t>
    </rPh>
    <phoneticPr fontId="6"/>
  </si>
  <si>
    <t>関連項目５</t>
    <rPh sb="0" eb="2">
      <t>カンレン</t>
    </rPh>
    <rPh sb="2" eb="4">
      <t>コウモク</t>
    </rPh>
    <phoneticPr fontId="6"/>
  </si>
  <si>
    <t>測定下限</t>
    <rPh sb="0" eb="2">
      <t>ソクテイ</t>
    </rPh>
    <rPh sb="2" eb="4">
      <t>カゲン</t>
    </rPh>
    <phoneticPr fontId="6"/>
  </si>
  <si>
    <t>測定上限</t>
    <rPh sb="0" eb="2">
      <t>ソクテイ</t>
    </rPh>
    <rPh sb="2" eb="4">
      <t>ジョウゲン</t>
    </rPh>
    <phoneticPr fontId="6"/>
  </si>
  <si>
    <t>週間隔</t>
    <rPh sb="0" eb="1">
      <t>シュウ</t>
    </rPh>
    <rPh sb="1" eb="3">
      <t>カンカク</t>
    </rPh>
    <phoneticPr fontId="6"/>
  </si>
  <si>
    <t>GROUPMST</t>
    <phoneticPr fontId="6"/>
  </si>
  <si>
    <t>GROUPMST</t>
    <phoneticPr fontId="6"/>
  </si>
  <si>
    <t>5項目までグループ化できます。
たとえば一般と透析前項目を同一グループにすると今回が一般項目で前回が透析前項目であっても履歴チェック対象になります。</t>
    <rPh sb="1" eb="3">
      <t>コウモク</t>
    </rPh>
    <rPh sb="9" eb="10">
      <t>カ</t>
    </rPh>
    <rPh sb="20" eb="22">
      <t>イッパン</t>
    </rPh>
    <rPh sb="23" eb="25">
      <t>トウセキ</t>
    </rPh>
    <rPh sb="25" eb="27">
      <t>ゼンコウ</t>
    </rPh>
    <rPh sb="27" eb="28">
      <t>メ</t>
    </rPh>
    <rPh sb="29" eb="31">
      <t>ドウイツ</t>
    </rPh>
    <rPh sb="39" eb="41">
      <t>コンカイ</t>
    </rPh>
    <rPh sb="42" eb="44">
      <t>イッパン</t>
    </rPh>
    <rPh sb="44" eb="46">
      <t>コウモク</t>
    </rPh>
    <rPh sb="47" eb="49">
      <t>ゼンカイ</t>
    </rPh>
    <rPh sb="50" eb="52">
      <t>トウセキ</t>
    </rPh>
    <rPh sb="52" eb="53">
      <t>マエ</t>
    </rPh>
    <rPh sb="53" eb="55">
      <t>コウモク</t>
    </rPh>
    <rPh sb="60" eb="62">
      <t>リレキ</t>
    </rPh>
    <rPh sb="66" eb="68">
      <t>タイショウ</t>
    </rPh>
    <phoneticPr fontId="6"/>
  </si>
  <si>
    <t>今回受け日と前回受け日の区間(週単位)でチェック内容を変更できます。
登録された週ごとに履歴チェックを行う。</t>
    <rPh sb="0" eb="2">
      <t>コンカイ</t>
    </rPh>
    <rPh sb="2" eb="3">
      <t>ウ</t>
    </rPh>
    <rPh sb="4" eb="5">
      <t>ヒ</t>
    </rPh>
    <rPh sb="6" eb="8">
      <t>ゼンカイ</t>
    </rPh>
    <rPh sb="8" eb="9">
      <t>ウ</t>
    </rPh>
    <rPh sb="10" eb="11">
      <t>ビ</t>
    </rPh>
    <rPh sb="12" eb="14">
      <t>クカン</t>
    </rPh>
    <rPh sb="15" eb="16">
      <t>シュウ</t>
    </rPh>
    <rPh sb="16" eb="18">
      <t>タンイ</t>
    </rPh>
    <rPh sb="24" eb="26">
      <t>ナイヨウ</t>
    </rPh>
    <rPh sb="27" eb="29">
      <t>ヘンコウ</t>
    </rPh>
    <rPh sb="35" eb="37">
      <t>トウロク</t>
    </rPh>
    <rPh sb="40" eb="41">
      <t>シュウ</t>
    </rPh>
    <rPh sb="44" eb="46">
      <t>リレキ</t>
    </rPh>
    <rPh sb="51" eb="52">
      <t>オコナ</t>
    </rPh>
    <phoneticPr fontId="6"/>
  </si>
  <si>
    <t>今回値が測定下限以上・測定上限以下の場合に履歴チェックを行う。</t>
    <rPh sb="0" eb="2">
      <t>コンカイ</t>
    </rPh>
    <rPh sb="2" eb="3">
      <t>アタイ</t>
    </rPh>
    <rPh sb="4" eb="6">
      <t>ソクテイ</t>
    </rPh>
    <rPh sb="6" eb="8">
      <t>カゲン</t>
    </rPh>
    <rPh sb="8" eb="10">
      <t>イジョウ</t>
    </rPh>
    <rPh sb="11" eb="13">
      <t>ソクテイ</t>
    </rPh>
    <rPh sb="13" eb="15">
      <t>ジョウゲン</t>
    </rPh>
    <rPh sb="15" eb="17">
      <t>イカ</t>
    </rPh>
    <rPh sb="18" eb="20">
      <t>バアイ</t>
    </rPh>
    <rPh sb="21" eb="23">
      <t>リレキ</t>
    </rPh>
    <rPh sb="28" eb="29">
      <t>オコナ</t>
    </rPh>
    <phoneticPr fontId="6"/>
  </si>
  <si>
    <t>"0"の場合対象無しとする</t>
    <rPh sb="6" eb="8">
      <t>タイショウ</t>
    </rPh>
    <rPh sb="8" eb="9">
      <t>ナ</t>
    </rPh>
    <phoneticPr fontId="6"/>
  </si>
  <si>
    <t>履歴チェックを全面的に改定。</t>
    <rPh sb="0" eb="2">
      <t>リレキ</t>
    </rPh>
    <rPh sb="7" eb="10">
      <t>ゼンメンテキ</t>
    </rPh>
    <rPh sb="11" eb="13">
      <t>カイテイ</t>
    </rPh>
    <phoneticPr fontId="6"/>
  </si>
  <si>
    <t>シングルルールを採用する。</t>
    <rPh sb="8" eb="10">
      <t>サイヨウ</t>
    </rPh>
    <phoneticPr fontId="6"/>
  </si>
  <si>
    <t>（チェック詳細は、BML渡辺殿資料）</t>
    <rPh sb="5" eb="7">
      <t>ショウサイ</t>
    </rPh>
    <rPh sb="12" eb="14">
      <t>ワタナベ</t>
    </rPh>
    <rPh sb="14" eb="15">
      <t>ドノ</t>
    </rPh>
    <rPh sb="15" eb="17">
      <t>シリョウ</t>
    </rPh>
    <phoneticPr fontId="6"/>
  </si>
  <si>
    <t>フィールド削除 項目グループ</t>
    <rPh sb="5" eb="7">
      <t>サクジョ</t>
    </rPh>
    <rPh sb="8" eb="10">
      <t>コウモク</t>
    </rPh>
    <phoneticPr fontId="6"/>
  </si>
  <si>
    <t>「RA」項目の様に、上部の正常値範囲および、下部の正常値範囲がある場合、上下限区分を使用して、２つの範囲を設定する。</t>
    <rPh sb="4" eb="6">
      <t>コウモク</t>
    </rPh>
    <rPh sb="7" eb="8">
      <t>ヨウ</t>
    </rPh>
    <rPh sb="10" eb="12">
      <t>ジョウブ</t>
    </rPh>
    <rPh sb="13" eb="16">
      <t>セイジョウチ</t>
    </rPh>
    <rPh sb="16" eb="18">
      <t>ハンイ</t>
    </rPh>
    <rPh sb="22" eb="24">
      <t>カブ</t>
    </rPh>
    <rPh sb="25" eb="28">
      <t>セイジョウチ</t>
    </rPh>
    <rPh sb="28" eb="30">
      <t>ハンイ</t>
    </rPh>
    <rPh sb="33" eb="35">
      <t>バアイ</t>
    </rPh>
    <rPh sb="36" eb="39">
      <t>ジョウカゲン</t>
    </rPh>
    <rPh sb="39" eb="41">
      <t>クブン</t>
    </rPh>
    <rPh sb="42" eb="44">
      <t>シヨウ</t>
    </rPh>
    <rPh sb="50" eb="52">
      <t>ハンイ</t>
    </rPh>
    <rPh sb="53" eb="55">
      <t>セッテイ</t>
    </rPh>
    <phoneticPr fontId="6"/>
  </si>
  <si>
    <t>同項目で、上部正常値範囲および、下部正常値範囲を設定した場合、２つの条件式はor条件で結ばれる。</t>
    <rPh sb="0" eb="1">
      <t>ドウ</t>
    </rPh>
    <rPh sb="1" eb="3">
      <t>コウモク</t>
    </rPh>
    <rPh sb="5" eb="7">
      <t>ジョウブ</t>
    </rPh>
    <rPh sb="7" eb="10">
      <t>セイジョウチ</t>
    </rPh>
    <rPh sb="10" eb="12">
      <t>ハンイ</t>
    </rPh>
    <rPh sb="16" eb="18">
      <t>カブ</t>
    </rPh>
    <rPh sb="18" eb="21">
      <t>セイジョウチ</t>
    </rPh>
    <rPh sb="21" eb="23">
      <t>ハンイ</t>
    </rPh>
    <rPh sb="24" eb="26">
      <t>セッテイ</t>
    </rPh>
    <rPh sb="28" eb="30">
      <t>バアイ</t>
    </rPh>
    <rPh sb="34" eb="36">
      <t>ジョウケン</t>
    </rPh>
    <rPh sb="36" eb="37">
      <t>シキ</t>
    </rPh>
    <rPh sb="40" eb="42">
      <t>ジョウケン</t>
    </rPh>
    <rPh sb="43" eb="44">
      <t>ムス</t>
    </rPh>
    <phoneticPr fontId="6"/>
  </si>
  <si>
    <t>定性・定量フラグ</t>
    <rPh sb="0" eb="2">
      <t>テイセイ</t>
    </rPh>
    <rPh sb="3" eb="5">
      <t>テイリョウ</t>
    </rPh>
    <phoneticPr fontId="6"/>
  </si>
  <si>
    <t>　S：定性
　R：定量</t>
    <rPh sb="3" eb="5">
      <t>テイセイ</t>
    </rPh>
    <rPh sb="9" eb="11">
      <t>テイリョウ</t>
    </rPh>
    <phoneticPr fontId="6"/>
  </si>
  <si>
    <t>　0：通常の項目
　1：テスト依頼専用項目
　2：計算元項目
　3：相関先項目</t>
    <rPh sb="3" eb="5">
      <t>ツウジョウ</t>
    </rPh>
    <rPh sb="6" eb="8">
      <t>コウモク</t>
    </rPh>
    <rPh sb="15" eb="17">
      <t>イライ</t>
    </rPh>
    <rPh sb="17" eb="19">
      <t>センヨウ</t>
    </rPh>
    <rPh sb="19" eb="21">
      <t>コウモク</t>
    </rPh>
    <rPh sb="25" eb="27">
      <t>ケイサン</t>
    </rPh>
    <rPh sb="27" eb="28">
      <t>モト</t>
    </rPh>
    <rPh sb="28" eb="30">
      <t>コウモク</t>
    </rPh>
    <rPh sb="34" eb="36">
      <t>ソウカン</t>
    </rPh>
    <rPh sb="36" eb="37">
      <t>サキ</t>
    </rPh>
    <rPh sb="37" eb="39">
      <t>コウモク</t>
    </rPh>
    <phoneticPr fontId="6"/>
  </si>
  <si>
    <t>○</t>
    <phoneticPr fontId="6"/>
  </si>
  <si>
    <t>SSTKJMST</t>
    <phoneticPr fontId="6"/>
  </si>
  <si>
    <t>チェック種別マスタ</t>
    <rPh sb="4" eb="6">
      <t>シュベツ</t>
    </rPh>
    <phoneticPr fontId="6"/>
  </si>
  <si>
    <t>チェック種別</t>
    <rPh sb="4" eb="6">
      <t>シュベツ</t>
    </rPh>
    <phoneticPr fontId="5"/>
  </si>
  <si>
    <t>チェック種別を表す記号</t>
    <rPh sb="4" eb="6">
      <t>シュベツ</t>
    </rPh>
    <rPh sb="7" eb="8">
      <t>アラワ</t>
    </rPh>
    <rPh sb="9" eb="11">
      <t>キゴウ</t>
    </rPh>
    <phoneticPr fontId="6"/>
  </si>
  <si>
    <t>チェック項目名</t>
    <rPh sb="4" eb="6">
      <t>コウモク</t>
    </rPh>
    <rPh sb="6" eb="7">
      <t>メイ</t>
    </rPh>
    <phoneticPr fontId="6"/>
  </si>
  <si>
    <t>内部項目コード</t>
    <rPh sb="0" eb="2">
      <t>ナイブ</t>
    </rPh>
    <rPh sb="2" eb="4">
      <t>コウモク</t>
    </rPh>
    <phoneticPr fontId="6"/>
  </si>
  <si>
    <t>分析機側の項目No（チャネル）</t>
    <rPh sb="0" eb="2">
      <t>ブンセキ</t>
    </rPh>
    <rPh sb="2" eb="3">
      <t>キ</t>
    </rPh>
    <rPh sb="3" eb="4">
      <t>ガワ</t>
    </rPh>
    <rPh sb="5" eb="7">
      <t>コウモク</t>
    </rPh>
    <phoneticPr fontId="6"/>
  </si>
  <si>
    <t>分析側の項目Ｎｏ（チャネル）</t>
    <rPh sb="0" eb="2">
      <t>ブンセキ</t>
    </rPh>
    <rPh sb="2" eb="3">
      <t>ガワ</t>
    </rPh>
    <rPh sb="4" eb="6">
      <t>コウモク</t>
    </rPh>
    <phoneticPr fontId="6"/>
  </si>
  <si>
    <t>再検理由マスタ</t>
    <rPh sb="0" eb="2">
      <t>サイケン</t>
    </rPh>
    <rPh sb="2" eb="4">
      <t>リユウ</t>
    </rPh>
    <phoneticPr fontId="6"/>
  </si>
  <si>
    <t>再検理由コード</t>
    <rPh sb="0" eb="2">
      <t>サイケン</t>
    </rPh>
    <rPh sb="2" eb="4">
      <t>リユウ</t>
    </rPh>
    <phoneticPr fontId="5"/>
  </si>
  <si>
    <t>再検理由</t>
    <rPh sb="0" eb="2">
      <t>サイケン</t>
    </rPh>
    <rPh sb="2" eb="4">
      <t>リユウ</t>
    </rPh>
    <phoneticPr fontId="6"/>
  </si>
  <si>
    <t>スタンダード種別</t>
    <rPh sb="6" eb="8">
      <t>シュベツ</t>
    </rPh>
    <phoneticPr fontId="5"/>
  </si>
  <si>
    <t>スタンダード名称</t>
    <rPh sb="6" eb="8">
      <t>メイショウ</t>
    </rPh>
    <phoneticPr fontId="5"/>
  </si>
  <si>
    <t>スタンダード略称</t>
    <rPh sb="6" eb="8">
      <t>リャクショウ</t>
    </rPh>
    <phoneticPr fontId="5"/>
  </si>
  <si>
    <t>指定無しの場合は、"0"を指定</t>
    <rPh sb="0" eb="2">
      <t>シテイ</t>
    </rPh>
    <rPh sb="2" eb="3">
      <t>ナ</t>
    </rPh>
    <rPh sb="5" eb="7">
      <t>バアイ</t>
    </rPh>
    <rPh sb="13" eb="15">
      <t>シテイ</t>
    </rPh>
    <phoneticPr fontId="6"/>
  </si>
  <si>
    <t>項目マスタ</t>
    <phoneticPr fontId="6"/>
  </si>
  <si>
    <t>KMKMST</t>
    <phoneticPr fontId="6"/>
  </si>
  <si>
    <t>○</t>
    <phoneticPr fontId="6"/>
  </si>
  <si>
    <t>CHAR</t>
    <phoneticPr fontId="6"/>
  </si>
  <si>
    <t>No.</t>
    <phoneticPr fontId="6"/>
  </si>
  <si>
    <t>KNSGRP</t>
    <phoneticPr fontId="6"/>
  </si>
  <si>
    <t>KMKCD</t>
    <phoneticPr fontId="6"/>
  </si>
  <si>
    <t>○</t>
    <phoneticPr fontId="6"/>
  </si>
  <si>
    <t>OYAKMKCD</t>
    <phoneticPr fontId="6"/>
  </si>
  <si>
    <t>"001 "：随時尿
"002 "：蓄尿
"000 "：上記以外はこのコードで検索</t>
    <rPh sb="39" eb="41">
      <t>ケンサク</t>
    </rPh>
    <phoneticPr fontId="6"/>
  </si>
  <si>
    <t>"001 "：随時尿
"002 "：蓄尿
"000 "：上記以外はこのコードで検索</t>
    <phoneticPr fontId="6"/>
  </si>
  <si>
    <t>CHAR</t>
    <phoneticPr fontId="6"/>
  </si>
  <si>
    <t>○</t>
    <phoneticPr fontId="6"/>
  </si>
  <si>
    <t>○</t>
    <phoneticPr fontId="6"/>
  </si>
  <si>
    <t>○</t>
    <phoneticPr fontId="6"/>
  </si>
  <si>
    <t>CHAR</t>
    <phoneticPr fontId="6"/>
  </si>
  <si>
    <t>分画負荷の区分
[ 0:単独 1:分画親 2:分画子 3:負荷親 4:負荷子 7:BMLｾｯﾄ 8:施設別ｾｯﾄ 9:請求ｸﾞﾙｰﾌﾟ ]
7～9の考慮も必要？9の場合のﾁｪｯｸは特殊？→気にしない。単独とみなす。</t>
    <phoneticPr fontId="6"/>
  </si>
  <si>
    <t>TSKFLG</t>
    <phoneticPr fontId="6"/>
  </si>
  <si>
    <t>CHAR</t>
    <phoneticPr fontId="6"/>
  </si>
  <si>
    <t>○</t>
    <phoneticPr fontId="6"/>
  </si>
  <si>
    <t>TKTFLG</t>
    <phoneticPr fontId="6"/>
  </si>
  <si>
    <t>○</t>
    <phoneticPr fontId="6"/>
  </si>
  <si>
    <t>SMALLINT</t>
    <phoneticPr fontId="6"/>
  </si>
  <si>
    <t>○</t>
    <phoneticPr fontId="6"/>
  </si>
  <si>
    <t>DECIMAL</t>
    <phoneticPr fontId="6"/>
  </si>
  <si>
    <t>Ｘ軸最小値</t>
    <phoneticPr fontId="6"/>
  </si>
  <si>
    <t>CHAR</t>
    <phoneticPr fontId="6"/>
  </si>
  <si>
    <t>Ｘ軸刻み幅</t>
    <phoneticPr fontId="6"/>
  </si>
  <si>
    <t>○</t>
    <phoneticPr fontId="6"/>
  </si>
  <si>
    <t>NYUYOUFLG</t>
    <phoneticPr fontId="6"/>
  </si>
  <si>
    <t>○</t>
    <phoneticPr fontId="6"/>
  </si>
  <si>
    <t>TSTRFLG</t>
    <phoneticPr fontId="6"/>
  </si>
  <si>
    <t>CHAR</t>
    <phoneticPr fontId="6"/>
  </si>
  <si>
    <t>SGCHKFLG</t>
    <phoneticPr fontId="6"/>
  </si>
  <si>
    <t>KSJHFLG</t>
    <phoneticPr fontId="6"/>
  </si>
  <si>
    <t>KSSGFLG</t>
    <phoneticPr fontId="6"/>
  </si>
  <si>
    <t>○</t>
    <phoneticPr fontId="6"/>
  </si>
  <si>
    <t>XMSKFLG</t>
    <phoneticPr fontId="6"/>
  </si>
  <si>
    <t>[ 初期値:0 ]</t>
    <rPh sb="2" eb="5">
      <t>ショキチ</t>
    </rPh>
    <phoneticPr fontId="6"/>
  </si>
  <si>
    <t>2006/03/16　鎌倉</t>
    <rPh sb="11" eb="13">
      <t>カマクラ</t>
    </rPh>
    <phoneticPr fontId="6"/>
  </si>
  <si>
    <t>備考文言追加</t>
    <rPh sb="0" eb="2">
      <t>ビコウ</t>
    </rPh>
    <rPh sb="2" eb="4">
      <t>モンゴン</t>
    </rPh>
    <rPh sb="4" eb="6">
      <t>ツイカ</t>
    </rPh>
    <phoneticPr fontId="6"/>
  </si>
  <si>
    <t>送信通番　[ 初期値:０ ]</t>
    <rPh sb="0" eb="2">
      <t>ソウシン</t>
    </rPh>
    <rPh sb="2" eb="3">
      <t>ツウ</t>
    </rPh>
    <rPh sb="3" eb="4">
      <t>バン</t>
    </rPh>
    <rPh sb="7" eb="10">
      <t>ショキチ</t>
    </rPh>
    <phoneticPr fontId="6"/>
  </si>
  <si>
    <t>XbarMチェックフラグ</t>
    <phoneticPr fontId="5"/>
  </si>
  <si>
    <t>KAIYMD</t>
    <phoneticPr fontId="6"/>
  </si>
  <si>
    <t>○</t>
    <phoneticPr fontId="6"/>
  </si>
  <si>
    <t>HAIYMD</t>
    <phoneticPr fontId="6"/>
  </si>
  <si>
    <t>DATE</t>
    <phoneticPr fontId="6"/>
  </si>
  <si>
    <t>○</t>
    <phoneticPr fontId="6"/>
  </si>
  <si>
    <t>KSNDH</t>
    <phoneticPr fontId="6"/>
  </si>
  <si>
    <t>TIMESTAMP</t>
    <phoneticPr fontId="6"/>
  </si>
  <si>
    <t>○</t>
    <phoneticPr fontId="6"/>
  </si>
  <si>
    <t>鎌倉</t>
    <rPh sb="0" eb="2">
      <t>カマクラ</t>
    </rPh>
    <phoneticPr fontId="6"/>
  </si>
  <si>
    <t>補正有無フラグ</t>
    <rPh sb="0" eb="2">
      <t>ホセイ</t>
    </rPh>
    <rPh sb="2" eb="4">
      <t>ウム</t>
    </rPh>
    <phoneticPr fontId="5"/>
  </si>
  <si>
    <t>レコードが開始された年月日</t>
    <rPh sb="5" eb="7">
      <t>カイシ</t>
    </rPh>
    <rPh sb="10" eb="13">
      <t>ネンガッピ</t>
    </rPh>
    <phoneticPr fontId="6"/>
  </si>
  <si>
    <t>レコードが廃止された年月日</t>
    <rPh sb="5" eb="7">
      <t>ハイシ</t>
    </rPh>
    <rPh sb="10" eb="13">
      <t>ネンガッピ</t>
    </rPh>
    <phoneticPr fontId="6"/>
  </si>
  <si>
    <t>全面改訂</t>
    <rPh sb="0" eb="2">
      <t>ゼンメン</t>
    </rPh>
    <rPh sb="2" eb="4">
      <t>カイテイ</t>
    </rPh>
    <phoneticPr fontId="6"/>
  </si>
  <si>
    <t>基準値マスタ</t>
    <phoneticPr fontId="6"/>
  </si>
  <si>
    <t>KJNMST</t>
    <phoneticPr fontId="6"/>
  </si>
  <si>
    <t>項目コード</t>
    <phoneticPr fontId="6"/>
  </si>
  <si>
    <t>KJNO</t>
    <phoneticPr fontId="6"/>
  </si>
  <si>
    <t>CHAR</t>
    <phoneticPr fontId="6"/>
  </si>
  <si>
    <t>基準値NO</t>
    <phoneticPr fontId="6"/>
  </si>
  <si>
    <t>DECIMAL</t>
    <phoneticPr fontId="6"/>
  </si>
  <si>
    <t>世代NO</t>
    <phoneticPr fontId="6"/>
  </si>
  <si>
    <t>NCHAR</t>
    <phoneticPr fontId="6"/>
  </si>
  <si>
    <t>ZRCD</t>
    <phoneticPr fontId="6"/>
  </si>
  <si>
    <t>CHAR</t>
    <phoneticPr fontId="6"/>
  </si>
  <si>
    <t>DATE</t>
    <phoneticPr fontId="6"/>
  </si>
  <si>
    <t>AGERNGKBN</t>
    <phoneticPr fontId="6"/>
  </si>
  <si>
    <t>CHAR</t>
    <phoneticPr fontId="6"/>
  </si>
  <si>
    <t>TIME</t>
    <phoneticPr fontId="6"/>
  </si>
  <si>
    <t>CHAR</t>
    <phoneticPr fontId="6"/>
  </si>
  <si>
    <t xml:space="preserve">小数点桁数 </t>
    <phoneticPr fontId="6"/>
  </si>
  <si>
    <t xml:space="preserve">小数点桁数          
(０)～(４)小数部桁数
(９)文字データ      </t>
    <phoneticPr fontId="6"/>
  </si>
  <si>
    <t xml:space="preserve">旧項目マスター対応順 
(１)～(４)変換ｾｯﾄ先     </t>
    <phoneticPr fontId="6"/>
  </si>
  <si>
    <t>CHAR</t>
    <phoneticPr fontId="6"/>
  </si>
  <si>
    <t>○</t>
    <phoneticPr fontId="6"/>
  </si>
  <si>
    <t>ECD</t>
    <phoneticPr fontId="6"/>
  </si>
  <si>
    <t>CHAR</t>
    <phoneticPr fontId="6"/>
  </si>
  <si>
    <t>○</t>
    <phoneticPr fontId="6"/>
  </si>
  <si>
    <t>SMALLINT</t>
    <phoneticPr fontId="6"/>
  </si>
  <si>
    <t>EIGKN</t>
    <phoneticPr fontId="6"/>
  </si>
  <si>
    <t>DATE</t>
    <phoneticPr fontId="6"/>
  </si>
  <si>
    <t>EITELNO</t>
    <phoneticPr fontId="6"/>
  </si>
  <si>
    <t>○</t>
    <phoneticPr fontId="6"/>
  </si>
  <si>
    <t>基準値Ｎｏ</t>
    <rPh sb="0" eb="3">
      <t>キジュンチ</t>
    </rPh>
    <phoneticPr fontId="5"/>
  </si>
  <si>
    <t>No.</t>
    <phoneticPr fontId="6"/>
  </si>
  <si>
    <t xml:space="preserve">KJSDINO      </t>
    <phoneticPr fontId="6"/>
  </si>
  <si>
    <t>KJSSTNKSU</t>
    <phoneticPr fontId="6"/>
  </si>
  <si>
    <t xml:space="preserve">男・基準値（下)              </t>
    <phoneticPr fontId="6"/>
  </si>
  <si>
    <t xml:space="preserve">男・基準値（下)         </t>
    <phoneticPr fontId="6"/>
  </si>
  <si>
    <t>ドキュメント</t>
    <phoneticPr fontId="6"/>
  </si>
  <si>
    <t>No.</t>
    <phoneticPr fontId="6"/>
  </si>
  <si>
    <t>CHAR</t>
    <phoneticPr fontId="6"/>
  </si>
  <si>
    <t>KKAHSKCD</t>
  </si>
  <si>
    <t>検査結果補足</t>
    <rPh sb="0" eb="2">
      <t>ケンサ</t>
    </rPh>
    <rPh sb="2" eb="4">
      <t>ケッカ</t>
    </rPh>
    <rPh sb="4" eb="6">
      <t>ホソク</t>
    </rPh>
    <phoneticPr fontId="6"/>
  </si>
  <si>
    <t>施設別基準値マスタ</t>
    <rPh sb="0" eb="2">
      <t>シセツ</t>
    </rPh>
    <rPh sb="2" eb="3">
      <t>ベツ</t>
    </rPh>
    <rPh sb="3" eb="6">
      <t>キジュンチ</t>
    </rPh>
    <phoneticPr fontId="6"/>
  </si>
  <si>
    <t>相関式
　項目コードを[　]で囲みながら、四則演算式を記載
2006.02.02 べき数、log計算を追加
　自然対数：log(対象項目)
  10が底の対数：log10(対象項目)
  べき乗：pow(対象項目,乗数)
で表現する。
※これらの計算式は入力する値によってエラーが発生する可能性がある。注意が必要。
　実例は後述。</t>
    <rPh sb="44" eb="45">
      <t>スウ</t>
    </rPh>
    <rPh sb="49" eb="51">
      <t>ケイサン</t>
    </rPh>
    <rPh sb="52" eb="54">
      <t>ツイカ</t>
    </rPh>
    <rPh sb="56" eb="58">
      <t>シゼン</t>
    </rPh>
    <rPh sb="58" eb="60">
      <t>タイスウ</t>
    </rPh>
    <rPh sb="65" eb="67">
      <t>タイショウ</t>
    </rPh>
    <rPh sb="67" eb="69">
      <t>コウモク</t>
    </rPh>
    <rPh sb="76" eb="77">
      <t>ソコ</t>
    </rPh>
    <rPh sb="78" eb="80">
      <t>タイスウ</t>
    </rPh>
    <rPh sb="87" eb="89">
      <t>タイショウ</t>
    </rPh>
    <rPh sb="89" eb="91">
      <t>コウモク</t>
    </rPh>
    <rPh sb="97" eb="98">
      <t>ジョウ</t>
    </rPh>
    <rPh sb="103" eb="105">
      <t>タイショウ</t>
    </rPh>
    <rPh sb="105" eb="107">
      <t>コウモク</t>
    </rPh>
    <rPh sb="108" eb="110">
      <t>ジョウスウ</t>
    </rPh>
    <rPh sb="113" eb="115">
      <t>ヒョウゲン</t>
    </rPh>
    <rPh sb="124" eb="126">
      <t>ケイサン</t>
    </rPh>
    <rPh sb="126" eb="127">
      <t>シキ</t>
    </rPh>
    <rPh sb="128" eb="130">
      <t>ニュウリョク</t>
    </rPh>
    <rPh sb="132" eb="133">
      <t>アタイ</t>
    </rPh>
    <rPh sb="141" eb="143">
      <t>ハッセイ</t>
    </rPh>
    <rPh sb="145" eb="148">
      <t>カノウセイ</t>
    </rPh>
    <rPh sb="152" eb="154">
      <t>チュウイ</t>
    </rPh>
    <rPh sb="155" eb="157">
      <t>ヒツヨウ</t>
    </rPh>
    <rPh sb="161" eb="163">
      <t>ジツレイ</t>
    </rPh>
    <rPh sb="164" eb="166">
      <t>コウジュツ</t>
    </rPh>
    <phoneticPr fontId="6"/>
  </si>
  <si>
    <t>計算式
　項目コードを[　]で囲みながら、四則演算式を記載
2006.02.02 べき数、log計算を追加
　自然対数：log(対象項目)
  10が底の対数：log10(対象項目)
  べき乗：pow(対象項目,乗数)
で表現する。
※これらの計算式は入力する値によってエラーが発生する可能性がある。注意が必要。
　実例は後述。</t>
    <rPh sb="0" eb="2">
      <t>ケイサン</t>
    </rPh>
    <rPh sb="44" eb="45">
      <t>スウ</t>
    </rPh>
    <rPh sb="49" eb="51">
      <t>ケイサン</t>
    </rPh>
    <rPh sb="52" eb="54">
      <t>ツイカ</t>
    </rPh>
    <rPh sb="56" eb="58">
      <t>シゼン</t>
    </rPh>
    <rPh sb="58" eb="60">
      <t>タイスウ</t>
    </rPh>
    <rPh sb="65" eb="67">
      <t>タイショウ</t>
    </rPh>
    <rPh sb="67" eb="69">
      <t>コウモク</t>
    </rPh>
    <rPh sb="76" eb="77">
      <t>ソコ</t>
    </rPh>
    <rPh sb="78" eb="80">
      <t>タイスウ</t>
    </rPh>
    <rPh sb="87" eb="89">
      <t>タイショウ</t>
    </rPh>
    <rPh sb="89" eb="91">
      <t>コウモク</t>
    </rPh>
    <rPh sb="97" eb="98">
      <t>ジョウ</t>
    </rPh>
    <rPh sb="103" eb="105">
      <t>タイショウ</t>
    </rPh>
    <rPh sb="105" eb="107">
      <t>コウモク</t>
    </rPh>
    <rPh sb="108" eb="110">
      <t>ジョウスウ</t>
    </rPh>
    <rPh sb="113" eb="115">
      <t>ヒョウゲン</t>
    </rPh>
    <rPh sb="124" eb="126">
      <t>ケイサン</t>
    </rPh>
    <rPh sb="126" eb="127">
      <t>シキ</t>
    </rPh>
    <rPh sb="128" eb="130">
      <t>ニュウリョク</t>
    </rPh>
    <rPh sb="132" eb="133">
      <t>アタイ</t>
    </rPh>
    <rPh sb="141" eb="143">
      <t>ハッセイ</t>
    </rPh>
    <rPh sb="145" eb="148">
      <t>カノウセイ</t>
    </rPh>
    <rPh sb="152" eb="154">
      <t>チュウイ</t>
    </rPh>
    <rPh sb="155" eb="157">
      <t>ヒツヨウ</t>
    </rPh>
    <rPh sb="161" eb="163">
      <t>ジツレイ</t>
    </rPh>
    <rPh sb="164" eb="166">
      <t>コウジュツ</t>
    </rPh>
    <phoneticPr fontId="6"/>
  </si>
  <si>
    <t>ex.）
以下は、一般材料のA項目とB項目の以下の様な相関関係を定義するためのマスター記述方法を表してします。
・相関式：A &gt;= B + 3.0
・A項目
  検査グループ[111],項目コード[2222]
・B項目
  項目コード[4444]
検査グループ   111
項目コード     2222
材料区分       1
不等号         2
相関式         [4444]+3.0</t>
    <rPh sb="15" eb="17">
      <t>コウモク</t>
    </rPh>
    <rPh sb="19" eb="21">
      <t>コウモク</t>
    </rPh>
    <rPh sb="22" eb="24">
      <t>イカ</t>
    </rPh>
    <rPh sb="25" eb="26">
      <t>ヨウ</t>
    </rPh>
    <rPh sb="27" eb="29">
      <t>ソウカン</t>
    </rPh>
    <rPh sb="29" eb="31">
      <t>カンケイ</t>
    </rPh>
    <rPh sb="32" eb="34">
      <t>テイギ</t>
    </rPh>
    <rPh sb="43" eb="45">
      <t>キジュツ</t>
    </rPh>
    <rPh sb="45" eb="47">
      <t>ホウホウ</t>
    </rPh>
    <rPh sb="48" eb="49">
      <t>アラワ</t>
    </rPh>
    <rPh sb="58" eb="60">
      <t>ソウカン</t>
    </rPh>
    <rPh sb="60" eb="61">
      <t>シキ</t>
    </rPh>
    <rPh sb="78" eb="80">
      <t>コウモク</t>
    </rPh>
    <rPh sb="83" eb="85">
      <t>ケンサ</t>
    </rPh>
    <rPh sb="109" eb="111">
      <t>コウモク</t>
    </rPh>
    <rPh sb="114" eb="116">
      <t>コウモク</t>
    </rPh>
    <rPh sb="127" eb="129">
      <t>ケンサ</t>
    </rPh>
    <rPh sb="155" eb="157">
      <t>ザイリョウ</t>
    </rPh>
    <rPh sb="157" eb="159">
      <t>クブン</t>
    </rPh>
    <rPh sb="168" eb="171">
      <t>フトウゴウ</t>
    </rPh>
    <rPh sb="182" eb="184">
      <t>ソウカン</t>
    </rPh>
    <rPh sb="184" eb="185">
      <t>シキ</t>
    </rPh>
    <phoneticPr fontId="6"/>
  </si>
  <si>
    <t>2006/02/02 永田</t>
    <rPh sb="11" eb="13">
      <t>ナガタ</t>
    </rPh>
    <phoneticPr fontId="6"/>
  </si>
  <si>
    <t>　自然対数：log(対象項目)</t>
  </si>
  <si>
    <t xml:space="preserve">  10が底の対数：log10(対象項目)</t>
  </si>
  <si>
    <t xml:space="preserve">  べき乗：pow(対象項目,乗数)</t>
  </si>
  <si>
    <t>で表現する。</t>
  </si>
  <si>
    <t>※これらの計算式は入力する値によってエラーが発生する可能性がある。注意が必要。</t>
  </si>
  <si>
    <t>計算式にべき数、log計算を追加</t>
    <rPh sb="0" eb="3">
      <t>ケイサンシキ</t>
    </rPh>
    <phoneticPr fontId="6"/>
  </si>
  <si>
    <t>2006/02/16　鎌倉</t>
    <rPh sb="11" eb="13">
      <t>カマクラ</t>
    </rPh>
    <phoneticPr fontId="6"/>
  </si>
  <si>
    <t>XBARMMST</t>
    <phoneticPr fontId="6"/>
  </si>
  <si>
    <t>MINVAL</t>
    <phoneticPr fontId="6"/>
  </si>
  <si>
    <t>MINART</t>
    <phoneticPr fontId="6"/>
  </si>
  <si>
    <t>MAXART</t>
    <phoneticPr fontId="6"/>
  </si>
  <si>
    <t>KMKGMST</t>
    <phoneticPr fontId="6"/>
  </si>
  <si>
    <t>STDMST</t>
    <phoneticPr fontId="6"/>
  </si>
  <si>
    <t>MELINEMST</t>
    <phoneticPr fontId="6"/>
  </si>
  <si>
    <t>ONLMST</t>
    <phoneticPr fontId="6"/>
  </si>
  <si>
    <t>PRCSMST</t>
    <phoneticPr fontId="6"/>
  </si>
  <si>
    <t>SYSKNRMST</t>
    <phoneticPr fontId="6"/>
  </si>
  <si>
    <t>KGYMDMST</t>
    <phoneticPr fontId="6"/>
  </si>
  <si>
    <t>ASYSCDLMST</t>
    <phoneticPr fontId="6"/>
  </si>
  <si>
    <t>BSCMTMST</t>
    <phoneticPr fontId="6"/>
  </si>
  <si>
    <t>XEERRMST</t>
    <phoneticPr fontId="6"/>
  </si>
  <si>
    <t>KKAFLTMST</t>
    <phoneticPr fontId="6"/>
  </si>
  <si>
    <t>RNGCHKMST</t>
    <phoneticPr fontId="6"/>
  </si>
  <si>
    <t>CHKSBTMST</t>
    <phoneticPr fontId="6"/>
  </si>
  <si>
    <t>SECMST</t>
    <phoneticPr fontId="6"/>
  </si>
  <si>
    <t>SKRYMST</t>
    <phoneticPr fontId="6"/>
  </si>
  <si>
    <t>CHK100MST</t>
    <phoneticPr fontId="6"/>
  </si>
  <si>
    <t>CHK100MST</t>
    <phoneticPr fontId="6"/>
  </si>
  <si>
    <t>RRKCHKMST</t>
    <phoneticPr fontId="6"/>
  </si>
  <si>
    <t>マルチ/シングルを分ける分類コード
および、使用する画面の違いも切分け可能。
例：
01マルチ（WS用）　
02シングル（WS用）　
03マルチ（日報用）　
04シングル（日報用）</t>
    <rPh sb="9" eb="10">
      <t>ワ</t>
    </rPh>
    <rPh sb="12" eb="14">
      <t>ブンルイ</t>
    </rPh>
    <rPh sb="22" eb="24">
      <t>シヨウ</t>
    </rPh>
    <rPh sb="26" eb="28">
      <t>ガメン</t>
    </rPh>
    <rPh sb="29" eb="30">
      <t>チガ</t>
    </rPh>
    <rPh sb="32" eb="33">
      <t>キ</t>
    </rPh>
    <rPh sb="33" eb="34">
      <t>ワ</t>
    </rPh>
    <rPh sb="35" eb="37">
      <t>カノウ</t>
    </rPh>
    <rPh sb="39" eb="40">
      <t>レイ</t>
    </rPh>
    <rPh sb="50" eb="51">
      <t>ヨウ</t>
    </rPh>
    <rPh sb="63" eb="64">
      <t>ヨウ</t>
    </rPh>
    <rPh sb="73" eb="75">
      <t>ニッポウ</t>
    </rPh>
    <rPh sb="75" eb="76">
      <t>ヨウ</t>
    </rPh>
    <rPh sb="86" eb="88">
      <t>ニッポウ</t>
    </rPh>
    <rPh sb="88" eb="89">
      <t>ヨウ</t>
    </rPh>
    <phoneticPr fontId="6"/>
  </si>
  <si>
    <t>2007/2/7　秋山</t>
    <rPh sb="9" eb="11">
      <t>アキヤマ</t>
    </rPh>
    <phoneticPr fontId="6"/>
  </si>
  <si>
    <t>分類コード２（分類グループ）をPKから削除</t>
    <rPh sb="0" eb="2">
      <t>ブンルイ</t>
    </rPh>
    <rPh sb="7" eb="9">
      <t>ブンルイ</t>
    </rPh>
    <rPh sb="19" eb="21">
      <t>サクジョ</t>
    </rPh>
    <phoneticPr fontId="6"/>
  </si>
  <si>
    <t>ドキュメント</t>
    <phoneticPr fontId="6"/>
  </si>
  <si>
    <t>○</t>
    <phoneticPr fontId="6"/>
  </si>
  <si>
    <t>CHAR</t>
    <phoneticPr fontId="6"/>
  </si>
  <si>
    <t>No.</t>
    <phoneticPr fontId="6"/>
  </si>
  <si>
    <t>キー</t>
    <phoneticPr fontId="6"/>
  </si>
  <si>
    <t>DECIMAL</t>
    <phoneticPr fontId="6"/>
  </si>
  <si>
    <t>TIME</t>
    <phoneticPr fontId="6"/>
  </si>
  <si>
    <t>TRRCKSU</t>
    <phoneticPr fontId="6"/>
  </si>
  <si>
    <t>○</t>
    <phoneticPr fontId="6"/>
  </si>
  <si>
    <t>FILSKDIR</t>
    <phoneticPr fontId="6"/>
  </si>
  <si>
    <t>VARCHAR</t>
    <phoneticPr fontId="6"/>
  </si>
  <si>
    <t>TIME</t>
    <phoneticPr fontId="6"/>
  </si>
  <si>
    <t xml:space="preserve">                </t>
    <phoneticPr fontId="6"/>
  </si>
  <si>
    <t>RKMST</t>
    <phoneticPr fontId="6"/>
  </si>
  <si>
    <t>サンプリングコード</t>
    <phoneticPr fontId="6"/>
  </si>
  <si>
    <t>SMPCD</t>
    <phoneticPr fontId="6"/>
  </si>
  <si>
    <t>ラック種別</t>
    <rPh sb="3" eb="5">
      <t>シュベツ</t>
    </rPh>
    <phoneticPr fontId="5"/>
  </si>
  <si>
    <t>RKSBT</t>
    <phoneticPr fontId="6"/>
  </si>
  <si>
    <t>ラック名称</t>
    <rPh sb="3" eb="5">
      <t>メイショウ</t>
    </rPh>
    <phoneticPr fontId="6"/>
  </si>
  <si>
    <t>RKNM</t>
    <phoneticPr fontId="6"/>
  </si>
  <si>
    <t>ラック内検体本数</t>
    <rPh sb="3" eb="4">
      <t>ナイ</t>
    </rPh>
    <rPh sb="4" eb="6">
      <t>ケンタイ</t>
    </rPh>
    <rPh sb="6" eb="8">
      <t>ホンスウ</t>
    </rPh>
    <phoneticPr fontId="5"/>
  </si>
  <si>
    <t xml:space="preserve">RKKNHSU       </t>
    <phoneticPr fontId="6"/>
  </si>
  <si>
    <t>５本</t>
    <rPh sb="1" eb="2">
      <t>ホン</t>
    </rPh>
    <phoneticPr fontId="6"/>
  </si>
  <si>
    <t>２０本</t>
    <rPh sb="2" eb="3">
      <t>ホン</t>
    </rPh>
    <phoneticPr fontId="6"/>
  </si>
  <si>
    <t>ラック管理マスタ</t>
    <rPh sb="3" eb="5">
      <t>カンリ</t>
    </rPh>
    <phoneticPr fontId="6"/>
  </si>
  <si>
    <t>守屋</t>
    <rPh sb="0" eb="2">
      <t>モリヤ</t>
    </rPh>
    <phoneticPr fontId="6"/>
  </si>
  <si>
    <t>KKAHSKMST</t>
    <phoneticPr fontId="6"/>
  </si>
  <si>
    <t>中間報告判定区分</t>
    <rPh sb="0" eb="2">
      <t>チュウカン</t>
    </rPh>
    <rPh sb="2" eb="4">
      <t>ホウコク</t>
    </rPh>
    <rPh sb="4" eb="6">
      <t>ハンテイ</t>
    </rPh>
    <rPh sb="6" eb="8">
      <t>クブン</t>
    </rPh>
    <phoneticPr fontId="6"/>
  </si>
  <si>
    <t>[ 0：中間報告不可 1:中間報告可能 ]</t>
    <rPh sb="4" eb="6">
      <t>チュウカン</t>
    </rPh>
    <rPh sb="6" eb="8">
      <t>ホウコク</t>
    </rPh>
    <rPh sb="8" eb="10">
      <t>フカ</t>
    </rPh>
    <rPh sb="13" eb="15">
      <t>チュウカン</t>
    </rPh>
    <rPh sb="15" eb="17">
      <t>ホウコク</t>
    </rPh>
    <rPh sb="17" eb="19">
      <t>カノウ</t>
    </rPh>
    <phoneticPr fontId="6"/>
  </si>
  <si>
    <t>MESSAGEMST</t>
    <phoneticPr fontId="6"/>
  </si>
  <si>
    <t>メッセージコード</t>
    <phoneticPr fontId="6"/>
  </si>
  <si>
    <t>ステータス</t>
    <phoneticPr fontId="6"/>
  </si>
  <si>
    <t>メッセージ内容</t>
    <rPh sb="5" eb="7">
      <t>ナイヨウ</t>
    </rPh>
    <phoneticPr fontId="6"/>
  </si>
  <si>
    <t>MSGCD</t>
    <phoneticPr fontId="6"/>
  </si>
  <si>
    <t>STATUS</t>
    <phoneticPr fontId="6"/>
  </si>
  <si>
    <t>MSGNIYO</t>
    <phoneticPr fontId="6"/>
  </si>
  <si>
    <t>コンピュータ名</t>
    <rPh sb="6" eb="7">
      <t>メイ</t>
    </rPh>
    <phoneticPr fontId="6"/>
  </si>
  <si>
    <t>帳票ＩＤ</t>
    <rPh sb="0" eb="2">
      <t>チョウヒョウ</t>
    </rPh>
    <phoneticPr fontId="6"/>
  </si>
  <si>
    <t>プリンタ名称</t>
    <rPh sb="4" eb="6">
      <t>メイショウ</t>
    </rPh>
    <phoneticPr fontId="5"/>
  </si>
  <si>
    <t>カセットＮｏ</t>
    <phoneticPr fontId="6"/>
  </si>
  <si>
    <t>デフォルトプリンタマスタ</t>
    <phoneticPr fontId="6"/>
  </si>
  <si>
    <t>DEFPRMST</t>
    <phoneticPr fontId="6"/>
  </si>
  <si>
    <t>COMPNM</t>
    <phoneticPr fontId="6"/>
  </si>
  <si>
    <t>TYHYOID</t>
    <phoneticPr fontId="6"/>
  </si>
  <si>
    <t>PRNTRNM</t>
    <phoneticPr fontId="6"/>
  </si>
  <si>
    <t>CSTNO</t>
    <phoneticPr fontId="6"/>
  </si>
  <si>
    <t>ユーザーＩＤ</t>
  </si>
  <si>
    <t>カードＩＤ</t>
  </si>
  <si>
    <t>ユーザー名</t>
  </si>
  <si>
    <t>旧パスワード</t>
  </si>
  <si>
    <t>パスワード有効期限</t>
  </si>
  <si>
    <t>最終ログイン日時</t>
  </si>
  <si>
    <t>ログイン有効期限</t>
  </si>
  <si>
    <t>使用禁止区分</t>
  </si>
  <si>
    <t>使用禁止日時</t>
  </si>
  <si>
    <t>論理削除フラグ</t>
  </si>
  <si>
    <t>開始年月日</t>
  </si>
  <si>
    <t>終了年月日</t>
  </si>
  <si>
    <t>登録年月日</t>
  </si>
  <si>
    <t>変更年月日</t>
  </si>
  <si>
    <t>ENDYMD</t>
    <phoneticPr fontId="6"/>
  </si>
  <si>
    <t>HNKYMD</t>
    <phoneticPr fontId="6"/>
  </si>
  <si>
    <t>TRKYMD</t>
    <phoneticPr fontId="6"/>
  </si>
  <si>
    <t>STAYMD</t>
    <phoneticPr fontId="6"/>
  </si>
  <si>
    <t>最終ログインの1年後の日付を設定
この日を経過するとログイン不可(パスワード変更も不可)</t>
    <rPh sb="0" eb="2">
      <t>サイシュウ</t>
    </rPh>
    <rPh sb="8" eb="10">
      <t>ネンゴ</t>
    </rPh>
    <rPh sb="11" eb="13">
      <t>ヒヅケ</t>
    </rPh>
    <rPh sb="14" eb="16">
      <t>セッテイ</t>
    </rPh>
    <rPh sb="19" eb="20">
      <t>ヒ</t>
    </rPh>
    <rPh sb="21" eb="23">
      <t>ケイカ</t>
    </rPh>
    <rPh sb="30" eb="32">
      <t>フカ</t>
    </rPh>
    <rPh sb="38" eb="40">
      <t>ヘンコウ</t>
    </rPh>
    <rPh sb="41" eb="43">
      <t>フカ</t>
    </rPh>
    <phoneticPr fontId="13"/>
  </si>
  <si>
    <t>１．パスワード照合エラー
２．ログイン有効期限
ﾌﾞﾗﾝｸは使用可</t>
    <rPh sb="7" eb="9">
      <t>ショウゴウ</t>
    </rPh>
    <rPh sb="19" eb="21">
      <t>ユウコウ</t>
    </rPh>
    <rPh sb="21" eb="23">
      <t>キゲン</t>
    </rPh>
    <rPh sb="30" eb="32">
      <t>シヨウ</t>
    </rPh>
    <rPh sb="32" eb="33">
      <t>カ</t>
    </rPh>
    <phoneticPr fontId="13"/>
  </si>
  <si>
    <t>ICカード利用時</t>
  </si>
  <si>
    <t>旧ﾊﾟｽﾜｰﾄﾞをｾﾊﾟﾚｰﾀを入れて10個まで管理</t>
  </si>
  <si>
    <t>ファイル作成ディレクトリ</t>
    <rPh sb="4" eb="6">
      <t>サクセイ</t>
    </rPh>
    <phoneticPr fontId="6"/>
  </si>
  <si>
    <t>VARCHAR</t>
    <phoneticPr fontId="6"/>
  </si>
  <si>
    <t>供給ストッカー用ファイル作成ディレクトリ（サーバー名から指定）</t>
    <rPh sb="0" eb="2">
      <t>キョウキュウ</t>
    </rPh>
    <rPh sb="7" eb="8">
      <t>ヨウ</t>
    </rPh>
    <rPh sb="12" eb="14">
      <t>サクセイ</t>
    </rPh>
    <rPh sb="25" eb="26">
      <t>メイ</t>
    </rPh>
    <rPh sb="28" eb="30">
      <t>シテイ</t>
    </rPh>
    <phoneticPr fontId="6"/>
  </si>
  <si>
    <t>最後のﾊﾟｽﾜｰﾄﾞ変更から1ヶ月後の日付を設定
この日を過ぎるとﾊﾟｽﾜｰﾄﾞ変更が必須</t>
  </si>
  <si>
    <t>新規作成</t>
    <rPh sb="0" eb="2">
      <t>シンキ</t>
    </rPh>
    <rPh sb="2" eb="4">
      <t>サクセイ</t>
    </rPh>
    <phoneticPr fontId="6"/>
  </si>
  <si>
    <t>ドキュメント</t>
    <phoneticPr fontId="6"/>
  </si>
  <si>
    <t>ユーザーマスタ</t>
    <phoneticPr fontId="6"/>
  </si>
  <si>
    <t>○</t>
    <phoneticPr fontId="6"/>
  </si>
  <si>
    <t>CHAR</t>
    <phoneticPr fontId="6"/>
  </si>
  <si>
    <t>No.</t>
    <phoneticPr fontId="6"/>
  </si>
  <si>
    <t>キー</t>
    <phoneticPr fontId="6"/>
  </si>
  <si>
    <t>VARCHAR</t>
    <phoneticPr fontId="6"/>
  </si>
  <si>
    <t>サイズ</t>
    <phoneticPr fontId="6"/>
  </si>
  <si>
    <t>PK</t>
    <phoneticPr fontId="6"/>
  </si>
  <si>
    <t>INDEX</t>
    <phoneticPr fontId="6"/>
  </si>
  <si>
    <t>INTEGER</t>
    <phoneticPr fontId="6"/>
  </si>
  <si>
    <t>USERID</t>
    <phoneticPr fontId="6"/>
  </si>
  <si>
    <t>CHAR</t>
    <phoneticPr fontId="6"/>
  </si>
  <si>
    <t>○</t>
    <phoneticPr fontId="6"/>
  </si>
  <si>
    <t>SMALLINT</t>
    <phoneticPr fontId="6"/>
  </si>
  <si>
    <t>CARDID</t>
    <phoneticPr fontId="6"/>
  </si>
  <si>
    <t>TIME</t>
    <phoneticPr fontId="6"/>
  </si>
  <si>
    <t>PSWD</t>
    <phoneticPr fontId="6"/>
  </si>
  <si>
    <t>DECIMAL</t>
    <phoneticPr fontId="6"/>
  </si>
  <si>
    <t>USERNM</t>
    <phoneticPr fontId="6"/>
  </si>
  <si>
    <t>DATE</t>
    <phoneticPr fontId="6"/>
  </si>
  <si>
    <t>OLDPSWD</t>
    <phoneticPr fontId="6"/>
  </si>
  <si>
    <t>PSWDYKKGN</t>
    <phoneticPr fontId="6"/>
  </si>
  <si>
    <t xml:space="preserve"> </t>
    <phoneticPr fontId="6"/>
  </si>
  <si>
    <t>LOGINDH</t>
    <phoneticPr fontId="6"/>
  </si>
  <si>
    <t>TIMESTAMP</t>
    <phoneticPr fontId="6"/>
  </si>
  <si>
    <t>LOGINYKKGN</t>
    <phoneticPr fontId="6"/>
  </si>
  <si>
    <t>セクション</t>
    <phoneticPr fontId="6"/>
  </si>
  <si>
    <t>SECCD</t>
    <phoneticPr fontId="6"/>
  </si>
  <si>
    <t>CHAR</t>
    <phoneticPr fontId="6"/>
  </si>
  <si>
    <t>○</t>
    <phoneticPr fontId="6"/>
  </si>
  <si>
    <t>SYKISKBN</t>
    <phoneticPr fontId="6"/>
  </si>
  <si>
    <t>SYKINDH</t>
    <phoneticPr fontId="6"/>
  </si>
  <si>
    <t>TIMESTAMP</t>
    <phoneticPr fontId="6"/>
  </si>
  <si>
    <t>○</t>
    <phoneticPr fontId="6"/>
  </si>
  <si>
    <t>RNRDELFLG</t>
    <phoneticPr fontId="6"/>
  </si>
  <si>
    <t>CHAR</t>
    <phoneticPr fontId="6"/>
  </si>
  <si>
    <t>STAYMD</t>
    <phoneticPr fontId="6"/>
  </si>
  <si>
    <t>DATE</t>
    <phoneticPr fontId="6"/>
  </si>
  <si>
    <t>ENDYMD</t>
    <phoneticPr fontId="6"/>
  </si>
  <si>
    <t>TRKYMD</t>
    <phoneticPr fontId="6"/>
  </si>
  <si>
    <t>HNKYMD</t>
    <phoneticPr fontId="6"/>
  </si>
  <si>
    <t>機能権限マスタ</t>
    <rPh sb="0" eb="2">
      <t>キノウ</t>
    </rPh>
    <rPh sb="2" eb="4">
      <t>ケンゲン</t>
    </rPh>
    <phoneticPr fontId="6"/>
  </si>
  <si>
    <t>システムＩＤ</t>
    <phoneticPr fontId="6"/>
  </si>
  <si>
    <t>照会権限フラグ</t>
    <rPh sb="0" eb="2">
      <t>ショウカイ</t>
    </rPh>
    <rPh sb="2" eb="4">
      <t>ケンゲン</t>
    </rPh>
    <phoneticPr fontId="6"/>
  </si>
  <si>
    <t>入力権限フラグ</t>
    <rPh sb="0" eb="2">
      <t>ニュウリョク</t>
    </rPh>
    <rPh sb="2" eb="4">
      <t>ケンゲン</t>
    </rPh>
    <phoneticPr fontId="6"/>
  </si>
  <si>
    <t>修正権限フラグ</t>
    <rPh sb="0" eb="2">
      <t>シュウセイ</t>
    </rPh>
    <rPh sb="2" eb="4">
      <t>ケンゲン</t>
    </rPh>
    <phoneticPr fontId="6"/>
  </si>
  <si>
    <t>親展閲覧権限フラグ</t>
    <rPh sb="0" eb="2">
      <t>シンテン</t>
    </rPh>
    <rPh sb="2" eb="4">
      <t>エツラン</t>
    </rPh>
    <rPh sb="4" eb="6">
      <t>ケンゲン</t>
    </rPh>
    <phoneticPr fontId="6"/>
  </si>
  <si>
    <t>患者名参照権限フラグ</t>
    <rPh sb="0" eb="2">
      <t>カンジャ</t>
    </rPh>
    <rPh sb="2" eb="3">
      <t>メイ</t>
    </rPh>
    <rPh sb="3" eb="5">
      <t>サンショウ</t>
    </rPh>
    <rPh sb="5" eb="7">
      <t>ケンゲン</t>
    </rPh>
    <phoneticPr fontId="6"/>
  </si>
  <si>
    <t>汎用フラグ</t>
    <rPh sb="0" eb="2">
      <t>ハンヨウ</t>
    </rPh>
    <phoneticPr fontId="6"/>
  </si>
  <si>
    <t>SYSTEMID</t>
    <phoneticPr fontId="6"/>
  </si>
  <si>
    <t>SYKIOKFLG</t>
    <phoneticPr fontId="6"/>
  </si>
  <si>
    <t>NRYKOKFLG</t>
    <phoneticPr fontId="6"/>
  </si>
  <si>
    <t>SYSIOKFLG</t>
    <phoneticPr fontId="6"/>
  </si>
  <si>
    <t>SNTNOKFLG</t>
    <phoneticPr fontId="6"/>
  </si>
  <si>
    <t>KNJAOKFLG</t>
    <phoneticPr fontId="6"/>
  </si>
  <si>
    <t>GENERALFLG</t>
    <phoneticPr fontId="6"/>
  </si>
  <si>
    <t>CHAR</t>
    <phoneticPr fontId="6"/>
  </si>
  <si>
    <t>帳票の出力先を定義する。</t>
    <rPh sb="0" eb="2">
      <t>チョウヒョウ</t>
    </rPh>
    <rPh sb="3" eb="5">
      <t>シュツリョク</t>
    </rPh>
    <rPh sb="5" eb="6">
      <t>サキ</t>
    </rPh>
    <rPh sb="7" eb="9">
      <t>テイギ</t>
    </rPh>
    <phoneticPr fontId="6"/>
  </si>
  <si>
    <t>ex.）
以下は、一般材料のA項目とB項目の以下の様な計算式を定義するためのマスター記述方法を表してします。
・計算式：A = B + 3.0
・A項目
  検査グループ 111
  項目コード   2222
・B項目
  項目コード   4444
検査グループ   111
項目コード     2222
材料区分       1
計算式         [4444]+3.0</t>
    <rPh sb="15" eb="17">
      <t>コウモク</t>
    </rPh>
    <rPh sb="19" eb="21">
      <t>コウモク</t>
    </rPh>
    <rPh sb="22" eb="24">
      <t>イカ</t>
    </rPh>
    <rPh sb="25" eb="26">
      <t>ヨウ</t>
    </rPh>
    <rPh sb="27" eb="30">
      <t>ケイサンシキ</t>
    </rPh>
    <rPh sb="31" eb="33">
      <t>テイギ</t>
    </rPh>
    <rPh sb="42" eb="44">
      <t>キジュツ</t>
    </rPh>
    <rPh sb="44" eb="46">
      <t>ホウホウ</t>
    </rPh>
    <rPh sb="47" eb="48">
      <t>アラワ</t>
    </rPh>
    <rPh sb="57" eb="59">
      <t>ケイサン</t>
    </rPh>
    <rPh sb="59" eb="60">
      <t>シキ</t>
    </rPh>
    <rPh sb="76" eb="78">
      <t>コウモク</t>
    </rPh>
    <rPh sb="81" eb="83">
      <t>ケンサ</t>
    </rPh>
    <rPh sb="109" eb="111">
      <t>コウモク</t>
    </rPh>
    <rPh sb="114" eb="116">
      <t>コウモク</t>
    </rPh>
    <rPh sb="128" eb="130">
      <t>ケンサ</t>
    </rPh>
    <rPh sb="156" eb="158">
      <t>ザイリョウ</t>
    </rPh>
    <rPh sb="158" eb="160">
      <t>クブン</t>
    </rPh>
    <phoneticPr fontId="6"/>
  </si>
  <si>
    <t>分析機チャネルコード</t>
    <rPh sb="0" eb="2">
      <t>ブンセキ</t>
    </rPh>
    <rPh sb="2" eb="3">
      <t>キ</t>
    </rPh>
    <phoneticPr fontId="6"/>
  </si>
  <si>
    <t>スタンダード種別</t>
    <rPh sb="6" eb="8">
      <t>シュベツ</t>
    </rPh>
    <phoneticPr fontId="6"/>
  </si>
  <si>
    <t>種別名を表す</t>
    <rPh sb="0" eb="2">
      <t>シュベツ</t>
    </rPh>
    <rPh sb="2" eb="3">
      <t>メイ</t>
    </rPh>
    <rPh sb="4" eb="5">
      <t>アラワ</t>
    </rPh>
    <phoneticPr fontId="6"/>
  </si>
  <si>
    <t>コントロール種別正式名称</t>
    <rPh sb="6" eb="8">
      <t>シュベツ</t>
    </rPh>
    <rPh sb="8" eb="10">
      <t>セイシキ</t>
    </rPh>
    <rPh sb="10" eb="12">
      <t>メイショウ</t>
    </rPh>
    <phoneticPr fontId="6"/>
  </si>
  <si>
    <t>コントロール種別略称</t>
    <rPh sb="6" eb="8">
      <t>シュベツ</t>
    </rPh>
    <rPh sb="8" eb="10">
      <t>リャクショウ</t>
    </rPh>
    <phoneticPr fontId="6"/>
  </si>
  <si>
    <t>ヘマト用</t>
    <rPh sb="3" eb="4">
      <t>ヨウ</t>
    </rPh>
    <phoneticPr fontId="6"/>
  </si>
  <si>
    <t>限界値係数</t>
    <rPh sb="0" eb="2">
      <t>ゲンカイ</t>
    </rPh>
    <rPh sb="2" eb="3">
      <t>アタイ</t>
    </rPh>
    <rPh sb="3" eb="5">
      <t>ケイスウ</t>
    </rPh>
    <phoneticPr fontId="5"/>
  </si>
  <si>
    <t>限界値ラインの係数（ヘマト用）</t>
    <rPh sb="0" eb="3">
      <t>ゲンカイチ</t>
    </rPh>
    <rPh sb="7" eb="9">
      <t>ケイスウ</t>
    </rPh>
    <rPh sb="13" eb="14">
      <t>ヨウ</t>
    </rPh>
    <phoneticPr fontId="6"/>
  </si>
  <si>
    <t>限界値係数</t>
    <rPh sb="0" eb="3">
      <t>ゲンカイチ</t>
    </rPh>
    <rPh sb="3" eb="5">
      <t>ケイスウ</t>
    </rPh>
    <phoneticPr fontId="6"/>
  </si>
  <si>
    <t>試薬ロットＮｏ</t>
    <rPh sb="0" eb="2">
      <t>シヤク</t>
    </rPh>
    <phoneticPr fontId="6"/>
  </si>
  <si>
    <t>試薬ロットＮｏ</t>
    <rPh sb="0" eb="2">
      <t>シヤク</t>
    </rPh>
    <phoneticPr fontId="5"/>
  </si>
  <si>
    <t>※任意のタイミングで投入されるコントロール運用の場合、使用せず</t>
    <rPh sb="1" eb="3">
      <t>ニンイ</t>
    </rPh>
    <rPh sb="10" eb="12">
      <t>トウニュウ</t>
    </rPh>
    <rPh sb="21" eb="23">
      <t>ウンヨウ</t>
    </rPh>
    <rPh sb="24" eb="26">
      <t>バアイ</t>
    </rPh>
    <rPh sb="27" eb="29">
      <t>シヨウ</t>
    </rPh>
    <phoneticPr fontId="6"/>
  </si>
  <si>
    <t>※任意のタイミングで投入されるコントロール運用の場合、使用せず
　0：前
　1：後
　2：規定ルール毎</t>
    <rPh sb="1" eb="3">
      <t>ニンイ</t>
    </rPh>
    <rPh sb="10" eb="12">
      <t>トウニュウ</t>
    </rPh>
    <rPh sb="21" eb="23">
      <t>ウンヨウ</t>
    </rPh>
    <rPh sb="24" eb="26">
      <t>バアイ</t>
    </rPh>
    <rPh sb="27" eb="29">
      <t>シヨウ</t>
    </rPh>
    <rPh sb="35" eb="36">
      <t>マエ</t>
    </rPh>
    <rPh sb="40" eb="41">
      <t>アト</t>
    </rPh>
    <rPh sb="45" eb="47">
      <t>キテイ</t>
    </rPh>
    <rPh sb="50" eb="51">
      <t>マイ</t>
    </rPh>
    <phoneticPr fontId="6"/>
  </si>
  <si>
    <t>種別に対する属性。表示等に使用。</t>
    <rPh sb="0" eb="2">
      <t>シュベツ</t>
    </rPh>
    <rPh sb="3" eb="4">
      <t>タイ</t>
    </rPh>
    <rPh sb="6" eb="8">
      <t>ゾクセイ</t>
    </rPh>
    <rPh sb="9" eb="11">
      <t>ヒョウジ</t>
    </rPh>
    <rPh sb="11" eb="12">
      <t>ナド</t>
    </rPh>
    <rPh sb="13" eb="15">
      <t>シヨウ</t>
    </rPh>
    <phoneticPr fontId="6"/>
  </si>
  <si>
    <t>分析機区分</t>
    <rPh sb="0" eb="2">
      <t>ブンセキ</t>
    </rPh>
    <rPh sb="2" eb="3">
      <t>キ</t>
    </rPh>
    <rPh sb="3" eb="5">
      <t>クブン</t>
    </rPh>
    <phoneticPr fontId="6"/>
  </si>
  <si>
    <t>コントロール異常判定マスタ</t>
    <rPh sb="6" eb="8">
      <t>イジョウ</t>
    </rPh>
    <rPh sb="8" eb="10">
      <t>ハンテイ</t>
    </rPh>
    <phoneticPr fontId="6"/>
  </si>
  <si>
    <t>コントロール本数</t>
    <rPh sb="6" eb="8">
      <t>ホンスウ</t>
    </rPh>
    <phoneticPr fontId="5"/>
  </si>
  <si>
    <t>設定本数</t>
    <rPh sb="0" eb="2">
      <t>セッテイ</t>
    </rPh>
    <rPh sb="2" eb="4">
      <t>ホンスウ</t>
    </rPh>
    <phoneticPr fontId="6"/>
  </si>
  <si>
    <t>許容範囲フラグ</t>
    <rPh sb="0" eb="2">
      <t>キョヨウ</t>
    </rPh>
    <rPh sb="2" eb="4">
      <t>ハンイ</t>
    </rPh>
    <phoneticPr fontId="6"/>
  </si>
  <si>
    <t>正常コントロール本数</t>
    <rPh sb="0" eb="2">
      <t>セイジョウ</t>
    </rPh>
    <rPh sb="8" eb="10">
      <t>ホンスウ</t>
    </rPh>
    <phoneticPr fontId="6"/>
  </si>
  <si>
    <t>XbarM集計フラグ</t>
    <rPh sb="5" eb="7">
      <t>シュウケイ</t>
    </rPh>
    <phoneticPr fontId="5"/>
  </si>
  <si>
    <t>XbarMの集計を行うか否かを設定する。
　0:XbarM集計を行う
　1:XbarM集計を行わない</t>
    <rPh sb="6" eb="8">
      <t>シュウケイ</t>
    </rPh>
    <rPh sb="9" eb="10">
      <t>オコナ</t>
    </rPh>
    <rPh sb="12" eb="13">
      <t>イナ</t>
    </rPh>
    <rPh sb="15" eb="17">
      <t>セッテイ</t>
    </rPh>
    <rPh sb="29" eb="31">
      <t>シュウケイ</t>
    </rPh>
    <rPh sb="32" eb="33">
      <t>オコナ</t>
    </rPh>
    <rPh sb="43" eb="45">
      <t>シュウケイ</t>
    </rPh>
    <rPh sb="46" eb="47">
      <t>オコナ</t>
    </rPh>
    <phoneticPr fontId="6"/>
  </si>
  <si>
    <t>XbarM集計フラグ</t>
    <rPh sb="5" eb="7">
      <t>シュウケイ</t>
    </rPh>
    <phoneticPr fontId="6"/>
  </si>
  <si>
    <t>XbarM異常判定フラグ</t>
    <rPh sb="5" eb="7">
      <t>イジョウ</t>
    </rPh>
    <rPh sb="7" eb="9">
      <t>ハンテイ</t>
    </rPh>
    <phoneticPr fontId="6"/>
  </si>
  <si>
    <t>設置ラックＩＤ</t>
    <rPh sb="0" eb="2">
      <t>セッチ</t>
    </rPh>
    <phoneticPr fontId="5"/>
  </si>
  <si>
    <t>設置ラックポジション</t>
    <rPh sb="0" eb="2">
      <t>セッチ</t>
    </rPh>
    <phoneticPr fontId="5"/>
  </si>
  <si>
    <t>マスター新設</t>
    <rPh sb="4" eb="6">
      <t>シンセツ</t>
    </rPh>
    <phoneticPr fontId="6"/>
  </si>
  <si>
    <t>※　チャネルに関する情報は含めてはならない。</t>
    <rPh sb="7" eb="8">
      <t>カン</t>
    </rPh>
    <rPh sb="10" eb="12">
      <t>ジョウホウ</t>
    </rPh>
    <rPh sb="13" eb="14">
      <t>フク</t>
    </rPh>
    <phoneticPr fontId="6"/>
  </si>
  <si>
    <t>コントロール種別に関わる情報を定義する。（ラック設置情報等）</t>
    <rPh sb="6" eb="8">
      <t>シュベツ</t>
    </rPh>
    <rPh sb="9" eb="10">
      <t>カカ</t>
    </rPh>
    <rPh sb="12" eb="14">
      <t>ジョウホウ</t>
    </rPh>
    <rPh sb="15" eb="17">
      <t>テイギ</t>
    </rPh>
    <rPh sb="24" eb="26">
      <t>セッチ</t>
    </rPh>
    <rPh sb="26" eb="28">
      <t>ジョウホウ</t>
    </rPh>
    <rPh sb="28" eb="29">
      <t>トウ</t>
    </rPh>
    <phoneticPr fontId="6"/>
  </si>
  <si>
    <t>コントロール設置ラックのＩＤ</t>
    <rPh sb="6" eb="8">
      <t>セッチ</t>
    </rPh>
    <phoneticPr fontId="6"/>
  </si>
  <si>
    <t>コントロール設置ラックポジション</t>
    <rPh sb="6" eb="8">
      <t>セッチ</t>
    </rPh>
    <phoneticPr fontId="6"/>
  </si>
  <si>
    <t>平均値とSDの組み合わせで管理限界が分かる。
　+2SD：平均値 + 2 * SD
　-2SD：平均値 - 2 * SD</t>
    <rPh sb="0" eb="3">
      <t>ヘイキンチ</t>
    </rPh>
    <rPh sb="7" eb="8">
      <t>ク</t>
    </rPh>
    <rPh sb="9" eb="10">
      <t>ア</t>
    </rPh>
    <rPh sb="13" eb="15">
      <t>カンリ</t>
    </rPh>
    <rPh sb="15" eb="17">
      <t>ゲンカイ</t>
    </rPh>
    <rPh sb="18" eb="19">
      <t>ワ</t>
    </rPh>
    <rPh sb="29" eb="32">
      <t>ヘイキンチ</t>
    </rPh>
    <rPh sb="48" eb="51">
      <t>ヘイキンチ</t>
    </rPh>
    <phoneticPr fontId="6"/>
  </si>
  <si>
    <t>2006/02/03 永田</t>
    <rPh sb="11" eb="13">
      <t>ナガタ</t>
    </rPh>
    <phoneticPr fontId="6"/>
  </si>
  <si>
    <t>コントロール位置</t>
  </si>
  <si>
    <t>コントロール種別情報へ移動</t>
    <rPh sb="6" eb="8">
      <t>シュベツ</t>
    </rPh>
    <rPh sb="8" eb="10">
      <t>ジョウホウ</t>
    </rPh>
    <rPh sb="11" eb="13">
      <t>イドウ</t>
    </rPh>
    <phoneticPr fontId="6"/>
  </si>
  <si>
    <t>コントロール種別情報へ移動</t>
    <rPh sb="6" eb="8">
      <t>シュベツ</t>
    </rPh>
    <rPh sb="8" eb="10">
      <t>ジョウホウ</t>
    </rPh>
    <phoneticPr fontId="6"/>
  </si>
  <si>
    <t>ファクター１（手動補正で使用）</t>
    <rPh sb="7" eb="9">
      <t>シュドウ</t>
    </rPh>
    <rPh sb="9" eb="11">
      <t>ホセイ</t>
    </rPh>
    <rPh sb="12" eb="14">
      <t>シヨウ</t>
    </rPh>
    <phoneticPr fontId="6"/>
  </si>
  <si>
    <t>レコードが開始された年月日（受付日）</t>
    <rPh sb="5" eb="7">
      <t>カイシ</t>
    </rPh>
    <rPh sb="10" eb="13">
      <t>ネンガッピ</t>
    </rPh>
    <rPh sb="14" eb="17">
      <t>ウケツケビ</t>
    </rPh>
    <phoneticPr fontId="6"/>
  </si>
  <si>
    <t>レコードが廃止された年月日（受付日）</t>
    <rPh sb="5" eb="7">
      <t>ハイシ</t>
    </rPh>
    <rPh sb="10" eb="13">
      <t>ネンガッピ</t>
    </rPh>
    <rPh sb="14" eb="17">
      <t>ウケツケビ</t>
    </rPh>
    <phoneticPr fontId="6"/>
  </si>
  <si>
    <t>検査グループマスタ</t>
    <rPh sb="0" eb="2">
      <t>ケンサ</t>
    </rPh>
    <phoneticPr fontId="6"/>
  </si>
  <si>
    <t xml:space="preserve">検査グループ名称 </t>
    <rPh sb="0" eb="2">
      <t>ケンサ</t>
    </rPh>
    <rPh sb="6" eb="8">
      <t>メイショウ</t>
    </rPh>
    <phoneticPr fontId="6"/>
  </si>
  <si>
    <t>検査グループ略称</t>
    <rPh sb="0" eb="2">
      <t>ケンサ</t>
    </rPh>
    <rPh sb="6" eb="8">
      <t>リャクショウ</t>
    </rPh>
    <phoneticPr fontId="6"/>
  </si>
  <si>
    <t>検査グループ種別</t>
    <rPh sb="0" eb="2">
      <t>ケンサ</t>
    </rPh>
    <rPh sb="6" eb="8">
      <t>シュベツ</t>
    </rPh>
    <phoneticPr fontId="6"/>
  </si>
  <si>
    <t>乳び・溶血報告の優先度
　0:反映無し
　1:乳ビのみ報告
　2:溶血のみ報告
　3:乳ビ優先報告
　4:溶血優先報告</t>
    <rPh sb="0" eb="1">
      <t>ニュウ</t>
    </rPh>
    <rPh sb="3" eb="4">
      <t>ヨウ</t>
    </rPh>
    <rPh sb="4" eb="5">
      <t>ケツ</t>
    </rPh>
    <rPh sb="5" eb="7">
      <t>ホウコク</t>
    </rPh>
    <rPh sb="8" eb="10">
      <t>ユウセン</t>
    </rPh>
    <rPh sb="10" eb="11">
      <t>ド</t>
    </rPh>
    <rPh sb="15" eb="17">
      <t>ハンエイ</t>
    </rPh>
    <rPh sb="17" eb="18">
      <t>ナ</t>
    </rPh>
    <rPh sb="27" eb="29">
      <t>ホウコク</t>
    </rPh>
    <rPh sb="37" eb="39">
      <t>ホウコク</t>
    </rPh>
    <rPh sb="43" eb="44">
      <t>ニュウ</t>
    </rPh>
    <rPh sb="45" eb="47">
      <t>ユウセン</t>
    </rPh>
    <rPh sb="47" eb="49">
      <t>ホウコク</t>
    </rPh>
    <rPh sb="53" eb="54">
      <t>ト</t>
    </rPh>
    <rPh sb="54" eb="55">
      <t>チ</t>
    </rPh>
    <rPh sb="55" eb="57">
      <t>ユウセン</t>
    </rPh>
    <rPh sb="57" eb="59">
      <t>ホウコク</t>
    </rPh>
    <phoneticPr fontId="6"/>
  </si>
  <si>
    <t>乳び溶血優先フラグ [ 0:反映無し 1:乳ビのみ報告 2:溶血のみ報告 3:乳ビ優先報告 4:溶血優先報告 ]</t>
    <phoneticPr fontId="6"/>
  </si>
  <si>
    <t>ドキュメント</t>
    <phoneticPr fontId="6"/>
  </si>
  <si>
    <t>緊急項目マスタ</t>
    <rPh sb="0" eb="2">
      <t>キンキュウ</t>
    </rPh>
    <phoneticPr fontId="6"/>
  </si>
  <si>
    <t>No.</t>
    <phoneticPr fontId="6"/>
  </si>
  <si>
    <t>キー</t>
    <phoneticPr fontId="6"/>
  </si>
  <si>
    <t>サイズ</t>
    <phoneticPr fontId="6"/>
  </si>
  <si>
    <t>PK</t>
    <phoneticPr fontId="6"/>
  </si>
  <si>
    <t>INDEX</t>
    <phoneticPr fontId="6"/>
  </si>
  <si>
    <t>KMKCD</t>
    <phoneticPr fontId="6"/>
  </si>
  <si>
    <t>AS/400からの依頼での処理対象項目のみを設定。</t>
    <rPh sb="9" eb="11">
      <t>イライ</t>
    </rPh>
    <rPh sb="13" eb="15">
      <t>ショリ</t>
    </rPh>
    <rPh sb="15" eb="17">
      <t>タイショウ</t>
    </rPh>
    <rPh sb="17" eb="19">
      <t>コウモク</t>
    </rPh>
    <rPh sb="22" eb="24">
      <t>セッテイ</t>
    </rPh>
    <phoneticPr fontId="6"/>
  </si>
  <si>
    <t>サンプリングコード</t>
    <phoneticPr fontId="6"/>
  </si>
  <si>
    <t>SMPCD</t>
    <phoneticPr fontId="6"/>
  </si>
  <si>
    <r>
      <t>緊急依頼展開処理にて使用。</t>
    </r>
    <r>
      <rPr>
        <sz val="10"/>
        <color indexed="10"/>
        <rFont val="ＭＳ ゴシック"/>
        <family val="3"/>
        <charset val="128"/>
      </rPr>
      <t>緊急の考慮済み</t>
    </r>
    <r>
      <rPr>
        <sz val="10"/>
        <rFont val="ＭＳ ゴシック"/>
        <family val="3"/>
        <charset val="128"/>
      </rPr>
      <t>の現行ＷＳコード。</t>
    </r>
    <rPh sb="0" eb="2">
      <t>キンキュウ</t>
    </rPh>
    <rPh sb="2" eb="4">
      <t>イライ</t>
    </rPh>
    <rPh sb="4" eb="6">
      <t>テンカイ</t>
    </rPh>
    <rPh sb="6" eb="8">
      <t>ショリ</t>
    </rPh>
    <rPh sb="10" eb="12">
      <t>シヨウ</t>
    </rPh>
    <rPh sb="13" eb="15">
      <t>キンキュウ</t>
    </rPh>
    <rPh sb="16" eb="18">
      <t>コウリョ</t>
    </rPh>
    <rPh sb="18" eb="19">
      <t>ズ</t>
    </rPh>
    <phoneticPr fontId="6"/>
  </si>
  <si>
    <t>KAIYMD</t>
    <phoneticPr fontId="6"/>
  </si>
  <si>
    <t>DATE</t>
    <phoneticPr fontId="6"/>
  </si>
  <si>
    <t>HAIYMD</t>
    <phoneticPr fontId="6"/>
  </si>
  <si>
    <t xml:space="preserve">                </t>
    <phoneticPr fontId="6"/>
  </si>
  <si>
    <t>KSNDH</t>
    <phoneticPr fontId="6"/>
  </si>
  <si>
    <t xml:space="preserve"> </t>
    <phoneticPr fontId="6"/>
  </si>
  <si>
    <t>KINKMMST</t>
    <phoneticPr fontId="6"/>
  </si>
  <si>
    <t>処理種別</t>
    <rPh sb="0" eb="2">
      <t>ショリ</t>
    </rPh>
    <rPh sb="2" eb="4">
      <t>シュベツ</t>
    </rPh>
    <phoneticPr fontId="6"/>
  </si>
  <si>
    <t>施設別処理マスタ</t>
    <rPh sb="0" eb="2">
      <t>シセツ</t>
    </rPh>
    <rPh sb="2" eb="3">
      <t>ベツ</t>
    </rPh>
    <rPh sb="3" eb="5">
      <t>ショリ</t>
    </rPh>
    <phoneticPr fontId="6"/>
  </si>
  <si>
    <t>フリーなパラメータ覧</t>
    <rPh sb="9" eb="10">
      <t>ラン</t>
    </rPh>
    <phoneticPr fontId="6"/>
  </si>
  <si>
    <t>検査法区分</t>
    <rPh sb="0" eb="2">
      <t>ケンサ</t>
    </rPh>
    <rPh sb="2" eb="3">
      <t>ホウ</t>
    </rPh>
    <rPh sb="3" eb="5">
      <t>クブン</t>
    </rPh>
    <phoneticPr fontId="6"/>
  </si>
  <si>
    <t>検査法の区分</t>
    <rPh sb="0" eb="2">
      <t>ケンサ</t>
    </rPh>
    <rPh sb="2" eb="3">
      <t>ホウ</t>
    </rPh>
    <rPh sb="4" eb="6">
      <t>クブン</t>
    </rPh>
    <phoneticPr fontId="6"/>
  </si>
  <si>
    <t>変更履歴</t>
    <rPh sb="0" eb="2">
      <t>ヘンコウ</t>
    </rPh>
    <rPh sb="2" eb="4">
      <t>リレキ</t>
    </rPh>
    <phoneticPr fontId="6"/>
  </si>
  <si>
    <t>2006/01/31　永田</t>
    <rPh sb="11" eb="13">
      <t>ナガタ</t>
    </rPh>
    <phoneticPr fontId="6"/>
  </si>
  <si>
    <t>フィールド削除</t>
    <rPh sb="5" eb="7">
      <t>サクジョ</t>
    </rPh>
    <phoneticPr fontId="6"/>
  </si>
  <si>
    <t>マスター各項目の世代管理は、開始年月日、廃止年月日を基にして行うこととする。</t>
    <rPh sb="4" eb="7">
      <t>カクコウモク</t>
    </rPh>
    <rPh sb="8" eb="10">
      <t>セダイ</t>
    </rPh>
    <rPh sb="10" eb="12">
      <t>カンリ</t>
    </rPh>
    <rPh sb="14" eb="16">
      <t>カイシ</t>
    </rPh>
    <rPh sb="16" eb="19">
      <t>ネンガッピ</t>
    </rPh>
    <rPh sb="20" eb="22">
      <t>ハイシ</t>
    </rPh>
    <rPh sb="22" eb="25">
      <t>ネンガッピ</t>
    </rPh>
    <rPh sb="26" eb="27">
      <t>モト</t>
    </rPh>
    <rPh sb="30" eb="31">
      <t>オコナ</t>
    </rPh>
    <phoneticPr fontId="6"/>
  </si>
  <si>
    <t>履歴区分を削除</t>
    <rPh sb="0" eb="2">
      <t>リレキ</t>
    </rPh>
    <rPh sb="2" eb="4">
      <t>クブン</t>
    </rPh>
    <rPh sb="5" eb="7">
      <t>サクジョ</t>
    </rPh>
    <phoneticPr fontId="6"/>
  </si>
  <si>
    <t>項目記号</t>
    <rPh sb="0" eb="2">
      <t>コウモク</t>
    </rPh>
    <rPh sb="2" eb="4">
      <t>キゴウ</t>
    </rPh>
    <phoneticPr fontId="6"/>
  </si>
  <si>
    <t>現行ＷＳコード</t>
    <rPh sb="0" eb="2">
      <t>ゲンコウ</t>
    </rPh>
    <phoneticPr fontId="6"/>
  </si>
  <si>
    <t>分画・負荷の親項目コード</t>
    <rPh sb="0" eb="1">
      <t>ブン</t>
    </rPh>
    <rPh sb="1" eb="2">
      <t>カク</t>
    </rPh>
    <rPh sb="3" eb="5">
      <t>フカ</t>
    </rPh>
    <rPh sb="6" eb="7">
      <t>オヤ</t>
    </rPh>
    <rPh sb="7" eb="9">
      <t>コウモク</t>
    </rPh>
    <phoneticPr fontId="6"/>
  </si>
  <si>
    <t>ワークシート内位置</t>
    <rPh sb="6" eb="7">
      <t>ナイ</t>
    </rPh>
    <rPh sb="7" eb="9">
      <t>イチ</t>
    </rPh>
    <phoneticPr fontId="6"/>
  </si>
  <si>
    <t>照合チェック採用フラグ</t>
  </si>
  <si>
    <t>照合チェック採用フラグ</t>
    <rPh sb="0" eb="2">
      <t>ショウゴウ</t>
    </rPh>
    <rPh sb="6" eb="8">
      <t>サイヨウ</t>
    </rPh>
    <phoneticPr fontId="5"/>
  </si>
  <si>
    <t>照合チェック及び再検照合時、採用する基準をフラグで設定する。
　0：自動選択
　1：常に初回のみ優先採用
　2：常に再検のみ優先採用</t>
    <rPh sb="0" eb="2">
      <t>ショウゴウ</t>
    </rPh>
    <rPh sb="6" eb="7">
      <t>オヨ</t>
    </rPh>
    <rPh sb="8" eb="10">
      <t>サイケン</t>
    </rPh>
    <rPh sb="10" eb="12">
      <t>ショウゴウ</t>
    </rPh>
    <rPh sb="12" eb="13">
      <t>ジ</t>
    </rPh>
    <rPh sb="14" eb="16">
      <t>サイヨウ</t>
    </rPh>
    <rPh sb="18" eb="20">
      <t>キジュン</t>
    </rPh>
    <rPh sb="25" eb="27">
      <t>セッテイ</t>
    </rPh>
    <rPh sb="34" eb="36">
      <t>ジドウ</t>
    </rPh>
    <rPh sb="36" eb="38">
      <t>センタク</t>
    </rPh>
    <rPh sb="42" eb="43">
      <t>ツネ</t>
    </rPh>
    <rPh sb="44" eb="46">
      <t>ショカイ</t>
    </rPh>
    <rPh sb="48" eb="50">
      <t>ユウセン</t>
    </rPh>
    <rPh sb="50" eb="52">
      <t>サイヨウ</t>
    </rPh>
    <rPh sb="56" eb="57">
      <t>ツネ</t>
    </rPh>
    <rPh sb="58" eb="60">
      <t>サイケン</t>
    </rPh>
    <rPh sb="62" eb="64">
      <t>ユウセン</t>
    </rPh>
    <rPh sb="64" eb="66">
      <t>サイヨウ</t>
    </rPh>
    <phoneticPr fontId="6"/>
  </si>
  <si>
    <t>血清情報影響フラグ</t>
  </si>
  <si>
    <t>血清情報影響フラグ</t>
    <rPh sb="0" eb="2">
      <t>ケッセイ</t>
    </rPh>
    <rPh sb="2" eb="4">
      <t>ジョウホウ</t>
    </rPh>
    <rPh sb="4" eb="6">
      <t>エイキョウ</t>
    </rPh>
    <phoneticPr fontId="5"/>
  </si>
  <si>
    <t>分析条件</t>
    <rPh sb="0" eb="2">
      <t>ブンセキ</t>
    </rPh>
    <rPh sb="2" eb="4">
      <t>ジョウケン</t>
    </rPh>
    <phoneticPr fontId="5"/>
  </si>
  <si>
    <t>2007/03/01 永田</t>
    <rPh sb="11" eb="13">
      <t>ナガタ</t>
    </rPh>
    <phoneticPr fontId="6"/>
  </si>
  <si>
    <t>論理名、フィールドの意味づけ変更</t>
    <rPh sb="0" eb="2">
      <t>ロンリ</t>
    </rPh>
    <rPh sb="2" eb="3">
      <t>メイ</t>
    </rPh>
    <rPh sb="10" eb="12">
      <t>イミ</t>
    </rPh>
    <rPh sb="14" eb="16">
      <t>ヘンコウ</t>
    </rPh>
    <phoneticPr fontId="6"/>
  </si>
  <si>
    <t>担当者ＩＤ　→　分析条件</t>
    <rPh sb="0" eb="3">
      <t>タントウシャ</t>
    </rPh>
    <rPh sb="8" eb="10">
      <t>ブンセキ</t>
    </rPh>
    <rPh sb="10" eb="12">
      <t>ジョウケン</t>
    </rPh>
    <phoneticPr fontId="6"/>
  </si>
  <si>
    <t>※マスタには正常値を登録することとする（8/12渡辺氏確認）
不等号式
　0:＝
　1:not＝
　2:＞＝
　3:＜＝
　4:＞
　5:＜</t>
    <rPh sb="6" eb="9">
      <t>セイジョウチ</t>
    </rPh>
    <rPh sb="10" eb="12">
      <t>トウロク</t>
    </rPh>
    <rPh sb="24" eb="26">
      <t>ワタナベ</t>
    </rPh>
    <rPh sb="26" eb="27">
      <t>シ</t>
    </rPh>
    <rPh sb="27" eb="29">
      <t>カクニン</t>
    </rPh>
    <phoneticPr fontId="6"/>
  </si>
  <si>
    <t>血清情報を反映するか否かを設定する。
　0：反映無し
　1：反映有り</t>
    <rPh sb="0" eb="2">
      <t>ケッセイ</t>
    </rPh>
    <rPh sb="2" eb="4">
      <t>ジョウホウ</t>
    </rPh>
    <rPh sb="5" eb="7">
      <t>ハンエイ</t>
    </rPh>
    <rPh sb="10" eb="11">
      <t>イナ</t>
    </rPh>
    <rPh sb="13" eb="15">
      <t>セッテイ</t>
    </rPh>
    <rPh sb="22" eb="24">
      <t>ハンエイ</t>
    </rPh>
    <rPh sb="24" eb="25">
      <t>ナ</t>
    </rPh>
    <rPh sb="30" eb="32">
      <t>ハンエイ</t>
    </rPh>
    <rPh sb="32" eb="33">
      <t>ア</t>
    </rPh>
    <phoneticPr fontId="6"/>
  </si>
  <si>
    <t>希釈測定結果照合フラグ</t>
  </si>
  <si>
    <t>2006/4/5 　秋山</t>
    <rPh sb="10" eb="12">
      <t>アキヤマ</t>
    </rPh>
    <phoneticPr fontId="6"/>
  </si>
  <si>
    <t>関連項目コード　INTEGER →　CHAR(7)</t>
    <rPh sb="0" eb="2">
      <t>カンレン</t>
    </rPh>
    <rPh sb="2" eb="4">
      <t>コウモク</t>
    </rPh>
    <phoneticPr fontId="6"/>
  </si>
  <si>
    <t>施設コード　→　親施設コード　OYASSTCD CHAR(7)</t>
    <rPh sb="0" eb="2">
      <t>シセツ</t>
    </rPh>
    <rPh sb="8" eb="9">
      <t>オヤ</t>
    </rPh>
    <rPh sb="9" eb="11">
      <t>シセツ</t>
    </rPh>
    <phoneticPr fontId="6"/>
  </si>
  <si>
    <t>2006/4/5  秋山</t>
    <rPh sb="10" eb="12">
      <t>アキヤマ</t>
    </rPh>
    <phoneticPr fontId="6"/>
  </si>
  <si>
    <t>2006/4/5   秋山</t>
    <rPh sb="11" eb="13">
      <t>アキヤマ</t>
    </rPh>
    <phoneticPr fontId="6"/>
  </si>
  <si>
    <t>2006/4/5　秋山</t>
    <rPh sb="9" eb="11">
      <t>アキヤマ</t>
    </rPh>
    <phoneticPr fontId="6"/>
  </si>
  <si>
    <t>希釈測定結果照合フラグ</t>
    <rPh sb="0" eb="2">
      <t>キシャク</t>
    </rPh>
    <rPh sb="2" eb="4">
      <t>ソクテイ</t>
    </rPh>
    <rPh sb="4" eb="6">
      <t>ケッカ</t>
    </rPh>
    <rPh sb="6" eb="8">
      <t>ショウゴウ</t>
    </rPh>
    <phoneticPr fontId="5"/>
  </si>
  <si>
    <t>希釈した結果値に対し、照合チェックを行うか否かを設定する。
　0:照合チェックを行う
　1:照合チェックを行わない</t>
    <rPh sb="0" eb="2">
      <t>キシャク</t>
    </rPh>
    <rPh sb="4" eb="6">
      <t>ケッカ</t>
    </rPh>
    <rPh sb="6" eb="7">
      <t>アタイ</t>
    </rPh>
    <rPh sb="8" eb="9">
      <t>タイ</t>
    </rPh>
    <rPh sb="11" eb="13">
      <t>ショウゴウ</t>
    </rPh>
    <rPh sb="18" eb="19">
      <t>オコナ</t>
    </rPh>
    <rPh sb="21" eb="22">
      <t>イナ</t>
    </rPh>
    <rPh sb="24" eb="26">
      <t>セッテイ</t>
    </rPh>
    <rPh sb="33" eb="35">
      <t>ショウゴウ</t>
    </rPh>
    <rPh sb="40" eb="41">
      <t>オコナ</t>
    </rPh>
    <rPh sb="46" eb="48">
      <t>ショウゴウ</t>
    </rPh>
    <rPh sb="53" eb="54">
      <t>オコナ</t>
    </rPh>
    <phoneticPr fontId="6"/>
  </si>
  <si>
    <t>フィールド追加</t>
    <rPh sb="5" eb="7">
      <t>ツイカ</t>
    </rPh>
    <phoneticPr fontId="6"/>
  </si>
  <si>
    <t>開始位置</t>
  </si>
  <si>
    <t>挿入間隔</t>
  </si>
  <si>
    <t>コントロール種別表示順番</t>
  </si>
  <si>
    <t>情報更新日時</t>
    <rPh sb="0" eb="2">
      <t>ジョウホウ</t>
    </rPh>
    <rPh sb="2" eb="4">
      <t>コウシン</t>
    </rPh>
    <rPh sb="4" eb="6">
      <t>ニチジ</t>
    </rPh>
    <phoneticPr fontId="6"/>
  </si>
  <si>
    <t>全フィールド、nullを許さない</t>
    <rPh sb="0" eb="1">
      <t>ゼン</t>
    </rPh>
    <rPh sb="12" eb="13">
      <t>ユル</t>
    </rPh>
    <phoneticPr fontId="6"/>
  </si>
  <si>
    <t>開始年月日をプライマリーキーに追加</t>
    <rPh sb="0" eb="2">
      <t>カイシ</t>
    </rPh>
    <rPh sb="2" eb="5">
      <t>ネンガッピ</t>
    </rPh>
    <rPh sb="15" eb="17">
      <t>ツイカ</t>
    </rPh>
    <phoneticPr fontId="6"/>
  </si>
  <si>
    <t>コントロール種別の情報を定義する。（設置ラックID等）</t>
    <rPh sb="6" eb="8">
      <t>シュベツ</t>
    </rPh>
    <rPh sb="9" eb="11">
      <t>ジョウホウ</t>
    </rPh>
    <rPh sb="12" eb="14">
      <t>テイギ</t>
    </rPh>
    <rPh sb="18" eb="20">
      <t>セッチ</t>
    </rPh>
    <rPh sb="25" eb="26">
      <t>ナド</t>
    </rPh>
    <phoneticPr fontId="6"/>
  </si>
  <si>
    <t>コントロールを異常と判断する判定基準を定義する。</t>
    <rPh sb="7" eb="9">
      <t>イジョウ</t>
    </rPh>
    <rPh sb="10" eb="12">
      <t>ハンダン</t>
    </rPh>
    <rPh sb="14" eb="16">
      <t>ハンテイ</t>
    </rPh>
    <rPh sb="16" eb="18">
      <t>キジュン</t>
    </rPh>
    <rPh sb="19" eb="21">
      <t>テイギ</t>
    </rPh>
    <phoneticPr fontId="6"/>
  </si>
  <si>
    <t>1：比(%)
2：差(絶対値)  
3：定性の(－)以外から(－)
4：定性の(－)から(－)以外</t>
    <phoneticPr fontId="6"/>
  </si>
  <si>
    <t>2007/01/25 永田</t>
    <rPh sb="11" eb="13">
      <t>ナガタ</t>
    </rPh>
    <phoneticPr fontId="6"/>
  </si>
  <si>
    <t>許容区分</t>
    <phoneticPr fontId="6"/>
  </si>
  <si>
    <t>4：定性の(－)から(－)以外</t>
  </si>
  <si>
    <t>3：定性の(－)以外から(－)</t>
    <phoneticPr fontId="6"/>
  </si>
  <si>
    <t>許容区分に区分追加</t>
    <rPh sb="0" eb="2">
      <t>キョヨウ</t>
    </rPh>
    <rPh sb="2" eb="4">
      <t>クブン</t>
    </rPh>
    <rPh sb="5" eb="7">
      <t>クブン</t>
    </rPh>
    <rPh sb="7" eb="9">
      <t>ツイカ</t>
    </rPh>
    <phoneticPr fontId="6"/>
  </si>
  <si>
    <t>適用フラグ</t>
    <rPh sb="0" eb="2">
      <t>テキヨウ</t>
    </rPh>
    <phoneticPr fontId="6"/>
  </si>
  <si>
    <t>TKYKBN</t>
    <phoneticPr fontId="6"/>
  </si>
  <si>
    <t>施設コード
"0000000"の場合、条件に含めない（ALL指定）</t>
    <rPh sb="0" eb="2">
      <t>シセツ</t>
    </rPh>
    <phoneticPr fontId="6"/>
  </si>
  <si>
    <t>"0":フィルターを適用する
"1":フィルターを適用しない</t>
    <rPh sb="10" eb="12">
      <t>テキヨウ</t>
    </rPh>
    <rPh sb="25" eb="27">
      <t>テキヨウ</t>
    </rPh>
    <phoneticPr fontId="6"/>
  </si>
  <si>
    <t>適用フラグ CHAR(1)</t>
    <rPh sb="0" eb="2">
      <t>テキヨウ</t>
    </rPh>
    <phoneticPr fontId="6"/>
  </si>
  <si>
    <t>施設コード CHAR(7)</t>
    <rPh sb="0" eb="2">
      <t>シセツ</t>
    </rPh>
    <phoneticPr fontId="6"/>
  </si>
  <si>
    <t>検査グループと負荷親項目コードの順を変更</t>
    <rPh sb="0" eb="2">
      <t>ケンサ</t>
    </rPh>
    <rPh sb="7" eb="9">
      <t>フカ</t>
    </rPh>
    <rPh sb="9" eb="10">
      <t>オヤ</t>
    </rPh>
    <rPh sb="10" eb="12">
      <t>コウモク</t>
    </rPh>
    <rPh sb="16" eb="17">
      <t>ジュン</t>
    </rPh>
    <rPh sb="18" eb="20">
      <t>ヘンコウ</t>
    </rPh>
    <phoneticPr fontId="6"/>
  </si>
  <si>
    <t>検査グループ記号</t>
    <rPh sb="0" eb="2">
      <t>ケンサ</t>
    </rPh>
    <rPh sb="6" eb="8">
      <t>キゴウ</t>
    </rPh>
    <phoneticPr fontId="6"/>
  </si>
  <si>
    <t>チャネル名称</t>
    <rPh sb="4" eb="6">
      <t>メイショウ</t>
    </rPh>
    <phoneticPr fontId="6"/>
  </si>
  <si>
    <t>チャネルの名称</t>
    <rPh sb="5" eb="7">
      <t>メイショウ</t>
    </rPh>
    <phoneticPr fontId="6"/>
  </si>
  <si>
    <t>翌日報告区分</t>
    <rPh sb="0" eb="2">
      <t>ヨクジツ</t>
    </rPh>
    <rPh sb="2" eb="4">
      <t>ホウコク</t>
    </rPh>
    <rPh sb="4" eb="6">
      <t>クブン</t>
    </rPh>
    <phoneticPr fontId="6"/>
  </si>
  <si>
    <t>集計コース名</t>
    <rPh sb="0" eb="2">
      <t>シュウケイ</t>
    </rPh>
    <rPh sb="5" eb="6">
      <t>メイ</t>
    </rPh>
    <phoneticPr fontId="6"/>
  </si>
  <si>
    <t>集計営業所コード</t>
    <rPh sb="0" eb="2">
      <t>シュウケイ</t>
    </rPh>
    <rPh sb="2" eb="4">
      <t>エイギョウ</t>
    </rPh>
    <rPh sb="4" eb="5">
      <t>ジョ</t>
    </rPh>
    <phoneticPr fontId="6"/>
  </si>
  <si>
    <t>集計集配コード</t>
    <rPh sb="0" eb="2">
      <t>シュウケイ</t>
    </rPh>
    <rPh sb="2" eb="4">
      <t>シュウハイ</t>
    </rPh>
    <phoneticPr fontId="6"/>
  </si>
  <si>
    <t>異常値マーク</t>
    <rPh sb="0" eb="3">
      <t>イジョウチ</t>
    </rPh>
    <phoneticPr fontId="6"/>
  </si>
  <si>
    <t>項目グループ記号</t>
    <rPh sb="0" eb="2">
      <t>コウモク</t>
    </rPh>
    <rPh sb="6" eb="8">
      <t>キゴウ</t>
    </rPh>
    <phoneticPr fontId="6"/>
  </si>
  <si>
    <t>　0:何もしない
　1:チェック①を実行
各食事毎に食前よりも食後が低ければラー(項目11-16)</t>
    <rPh sb="3" eb="4">
      <t>ナニ</t>
    </rPh>
    <rPh sb="18" eb="20">
      <t>ジッコウ</t>
    </rPh>
    <phoneticPr fontId="6"/>
  </si>
  <si>
    <t>システム管理マスタのサテライトＩＤと同じ</t>
    <rPh sb="4" eb="6">
      <t>カンリ</t>
    </rPh>
    <rPh sb="18" eb="19">
      <t>オナ</t>
    </rPh>
    <phoneticPr fontId="6"/>
  </si>
  <si>
    <t>１バイト目をユーザーレベルに使用</t>
    <rPh sb="4" eb="5">
      <t>メ</t>
    </rPh>
    <rPh sb="14" eb="16">
      <t>シヨウ</t>
    </rPh>
    <phoneticPr fontId="6"/>
  </si>
  <si>
    <t>2006/03/13　鎌倉</t>
    <rPh sb="11" eb="13">
      <t>カマクラ</t>
    </rPh>
    <phoneticPr fontId="6"/>
  </si>
  <si>
    <t>主キー変更</t>
    <rPh sb="0" eb="1">
      <t>シュ</t>
    </rPh>
    <rPh sb="3" eb="5">
      <t>ヘンコウ</t>
    </rPh>
    <phoneticPr fontId="6"/>
  </si>
  <si>
    <t>ユーザーＩＤ　→　ユーザーＩＤ＋システムＩＤ</t>
    <phoneticPr fontId="6"/>
  </si>
  <si>
    <t>　１バイト目をユーザーレベルとする</t>
    <rPh sb="5" eb="6">
      <t>メ</t>
    </rPh>
    <phoneticPr fontId="6"/>
  </si>
  <si>
    <t>　0:何もしない
　1:チェック②を実行
いずれの負荷後であっても、負荷前の測定値より下回ればエラー(項目1-10)</t>
    <rPh sb="3" eb="4">
      <t>ナニ</t>
    </rPh>
    <rPh sb="18" eb="20">
      <t>ジッコウ</t>
    </rPh>
    <phoneticPr fontId="6"/>
  </si>
  <si>
    <t>　0:何もしない
　1:チェック③を実行
負荷後の検体間において、自検体の１本前の負荷測定値と比較し、半分以下となった場合はエラー(項目2-10)</t>
    <rPh sb="3" eb="4">
      <t>ナニ</t>
    </rPh>
    <rPh sb="18" eb="20">
      <t>ジッコウ</t>
    </rPh>
    <phoneticPr fontId="6"/>
  </si>
  <si>
    <t>CHK2</t>
  </si>
  <si>
    <t>LINENM</t>
    <phoneticPr fontId="6"/>
  </si>
  <si>
    <t>BSKKBN</t>
    <phoneticPr fontId="6"/>
  </si>
  <si>
    <t>接続分析機種別</t>
  </si>
  <si>
    <t>ライン名称</t>
  </si>
  <si>
    <t>物理名追加</t>
    <rPh sb="0" eb="2">
      <t>ブツリ</t>
    </rPh>
    <rPh sb="2" eb="3">
      <t>メイ</t>
    </rPh>
    <rPh sb="3" eb="5">
      <t>ツイカ</t>
    </rPh>
    <phoneticPr fontId="6"/>
  </si>
  <si>
    <t>2006/03/03　秋山</t>
    <rPh sb="11" eb="13">
      <t>アキヤマ</t>
    </rPh>
    <phoneticPr fontId="6"/>
  </si>
  <si>
    <t>KBN</t>
    <phoneticPr fontId="6"/>
  </si>
  <si>
    <t>分析機区分</t>
  </si>
  <si>
    <t>分析機ライン</t>
  </si>
  <si>
    <t>分析機号機</t>
  </si>
  <si>
    <t>　0:何もしない
　1:チェック⑤を実行
負荷前があり、後が２本以上の時で、最後の依頼まで結果が右肩上がりで終わっていた場合はエラー(項目1-10)</t>
    <rPh sb="3" eb="4">
      <t>ナニ</t>
    </rPh>
    <rPh sb="18" eb="20">
      <t>ジッコウ</t>
    </rPh>
    <phoneticPr fontId="6"/>
  </si>
  <si>
    <t>依頼展開に特定の依頼項目に対して、依頼を自動発生させるための情報を定義する。
（計算項目の計算元項目の依頼がないときなど、自動発生させるために用いられる）</t>
    <rPh sb="0" eb="2">
      <t>イライ</t>
    </rPh>
    <rPh sb="2" eb="4">
      <t>テンカイ</t>
    </rPh>
    <rPh sb="5" eb="7">
      <t>トクテイ</t>
    </rPh>
    <rPh sb="8" eb="10">
      <t>イライ</t>
    </rPh>
    <rPh sb="10" eb="12">
      <t>コウモク</t>
    </rPh>
    <rPh sb="13" eb="14">
      <t>タイ</t>
    </rPh>
    <rPh sb="17" eb="19">
      <t>イライ</t>
    </rPh>
    <rPh sb="20" eb="22">
      <t>ジドウ</t>
    </rPh>
    <rPh sb="22" eb="24">
      <t>ハッセイ</t>
    </rPh>
    <rPh sb="30" eb="32">
      <t>ジョウホウ</t>
    </rPh>
    <rPh sb="33" eb="35">
      <t>テイギ</t>
    </rPh>
    <phoneticPr fontId="6"/>
  </si>
  <si>
    <t>項目をｸﾞﾙｰﾌﾟで管理し、入力条件、帳票出力等に使用する。（分析機単位、精度管理単位などでの項目グループ）
※検査グループとはくくりが異なる。注意が必要。</t>
    <rPh sb="10" eb="12">
      <t>カンリ</t>
    </rPh>
    <rPh sb="14" eb="16">
      <t>ニュウリョク</t>
    </rPh>
    <rPh sb="16" eb="18">
      <t>ジョウケン</t>
    </rPh>
    <rPh sb="19" eb="21">
      <t>チョウヒョウ</t>
    </rPh>
    <rPh sb="21" eb="23">
      <t>シュツリョク</t>
    </rPh>
    <rPh sb="23" eb="24">
      <t>トウ</t>
    </rPh>
    <rPh sb="25" eb="27">
      <t>シヨウ</t>
    </rPh>
    <rPh sb="31" eb="33">
      <t>ブンセキ</t>
    </rPh>
    <rPh sb="33" eb="34">
      <t>キ</t>
    </rPh>
    <rPh sb="34" eb="36">
      <t>タンイ</t>
    </rPh>
    <rPh sb="37" eb="39">
      <t>セイド</t>
    </rPh>
    <rPh sb="39" eb="41">
      <t>カンリ</t>
    </rPh>
    <rPh sb="41" eb="43">
      <t>タンイ</t>
    </rPh>
    <rPh sb="47" eb="49">
      <t>コウモク</t>
    </rPh>
    <phoneticPr fontId="6"/>
  </si>
  <si>
    <t>項目の測定値から希釈倍率を求めるときに使用する。
再検時、初回測定値の範囲に対応する希釈倍率を項目毎に設定し再検時の希釈倍率とする。</t>
    <phoneticPr fontId="6"/>
  </si>
  <si>
    <t>未使用。</t>
    <rPh sb="0" eb="3">
      <t>ミシヨウ</t>
    </rPh>
    <phoneticPr fontId="6"/>
  </si>
  <si>
    <t>コメント内容を設定する
301～500は結果コメントで、クリーン結果データの結果欄に＊付きで保存する。
1～300は報告コメントで、各テーブルの報告コメント欄にコメントコードが入る。</t>
    <phoneticPr fontId="6"/>
  </si>
  <si>
    <t>現在、誤入力防止のための現場からの依頼にため、ケミストリーで使うコメント以外は
削除済みである。登録されていないコメントは入力できない。</t>
    <rPh sb="0" eb="2">
      <t>ゲンザイ</t>
    </rPh>
    <rPh sb="3" eb="4">
      <t>アヤマ</t>
    </rPh>
    <rPh sb="4" eb="6">
      <t>ニュウリョク</t>
    </rPh>
    <rPh sb="6" eb="8">
      <t>ボウシ</t>
    </rPh>
    <rPh sb="12" eb="14">
      <t>ゲンバ</t>
    </rPh>
    <rPh sb="17" eb="19">
      <t>イライ</t>
    </rPh>
    <rPh sb="48" eb="50">
      <t>トウロク</t>
    </rPh>
    <rPh sb="61" eb="63">
      <t>ニュウリョク</t>
    </rPh>
    <phoneticPr fontId="6"/>
  </si>
  <si>
    <t>未使用？初期に登録されたと思われるレコードがいくつか残っている。</t>
    <rPh sb="0" eb="3">
      <t>ミシヨウ</t>
    </rPh>
    <rPh sb="4" eb="6">
      <t>ショキ</t>
    </rPh>
    <rPh sb="7" eb="9">
      <t>トウロク</t>
    </rPh>
    <rPh sb="13" eb="14">
      <t>オモ</t>
    </rPh>
    <rPh sb="26" eb="27">
      <t>ノコ</t>
    </rPh>
    <phoneticPr fontId="6"/>
  </si>
  <si>
    <t>QCCTRLMST</t>
    <phoneticPr fontId="6"/>
  </si>
  <si>
    <t>QCMECHMST</t>
    <phoneticPr fontId="6"/>
  </si>
  <si>
    <t>過去分参照用に使用する分析機チャネルマスタ。</t>
    <phoneticPr fontId="6"/>
  </si>
  <si>
    <t>テーブル定義は分析機チャネルマスタと全く同じある。</t>
    <rPh sb="4" eb="6">
      <t>テイギ</t>
    </rPh>
    <rPh sb="18" eb="19">
      <t>マッタ</t>
    </rPh>
    <rPh sb="20" eb="21">
      <t>オナ</t>
    </rPh>
    <phoneticPr fontId="6"/>
  </si>
  <si>
    <t>テーブル定義はコントロールマスタと全く同じある。</t>
    <rPh sb="4" eb="6">
      <t>テイギ</t>
    </rPh>
    <rPh sb="17" eb="18">
      <t>マッタ</t>
    </rPh>
    <rPh sb="19" eb="20">
      <t>オナ</t>
    </rPh>
    <phoneticPr fontId="6"/>
  </si>
  <si>
    <t>ZAIRMST</t>
    <phoneticPr fontId="6"/>
  </si>
  <si>
    <t>一応、登録されているが、未管理状態である。使用されているかは不明。</t>
    <rPh sb="0" eb="2">
      <t>イチオウ</t>
    </rPh>
    <rPh sb="3" eb="5">
      <t>トウロク</t>
    </rPh>
    <rPh sb="12" eb="13">
      <t>ミ</t>
    </rPh>
    <rPh sb="13" eb="15">
      <t>カンリ</t>
    </rPh>
    <rPh sb="15" eb="17">
      <t>ジョウタイ</t>
    </rPh>
    <rPh sb="21" eb="23">
      <t>シヨウ</t>
    </rPh>
    <rPh sb="30" eb="32">
      <t>フメイ</t>
    </rPh>
    <phoneticPr fontId="6"/>
  </si>
  <si>
    <t>オンラインにてXbarMを算出する際に使われるマスタであるが、
XbarM機能は使われていないため、現在未使用。</t>
    <rPh sb="13" eb="15">
      <t>サンシュツ</t>
    </rPh>
    <rPh sb="17" eb="18">
      <t>サイ</t>
    </rPh>
    <rPh sb="19" eb="20">
      <t>ツカ</t>
    </rPh>
    <rPh sb="37" eb="39">
      <t>キノウ</t>
    </rPh>
    <rPh sb="40" eb="41">
      <t>ツカ</t>
    </rPh>
    <rPh sb="50" eb="52">
      <t>ゲンザイ</t>
    </rPh>
    <rPh sb="52" eb="55">
      <t>ミシヨウ</t>
    </rPh>
    <phoneticPr fontId="6"/>
  </si>
  <si>
    <t>透析前後チェック画面にて使用されていると思われるが、
ほとんど未管理状態である。</t>
    <rPh sb="0" eb="2">
      <t>トウセキ</t>
    </rPh>
    <rPh sb="2" eb="4">
      <t>ゼンゴ</t>
    </rPh>
    <rPh sb="8" eb="10">
      <t>ガメン</t>
    </rPh>
    <rPh sb="12" eb="14">
      <t>シヨウ</t>
    </rPh>
    <rPh sb="20" eb="21">
      <t>オモ</t>
    </rPh>
    <rPh sb="31" eb="32">
      <t>ミ</t>
    </rPh>
    <rPh sb="32" eb="34">
      <t>カンリ</t>
    </rPh>
    <rPh sb="34" eb="36">
      <t>ジョウタイ</t>
    </rPh>
    <phoneticPr fontId="6"/>
  </si>
  <si>
    <t>システムで使用するトレー（ラック）情報を設定する。また、トレー情報と検査グループを紐づける。
特定のトレーに対しワークシートSEQを発生させる場合、そのSEQ範囲を定義する。</t>
    <rPh sb="17" eb="19">
      <t>ジョウホウ</t>
    </rPh>
    <rPh sb="31" eb="33">
      <t>ジョウホウ</t>
    </rPh>
    <rPh sb="34" eb="36">
      <t>ケンサ</t>
    </rPh>
    <rPh sb="41" eb="42">
      <t>ヒモ</t>
    </rPh>
    <rPh sb="47" eb="49">
      <t>トクテイ</t>
    </rPh>
    <rPh sb="54" eb="55">
      <t>タイ</t>
    </rPh>
    <rPh sb="66" eb="68">
      <t>ハッセイ</t>
    </rPh>
    <rPh sb="71" eb="73">
      <t>バアイ</t>
    </rPh>
    <rPh sb="79" eb="81">
      <t>ハンイ</t>
    </rPh>
    <rPh sb="82" eb="84">
      <t>テイギ</t>
    </rPh>
    <phoneticPr fontId="6"/>
  </si>
  <si>
    <t>日設へ送るファイルの作成ディレクトリを制御するのに使われる。
新規の検査グループを登録する際に追加する。</t>
    <rPh sb="0" eb="1">
      <t>ニチ</t>
    </rPh>
    <rPh sb="1" eb="2">
      <t>セツ</t>
    </rPh>
    <rPh sb="3" eb="4">
      <t>オク</t>
    </rPh>
    <rPh sb="10" eb="12">
      <t>サクセイ</t>
    </rPh>
    <rPh sb="19" eb="21">
      <t>セイギョ</t>
    </rPh>
    <rPh sb="25" eb="26">
      <t>ツカ</t>
    </rPh>
    <rPh sb="31" eb="33">
      <t>シンキ</t>
    </rPh>
    <rPh sb="34" eb="36">
      <t>ケンサ</t>
    </rPh>
    <rPh sb="41" eb="43">
      <t>トウロク</t>
    </rPh>
    <rPh sb="45" eb="46">
      <t>サイ</t>
    </rPh>
    <rPh sb="47" eb="49">
      <t>ツイカ</t>
    </rPh>
    <phoneticPr fontId="6"/>
  </si>
  <si>
    <t>検査日やEND情報の受信状況、HULFT送信に使用する通番等を管理している。
日次にて日付更新、各種情報の初期化をしている。</t>
    <rPh sb="0" eb="2">
      <t>ケンサ</t>
    </rPh>
    <rPh sb="2" eb="3">
      <t>ビ</t>
    </rPh>
    <rPh sb="7" eb="9">
      <t>ジョウホウ</t>
    </rPh>
    <rPh sb="10" eb="12">
      <t>ジュシン</t>
    </rPh>
    <rPh sb="12" eb="14">
      <t>ジョウキョウ</t>
    </rPh>
    <rPh sb="20" eb="22">
      <t>ソウシン</t>
    </rPh>
    <rPh sb="23" eb="25">
      <t>シヨウ</t>
    </rPh>
    <rPh sb="27" eb="28">
      <t>ツウ</t>
    </rPh>
    <rPh sb="28" eb="29">
      <t>バン</t>
    </rPh>
    <rPh sb="29" eb="30">
      <t>トウ</t>
    </rPh>
    <rPh sb="31" eb="33">
      <t>カンリ</t>
    </rPh>
    <rPh sb="39" eb="40">
      <t>ニチ</t>
    </rPh>
    <rPh sb="40" eb="41">
      <t>ジ</t>
    </rPh>
    <rPh sb="43" eb="45">
      <t>ヒヅケ</t>
    </rPh>
    <rPh sb="45" eb="47">
      <t>コウシン</t>
    </rPh>
    <rPh sb="48" eb="50">
      <t>カクシュ</t>
    </rPh>
    <rPh sb="50" eb="52">
      <t>ジョウホウ</t>
    </rPh>
    <rPh sb="53" eb="56">
      <t>ショキカ</t>
    </rPh>
    <phoneticPr fontId="6"/>
  </si>
  <si>
    <t>過去使用されていたが、未使用。ロジックにバグ有り。</t>
    <rPh sb="0" eb="2">
      <t>カコ</t>
    </rPh>
    <rPh sb="2" eb="4">
      <t>シヨウ</t>
    </rPh>
    <rPh sb="11" eb="14">
      <t>ミシヨウ</t>
    </rPh>
    <rPh sb="22" eb="23">
      <t>ア</t>
    </rPh>
    <phoneticPr fontId="6"/>
  </si>
  <si>
    <t>施設別、（検査グループ、項目別）で行われる処理を定義したマスタ。
（帳票の特定施設網掛け、報告書の出力枚数等）</t>
    <rPh sb="0" eb="3">
      <t>シセツベツ</t>
    </rPh>
    <rPh sb="5" eb="7">
      <t>ケンサ</t>
    </rPh>
    <rPh sb="12" eb="14">
      <t>コウモク</t>
    </rPh>
    <rPh sb="14" eb="15">
      <t>ベツ</t>
    </rPh>
    <rPh sb="17" eb="18">
      <t>オコナ</t>
    </rPh>
    <rPh sb="21" eb="23">
      <t>ショリ</t>
    </rPh>
    <rPh sb="24" eb="26">
      <t>テイギ</t>
    </rPh>
    <rPh sb="34" eb="36">
      <t>チョウヒョウ</t>
    </rPh>
    <rPh sb="37" eb="39">
      <t>トクテイ</t>
    </rPh>
    <rPh sb="39" eb="41">
      <t>シセツ</t>
    </rPh>
    <rPh sb="41" eb="43">
      <t>アミカ</t>
    </rPh>
    <rPh sb="45" eb="48">
      <t>ホウコクショ</t>
    </rPh>
    <rPh sb="49" eb="51">
      <t>シュツリョク</t>
    </rPh>
    <rPh sb="51" eb="53">
      <t>マイスウ</t>
    </rPh>
    <rPh sb="53" eb="54">
      <t>トウ</t>
    </rPh>
    <phoneticPr fontId="6"/>
  </si>
  <si>
    <t>使用されているか不明。</t>
    <rPh sb="0" eb="2">
      <t>シヨウ</t>
    </rPh>
    <rPh sb="8" eb="10">
      <t>フメイ</t>
    </rPh>
    <phoneticPr fontId="6"/>
  </si>
  <si>
    <t>検査グループをまたがったチェックが出来ないという問題点有り。</t>
    <phoneticPr fontId="6"/>
  </si>
  <si>
    <t>使用状況</t>
    <rPh sb="0" eb="2">
      <t>シヨウ</t>
    </rPh>
    <rPh sb="2" eb="4">
      <t>ジョウキョウ</t>
    </rPh>
    <phoneticPr fontId="6"/>
  </si>
  <si>
    <t>一応、登録されているが、未使用だと思われる。</t>
    <rPh sb="0" eb="2">
      <t>イチオウ</t>
    </rPh>
    <rPh sb="3" eb="5">
      <t>トウロク</t>
    </rPh>
    <rPh sb="12" eb="15">
      <t>ミシヨウ</t>
    </rPh>
    <rPh sb="17" eb="18">
      <t>オモ</t>
    </rPh>
    <phoneticPr fontId="6"/>
  </si>
  <si>
    <t>WS出力画面で参照している。
新規の検査グループを登録する際に追加する。</t>
    <rPh sb="2" eb="4">
      <t>シュツリョク</t>
    </rPh>
    <rPh sb="4" eb="6">
      <t>ガメン</t>
    </rPh>
    <rPh sb="7" eb="9">
      <t>サンショウ</t>
    </rPh>
    <phoneticPr fontId="6"/>
  </si>
  <si>
    <t>過去分参照、及び、X-R管理図出力に使用するコントロールマスタ。
検査が管理している。</t>
    <rPh sb="0" eb="2">
      <t>カコ</t>
    </rPh>
    <rPh sb="2" eb="3">
      <t>ブン</t>
    </rPh>
    <rPh sb="3" eb="5">
      <t>サンショウ</t>
    </rPh>
    <rPh sb="6" eb="7">
      <t>オヨ</t>
    </rPh>
    <rPh sb="12" eb="14">
      <t>カンリ</t>
    </rPh>
    <rPh sb="14" eb="15">
      <t>ズ</t>
    </rPh>
    <rPh sb="15" eb="17">
      <t>シュツリョク</t>
    </rPh>
    <rPh sb="18" eb="20">
      <t>シヨウ</t>
    </rPh>
    <rPh sb="33" eb="35">
      <t>ケンサ</t>
    </rPh>
    <rPh sb="36" eb="38">
      <t>カンリ</t>
    </rPh>
    <phoneticPr fontId="6"/>
  </si>
  <si>
    <t>新規項目を登録する際に追加されることがある。
使用されるのはほぼ展開処理のみだが、重要マスタの一つ。</t>
    <rPh sb="23" eb="25">
      <t>シヨウ</t>
    </rPh>
    <rPh sb="32" eb="34">
      <t>テンカイ</t>
    </rPh>
    <rPh sb="34" eb="36">
      <t>ショリ</t>
    </rPh>
    <rPh sb="41" eb="43">
      <t>ジュウヨウ</t>
    </rPh>
    <rPh sb="47" eb="48">
      <t>ヒト</t>
    </rPh>
    <phoneticPr fontId="6"/>
  </si>
  <si>
    <t>各項目ごとに設定してされているが、ルールが良く分からない。
新しい項目を設定する際も他の項目の設定を適当にコピーしている。
今のところは問題は起きてない。</t>
    <rPh sb="0" eb="1">
      <t>カク</t>
    </rPh>
    <rPh sb="1" eb="3">
      <t>コウモク</t>
    </rPh>
    <rPh sb="6" eb="8">
      <t>セッテイ</t>
    </rPh>
    <rPh sb="21" eb="22">
      <t>ヨ</t>
    </rPh>
    <rPh sb="23" eb="24">
      <t>ワ</t>
    </rPh>
    <rPh sb="30" eb="31">
      <t>アタラ</t>
    </rPh>
    <rPh sb="33" eb="35">
      <t>コウモク</t>
    </rPh>
    <rPh sb="36" eb="38">
      <t>セッテイ</t>
    </rPh>
    <rPh sb="40" eb="41">
      <t>サイ</t>
    </rPh>
    <rPh sb="42" eb="43">
      <t>ホカ</t>
    </rPh>
    <rPh sb="44" eb="46">
      <t>コウモク</t>
    </rPh>
    <rPh sb="47" eb="49">
      <t>セッテイ</t>
    </rPh>
    <rPh sb="50" eb="52">
      <t>テキトウ</t>
    </rPh>
    <rPh sb="62" eb="63">
      <t>イマ</t>
    </rPh>
    <rPh sb="68" eb="70">
      <t>モンダイ</t>
    </rPh>
    <rPh sb="71" eb="72">
      <t>オ</t>
    </rPh>
    <phoneticPr fontId="6"/>
  </si>
  <si>
    <t>検査にて管理されている。
新規の測定項目を追加する際に忘れずに追加してもらうこと。</t>
    <rPh sb="0" eb="2">
      <t>ケンサ</t>
    </rPh>
    <rPh sb="4" eb="6">
      <t>カンリ</t>
    </rPh>
    <rPh sb="13" eb="15">
      <t>シンキ</t>
    </rPh>
    <rPh sb="16" eb="18">
      <t>ソクテイ</t>
    </rPh>
    <rPh sb="18" eb="20">
      <t>コウモク</t>
    </rPh>
    <rPh sb="21" eb="23">
      <t>ツイカ</t>
    </rPh>
    <rPh sb="25" eb="26">
      <t>サイ</t>
    </rPh>
    <rPh sb="27" eb="28">
      <t>ワス</t>
    </rPh>
    <rPh sb="31" eb="33">
      <t>ツイカ</t>
    </rPh>
    <phoneticPr fontId="6"/>
  </si>
  <si>
    <t>一応、登録されているが、未管理。
参照しているプログラムはあるがまともに機能していないと思われる。</t>
    <rPh sb="0" eb="2">
      <t>イチオウ</t>
    </rPh>
    <rPh sb="3" eb="5">
      <t>トウロク</t>
    </rPh>
    <rPh sb="12" eb="15">
      <t>ミカンリ</t>
    </rPh>
    <rPh sb="17" eb="19">
      <t>サンショウ</t>
    </rPh>
    <rPh sb="36" eb="38">
      <t>キノウ</t>
    </rPh>
    <rPh sb="44" eb="45">
      <t>オモ</t>
    </rPh>
    <phoneticPr fontId="6"/>
  </si>
  <si>
    <t>ログインする際に使用。登録用のシェルがあるので、依頼があったら都度登録している。</t>
    <rPh sb="6" eb="7">
      <t>サイ</t>
    </rPh>
    <rPh sb="8" eb="10">
      <t>シヨウ</t>
    </rPh>
    <rPh sb="11" eb="14">
      <t>トウロクヨウ</t>
    </rPh>
    <rPh sb="24" eb="26">
      <t>イライ</t>
    </rPh>
    <rPh sb="31" eb="33">
      <t>ツド</t>
    </rPh>
    <rPh sb="33" eb="35">
      <t>トウロク</t>
    </rPh>
    <phoneticPr fontId="6"/>
  </si>
  <si>
    <t>履歴チェックの際に使用。新規項目を登録する際に追加されることがある。
履歴チェック画面以外では使用されていないと思われるが、重要マスタの一つ。</t>
    <rPh sb="0" eb="2">
      <t>リレキ</t>
    </rPh>
    <rPh sb="7" eb="8">
      <t>サイ</t>
    </rPh>
    <rPh sb="9" eb="11">
      <t>シヨウ</t>
    </rPh>
    <rPh sb="12" eb="14">
      <t>シンキ</t>
    </rPh>
    <rPh sb="14" eb="16">
      <t>コウモク</t>
    </rPh>
    <rPh sb="17" eb="19">
      <t>トウロク</t>
    </rPh>
    <rPh sb="21" eb="22">
      <t>サイ</t>
    </rPh>
    <rPh sb="23" eb="25">
      <t>ツイカ</t>
    </rPh>
    <rPh sb="35" eb="37">
      <t>リレキ</t>
    </rPh>
    <rPh sb="41" eb="43">
      <t>ガメン</t>
    </rPh>
    <rPh sb="43" eb="45">
      <t>イガイ</t>
    </rPh>
    <rPh sb="47" eb="49">
      <t>シヨウ</t>
    </rPh>
    <rPh sb="56" eb="57">
      <t>オモ</t>
    </rPh>
    <rPh sb="62" eb="64">
      <t>ジュウヨウ</t>
    </rPh>
    <rPh sb="68" eb="69">
      <t>ヒト</t>
    </rPh>
    <phoneticPr fontId="6"/>
  </si>
  <si>
    <t>日設へ送るファイルの作成ディレクトリを制御するのに使われる。
新規の検査グループを登録する際に追加する。</t>
    <phoneticPr fontId="6"/>
  </si>
  <si>
    <t>初期に登録されて以来、変更したことがない。参照しているのか不明。</t>
    <rPh sb="0" eb="2">
      <t>ショキ</t>
    </rPh>
    <rPh sb="3" eb="5">
      <t>トウロク</t>
    </rPh>
    <rPh sb="8" eb="10">
      <t>イライ</t>
    </rPh>
    <rPh sb="11" eb="13">
      <t>ヘンコウ</t>
    </rPh>
    <rPh sb="21" eb="23">
      <t>サンショウ</t>
    </rPh>
    <rPh sb="29" eb="31">
      <t>フメイ</t>
    </rPh>
    <phoneticPr fontId="6"/>
  </si>
  <si>
    <t>初期の登録されて以来、変更したことがない。参照しているのか不明。</t>
    <rPh sb="0" eb="2">
      <t>ショキ</t>
    </rPh>
    <rPh sb="3" eb="5">
      <t>トウロク</t>
    </rPh>
    <rPh sb="8" eb="10">
      <t>イライ</t>
    </rPh>
    <rPh sb="11" eb="13">
      <t>ヘンコウ</t>
    </rPh>
    <phoneticPr fontId="6"/>
  </si>
  <si>
    <t>分析機を追加する際に追加する。
いくつかの画面で参照されている模様。</t>
    <rPh sb="0" eb="2">
      <t>ブンセキ</t>
    </rPh>
    <rPh sb="2" eb="3">
      <t>キ</t>
    </rPh>
    <rPh sb="4" eb="6">
      <t>ツイカ</t>
    </rPh>
    <rPh sb="8" eb="9">
      <t>サイ</t>
    </rPh>
    <rPh sb="10" eb="12">
      <t>ツイカ</t>
    </rPh>
    <rPh sb="21" eb="23">
      <t>ガメン</t>
    </rPh>
    <rPh sb="24" eb="26">
      <t>サンショウ</t>
    </rPh>
    <rPh sb="31" eb="33">
      <t>モヨウ</t>
    </rPh>
    <phoneticPr fontId="6"/>
  </si>
  <si>
    <t>分析機への測定項目が増える際に追加される。
設定が合っていないとオンラインが出来ない。重要マスタの一つ。</t>
    <rPh sb="0" eb="2">
      <t>ブンセキ</t>
    </rPh>
    <rPh sb="2" eb="3">
      <t>キ</t>
    </rPh>
    <rPh sb="5" eb="7">
      <t>ソクテイ</t>
    </rPh>
    <rPh sb="7" eb="9">
      <t>コウモク</t>
    </rPh>
    <rPh sb="10" eb="11">
      <t>フ</t>
    </rPh>
    <rPh sb="13" eb="14">
      <t>サイ</t>
    </rPh>
    <rPh sb="15" eb="17">
      <t>ツイカ</t>
    </rPh>
    <rPh sb="22" eb="24">
      <t>セッテイ</t>
    </rPh>
    <rPh sb="25" eb="26">
      <t>ア</t>
    </rPh>
    <rPh sb="38" eb="40">
      <t>デキ</t>
    </rPh>
    <rPh sb="43" eb="45">
      <t>ジュウヨウ</t>
    </rPh>
    <rPh sb="49" eb="50">
      <t>ヒト</t>
    </rPh>
    <phoneticPr fontId="6"/>
  </si>
  <si>
    <t>新規項目を登録する際や、施設別の対応依頼があった場合に追加されることがある。
以下未満や定量定性変換等に使用される。重要マスタの一つ。</t>
    <rPh sb="12" eb="14">
      <t>シセツ</t>
    </rPh>
    <rPh sb="14" eb="15">
      <t>ベツ</t>
    </rPh>
    <rPh sb="16" eb="18">
      <t>タイオウ</t>
    </rPh>
    <rPh sb="18" eb="20">
      <t>イライ</t>
    </rPh>
    <rPh sb="24" eb="26">
      <t>バアイ</t>
    </rPh>
    <rPh sb="39" eb="41">
      <t>イカ</t>
    </rPh>
    <rPh sb="41" eb="43">
      <t>ミマン</t>
    </rPh>
    <rPh sb="44" eb="46">
      <t>テイリョウ</t>
    </rPh>
    <rPh sb="46" eb="48">
      <t>テイセイ</t>
    </rPh>
    <rPh sb="48" eb="50">
      <t>ヘンカン</t>
    </rPh>
    <rPh sb="50" eb="51">
      <t>ナド</t>
    </rPh>
    <rPh sb="52" eb="54">
      <t>シヨウ</t>
    </rPh>
    <rPh sb="58" eb="60">
      <t>ジュウヨウ</t>
    </rPh>
    <rPh sb="64" eb="65">
      <t>ヒト</t>
    </rPh>
    <phoneticPr fontId="6"/>
  </si>
  <si>
    <t>ユーザーマスタの登録の際に一緒に登録する必要がある。
忘れるとログインできない。設定は固定としている。各権限フラグが正常に動作するかは不明。</t>
    <rPh sb="8" eb="10">
      <t>トウロク</t>
    </rPh>
    <rPh sb="11" eb="12">
      <t>サイ</t>
    </rPh>
    <rPh sb="13" eb="15">
      <t>イッショ</t>
    </rPh>
    <rPh sb="16" eb="18">
      <t>トウロク</t>
    </rPh>
    <rPh sb="20" eb="22">
      <t>ヒツヨウ</t>
    </rPh>
    <rPh sb="27" eb="28">
      <t>ワス</t>
    </rPh>
    <rPh sb="40" eb="42">
      <t>セッテイ</t>
    </rPh>
    <rPh sb="43" eb="45">
      <t>コテイ</t>
    </rPh>
    <rPh sb="51" eb="52">
      <t>カク</t>
    </rPh>
    <rPh sb="52" eb="54">
      <t>ケンゲン</t>
    </rPh>
    <rPh sb="58" eb="60">
      <t>セイジョウ</t>
    </rPh>
    <rPh sb="61" eb="63">
      <t>ドウサ</t>
    </rPh>
    <rPh sb="67" eb="69">
      <t>フメイ</t>
    </rPh>
    <phoneticPr fontId="6"/>
  </si>
  <si>
    <t>検査サテライトで設定する検査項目のグループに対する情報を設定する。
また、ワークシート作成方法、SEQ順番などを定義する。</t>
    <rPh sb="0" eb="2">
      <t>ケンサ</t>
    </rPh>
    <rPh sb="8" eb="10">
      <t>セッテイ</t>
    </rPh>
    <rPh sb="12" eb="14">
      <t>ケンサ</t>
    </rPh>
    <rPh sb="14" eb="16">
      <t>コウモク</t>
    </rPh>
    <rPh sb="22" eb="23">
      <t>タイ</t>
    </rPh>
    <rPh sb="25" eb="27">
      <t>ジョウホウ</t>
    </rPh>
    <rPh sb="28" eb="30">
      <t>セッテイ</t>
    </rPh>
    <rPh sb="43" eb="45">
      <t>サクセイ</t>
    </rPh>
    <rPh sb="45" eb="47">
      <t>ホウホウ</t>
    </rPh>
    <rPh sb="51" eb="53">
      <t>ジュンバン</t>
    </rPh>
    <rPh sb="56" eb="58">
      <t>テイギ</t>
    </rPh>
    <phoneticPr fontId="6"/>
  </si>
  <si>
    <t>関連チェックで使用されるマスタ。
該当項目が再検の場合、マスタに登録されている関連項目コードもあわせて再検にする。</t>
    <rPh sb="32" eb="34">
      <t>トウロク</t>
    </rPh>
    <phoneticPr fontId="6"/>
  </si>
  <si>
    <t>WSごとに分注量を設定している。表示に使用しているのみ。
新規の検査グループを登録する際に追加する。</t>
    <rPh sb="5" eb="6">
      <t>ブン</t>
    </rPh>
    <rPh sb="6" eb="7">
      <t>チュウ</t>
    </rPh>
    <rPh sb="7" eb="8">
      <t>リョウ</t>
    </rPh>
    <rPh sb="9" eb="11">
      <t>セッテイ</t>
    </rPh>
    <rPh sb="16" eb="18">
      <t>ヒョウジ</t>
    </rPh>
    <rPh sb="19" eb="21">
      <t>シヨウ</t>
    </rPh>
    <phoneticPr fontId="6"/>
  </si>
  <si>
    <t>新規の計算項目を登録する際に追加される。
オンラインや入力画面等、さまざまな処理で参照される重要マスタの一つ。</t>
    <rPh sb="3" eb="5">
      <t>ケイサン</t>
    </rPh>
    <rPh sb="5" eb="7">
      <t>コウモク</t>
    </rPh>
    <phoneticPr fontId="6"/>
  </si>
  <si>
    <t>計算項目と計算式を定義する。</t>
    <rPh sb="9" eb="11">
      <t>テイギ</t>
    </rPh>
    <phoneticPr fontId="6"/>
  </si>
  <si>
    <t>分析機＋内部項目コード＋コントロール種別単位に精度管理情報を設定する。</t>
    <rPh sb="0" eb="2">
      <t>ブンセキ</t>
    </rPh>
    <rPh sb="2" eb="3">
      <t>キ</t>
    </rPh>
    <rPh sb="4" eb="6">
      <t>ナイブ</t>
    </rPh>
    <rPh sb="6" eb="8">
      <t>コウモク</t>
    </rPh>
    <rPh sb="18" eb="20">
      <t>シュベツ</t>
    </rPh>
    <phoneticPr fontId="6"/>
  </si>
  <si>
    <t>項目コード、材料別の基準値範囲を、項目コード、年齢範囲別に設定する。
ホストと差分があると誤報告につながるので注意すること。</t>
    <phoneticPr fontId="6"/>
  </si>
  <si>
    <t>ホストの基準値マスタに変更があった場合に、合わせて登録する。
オンラインや入力画面等、さまざまな処理で参照される重要マスタの一つ。</t>
    <rPh sb="4" eb="6">
      <t>キジュン</t>
    </rPh>
    <rPh sb="6" eb="7">
      <t>チ</t>
    </rPh>
    <rPh sb="11" eb="13">
      <t>ヘンコウ</t>
    </rPh>
    <rPh sb="17" eb="19">
      <t>バアイ</t>
    </rPh>
    <rPh sb="21" eb="22">
      <t>ア</t>
    </rPh>
    <rPh sb="25" eb="27">
      <t>トウロク</t>
    </rPh>
    <rPh sb="37" eb="39">
      <t>ニュウリョク</t>
    </rPh>
    <rPh sb="39" eb="41">
      <t>ガメン</t>
    </rPh>
    <rPh sb="41" eb="42">
      <t>ナド</t>
    </rPh>
    <rPh sb="48" eb="50">
      <t>ショリ</t>
    </rPh>
    <rPh sb="51" eb="53">
      <t>サンショウ</t>
    </rPh>
    <phoneticPr fontId="6"/>
  </si>
  <si>
    <t>新規項目を登録する際に追加する。
各項目の基本的な情報が定義されている重要マスタの一つ。</t>
    <rPh sb="17" eb="20">
      <t>カクコウモク</t>
    </rPh>
    <rPh sb="21" eb="24">
      <t>キホンテキ</t>
    </rPh>
    <rPh sb="25" eb="27">
      <t>ジョウホウ</t>
    </rPh>
    <rPh sb="28" eb="30">
      <t>テイギ</t>
    </rPh>
    <rPh sb="35" eb="37">
      <t>ジュウヨウ</t>
    </rPh>
    <rPh sb="41" eb="42">
      <t>ヒト</t>
    </rPh>
    <phoneticPr fontId="6"/>
  </si>
  <si>
    <t>新規検査グループを登録する際に追加する。
各検査グループの基本的な情報が定義されている重要マスタの一つ。</t>
    <rPh sb="2" eb="4">
      <t>ケンサ</t>
    </rPh>
    <rPh sb="22" eb="24">
      <t>ケンサ</t>
    </rPh>
    <phoneticPr fontId="6"/>
  </si>
  <si>
    <t>新規項目を登録する際に追加されることがある。
オンラインや入力画面等、さまざまな処理で参照される重要マスタの一つ。</t>
    <phoneticPr fontId="6"/>
  </si>
  <si>
    <t>ZSLINEMST</t>
    <phoneticPr fontId="6"/>
  </si>
  <si>
    <t>ZS050で測定される検査グループが登録された場合に追加される。
登録を忘れるとZS050のラインへ投入できなくなる。</t>
    <rPh sb="6" eb="8">
      <t>ソクテイ</t>
    </rPh>
    <rPh sb="11" eb="13">
      <t>ケンサ</t>
    </rPh>
    <rPh sb="18" eb="20">
      <t>トウロク</t>
    </rPh>
    <rPh sb="23" eb="25">
      <t>バアイ</t>
    </rPh>
    <rPh sb="26" eb="28">
      <t>ツイカ</t>
    </rPh>
    <rPh sb="33" eb="35">
      <t>トウロク</t>
    </rPh>
    <rPh sb="36" eb="37">
      <t>ワス</t>
    </rPh>
    <rPh sb="50" eb="52">
      <t>トウニュウ</t>
    </rPh>
    <phoneticPr fontId="6"/>
  </si>
  <si>
    <t>ZS050のラインへ投入するWSを設定する。ライン1，2のどちらへ投入するか制御するのに使用する。</t>
    <rPh sb="10" eb="12">
      <t>トウニュウ</t>
    </rPh>
    <rPh sb="17" eb="19">
      <t>セッテイ</t>
    </rPh>
    <rPh sb="33" eb="35">
      <t>トウニュウ</t>
    </rPh>
    <rPh sb="38" eb="40">
      <t>セイギョ</t>
    </rPh>
    <rPh sb="44" eb="46">
      <t>シヨウ</t>
    </rPh>
    <phoneticPr fontId="6"/>
  </si>
  <si>
    <t>LTFKKMKMST</t>
    <phoneticPr fontId="6"/>
  </si>
  <si>
    <t>LTFKSSTMST</t>
  </si>
  <si>
    <t>使用されているようだが、詳細は不明。現在は未整備</t>
    <rPh sb="0" eb="2">
      <t>シヨウ</t>
    </rPh>
    <rPh sb="12" eb="14">
      <t>ショウサイ</t>
    </rPh>
    <rPh sb="15" eb="17">
      <t>フメイ</t>
    </rPh>
    <rPh sb="18" eb="20">
      <t>ゲンザイ</t>
    </rPh>
    <rPh sb="21" eb="24">
      <t>ミセイビ</t>
    </rPh>
    <phoneticPr fontId="6"/>
  </si>
  <si>
    <t>HST_KJNMST</t>
    <phoneticPr fontId="6"/>
  </si>
  <si>
    <t>過去分のヒストグラム出力用の基準値マスタ。
基準値マスタを追加する際に一緒に追加される。</t>
    <rPh sb="0" eb="2">
      <t>カコ</t>
    </rPh>
    <rPh sb="2" eb="3">
      <t>ブン</t>
    </rPh>
    <rPh sb="10" eb="12">
      <t>シュツリョク</t>
    </rPh>
    <rPh sb="12" eb="13">
      <t>ヨウ</t>
    </rPh>
    <rPh sb="14" eb="16">
      <t>キジュン</t>
    </rPh>
    <rPh sb="16" eb="17">
      <t>チ</t>
    </rPh>
    <rPh sb="22" eb="24">
      <t>キジュン</t>
    </rPh>
    <rPh sb="24" eb="25">
      <t>チ</t>
    </rPh>
    <rPh sb="29" eb="31">
      <t>ツイカ</t>
    </rPh>
    <rPh sb="33" eb="34">
      <t>サイ</t>
    </rPh>
    <rPh sb="35" eb="37">
      <t>イッショ</t>
    </rPh>
    <rPh sb="38" eb="40">
      <t>ツイカ</t>
    </rPh>
    <phoneticPr fontId="6"/>
  </si>
  <si>
    <t>テーブル定義は基準値マスタと全く同じある。</t>
    <rPh sb="4" eb="6">
      <t>テイギ</t>
    </rPh>
    <rPh sb="7" eb="9">
      <t>キジュン</t>
    </rPh>
    <rPh sb="9" eb="10">
      <t>チ</t>
    </rPh>
    <rPh sb="14" eb="15">
      <t>マッタ</t>
    </rPh>
    <rPh sb="16" eb="17">
      <t>オナ</t>
    </rPh>
    <phoneticPr fontId="6"/>
  </si>
  <si>
    <t>CALCSYSMST</t>
  </si>
  <si>
    <t>CHKZOKMST</t>
  </si>
  <si>
    <t>CHKZOKMST</t>
    <phoneticPr fontId="6"/>
  </si>
  <si>
    <t>定義は計算項目とほとんど同じだが、いくつか相違点が存在する。
通常の計算マスタとは分けて管理するために別になっている。</t>
    <rPh sb="0" eb="2">
      <t>テイギ</t>
    </rPh>
    <rPh sb="3" eb="5">
      <t>ケイサン</t>
    </rPh>
    <rPh sb="5" eb="7">
      <t>コウモク</t>
    </rPh>
    <rPh sb="12" eb="13">
      <t>オナ</t>
    </rPh>
    <rPh sb="21" eb="24">
      <t>ソウイテン</t>
    </rPh>
    <rPh sb="25" eb="27">
      <t>ソンザイ</t>
    </rPh>
    <phoneticPr fontId="6"/>
  </si>
  <si>
    <t>属性エラーチェックを行う際に使用。
属性エラーチェック、他サテライト間計算関連のプログラムでいくつか参照されている。</t>
    <rPh sb="0" eb="2">
      <t>ゾクセイ</t>
    </rPh>
    <rPh sb="10" eb="11">
      <t>オコナ</t>
    </rPh>
    <rPh sb="12" eb="13">
      <t>サイ</t>
    </rPh>
    <rPh sb="14" eb="16">
      <t>シヨウ</t>
    </rPh>
    <rPh sb="18" eb="20">
      <t>ゾクセイ</t>
    </rPh>
    <rPh sb="28" eb="29">
      <t>タ</t>
    </rPh>
    <rPh sb="34" eb="35">
      <t>カン</t>
    </rPh>
    <rPh sb="35" eb="37">
      <t>ケイサン</t>
    </rPh>
    <rPh sb="37" eb="39">
      <t>カンレン</t>
    </rPh>
    <rPh sb="50" eb="52">
      <t>サンショウ</t>
    </rPh>
    <phoneticPr fontId="6"/>
  </si>
  <si>
    <t>属性エラーチェックを行う項目と、チェックを行う属性を定義している。</t>
    <rPh sb="0" eb="2">
      <t>ゾクセイ</t>
    </rPh>
    <rPh sb="10" eb="11">
      <t>オコナ</t>
    </rPh>
    <rPh sb="12" eb="14">
      <t>コウモク</t>
    </rPh>
    <rPh sb="21" eb="22">
      <t>オコナ</t>
    </rPh>
    <rPh sb="23" eb="25">
      <t>ゾクセイ</t>
    </rPh>
    <rPh sb="26" eb="28">
      <t>テイギ</t>
    </rPh>
    <phoneticPr fontId="6"/>
  </si>
  <si>
    <t>GETSYSKKAMST</t>
  </si>
  <si>
    <t>GETSYSKKAMST</t>
    <phoneticPr fontId="6"/>
  </si>
  <si>
    <t>他サテライトから計算元項目取得処理に使用。
他サテライト結果要求カード作成以外で参照しているプログラムはないはず。</t>
    <rPh sb="0" eb="1">
      <t>タ</t>
    </rPh>
    <rPh sb="8" eb="11">
      <t>ケイサンモト</t>
    </rPh>
    <rPh sb="11" eb="13">
      <t>コウモク</t>
    </rPh>
    <rPh sb="13" eb="15">
      <t>シュトク</t>
    </rPh>
    <rPh sb="15" eb="17">
      <t>ショリ</t>
    </rPh>
    <rPh sb="18" eb="20">
      <t>シヨウ</t>
    </rPh>
    <rPh sb="22" eb="23">
      <t>ホカ</t>
    </rPh>
    <rPh sb="28" eb="30">
      <t>ケッカ</t>
    </rPh>
    <rPh sb="30" eb="32">
      <t>ヨウキュウ</t>
    </rPh>
    <rPh sb="35" eb="37">
      <t>サクセイ</t>
    </rPh>
    <rPh sb="37" eb="39">
      <t>イガイ</t>
    </rPh>
    <rPh sb="40" eb="42">
      <t>サンショウ</t>
    </rPh>
    <phoneticPr fontId="6"/>
  </si>
  <si>
    <t>CALCSYSMST</t>
    <phoneticPr fontId="6"/>
  </si>
  <si>
    <t>KKACONVMST</t>
    <phoneticPr fontId="6"/>
  </si>
  <si>
    <t>報告処理で参照している。
現状は推算GFRで18歳未満の場合に自動でコメント変換する際に使用しているのみ。</t>
    <rPh sb="0" eb="2">
      <t>ホウコク</t>
    </rPh>
    <rPh sb="2" eb="4">
      <t>ショリ</t>
    </rPh>
    <rPh sb="5" eb="7">
      <t>サンショウ</t>
    </rPh>
    <rPh sb="13" eb="15">
      <t>ゲンジョウ</t>
    </rPh>
    <phoneticPr fontId="6"/>
  </si>
  <si>
    <t>報告処理にて結果の自動変換を行う項目と、変換する際の条件（属性）、変換後の値を設定している。
変換の際に基準値を設定できなさそうな感じが不安である。追加する場合は要テスト。</t>
    <rPh sb="0" eb="2">
      <t>ホウコク</t>
    </rPh>
    <rPh sb="2" eb="4">
      <t>ショリ</t>
    </rPh>
    <rPh sb="6" eb="8">
      <t>ケッカ</t>
    </rPh>
    <rPh sb="9" eb="11">
      <t>ジドウ</t>
    </rPh>
    <rPh sb="11" eb="13">
      <t>ヘンカン</t>
    </rPh>
    <rPh sb="14" eb="15">
      <t>オコナ</t>
    </rPh>
    <rPh sb="16" eb="18">
      <t>コウモク</t>
    </rPh>
    <rPh sb="20" eb="22">
      <t>ヘンカン</t>
    </rPh>
    <rPh sb="24" eb="25">
      <t>サイ</t>
    </rPh>
    <rPh sb="26" eb="28">
      <t>ジョウケン</t>
    </rPh>
    <rPh sb="29" eb="31">
      <t>ゾクセイ</t>
    </rPh>
    <rPh sb="33" eb="35">
      <t>ヘンカン</t>
    </rPh>
    <rPh sb="35" eb="36">
      <t>ゴ</t>
    </rPh>
    <rPh sb="37" eb="38">
      <t>アタイ</t>
    </rPh>
    <rPh sb="39" eb="41">
      <t>セッテイ</t>
    </rPh>
    <rPh sb="47" eb="49">
      <t>ヘンカン</t>
    </rPh>
    <rPh sb="50" eb="51">
      <t>サイ</t>
    </rPh>
    <rPh sb="52" eb="54">
      <t>キジュン</t>
    </rPh>
    <rPh sb="54" eb="55">
      <t>チ</t>
    </rPh>
    <rPh sb="56" eb="58">
      <t>セッテイ</t>
    </rPh>
    <rPh sb="65" eb="66">
      <t>カン</t>
    </rPh>
    <rPh sb="68" eb="70">
      <t>フアン</t>
    </rPh>
    <rPh sb="74" eb="76">
      <t>ツイカ</t>
    </rPh>
    <rPh sb="78" eb="80">
      <t>バアイ</t>
    </rPh>
    <rPh sb="81" eb="82">
      <t>ヨウ</t>
    </rPh>
    <phoneticPr fontId="6"/>
  </si>
  <si>
    <t>他サテライト間の計算を行う際に使用。
他サテライト間計算のプログラム以外は参照していないはず。</t>
    <rPh sb="0" eb="1">
      <t>タ</t>
    </rPh>
    <rPh sb="6" eb="7">
      <t>カン</t>
    </rPh>
    <rPh sb="8" eb="10">
      <t>ケイサン</t>
    </rPh>
    <rPh sb="11" eb="12">
      <t>オコナ</t>
    </rPh>
    <rPh sb="13" eb="14">
      <t>サイ</t>
    </rPh>
    <rPh sb="15" eb="17">
      <t>シヨウ</t>
    </rPh>
    <rPh sb="19" eb="20">
      <t>タ</t>
    </rPh>
    <rPh sb="25" eb="26">
      <t>カン</t>
    </rPh>
    <rPh sb="26" eb="28">
      <t>ケイサン</t>
    </rPh>
    <rPh sb="34" eb="36">
      <t>イガイ</t>
    </rPh>
    <rPh sb="37" eb="39">
      <t>サンショウ</t>
    </rPh>
    <phoneticPr fontId="6"/>
  </si>
  <si>
    <t>他サテライトの結果を必要とする項目と要求する項目を定義している。
CALCSYSMSTで定義されている計算項目のみが対象で、計算元項目は全て登録すること。</t>
    <rPh sb="0" eb="1">
      <t>タ</t>
    </rPh>
    <rPh sb="7" eb="9">
      <t>ケッカ</t>
    </rPh>
    <rPh sb="10" eb="12">
      <t>ヒツヨウ</t>
    </rPh>
    <rPh sb="15" eb="17">
      <t>コウモク</t>
    </rPh>
    <rPh sb="18" eb="20">
      <t>ヨウキュウ</t>
    </rPh>
    <rPh sb="22" eb="24">
      <t>コウモク</t>
    </rPh>
    <rPh sb="25" eb="27">
      <t>テイギ</t>
    </rPh>
    <rPh sb="44" eb="46">
      <t>テイギ</t>
    </rPh>
    <rPh sb="51" eb="53">
      <t>ケイサン</t>
    </rPh>
    <rPh sb="53" eb="55">
      <t>コウモク</t>
    </rPh>
    <rPh sb="58" eb="60">
      <t>タイショウ</t>
    </rPh>
    <rPh sb="62" eb="64">
      <t>ケイサン</t>
    </rPh>
    <rPh sb="64" eb="65">
      <t>モト</t>
    </rPh>
    <rPh sb="65" eb="67">
      <t>コウモク</t>
    </rPh>
    <rPh sb="68" eb="69">
      <t>スベ</t>
    </rPh>
    <rPh sb="70" eb="72">
      <t>トウロク</t>
    </rPh>
    <phoneticPr fontId="6"/>
  </si>
  <si>
    <t>ドキュメント</t>
  </si>
  <si>
    <t>テーブル名</t>
  </si>
  <si>
    <t>年月日</t>
  </si>
  <si>
    <t>作成者</t>
  </si>
  <si>
    <t>システム間計算マスタ</t>
  </si>
  <si>
    <t>項目数</t>
  </si>
  <si>
    <t>作成</t>
  </si>
  <si>
    <t>関家</t>
  </si>
  <si>
    <t>PK・必須</t>
  </si>
  <si>
    <t>データ型</t>
  </si>
  <si>
    <t>テーブル定義書</t>
  </si>
  <si>
    <t>レコード長</t>
  </si>
  <si>
    <t>修正</t>
  </si>
  <si>
    <t>○</t>
  </si>
  <si>
    <t>No.</t>
  </si>
  <si>
    <t>列名</t>
  </si>
  <si>
    <t>属性</t>
  </si>
  <si>
    <t>キー</t>
  </si>
  <si>
    <t>備考</t>
  </si>
  <si>
    <t>VARCHAR</t>
  </si>
  <si>
    <t>論理名</t>
  </si>
  <si>
    <t>物理名</t>
  </si>
  <si>
    <t>桁数</t>
  </si>
  <si>
    <t>精度</t>
  </si>
  <si>
    <t>サイズ</t>
  </si>
  <si>
    <t>必須</t>
  </si>
  <si>
    <t>PK</t>
  </si>
  <si>
    <t>INDEX</t>
  </si>
  <si>
    <t>INTEGER</t>
  </si>
  <si>
    <t>DECIMAL</t>
  </si>
  <si>
    <t>KMKCD</t>
  </si>
  <si>
    <t>DATE</t>
  </si>
  <si>
    <t>施設コード</t>
  </si>
  <si>
    <t>SSTCD</t>
  </si>
  <si>
    <t>念のため、入れておいたが、機能としては未実装</t>
  </si>
  <si>
    <t>TIME</t>
  </si>
  <si>
    <t>材料コード</t>
  </si>
  <si>
    <t>TINYINT</t>
  </si>
  <si>
    <t>報告区分</t>
  </si>
  <si>
    <t>HKKBN</t>
  </si>
  <si>
    <t>0:通常報告
1:通常報告の翌日
計算処理は、分注ＥＮＤ後に稼動するため、翌日報告には未対応。</t>
  </si>
  <si>
    <t>計算式</t>
  </si>
  <si>
    <t>KSNSK</t>
  </si>
  <si>
    <t>計算式
　項目コードを[　]で囲みながら、四則演算式を記載
2006.02.02 べき数、log計算を追加
　自然対数：log(対象項目)
  10が底の対数：log10(対象項目)
  べき乗：pow(対象項目,乗数)
で表現する。
※これらの計算式は入力する値によってエラーが発生する可能性がある。注意が必要。
ロジック、設定方法は通常の計算項目マスタと同じ。</t>
  </si>
  <si>
    <t>KAIYMD</t>
  </si>
  <si>
    <t>レコードが開始された年月日</t>
  </si>
  <si>
    <t>廃止年月日</t>
  </si>
  <si>
    <t>HAIYMD</t>
  </si>
  <si>
    <t>レコードが廃止された年月日</t>
  </si>
  <si>
    <t>変更担当者ＩＤ</t>
  </si>
  <si>
    <t xml:space="preserve">HNKTNTID    </t>
  </si>
  <si>
    <t xml:space="preserve">                </t>
  </si>
  <si>
    <t>情報更新日時</t>
  </si>
  <si>
    <t>KSNDH</t>
  </si>
  <si>
    <t>TIMESTAMP</t>
  </si>
  <si>
    <t>変更履歴</t>
  </si>
  <si>
    <t>システム間結果要求マスタ</t>
  </si>
  <si>
    <t>要求項目コード</t>
  </si>
  <si>
    <t>YKKMKCD</t>
  </si>
  <si>
    <t>属性チェックマスタ</t>
  </si>
  <si>
    <t xml:space="preserve">身長 </t>
  </si>
  <si>
    <t>SCFLG</t>
  </si>
  <si>
    <t>0:チェック対象外
1:チェック対象</t>
  </si>
  <si>
    <t xml:space="preserve">体重 </t>
  </si>
  <si>
    <t>TJFLG</t>
  </si>
  <si>
    <t>体重区分</t>
  </si>
  <si>
    <t>TJTNIFLG</t>
  </si>
  <si>
    <t>性別区分</t>
  </si>
  <si>
    <t>SBTKBNFLG</t>
  </si>
  <si>
    <t xml:space="preserve">年齢 </t>
  </si>
  <si>
    <t>AGEFLG</t>
  </si>
  <si>
    <t>年齢区分</t>
  </si>
  <si>
    <t>AGEKBNFLG</t>
  </si>
  <si>
    <t>結果チェックの為のレンジを設定する。(高値低値再検、パニック、検査室パニック、照合ＮＧ判定)</t>
    <rPh sb="0" eb="2">
      <t>ケッカ</t>
    </rPh>
    <rPh sb="7" eb="8">
      <t>タメ</t>
    </rPh>
    <rPh sb="13" eb="15">
      <t>セッテイ</t>
    </rPh>
    <phoneticPr fontId="6"/>
  </si>
  <si>
    <t>新規項目を登録する際に追加する。参照しているプログラムはあるみたいだが、
何に使用されているのか良く分からない。一応管理されている。</t>
    <rPh sb="16" eb="18">
      <t>サンショウ</t>
    </rPh>
    <rPh sb="37" eb="38">
      <t>ナニ</t>
    </rPh>
    <rPh sb="39" eb="41">
      <t>シヨウ</t>
    </rPh>
    <rPh sb="48" eb="49">
      <t>ヨ</t>
    </rPh>
    <rPh sb="50" eb="51">
      <t>ワ</t>
    </rPh>
    <rPh sb="56" eb="58">
      <t>イチオウ</t>
    </rPh>
    <rPh sb="58" eb="60">
      <t>カンリ</t>
    </rPh>
    <phoneticPr fontId="6"/>
  </si>
  <si>
    <t>PRTCLMST</t>
    <phoneticPr fontId="6"/>
  </si>
  <si>
    <t>主キーやロジックが一項目一レコードにしか対応していない。
従って余り利用されていない。</t>
    <rPh sb="0" eb="1">
      <t>シュ</t>
    </rPh>
    <rPh sb="9" eb="12">
      <t>イチコウモク</t>
    </rPh>
    <rPh sb="12" eb="13">
      <t>イチ</t>
    </rPh>
    <rPh sb="20" eb="22">
      <t>タイオウ</t>
    </rPh>
    <rPh sb="29" eb="30">
      <t>シタガ</t>
    </rPh>
    <rPh sb="32" eb="33">
      <t>アマ</t>
    </rPh>
    <rPh sb="34" eb="36">
      <t>リヨウ</t>
    </rPh>
    <phoneticPr fontId="6"/>
  </si>
  <si>
    <t>相関チェックで使用されるマスタ。相関項目との計算値によって再検の判断を行う。
相関チェックでエラーとなった結果は報告不可となる。</t>
    <rPh sb="0" eb="2">
      <t>ソウカン</t>
    </rPh>
    <rPh sb="16" eb="18">
      <t>ソウカン</t>
    </rPh>
    <rPh sb="39" eb="41">
      <t>ソウカン</t>
    </rPh>
    <rPh sb="53" eb="55">
      <t>ケッカ</t>
    </rPh>
    <rPh sb="56" eb="58">
      <t>ホウコク</t>
    </rPh>
    <rPh sb="58" eb="60">
      <t>フカ</t>
    </rPh>
    <phoneticPr fontId="6"/>
  </si>
  <si>
    <t>ZSライン制御マスタ</t>
    <phoneticPr fontId="6"/>
  </si>
  <si>
    <t>測定ライン</t>
    <rPh sb="0" eb="2">
      <t>ソクテイ</t>
    </rPh>
    <phoneticPr fontId="6"/>
  </si>
  <si>
    <t>HNKTNTID</t>
    <phoneticPr fontId="6"/>
  </si>
  <si>
    <t>KAIYMD</t>
    <phoneticPr fontId="6"/>
  </si>
  <si>
    <t>LINE</t>
    <phoneticPr fontId="6"/>
  </si>
  <si>
    <t>HAIYMD</t>
    <phoneticPr fontId="6"/>
  </si>
  <si>
    <t>ZSLINEMST</t>
    <phoneticPr fontId="6"/>
  </si>
  <si>
    <t>文書管理番号：TO1-A00001-BD-003</t>
    <rPh sb="0" eb="2">
      <t>ブンショ</t>
    </rPh>
    <rPh sb="2" eb="4">
      <t>カンリ</t>
    </rPh>
    <rPh sb="4" eb="6">
      <t>バンゴウ</t>
    </rPh>
    <phoneticPr fontId="6"/>
  </si>
  <si>
    <t>水村</t>
    <rPh sb="0" eb="2">
      <t>ミズムラ</t>
    </rPh>
    <phoneticPr fontId="6"/>
  </si>
  <si>
    <t>VARCHAR</t>
    <phoneticPr fontId="6"/>
  </si>
  <si>
    <t>サイズ</t>
    <phoneticPr fontId="6"/>
  </si>
  <si>
    <t>PK</t>
    <phoneticPr fontId="6"/>
  </si>
  <si>
    <t>LT不可施設マスタ</t>
    <rPh sb="2" eb="4">
      <t>フカ</t>
    </rPh>
    <rPh sb="4" eb="6">
      <t>シセツ</t>
    </rPh>
    <phoneticPr fontId="6"/>
  </si>
  <si>
    <t>LTFKSSTMST</t>
    <phoneticPr fontId="6"/>
  </si>
  <si>
    <t>INDEX</t>
    <phoneticPr fontId="6"/>
  </si>
  <si>
    <t>INTEGER</t>
    <phoneticPr fontId="6"/>
  </si>
  <si>
    <t>ECD</t>
    <phoneticPr fontId="6"/>
  </si>
  <si>
    <t>CHAR</t>
    <phoneticPr fontId="6"/>
  </si>
  <si>
    <t>○</t>
    <phoneticPr fontId="6"/>
  </si>
  <si>
    <t>2</t>
    <phoneticPr fontId="6"/>
  </si>
  <si>
    <t>SMALLINT</t>
    <phoneticPr fontId="6"/>
  </si>
  <si>
    <t>SHCDFR</t>
    <phoneticPr fontId="6"/>
  </si>
  <si>
    <t>DECIMAL</t>
    <phoneticPr fontId="6"/>
  </si>
  <si>
    <t>SHCDTO</t>
    <phoneticPr fontId="6"/>
  </si>
  <si>
    <t>CHAR</t>
    <phoneticPr fontId="6"/>
  </si>
  <si>
    <t>○</t>
    <phoneticPr fontId="6"/>
  </si>
  <si>
    <t>2</t>
    <phoneticPr fontId="6"/>
  </si>
  <si>
    <t>DECIMAL</t>
    <phoneticPr fontId="6"/>
  </si>
  <si>
    <t>SSTCD</t>
    <phoneticPr fontId="6"/>
  </si>
  <si>
    <t>0000000の場合はALL指定とする</t>
    <rPh sb="8" eb="10">
      <t>バアイ</t>
    </rPh>
    <rPh sb="14" eb="16">
      <t>シテイ</t>
    </rPh>
    <phoneticPr fontId="6"/>
  </si>
  <si>
    <t>DATE</t>
    <phoneticPr fontId="6"/>
  </si>
  <si>
    <t>KSNDH</t>
    <phoneticPr fontId="6"/>
  </si>
  <si>
    <t>TIMESTAMP</t>
    <phoneticPr fontId="6"/>
  </si>
  <si>
    <t>○</t>
    <phoneticPr fontId="6"/>
  </si>
  <si>
    <t>DECIMAL</t>
    <phoneticPr fontId="6"/>
  </si>
  <si>
    <t>LT不可項目マスタ</t>
    <rPh sb="2" eb="4">
      <t>フカ</t>
    </rPh>
    <rPh sb="4" eb="6">
      <t>コウモク</t>
    </rPh>
    <phoneticPr fontId="6"/>
  </si>
  <si>
    <t>LTFKKMKMST</t>
    <phoneticPr fontId="6"/>
  </si>
  <si>
    <t>○</t>
    <phoneticPr fontId="6"/>
  </si>
  <si>
    <t>CHAR</t>
    <phoneticPr fontId="6"/>
  </si>
  <si>
    <t>No.</t>
    <phoneticPr fontId="6"/>
  </si>
  <si>
    <t>キー</t>
    <phoneticPr fontId="6"/>
  </si>
  <si>
    <t>KMKCD</t>
    <phoneticPr fontId="6"/>
  </si>
  <si>
    <t>KSNDH</t>
    <phoneticPr fontId="6"/>
  </si>
  <si>
    <t>TIMESTAMP</t>
    <phoneticPr fontId="6"/>
  </si>
  <si>
    <t>DATE</t>
    <phoneticPr fontId="6"/>
  </si>
  <si>
    <t>治験プロトコルマスタ</t>
    <rPh sb="0" eb="2">
      <t>チケン</t>
    </rPh>
    <phoneticPr fontId="6"/>
  </si>
  <si>
    <t>治験のプロトコルNoを管理している？テーブル定義が存在していない。</t>
    <rPh sb="0" eb="2">
      <t>チケン</t>
    </rPh>
    <rPh sb="11" eb="13">
      <t>カンリ</t>
    </rPh>
    <rPh sb="22" eb="24">
      <t>テイギ</t>
    </rPh>
    <rPh sb="25" eb="27">
      <t>ソンザイ</t>
    </rPh>
    <phoneticPr fontId="6"/>
  </si>
  <si>
    <t>未使用？</t>
    <rPh sb="0" eb="3">
      <t>ミシヨウ</t>
    </rPh>
    <phoneticPr fontId="6"/>
  </si>
  <si>
    <t>XMCHKFLG</t>
    <phoneticPr fontId="6"/>
  </si>
  <si>
    <t>1だった場合、分析機へ血清情報を測定するようにオーダーを送信する。</t>
    <rPh sb="4" eb="6">
      <t>バアイ</t>
    </rPh>
    <rPh sb="7" eb="9">
      <t>ブンセキ</t>
    </rPh>
    <rPh sb="9" eb="10">
      <t>キ</t>
    </rPh>
    <rPh sb="11" eb="13">
      <t>ケッセイ</t>
    </rPh>
    <rPh sb="13" eb="15">
      <t>ジョウホウ</t>
    </rPh>
    <rPh sb="16" eb="18">
      <t>ソクテイ</t>
    </rPh>
    <rPh sb="28" eb="30">
      <t>ソウシン</t>
    </rPh>
    <phoneticPr fontId="6"/>
  </si>
  <si>
    <t>ホストに合わせる。基準値判定などに使用している。</t>
    <rPh sb="4" eb="5">
      <t>ア</t>
    </rPh>
    <rPh sb="9" eb="11">
      <t>キジュン</t>
    </rPh>
    <rPh sb="11" eb="12">
      <t>チ</t>
    </rPh>
    <rPh sb="12" eb="14">
      <t>ハンテイ</t>
    </rPh>
    <rPh sb="17" eb="19">
      <t>シヨウ</t>
    </rPh>
    <phoneticPr fontId="6"/>
  </si>
  <si>
    <t>乳び、溶血のコメントを付加するか制御している。No40 血清情報影響フラグと合わせること。</t>
    <rPh sb="0" eb="1">
      <t>ニュウ</t>
    </rPh>
    <rPh sb="3" eb="4">
      <t>ヨウ</t>
    </rPh>
    <rPh sb="4" eb="5">
      <t>ケツ</t>
    </rPh>
    <rPh sb="11" eb="13">
      <t>フカ</t>
    </rPh>
    <rPh sb="16" eb="18">
      <t>セイギョ</t>
    </rPh>
    <rPh sb="28" eb="30">
      <t>ケッセイ</t>
    </rPh>
    <rPh sb="30" eb="32">
      <t>ジョウホウ</t>
    </rPh>
    <rPh sb="32" eb="34">
      <t>エイキョウ</t>
    </rPh>
    <rPh sb="38" eb="39">
      <t>ア</t>
    </rPh>
    <phoneticPr fontId="6"/>
  </si>
  <si>
    <t>ヒストグラム、Ｘ－Ｒ管理図などで使用</t>
    <rPh sb="10" eb="12">
      <t>カンリ</t>
    </rPh>
    <rPh sb="12" eb="13">
      <t>ズ</t>
    </rPh>
    <rPh sb="16" eb="18">
      <t>シヨウ</t>
    </rPh>
    <phoneticPr fontId="6"/>
  </si>
  <si>
    <t>ホストに合わせる。</t>
    <rPh sb="4" eb="5">
      <t>ア</t>
    </rPh>
    <phoneticPr fontId="6"/>
  </si>
  <si>
    <t>Ｘ－Ｒ管理図で使用。</t>
    <rPh sb="3" eb="5">
      <t>カンリ</t>
    </rPh>
    <rPh sb="5" eb="6">
      <t>ズ</t>
    </rPh>
    <rPh sb="7" eb="9">
      <t>シヨウ</t>
    </rPh>
    <phoneticPr fontId="6"/>
  </si>
  <si>
    <t>100 固定</t>
    <rPh sb="4" eb="6">
      <t>コテイ</t>
    </rPh>
    <phoneticPr fontId="6"/>
  </si>
  <si>
    <t>R 固定</t>
    <rPh sb="2" eb="4">
      <t>コテイ</t>
    </rPh>
    <phoneticPr fontId="6"/>
  </si>
  <si>
    <t>未使用項目のため、それっぽいのを入れておけばよい。メンテナンスもされていない。</t>
    <rPh sb="0" eb="3">
      <t>ミシヨウ</t>
    </rPh>
    <rPh sb="3" eb="5">
      <t>コウモク</t>
    </rPh>
    <rPh sb="16" eb="17">
      <t>イ</t>
    </rPh>
    <phoneticPr fontId="6"/>
  </si>
  <si>
    <t>検査グループの種別
[A：オールマイティ]
　依頼展開時、グローバル項目コードから検査グループを検索したとき、オールマイティに該当する検査グループ種別が含まれていたら、オールマイティの検査グループを優先的に採用し、検査SEQ採番の為のグループとする。
　オールマイティ種別の検査グループについては、データチェック系マスタの検索に使用されない。
[I：一般]
[S：集検]
[Z：透析前]
[G：透析後]
　オールマイティ以外の種別については、オールマイティが見つからなかったときのみ、上記の検査グループを採用し検査SEQ採番の為のグループとする。
　また、これらの種別はデータチェック系マスタを検索する為に使用される。
[T：テスト]
　テストに該当する検査グループは、上位から来る依頼の依頼展開には使用されない。テスト依頼として作成された依頼に対して採用される。</t>
    <rPh sb="0" eb="2">
      <t>ケンサ</t>
    </rPh>
    <rPh sb="7" eb="9">
      <t>シュベツ</t>
    </rPh>
    <rPh sb="23" eb="25">
      <t>イライ</t>
    </rPh>
    <rPh sb="25" eb="27">
      <t>テンカイ</t>
    </rPh>
    <rPh sb="27" eb="28">
      <t>ジ</t>
    </rPh>
    <rPh sb="34" eb="36">
      <t>コウモク</t>
    </rPh>
    <rPh sb="41" eb="43">
      <t>ケンサ</t>
    </rPh>
    <rPh sb="48" eb="50">
      <t>ケンサク</t>
    </rPh>
    <rPh sb="63" eb="65">
      <t>ガイトウ</t>
    </rPh>
    <rPh sb="67" eb="69">
      <t>ケンサ</t>
    </rPh>
    <rPh sb="73" eb="75">
      <t>シュベツ</t>
    </rPh>
    <rPh sb="76" eb="77">
      <t>フク</t>
    </rPh>
    <rPh sb="92" eb="94">
      <t>ケンサ</t>
    </rPh>
    <rPh sb="99" eb="102">
      <t>ユウセンテキ</t>
    </rPh>
    <rPh sb="103" eb="105">
      <t>サイヨウ</t>
    </rPh>
    <rPh sb="107" eb="109">
      <t>ケンサ</t>
    </rPh>
    <rPh sb="112" eb="114">
      <t>サイバン</t>
    </rPh>
    <rPh sb="115" eb="116">
      <t>タメ</t>
    </rPh>
    <rPh sb="134" eb="136">
      <t>シュベツ</t>
    </rPh>
    <rPh sb="137" eb="139">
      <t>ケンサ</t>
    </rPh>
    <rPh sb="156" eb="157">
      <t>ケイ</t>
    </rPh>
    <rPh sb="161" eb="163">
      <t>ケンサク</t>
    </rPh>
    <rPh sb="164" eb="166">
      <t>シヨウ</t>
    </rPh>
    <rPh sb="176" eb="178">
      <t>イッパン</t>
    </rPh>
    <rPh sb="183" eb="184">
      <t>シュウ</t>
    </rPh>
    <rPh sb="184" eb="185">
      <t>ケン</t>
    </rPh>
    <rPh sb="190" eb="192">
      <t>トウセキ</t>
    </rPh>
    <rPh sb="192" eb="193">
      <t>ゼン</t>
    </rPh>
    <rPh sb="198" eb="200">
      <t>トウセキ</t>
    </rPh>
    <rPh sb="200" eb="201">
      <t>ゴ</t>
    </rPh>
    <rPh sb="211" eb="213">
      <t>イガイ</t>
    </rPh>
    <rPh sb="214" eb="216">
      <t>シュベツ</t>
    </rPh>
    <rPh sb="230" eb="231">
      <t>ミ</t>
    </rPh>
    <rPh sb="243" eb="245">
      <t>ジョウキ</t>
    </rPh>
    <rPh sb="246" eb="248">
      <t>ケンサ</t>
    </rPh>
    <rPh sb="256" eb="258">
      <t>ケンサ</t>
    </rPh>
    <rPh sb="264" eb="265">
      <t>タメ</t>
    </rPh>
    <rPh sb="283" eb="285">
      <t>シュベツ</t>
    </rPh>
    <rPh sb="293" eb="294">
      <t>ケイ</t>
    </rPh>
    <rPh sb="298" eb="300">
      <t>ケンサク</t>
    </rPh>
    <rPh sb="302" eb="303">
      <t>タメ</t>
    </rPh>
    <rPh sb="304" eb="306">
      <t>シヨウ</t>
    </rPh>
    <rPh sb="324" eb="326">
      <t>ガイトウ</t>
    </rPh>
    <rPh sb="328" eb="330">
      <t>ケンサ</t>
    </rPh>
    <rPh sb="336" eb="338">
      <t>ジョウイ</t>
    </rPh>
    <rPh sb="340" eb="341">
      <t>ク</t>
    </rPh>
    <rPh sb="342" eb="344">
      <t>イライ</t>
    </rPh>
    <rPh sb="345" eb="347">
      <t>イライ</t>
    </rPh>
    <rPh sb="347" eb="349">
      <t>テンカイ</t>
    </rPh>
    <rPh sb="351" eb="353">
      <t>シヨウ</t>
    </rPh>
    <rPh sb="361" eb="363">
      <t>イライ</t>
    </rPh>
    <rPh sb="366" eb="368">
      <t>サクセイ</t>
    </rPh>
    <rPh sb="371" eb="373">
      <t>イライ</t>
    </rPh>
    <rPh sb="374" eb="375">
      <t>タイ</t>
    </rPh>
    <rPh sb="377" eb="379">
      <t>サイヨウ</t>
    </rPh>
    <phoneticPr fontId="6"/>
  </si>
  <si>
    <t xml:space="preserve">基本は I 。
透析前後の検査グループはそれぞれ Z G。
その他項目は O。
テスト項目は T。
S は 0056 専用。(マルチ一般の集検万台用)
A は未使用。
備考に書かれている動作はおそらくしていない。
</t>
    <rPh sb="0" eb="2">
      <t>キホン</t>
    </rPh>
    <rPh sb="8" eb="12">
      <t>トウセキゼンゴ</t>
    </rPh>
    <rPh sb="13" eb="15">
      <t>ケンサ</t>
    </rPh>
    <rPh sb="32" eb="33">
      <t>タ</t>
    </rPh>
    <rPh sb="33" eb="35">
      <t>コウモク</t>
    </rPh>
    <rPh sb="43" eb="45">
      <t>コウモク</t>
    </rPh>
    <rPh sb="59" eb="61">
      <t>センヨウ</t>
    </rPh>
    <rPh sb="66" eb="68">
      <t>イッパン</t>
    </rPh>
    <rPh sb="69" eb="71">
      <t>シュウケン</t>
    </rPh>
    <rPh sb="71" eb="73">
      <t>マンダイ</t>
    </rPh>
    <rPh sb="73" eb="74">
      <t>ヨウ</t>
    </rPh>
    <rPh sb="80" eb="83">
      <t>ミシヨウ</t>
    </rPh>
    <rPh sb="86" eb="88">
      <t>ビコウ</t>
    </rPh>
    <rPh sb="89" eb="90">
      <t>カ</t>
    </rPh>
    <rPh sb="95" eb="97">
      <t>ドウサ</t>
    </rPh>
    <phoneticPr fontId="6"/>
  </si>
  <si>
    <t>基本は 4 固定。
90000台（テスト用）の場合は 0 で設定されている。</t>
    <rPh sb="0" eb="2">
      <t>キホン</t>
    </rPh>
    <rPh sb="6" eb="8">
      <t>コテイ</t>
    </rPh>
    <rPh sb="15" eb="16">
      <t>ダイ</t>
    </rPh>
    <rPh sb="20" eb="21">
      <t>ヨウ</t>
    </rPh>
    <rPh sb="23" eb="25">
      <t>バアイ</t>
    </rPh>
    <rPh sb="30" eb="32">
      <t>セッテイ</t>
    </rPh>
    <phoneticPr fontId="6"/>
  </si>
  <si>
    <t>80000台のWSは 0、自動分注されるWSは 1、それ以外は 3。
2 は未使用。</t>
    <rPh sb="5" eb="6">
      <t>ダイ</t>
    </rPh>
    <rPh sb="13" eb="15">
      <t>ジドウ</t>
    </rPh>
    <rPh sb="15" eb="17">
      <t>ブンチュウ</t>
    </rPh>
    <rPh sb="28" eb="30">
      <t>イガイ</t>
    </rPh>
    <rPh sb="38" eb="41">
      <t>ミシヨウ</t>
    </rPh>
    <phoneticPr fontId="6"/>
  </si>
  <si>
    <t>BGROUP 1 の検査グループは 2 固定。
それ以外の検査グループの設定はどれでもいいものと思われる。</t>
    <rPh sb="10" eb="12">
      <t>ケンサ</t>
    </rPh>
    <rPh sb="20" eb="22">
      <t>コテイ</t>
    </rPh>
    <rPh sb="26" eb="28">
      <t>イガイ</t>
    </rPh>
    <rPh sb="29" eb="31">
      <t>ケンサ</t>
    </rPh>
    <rPh sb="36" eb="38">
      <t>セッテイ</t>
    </rPh>
    <rPh sb="48" eb="49">
      <t>オモ</t>
    </rPh>
    <phoneticPr fontId="6"/>
  </si>
  <si>
    <t>BGROUP 1 の検査グループは適当でOK。
それ以外のWSは検査に確認の上、トレーIDを決めること。</t>
    <rPh sb="17" eb="19">
      <t>テキトウ</t>
    </rPh>
    <rPh sb="26" eb="28">
      <t>イガイ</t>
    </rPh>
    <rPh sb="32" eb="34">
      <t>ケンサ</t>
    </rPh>
    <rPh sb="35" eb="37">
      <t>カクニン</t>
    </rPh>
    <rPh sb="38" eb="39">
      <t>ウエ</t>
    </rPh>
    <rPh sb="46" eb="47">
      <t>キ</t>
    </rPh>
    <phoneticPr fontId="6"/>
  </si>
  <si>
    <t>BGROUP 1 の検査グループの場合、Vラック分のWSに対して用いるため、検査と要相談。
それ以外の検査グループの場合は SKITRAY と同じものを入れること。</t>
    <rPh sb="17" eb="19">
      <t>バアイ</t>
    </rPh>
    <rPh sb="24" eb="25">
      <t>ブン</t>
    </rPh>
    <rPh sb="29" eb="30">
      <t>タイ</t>
    </rPh>
    <rPh sb="32" eb="33">
      <t>モチ</t>
    </rPh>
    <rPh sb="38" eb="40">
      <t>ケンサ</t>
    </rPh>
    <rPh sb="41" eb="42">
      <t>ヨウ</t>
    </rPh>
    <rPh sb="42" eb="44">
      <t>ソウダン</t>
    </rPh>
    <rPh sb="48" eb="50">
      <t>イガイ</t>
    </rPh>
    <rPh sb="51" eb="53">
      <t>ケンサ</t>
    </rPh>
    <rPh sb="58" eb="60">
      <t>バアイ</t>
    </rPh>
    <rPh sb="71" eb="72">
      <t>オナ</t>
    </rPh>
    <rPh sb="76" eb="77">
      <t>イ</t>
    </rPh>
    <phoneticPr fontId="6"/>
  </si>
  <si>
    <t>基本は MBTTRAY と同じだが、0047 薬剤 は特殊処理のため、違うものが入っている。</t>
    <rPh sb="0" eb="2">
      <t>キホン</t>
    </rPh>
    <rPh sb="13" eb="14">
      <t>オナ</t>
    </rPh>
    <rPh sb="23" eb="25">
      <t>ヤクザイ</t>
    </rPh>
    <rPh sb="27" eb="29">
      <t>トクシュ</t>
    </rPh>
    <rPh sb="29" eb="31">
      <t>ショリ</t>
    </rPh>
    <rPh sb="35" eb="36">
      <t>チガ</t>
    </rPh>
    <rPh sb="40" eb="41">
      <t>ハイ</t>
    </rPh>
    <phoneticPr fontId="6"/>
  </si>
  <si>
    <t>SKNTRAY と同じものを入れる。</t>
    <rPh sb="9" eb="10">
      <t>オナ</t>
    </rPh>
    <rPh sb="14" eb="15">
      <t>イ</t>
    </rPh>
    <phoneticPr fontId="6"/>
  </si>
  <si>
    <t>隔日検査の場合はWSの出力制御に使う。（デフォルトのWS出力日に使用）
隔日検査のWS以外は 0111111。</t>
    <rPh sb="28" eb="31">
      <t>シュツリョクビ</t>
    </rPh>
    <rPh sb="32" eb="34">
      <t>シヨウ</t>
    </rPh>
    <rPh sb="36" eb="38">
      <t>カクジツ</t>
    </rPh>
    <rPh sb="38" eb="40">
      <t>ケンサ</t>
    </rPh>
    <rPh sb="43" eb="45">
      <t>イガイ</t>
    </rPh>
    <phoneticPr fontId="6"/>
  </si>
  <si>
    <t>未使用？１で固定。</t>
    <rPh sb="0" eb="3">
      <t>ミシヨウ</t>
    </rPh>
    <rPh sb="6" eb="8">
      <t>コテイ</t>
    </rPh>
    <phoneticPr fontId="6"/>
  </si>
  <si>
    <t>未使用？現状、メンテナンスされていない。</t>
    <rPh sb="0" eb="3">
      <t>ミシヨウ</t>
    </rPh>
    <rPh sb="4" eb="6">
      <t>ゲンジョウ</t>
    </rPh>
    <phoneticPr fontId="6"/>
  </si>
  <si>
    <t>表示順番を制御している。かぶらないようにすればよい。</t>
    <rPh sb="0" eb="2">
      <t>ヒョウジ</t>
    </rPh>
    <rPh sb="2" eb="4">
      <t>ジュンバン</t>
    </rPh>
    <rPh sb="5" eb="7">
      <t>セイギョ</t>
    </rPh>
    <phoneticPr fontId="6"/>
  </si>
  <si>
    <t>未使用？ホストの内容に合わせてある。</t>
    <rPh sb="0" eb="3">
      <t>ミシヨウ</t>
    </rPh>
    <rPh sb="8" eb="10">
      <t>ナイヨウ</t>
    </rPh>
    <rPh sb="11" eb="12">
      <t>ア</t>
    </rPh>
    <phoneticPr fontId="6"/>
  </si>
  <si>
    <t>ラベル出力システム、及び、10連ラベル送信用のスクリプトの内容に合わせる。
A0_LBL01～A0_LBL15</t>
    <rPh sb="3" eb="5">
      <t>シュツリョク</t>
    </rPh>
    <rPh sb="10" eb="11">
      <t>オヨ</t>
    </rPh>
    <rPh sb="15" eb="16">
      <t>レン</t>
    </rPh>
    <rPh sb="19" eb="22">
      <t>ソウシンヨウ</t>
    </rPh>
    <rPh sb="29" eb="31">
      <t>ナイヨウ</t>
    </rPh>
    <rPh sb="32" eb="33">
      <t>ア</t>
    </rPh>
    <phoneticPr fontId="6"/>
  </si>
  <si>
    <t>帳票IDは別途仕様を参照。
CP20202b 固定で問題ない。</t>
    <rPh sb="23" eb="25">
      <t>コテイ</t>
    </rPh>
    <rPh sb="26" eb="28">
      <t>モンダイ</t>
    </rPh>
    <phoneticPr fontId="6"/>
  </si>
  <si>
    <t>Vラック分のWSの本数。自動分注の検査グループは　50。それ以外は100。</t>
    <rPh sb="4" eb="5">
      <t>ブン</t>
    </rPh>
    <rPh sb="9" eb="11">
      <t>ホンスウ</t>
    </rPh>
    <rPh sb="12" eb="14">
      <t>ジドウ</t>
    </rPh>
    <rPh sb="14" eb="16">
      <t>ブンチュウ</t>
    </rPh>
    <rPh sb="17" eb="19">
      <t>ケンサ</t>
    </rPh>
    <rPh sb="30" eb="32">
      <t>イガイ</t>
    </rPh>
    <phoneticPr fontId="6"/>
  </si>
  <si>
    <t>帳票IDは別途仕様を参照。
自動分注の検査グループのVラック分のWS設定。
SEQKTHSNG　が 50 の場合は CP20202a 。それ以外は CP20101 。</t>
    <rPh sb="0" eb="2">
      <t>チョウヒョウ</t>
    </rPh>
    <rPh sb="5" eb="7">
      <t>ベット</t>
    </rPh>
    <rPh sb="7" eb="9">
      <t>シヨウ</t>
    </rPh>
    <rPh sb="10" eb="12">
      <t>サンショウ</t>
    </rPh>
    <rPh sb="14" eb="16">
      <t>ジドウ</t>
    </rPh>
    <rPh sb="16" eb="18">
      <t>ブンチュウ</t>
    </rPh>
    <rPh sb="19" eb="21">
      <t>ケンサ</t>
    </rPh>
    <rPh sb="30" eb="31">
      <t>ブン</t>
    </rPh>
    <rPh sb="34" eb="36">
      <t>セッテイ</t>
    </rPh>
    <rPh sb="54" eb="56">
      <t>バアイ</t>
    </rPh>
    <rPh sb="70" eb="72">
      <t>イガイ</t>
    </rPh>
    <phoneticPr fontId="6"/>
  </si>
  <si>
    <t>帳票IDは別途仕様を参照。
基本は CP20101 で問題ない。</t>
    <rPh sb="0" eb="2">
      <t>チョウヒョウ</t>
    </rPh>
    <rPh sb="5" eb="7">
      <t>ベット</t>
    </rPh>
    <rPh sb="7" eb="9">
      <t>シヨウ</t>
    </rPh>
    <rPh sb="10" eb="12">
      <t>サンショウ</t>
    </rPh>
    <rPh sb="14" eb="16">
      <t>キホン</t>
    </rPh>
    <rPh sb="27" eb="29">
      <t>モンダイ</t>
    </rPh>
    <phoneticPr fontId="6"/>
  </si>
  <si>
    <t>未使用？ 0006 と MLTC の２種類が設定されているが、使い分けがよく分からない。今まで意識したこともない。</t>
    <rPh sb="0" eb="3">
      <t>ミシヨウ</t>
    </rPh>
    <rPh sb="19" eb="21">
      <t>シュルイ</t>
    </rPh>
    <rPh sb="22" eb="24">
      <t>セッテイ</t>
    </rPh>
    <rPh sb="31" eb="32">
      <t>ツカ</t>
    </rPh>
    <rPh sb="33" eb="34">
      <t>ワ</t>
    </rPh>
    <rPh sb="38" eb="39">
      <t>ワ</t>
    </rPh>
    <rPh sb="44" eb="45">
      <t>イマ</t>
    </rPh>
    <rPh sb="47" eb="49">
      <t>イシキ</t>
    </rPh>
    <phoneticPr fontId="6"/>
  </si>
  <si>
    <t>ホストの分注量に合わせる。</t>
    <rPh sb="4" eb="6">
      <t>ブンチュウ</t>
    </rPh>
    <rPh sb="6" eb="7">
      <t>リョウ</t>
    </rPh>
    <rPh sb="8" eb="9">
      <t>ア</t>
    </rPh>
    <phoneticPr fontId="6"/>
  </si>
  <si>
    <t>A00　固定。</t>
    <rPh sb="4" eb="6">
      <t>コテイ</t>
    </rPh>
    <phoneticPr fontId="6"/>
  </si>
  <si>
    <t>0,1,2のみ使用。ホストに合わせる。</t>
    <rPh sb="7" eb="9">
      <t>シヨウ</t>
    </rPh>
    <rPh sb="14" eb="15">
      <t>ア</t>
    </rPh>
    <phoneticPr fontId="6"/>
  </si>
  <si>
    <t>おそらく未使用だが、ホストに合わせる。</t>
    <rPh sb="4" eb="7">
      <t>ミシヨウ</t>
    </rPh>
    <rPh sb="14" eb="15">
      <t>ア</t>
    </rPh>
    <phoneticPr fontId="6"/>
  </si>
  <si>
    <t>未使用？ホストに同名のフィールドがあるが、合致していない。メンテナンスされていない？</t>
    <rPh sb="0" eb="3">
      <t>ミシヨウ</t>
    </rPh>
    <rPh sb="8" eb="10">
      <t>ドウメイ</t>
    </rPh>
    <rPh sb="21" eb="23">
      <t>ガッチ</t>
    </rPh>
    <phoneticPr fontId="6"/>
  </si>
  <si>
    <t>XbarMの仕組みが稼動していないため、未使用。１で固定。</t>
    <rPh sb="6" eb="8">
      <t>シク</t>
    </rPh>
    <rPh sb="10" eb="12">
      <t>カドウ</t>
    </rPh>
    <rPh sb="26" eb="28">
      <t>コテイ</t>
    </rPh>
    <phoneticPr fontId="6"/>
  </si>
  <si>
    <t>XbarMの仕組みが稼動していないため、未使用。２０で固定。</t>
    <rPh sb="6" eb="8">
      <t>シク</t>
    </rPh>
    <rPh sb="10" eb="12">
      <t>カドウ</t>
    </rPh>
    <rPh sb="20" eb="23">
      <t>ミシヨウ</t>
    </rPh>
    <phoneticPr fontId="6"/>
  </si>
  <si>
    <t>XbarMの仕組みが稼動していないため、未使用。０、１どちらでもよいが１にしたほうが無難。</t>
    <rPh sb="6" eb="8">
      <t>シク</t>
    </rPh>
    <rPh sb="10" eb="12">
      <t>カドウ</t>
    </rPh>
    <rPh sb="20" eb="23">
      <t>ミシヨウ</t>
    </rPh>
    <rPh sb="42" eb="44">
      <t>ブナン</t>
    </rPh>
    <phoneticPr fontId="6"/>
  </si>
  <si>
    <t>GMIN</t>
    <rPh sb="0" eb="3">
      <t>ミシヨウコテイ</t>
    </rPh>
    <phoneticPr fontId="6"/>
  </si>
  <si>
    <t>未使用？０固定。</t>
    <rPh sb="0" eb="3">
      <t>ミシヨウ</t>
    </rPh>
    <rPh sb="5" eb="7">
      <t>コテイ</t>
    </rPh>
    <phoneticPr fontId="6"/>
  </si>
  <si>
    <t>不明。現状、０固定。</t>
    <rPh sb="0" eb="2">
      <t>フメイ</t>
    </rPh>
    <rPh sb="3" eb="5">
      <t>ゲンジョウ</t>
    </rPh>
    <rPh sb="7" eb="9">
      <t>コテイ</t>
    </rPh>
    <phoneticPr fontId="6"/>
  </si>
  <si>
    <t>YOUS は未使用。</t>
    <rPh sb="6" eb="9">
      <t>ミシヨウ</t>
    </rPh>
    <phoneticPr fontId="6"/>
  </si>
  <si>
    <t>"LABO":LABOSPECT 
"BIOM":BM8060
"Z050":ZS050
"YOUS":用手希釈</t>
    <rPh sb="52" eb="53">
      <t>ヨウ</t>
    </rPh>
    <rPh sb="53" eb="54">
      <t>テ</t>
    </rPh>
    <rPh sb="54" eb="56">
      <t>キシャク</t>
    </rPh>
    <phoneticPr fontId="6"/>
  </si>
  <si>
    <t xml:space="preserve">2,3の種別はほとんど使っていない。
</t>
    <rPh sb="4" eb="6">
      <t>シュベツ</t>
    </rPh>
    <rPh sb="11" eb="12">
      <t>ツカ</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</si>
</sst>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18">
    <font>
      <sz val="11"/>
      <name val="ＭＳ Ｐゴシック"/>
      <family val="3"/>
      <charset val="128"/>
    </font>
    <font>
      <sz val="11"/>
      <name val="ＭＳ Ｐゴシック"/>
      <family val="3"/>
      <charset val="128"/>
    </font>
    <font>
      <sz val="10"/>
      <name val="ＭＳ ゴシック"/>
      <family val="3"/>
      <charset val="128"/>
    </font>
    <font>
      <sz val="11"/>
      <name val="ＭＳ Ｐゴシック"/>
      <family val="3"/>
      <charset val="128"/>
    </font>
    <font>
      <u/>
      <sz val="11"/>
      <color indexed="12"/>
      <name val="ＭＳ Ｐゴシック"/>
      <family val="3"/>
      <charset val="128"/>
    </font>
    <font>
      <sz val="11"/>
      <name val="ＭＳ 明朝"/>
      <family val="1"/>
      <charset val="128"/>
    </font>
    <font>
      <sz val="6"/>
      <name val="ＭＳ Ｐゴシック"/>
      <family val="3"/>
      <charset val="128"/>
    </font>
    <font>
      <sz val="9"/>
      <name val="ＭＳ Ｐゴシック"/>
      <family val="3"/>
      <charset val="128"/>
    </font>
    <font>
      <sz val="9"/>
      <color indexed="81"/>
      <name val="ＭＳ Ｐゴシック"/>
      <family val="3"/>
      <charset val="128"/>
    </font>
    <font>
      <sz val="10"/>
      <name val="ＭＳ Ｐゴシック"/>
      <family val="3"/>
      <charset val="128"/>
    </font>
    <font>
      <b/>
      <sz val="10"/>
      <name val="ＭＳ Ｐゴシック"/>
      <family val="3"/>
      <charset val="128"/>
    </font>
    <font>
      <sz val="10"/>
      <color indexed="10"/>
      <name val="ＭＳ ゴシック"/>
      <family val="3"/>
      <charset val="128"/>
    </font>
    <font>
      <sz val="11"/>
      <name val="ＭＳ ゴシック"/>
      <family val="3"/>
      <charset val="128"/>
    </font>
    <font>
      <sz val="6"/>
      <name val="明朝"/>
      <family val="3"/>
      <charset val="128"/>
    </font>
    <font>
      <sz val="9"/>
      <name val="ＭＳ ゴシック"/>
      <family val="3"/>
      <charset val="128"/>
    </font>
    <font>
      <strike/>
      <sz val="10"/>
      <name val="ＭＳ ゴシック"/>
      <family val="3"/>
      <charset val="128"/>
    </font>
    <font>
      <sz val="10"/>
      <color indexed="12"/>
      <name val="ＭＳ Ｐゴシック"/>
      <family val="3"/>
      <charset val="128"/>
    </font>
    <font>
      <sz val="8"/>
      <name val="ＭＳ ゴシック"/>
      <family val="3"/>
      <charset val="128"/>
    </font>
  </fonts>
  <fills count="5">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1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style="dotted">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double">
        <color indexed="64"/>
      </left>
      <right/>
      <top style="thin">
        <color indexed="64"/>
      </top>
      <bottom style="thin">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36">
    <xf numFmtId="0" fontId="0" fillId="0" borderId="0">
      <alignment vertical="center"/>
    </xf>
    <xf numFmtId="0" fontId="2" fillId="0" borderId="0" applyBorder="0"/>
    <xf numFmtId="0" fontId="2" fillId="0" borderId="0"/>
    <xf numFmtId="0" fontId="4" fillId="0" borderId="0" applyNumberFormat="0" applyFill="0" applyBorder="0" applyAlignment="0" applyProtection="0">
      <alignment vertical="top"/>
      <protection locked="0"/>
    </xf>
    <xf numFmtId="0" fontId="3" fillId="0" borderId="0"/>
    <xf numFmtId="0" fontId="1" fillId="0" borderId="0"/>
    <xf numFmtId="0" fontId="3" fillId="0" borderId="0"/>
    <xf numFmtId="0" fontId="3" fillId="0" borderId="0"/>
    <xf numFmtId="0" fontId="1"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5" fillId="0" borderId="0"/>
    <xf numFmtId="0" fontId="3" fillId="0" borderId="0"/>
    <xf numFmtId="0" fontId="3" fillId="0" borderId="0"/>
    <xf numFmtId="0" fontId="3" fillId="0" borderId="0"/>
    <xf numFmtId="0" fontId="1" fillId="0" borderId="0"/>
    <xf numFmtId="0" fontId="1" fillId="0" borderId="0">
      <alignment vertical="center"/>
    </xf>
    <xf numFmtId="0" fontId="1" fillId="0" borderId="0"/>
    <xf numFmtId="0" fontId="14" fillId="0" borderId="0">
      <alignment vertical="center"/>
    </xf>
  </cellStyleXfs>
  <cellXfs count="1068">
    <xf numFmtId="0" fontId="0" fillId="0" borderId="0" xfId="0">
      <alignment vertical="center"/>
    </xf>
    <xf numFmtId="0" fontId="9" fillId="0" borderId="0" xfId="4" applyFont="1"/>
    <xf numFmtId="0" fontId="10" fillId="0" borderId="0" xfId="4" applyFont="1" applyFill="1" applyBorder="1" applyAlignment="1">
      <alignment horizontal="center" vertical="center"/>
    </xf>
    <xf numFmtId="0" fontId="10" fillId="2" borderId="1" xfId="4" applyFont="1" applyFill="1" applyBorder="1" applyAlignment="1">
      <alignment horizontal="center" vertical="center"/>
    </xf>
    <xf numFmtId="0" fontId="10" fillId="2" borderId="2" xfId="4" applyFont="1" applyFill="1" applyBorder="1" applyAlignment="1">
      <alignment horizontal="center" vertical="center"/>
    </xf>
    <xf numFmtId="0" fontId="9" fillId="0" borderId="0" xfId="4" applyFont="1" applyAlignment="1">
      <alignment horizontal="center"/>
    </xf>
    <xf numFmtId="0" fontId="10" fillId="0" borderId="1" xfId="4" applyFont="1" applyFill="1" applyBorder="1" applyAlignment="1">
      <alignment vertical="top"/>
    </xf>
    <xf numFmtId="0" fontId="9" fillId="0" borderId="1" xfId="4" applyFont="1" applyBorder="1" applyAlignment="1">
      <alignment vertical="top"/>
    </xf>
    <xf numFmtId="0" fontId="2" fillId="0" borderId="5" xfId="4" applyFont="1" applyBorder="1" applyAlignment="1">
      <alignment vertical="top"/>
    </xf>
    <xf numFmtId="0" fontId="9" fillId="0" borderId="6" xfId="4" applyFont="1" applyBorder="1" applyAlignment="1">
      <alignment vertical="top"/>
    </xf>
    <xf numFmtId="0" fontId="9" fillId="0" borderId="0" xfId="4" applyFont="1" applyBorder="1"/>
    <xf numFmtId="49" fontId="7" fillId="0" borderId="1" xfId="4" applyNumberFormat="1" applyFont="1" applyBorder="1" applyAlignment="1">
      <alignment vertical="top" wrapText="1"/>
    </xf>
    <xf numFmtId="49" fontId="7" fillId="0" borderId="1" xfId="4" applyNumberFormat="1" applyFont="1" applyBorder="1" applyAlignment="1">
      <alignment vertical="top" wrapText="1" shrinkToFit="1"/>
    </xf>
    <xf numFmtId="0" fontId="2" fillId="0" borderId="5" xfId="8" applyFont="1" applyBorder="1" applyAlignment="1">
      <alignment vertical="center"/>
    </xf>
    <xf numFmtId="0" fontId="2" fillId="0" borderId="8" xfId="8" applyFont="1" applyBorder="1" applyAlignment="1">
      <alignment vertical="center"/>
    </xf>
    <xf numFmtId="0" fontId="2" fillId="0" borderId="7" xfId="8" applyFont="1" applyBorder="1" applyAlignment="1">
      <alignment vertical="center"/>
    </xf>
    <xf numFmtId="0" fontId="2" fillId="0" borderId="0" xfId="8" applyFont="1" applyAlignment="1">
      <alignment vertical="center"/>
    </xf>
    <xf numFmtId="0" fontId="2" fillId="0" borderId="9" xfId="25" applyFont="1" applyBorder="1" applyAlignment="1">
      <alignment vertical="center" wrapText="1"/>
    </xf>
    <xf numFmtId="0" fontId="2" fillId="0" borderId="0" xfId="25" applyFont="1" applyBorder="1" applyAlignment="1">
      <alignment vertical="center" wrapText="1"/>
    </xf>
    <xf numFmtId="0" fontId="2" fillId="0" borderId="10" xfId="25" applyFont="1" applyBorder="1" applyAlignment="1">
      <alignment vertical="center" wrapText="1"/>
    </xf>
    <xf numFmtId="0" fontId="2" fillId="0" borderId="1" xfId="8" applyFont="1" applyBorder="1" applyAlignment="1">
      <alignment vertical="center"/>
    </xf>
    <xf numFmtId="0" fontId="2" fillId="0" borderId="1" xfId="10" applyFont="1" applyBorder="1" applyAlignment="1">
      <alignment vertical="center"/>
    </xf>
    <xf numFmtId="0" fontId="2" fillId="0" borderId="0" xfId="10" applyFont="1" applyAlignment="1">
      <alignment vertical="center"/>
    </xf>
    <xf numFmtId="14" fontId="2" fillId="0" borderId="0" xfId="10" quotePrefix="1" applyNumberFormat="1" applyFont="1" applyAlignment="1">
      <alignment vertical="center"/>
    </xf>
    <xf numFmtId="0" fontId="2" fillId="0" borderId="5" xfId="8" applyFont="1" applyFill="1" applyBorder="1" applyAlignment="1">
      <alignment vertical="center"/>
    </xf>
    <xf numFmtId="0" fontId="2" fillId="0" borderId="7" xfId="8" applyFont="1" applyFill="1" applyBorder="1" applyAlignment="1">
      <alignment vertical="center"/>
    </xf>
    <xf numFmtId="0" fontId="2" fillId="0" borderId="5" xfId="10" applyFont="1" applyFill="1" applyBorder="1" applyAlignment="1">
      <alignment vertical="center"/>
    </xf>
    <xf numFmtId="0" fontId="2" fillId="0" borderId="5" xfId="4" applyFont="1" applyBorder="1" applyAlignment="1">
      <alignment vertical="center"/>
    </xf>
    <xf numFmtId="0" fontId="2" fillId="0" borderId="7" xfId="4" applyFont="1" applyBorder="1" applyAlignment="1">
      <alignment vertical="center"/>
    </xf>
    <xf numFmtId="0" fontId="2" fillId="2" borderId="7" xfId="10" applyFont="1" applyFill="1" applyBorder="1" applyAlignment="1">
      <alignment horizontal="center" vertical="center"/>
    </xf>
    <xf numFmtId="0" fontId="2" fillId="2" borderId="2" xfId="10" applyFont="1" applyFill="1" applyBorder="1" applyAlignment="1">
      <alignment horizontal="center" vertical="center"/>
    </xf>
    <xf numFmtId="0" fontId="2" fillId="0" borderId="5" xfId="10" applyFont="1" applyBorder="1" applyAlignment="1">
      <alignment vertical="center"/>
    </xf>
    <xf numFmtId="0" fontId="2" fillId="0" borderId="8" xfId="10" applyFont="1" applyBorder="1" applyAlignment="1">
      <alignment vertical="center"/>
    </xf>
    <xf numFmtId="0" fontId="2" fillId="0" borderId="7" xfId="10" applyFont="1" applyBorder="1" applyAlignment="1">
      <alignment vertical="center"/>
    </xf>
    <xf numFmtId="0" fontId="2" fillId="0" borderId="5" xfId="10" applyFont="1" applyBorder="1" applyAlignment="1">
      <alignment vertical="center" wrapText="1"/>
    </xf>
    <xf numFmtId="0" fontId="2" fillId="2" borderId="2" xfId="8" applyFont="1" applyFill="1" applyBorder="1" applyAlignment="1">
      <alignment horizontal="center" vertical="center"/>
    </xf>
    <xf numFmtId="0" fontId="2" fillId="2" borderId="7" xfId="8" applyFont="1" applyFill="1" applyBorder="1" applyAlignment="1">
      <alignment horizontal="center" vertical="center"/>
    </xf>
    <xf numFmtId="0" fontId="2" fillId="2" borderId="7" xfId="8" applyFont="1" applyFill="1" applyBorder="1" applyAlignment="1">
      <alignment vertical="center"/>
    </xf>
    <xf numFmtId="0" fontId="2" fillId="2" borderId="1" xfId="8" applyFont="1" applyFill="1" applyBorder="1" applyAlignment="1">
      <alignment horizontal="center" vertical="center"/>
    </xf>
    <xf numFmtId="176" fontId="2" fillId="0" borderId="7" xfId="8" applyNumberFormat="1" applyFont="1" applyFill="1" applyBorder="1" applyAlignment="1">
      <alignment vertical="center"/>
    </xf>
    <xf numFmtId="14" fontId="2" fillId="0" borderId="1" xfId="8" applyNumberFormat="1" applyFont="1" applyBorder="1" applyAlignment="1">
      <alignment horizontal="center" vertical="center"/>
    </xf>
    <xf numFmtId="0" fontId="2" fillId="0" borderId="1" xfId="4" applyFont="1" applyBorder="1" applyAlignment="1">
      <alignment horizontal="center" vertical="center"/>
    </xf>
    <xf numFmtId="0" fontId="2" fillId="0" borderId="1" xfId="8" applyFont="1" applyBorder="1" applyAlignment="1">
      <alignment horizontal="center" vertical="center"/>
    </xf>
    <xf numFmtId="0" fontId="2" fillId="2" borderId="6" xfId="8" applyFont="1" applyFill="1" applyBorder="1" applyAlignment="1">
      <alignment horizontal="center" vertical="center"/>
    </xf>
    <xf numFmtId="0" fontId="2" fillId="2" borderId="11" xfId="8" applyFont="1" applyFill="1" applyBorder="1" applyAlignment="1">
      <alignment horizontal="center" vertical="center"/>
    </xf>
    <xf numFmtId="0" fontId="2" fillId="2" borderId="12" xfId="8" applyFont="1" applyFill="1" applyBorder="1" applyAlignment="1">
      <alignment horizontal="center" vertical="center"/>
    </xf>
    <xf numFmtId="0" fontId="2" fillId="0" borderId="0" xfId="8" applyFont="1" applyAlignment="1">
      <alignment horizontal="center" vertical="center"/>
    </xf>
    <xf numFmtId="0" fontId="2" fillId="0" borderId="0" xfId="0" applyFont="1" applyAlignment="1">
      <alignment vertical="center"/>
    </xf>
    <xf numFmtId="0" fontId="2" fillId="0" borderId="1" xfId="0" applyFont="1" applyFill="1" applyBorder="1" applyAlignment="1">
      <alignment vertical="center"/>
    </xf>
    <xf numFmtId="0" fontId="2" fillId="0" borderId="13" xfId="0" applyFont="1" applyFill="1" applyBorder="1" applyAlignment="1">
      <alignment vertical="center"/>
    </xf>
    <xf numFmtId="0" fontId="2" fillId="0" borderId="7" xfId="0" applyFont="1" applyFill="1" applyBorder="1" applyAlignment="1">
      <alignment vertical="center"/>
    </xf>
    <xf numFmtId="0" fontId="2" fillId="0" borderId="11" xfId="8" applyFont="1" applyFill="1" applyBorder="1" applyAlignment="1">
      <alignment vertical="center"/>
    </xf>
    <xf numFmtId="0" fontId="11" fillId="0" borderId="12" xfId="8" applyFont="1" applyFill="1" applyBorder="1" applyAlignment="1">
      <alignment vertical="center"/>
    </xf>
    <xf numFmtId="0" fontId="2" fillId="0" borderId="1" xfId="8" applyFont="1" applyFill="1" applyBorder="1" applyAlignment="1">
      <alignment horizontal="center" vertical="center"/>
    </xf>
    <xf numFmtId="49" fontId="2" fillId="0" borderId="1" xfId="8" applyNumberFormat="1" applyFont="1" applyBorder="1" applyAlignment="1">
      <alignment horizontal="left" vertical="center"/>
    </xf>
    <xf numFmtId="0" fontId="2" fillId="0" borderId="5" xfId="0" applyFont="1" applyBorder="1" applyAlignment="1">
      <alignment vertical="center" wrapText="1"/>
    </xf>
    <xf numFmtId="0" fontId="2" fillId="0" borderId="8" xfId="0" applyFont="1" applyBorder="1" applyAlignment="1">
      <alignment vertical="center" wrapText="1"/>
    </xf>
    <xf numFmtId="0" fontId="2" fillId="0" borderId="7" xfId="0" applyFont="1" applyBorder="1" applyAlignment="1">
      <alignment vertical="center" wrapText="1"/>
    </xf>
    <xf numFmtId="0" fontId="2" fillId="0" borderId="12" xfId="8" applyFont="1" applyFill="1" applyBorder="1" applyAlignment="1">
      <alignment vertical="center"/>
    </xf>
    <xf numFmtId="49" fontId="2" fillId="0" borderId="1" xfId="8" applyNumberFormat="1" applyFont="1" applyBorder="1" applyAlignment="1">
      <alignment horizontal="center" vertical="center"/>
    </xf>
    <xf numFmtId="49" fontId="11" fillId="0" borderId="1" xfId="8" applyNumberFormat="1" applyFont="1" applyBorder="1" applyAlignment="1">
      <alignment horizontal="center" vertical="center"/>
    </xf>
    <xf numFmtId="0" fontId="2" fillId="0" borderId="5" xfId="0" applyFont="1" applyBorder="1" applyAlignment="1">
      <alignment horizontal="left" vertical="center" wrapText="1"/>
    </xf>
    <xf numFmtId="0" fontId="2" fillId="0" borderId="8" xfId="0" applyFont="1" applyBorder="1" applyAlignment="1">
      <alignment horizontal="left" vertical="center" wrapText="1"/>
    </xf>
    <xf numFmtId="0" fontId="2" fillId="0" borderId="7" xfId="0" applyFont="1" applyBorder="1" applyAlignment="1">
      <alignment horizontal="left" vertical="center" wrapText="1"/>
    </xf>
    <xf numFmtId="0" fontId="2" fillId="0" borderId="1" xfId="8" applyFont="1" applyFill="1" applyBorder="1" applyAlignment="1">
      <alignment vertical="center" shrinkToFit="1"/>
    </xf>
    <xf numFmtId="0" fontId="2" fillId="0" borderId="6" xfId="8" applyFont="1" applyFill="1" applyBorder="1" applyAlignment="1">
      <alignment vertical="center"/>
    </xf>
    <xf numFmtId="49" fontId="2" fillId="0" borderId="5" xfId="28" applyNumberFormat="1" applyFont="1" applyFill="1" applyBorder="1" applyAlignment="1">
      <alignment horizontal="left" vertical="center"/>
    </xf>
    <xf numFmtId="0" fontId="2" fillId="0" borderId="5" xfId="8" applyFont="1" applyBorder="1" applyAlignment="1">
      <alignment vertical="center" wrapText="1"/>
    </xf>
    <xf numFmtId="0" fontId="2" fillId="0" borderId="6" xfId="0" applyFont="1" applyFill="1" applyBorder="1" applyAlignment="1">
      <alignment vertical="center"/>
    </xf>
    <xf numFmtId="0" fontId="2" fillId="0" borderId="1" xfId="8" applyFont="1" applyFill="1" applyBorder="1" applyAlignment="1">
      <alignment vertical="center" wrapText="1" shrinkToFit="1"/>
    </xf>
    <xf numFmtId="0" fontId="2" fillId="0" borderId="13" xfId="8" applyFont="1" applyFill="1" applyBorder="1" applyAlignment="1">
      <alignment vertical="center"/>
    </xf>
    <xf numFmtId="0" fontId="2" fillId="0" borderId="1" xfId="8" applyFont="1" applyBorder="1" applyAlignment="1">
      <alignment vertical="center" shrinkToFit="1"/>
    </xf>
    <xf numFmtId="0" fontId="2" fillId="0" borderId="6" xfId="8" applyFont="1" applyBorder="1" applyAlignment="1">
      <alignment vertical="center"/>
    </xf>
    <xf numFmtId="0" fontId="2" fillId="0" borderId="11" xfId="8" applyFont="1" applyBorder="1" applyAlignment="1">
      <alignment vertical="center"/>
    </xf>
    <xf numFmtId="0" fontId="2" fillId="0" borderId="12" xfId="8" applyFont="1" applyBorder="1" applyAlignment="1">
      <alignment vertical="center"/>
    </xf>
    <xf numFmtId="14" fontId="2" fillId="0" borderId="0" xfId="8" applyNumberFormat="1" applyFont="1" applyAlignment="1">
      <alignment vertical="center"/>
    </xf>
    <xf numFmtId="0" fontId="2" fillId="0" borderId="5" xfId="8" applyFont="1" applyFill="1" applyBorder="1" applyAlignment="1">
      <alignment vertical="center" shrinkToFit="1"/>
    </xf>
    <xf numFmtId="0" fontId="2" fillId="0" borderId="6" xfId="8" applyNumberFormat="1" applyFont="1" applyBorder="1" applyAlignment="1">
      <alignment vertical="center"/>
    </xf>
    <xf numFmtId="0" fontId="2" fillId="0" borderId="7" xfId="0" applyFont="1" applyBorder="1" applyAlignment="1">
      <alignment vertical="center"/>
    </xf>
    <xf numFmtId="0" fontId="2" fillId="0" borderId="7" xfId="0" applyNumberFormat="1" applyFont="1" applyBorder="1" applyAlignment="1">
      <alignment vertical="center"/>
    </xf>
    <xf numFmtId="0" fontId="2" fillId="0" borderId="6" xfId="8" applyNumberFormat="1" applyFont="1" applyBorder="1" applyAlignment="1" applyProtection="1">
      <alignment vertical="center"/>
      <protection locked="0"/>
    </xf>
    <xf numFmtId="0" fontId="2" fillId="2" borderId="7" xfId="10" applyFont="1" applyFill="1" applyBorder="1" applyAlignment="1">
      <alignment vertical="center"/>
    </xf>
    <xf numFmtId="0" fontId="2" fillId="2" borderId="1" xfId="10" applyFont="1" applyFill="1" applyBorder="1" applyAlignment="1">
      <alignment horizontal="center" vertical="center"/>
    </xf>
    <xf numFmtId="176" fontId="2" fillId="0" borderId="7" xfId="10" applyNumberFormat="1" applyFont="1" applyFill="1" applyBorder="1" applyAlignment="1">
      <alignment vertical="center"/>
    </xf>
    <xf numFmtId="14" fontId="2" fillId="0" borderId="1" xfId="10" applyNumberFormat="1" applyFont="1" applyBorder="1" applyAlignment="1">
      <alignment horizontal="center" vertical="center"/>
    </xf>
    <xf numFmtId="0" fontId="2" fillId="2" borderId="6" xfId="10" applyFont="1" applyFill="1" applyBorder="1" applyAlignment="1">
      <alignment horizontal="center" vertical="center"/>
    </xf>
    <xf numFmtId="0" fontId="2" fillId="2" borderId="11" xfId="10" applyFont="1" applyFill="1" applyBorder="1" applyAlignment="1">
      <alignment horizontal="center" vertical="center"/>
    </xf>
    <xf numFmtId="0" fontId="2" fillId="2" borderId="12" xfId="10" applyFont="1" applyFill="1" applyBorder="1" applyAlignment="1">
      <alignment horizontal="center" vertical="center"/>
    </xf>
    <xf numFmtId="0" fontId="2" fillId="0" borderId="0" xfId="10" applyFont="1" applyAlignment="1">
      <alignment horizontal="center" vertical="center"/>
    </xf>
    <xf numFmtId="0" fontId="2" fillId="0" borderId="1" xfId="10" applyFont="1" applyBorder="1" applyAlignment="1">
      <alignment horizontal="center" vertical="center"/>
    </xf>
    <xf numFmtId="0" fontId="2" fillId="0" borderId="12" xfId="10" applyFont="1" applyFill="1" applyBorder="1" applyAlignment="1">
      <alignment vertical="center"/>
    </xf>
    <xf numFmtId="0" fontId="2" fillId="0" borderId="1" xfId="10" applyFont="1" applyFill="1" applyBorder="1" applyAlignment="1">
      <alignment horizontal="center" vertical="center"/>
    </xf>
    <xf numFmtId="49" fontId="2" fillId="0" borderId="1" xfId="10" applyNumberFormat="1" applyFont="1" applyBorder="1" applyAlignment="1">
      <alignment horizontal="center" vertical="center"/>
    </xf>
    <xf numFmtId="0" fontId="2" fillId="0" borderId="1" xfId="10" applyFont="1" applyFill="1" applyBorder="1" applyAlignment="1">
      <alignment vertical="center" shrinkToFit="1"/>
    </xf>
    <xf numFmtId="0" fontId="2" fillId="0" borderId="6" xfId="10" applyFont="1" applyFill="1" applyBorder="1" applyAlignment="1">
      <alignment vertical="center"/>
    </xf>
    <xf numFmtId="0" fontId="2" fillId="0" borderId="11" xfId="10" applyFont="1" applyFill="1" applyBorder="1" applyAlignment="1">
      <alignment vertical="center"/>
    </xf>
    <xf numFmtId="0" fontId="2" fillId="0" borderId="1" xfId="10" applyFont="1" applyBorder="1" applyAlignment="1">
      <alignment vertical="center" shrinkToFit="1"/>
    </xf>
    <xf numFmtId="0" fontId="2" fillId="0" borderId="6" xfId="10" applyFont="1" applyBorder="1" applyAlignment="1">
      <alignment vertical="center"/>
    </xf>
    <xf numFmtId="0" fontId="2" fillId="0" borderId="11" xfId="10" applyFont="1" applyBorder="1" applyAlignment="1">
      <alignment vertical="center"/>
    </xf>
    <xf numFmtId="0" fontId="2" fillId="0" borderId="12" xfId="10" applyFont="1" applyBorder="1" applyAlignment="1">
      <alignment vertical="center"/>
    </xf>
    <xf numFmtId="0" fontId="2" fillId="0" borderId="1" xfId="0" applyFont="1" applyBorder="1" applyAlignment="1">
      <alignment vertical="center"/>
    </xf>
    <xf numFmtId="0" fontId="2" fillId="0" borderId="5" xfId="21" applyFont="1" applyFill="1" applyBorder="1" applyAlignment="1">
      <alignment vertical="center"/>
    </xf>
    <xf numFmtId="0" fontId="2" fillId="0" borderId="6" xfId="21" applyFont="1" applyFill="1" applyBorder="1" applyAlignment="1">
      <alignment vertical="center"/>
    </xf>
    <xf numFmtId="0" fontId="2" fillId="0" borderId="11" xfId="21" applyFont="1" applyFill="1" applyBorder="1" applyAlignment="1">
      <alignment vertical="center"/>
    </xf>
    <xf numFmtId="0" fontId="2" fillId="0" borderId="12" xfId="21" applyFont="1" applyFill="1" applyBorder="1" applyAlignment="1">
      <alignment vertical="center"/>
    </xf>
    <xf numFmtId="0" fontId="2" fillId="0" borderId="1" xfId="21" applyFont="1" applyBorder="1" applyAlignment="1">
      <alignment vertical="center"/>
    </xf>
    <xf numFmtId="0" fontId="2" fillId="0" borderId="1" xfId="21" applyFont="1" applyFill="1" applyBorder="1" applyAlignment="1">
      <alignment horizontal="center" vertical="center"/>
    </xf>
    <xf numFmtId="49" fontId="2" fillId="0" borderId="1" xfId="21" applyNumberFormat="1" applyFont="1" applyFill="1" applyBorder="1" applyAlignment="1">
      <alignment horizontal="center" vertical="center"/>
    </xf>
    <xf numFmtId="0" fontId="2" fillId="0" borderId="9" xfId="21" applyFont="1" applyFill="1" applyBorder="1" applyAlignment="1">
      <alignment vertical="center"/>
    </xf>
    <xf numFmtId="0" fontId="2" fillId="0" borderId="0" xfId="21" applyFont="1" applyFill="1" applyBorder="1" applyAlignment="1">
      <alignment vertical="center"/>
    </xf>
    <xf numFmtId="0" fontId="2" fillId="0" borderId="0" xfId="21" applyFont="1" applyAlignment="1">
      <alignment vertical="center"/>
    </xf>
    <xf numFmtId="0" fontId="2" fillId="0" borderId="0" xfId="21" applyFont="1" applyBorder="1" applyAlignment="1">
      <alignment vertical="center"/>
    </xf>
    <xf numFmtId="0" fontId="2" fillId="0" borderId="0" xfId="4" applyFont="1" applyAlignment="1">
      <alignment horizontal="center" vertical="center"/>
    </xf>
    <xf numFmtId="0" fontId="2" fillId="0" borderId="0" xfId="4" applyFont="1" applyAlignment="1">
      <alignment vertical="center"/>
    </xf>
    <xf numFmtId="0" fontId="2" fillId="2" borderId="7" xfId="4" applyFont="1" applyFill="1" applyBorder="1" applyAlignment="1">
      <alignment horizontal="center" vertical="center"/>
    </xf>
    <xf numFmtId="0" fontId="2" fillId="2" borderId="7" xfId="4" applyFont="1" applyFill="1" applyBorder="1" applyAlignment="1">
      <alignment vertical="center"/>
    </xf>
    <xf numFmtId="0" fontId="2" fillId="2" borderId="1" xfId="4" applyFont="1" applyFill="1" applyBorder="1" applyAlignment="1">
      <alignment horizontal="center" vertical="center"/>
    </xf>
    <xf numFmtId="176" fontId="2" fillId="0" borderId="7" xfId="4" applyNumberFormat="1" applyFont="1" applyFill="1" applyBorder="1" applyAlignment="1">
      <alignment vertical="center"/>
    </xf>
    <xf numFmtId="14" fontId="2" fillId="0" borderId="1" xfId="4" applyNumberFormat="1" applyFont="1" applyBorder="1" applyAlignment="1">
      <alignment horizontal="center" vertical="center"/>
    </xf>
    <xf numFmtId="0" fontId="2" fillId="2" borderId="2" xfId="4" applyFont="1" applyFill="1" applyBorder="1" applyAlignment="1">
      <alignment horizontal="center" vertical="center"/>
    </xf>
    <xf numFmtId="0" fontId="2" fillId="2" borderId="6" xfId="4" applyFont="1" applyFill="1" applyBorder="1" applyAlignment="1">
      <alignment horizontal="center" vertical="center"/>
    </xf>
    <xf numFmtId="0" fontId="2" fillId="2" borderId="11" xfId="4" applyFont="1" applyFill="1" applyBorder="1" applyAlignment="1">
      <alignment horizontal="center" vertical="center"/>
    </xf>
    <xf numFmtId="0" fontId="2" fillId="2" borderId="12" xfId="4" applyFont="1" applyFill="1" applyBorder="1" applyAlignment="1">
      <alignment horizontal="center" vertical="center"/>
    </xf>
    <xf numFmtId="0" fontId="2" fillId="0" borderId="12" xfId="4" applyFont="1" applyBorder="1" applyAlignment="1">
      <alignment vertical="center"/>
    </xf>
    <xf numFmtId="49" fontId="2" fillId="0" borderId="1" xfId="4" applyNumberFormat="1" applyFont="1" applyBorder="1" applyAlignment="1">
      <alignment horizontal="center" vertical="center"/>
    </xf>
    <xf numFmtId="0" fontId="2" fillId="0" borderId="5" xfId="4" applyFont="1" applyFill="1" applyBorder="1" applyAlignment="1">
      <alignment vertical="center"/>
    </xf>
    <xf numFmtId="0" fontId="2" fillId="0" borderId="6" xfId="4" applyFont="1" applyBorder="1" applyAlignment="1">
      <alignment vertical="center"/>
    </xf>
    <xf numFmtId="0" fontId="2" fillId="0" borderId="11" xfId="4" applyFont="1" applyBorder="1" applyAlignment="1">
      <alignment vertical="center"/>
    </xf>
    <xf numFmtId="0" fontId="2" fillId="0" borderId="13" xfId="4" applyFont="1" applyFill="1" applyBorder="1" applyAlignment="1">
      <alignment vertical="center"/>
    </xf>
    <xf numFmtId="0" fontId="2" fillId="0" borderId="6" xfId="0" applyFont="1" applyBorder="1" applyAlignment="1">
      <alignment vertical="center"/>
    </xf>
    <xf numFmtId="0" fontId="2" fillId="0" borderId="11" xfId="5" applyFont="1" applyBorder="1" applyAlignment="1">
      <alignment vertical="center"/>
    </xf>
    <xf numFmtId="0" fontId="2" fillId="0" borderId="12" xfId="5" applyFont="1" applyBorder="1" applyAlignment="1">
      <alignment vertical="center"/>
    </xf>
    <xf numFmtId="0" fontId="2" fillId="0" borderId="1" xfId="5" applyFont="1" applyBorder="1" applyAlignment="1">
      <alignment horizontal="center" vertical="center"/>
    </xf>
    <xf numFmtId="49" fontId="2" fillId="0" borderId="1" xfId="5" applyNumberFormat="1" applyFont="1" applyBorder="1" applyAlignment="1">
      <alignment horizontal="center" vertical="center"/>
    </xf>
    <xf numFmtId="0" fontId="2" fillId="0" borderId="1" xfId="4" applyFont="1" applyBorder="1" applyAlignment="1">
      <alignment vertical="center" shrinkToFit="1"/>
    </xf>
    <xf numFmtId="0" fontId="2" fillId="3" borderId="0" xfId="10" applyFont="1" applyFill="1" applyAlignment="1">
      <alignment vertical="center"/>
    </xf>
    <xf numFmtId="0" fontId="11" fillId="0" borderId="1" xfId="8" applyFont="1" applyBorder="1" applyAlignment="1">
      <alignment horizontal="center" vertical="center"/>
    </xf>
    <xf numFmtId="0" fontId="2" fillId="0" borderId="13" xfId="0" applyFont="1" applyBorder="1" applyAlignment="1">
      <alignment vertical="center"/>
    </xf>
    <xf numFmtId="0" fontId="2" fillId="0" borderId="1" xfId="17" applyFont="1" applyBorder="1" applyAlignment="1">
      <alignment horizontal="center" vertical="center"/>
    </xf>
    <xf numFmtId="0" fontId="2" fillId="0" borderId="5" xfId="17" applyFont="1" applyFill="1" applyBorder="1" applyAlignment="1">
      <alignment vertical="center"/>
    </xf>
    <xf numFmtId="0" fontId="2" fillId="0" borderId="6" xfId="17" applyFont="1" applyFill="1" applyBorder="1" applyAlignment="1">
      <alignment vertical="center"/>
    </xf>
    <xf numFmtId="0" fontId="2" fillId="0" borderId="11" xfId="17" applyFont="1" applyFill="1" applyBorder="1" applyAlignment="1">
      <alignment vertical="center"/>
    </xf>
    <xf numFmtId="0" fontId="2" fillId="0" borderId="12" xfId="17" applyFont="1" applyFill="1" applyBorder="1" applyAlignment="1">
      <alignment vertical="center"/>
    </xf>
    <xf numFmtId="0" fontId="2" fillId="0" borderId="1" xfId="17" applyFont="1" applyBorder="1" applyAlignment="1">
      <alignment vertical="center"/>
    </xf>
    <xf numFmtId="0" fontId="2" fillId="0" borderId="1" xfId="17" applyFont="1" applyFill="1" applyBorder="1" applyAlignment="1">
      <alignment horizontal="center" vertical="center"/>
    </xf>
    <xf numFmtId="49" fontId="2" fillId="0" borderId="1" xfId="17" applyNumberFormat="1" applyFont="1" applyFill="1" applyBorder="1" applyAlignment="1">
      <alignment horizontal="center" vertical="center"/>
    </xf>
    <xf numFmtId="0" fontId="2" fillId="0" borderId="0" xfId="17" applyFont="1" applyAlignment="1">
      <alignment vertical="center"/>
    </xf>
    <xf numFmtId="0" fontId="2" fillId="0" borderId="5" xfId="17" applyFont="1" applyBorder="1" applyAlignment="1">
      <alignment vertical="center"/>
    </xf>
    <xf numFmtId="0" fontId="2" fillId="0" borderId="6" xfId="17" applyFont="1" applyBorder="1" applyAlignment="1">
      <alignment vertical="center"/>
    </xf>
    <xf numFmtId="0" fontId="2" fillId="0" borderId="11" xfId="17" applyFont="1" applyBorder="1" applyAlignment="1">
      <alignment vertical="center"/>
    </xf>
    <xf numFmtId="0" fontId="2" fillId="0" borderId="12" xfId="17" applyFont="1" applyBorder="1" applyAlignment="1">
      <alignment vertical="center"/>
    </xf>
    <xf numFmtId="49" fontId="2" fillId="0" borderId="1" xfId="17" applyNumberFormat="1" applyFont="1" applyBorder="1" applyAlignment="1">
      <alignment horizontal="center" vertical="center"/>
    </xf>
    <xf numFmtId="0" fontId="2" fillId="0" borderId="5" xfId="0" applyFont="1" applyBorder="1" applyAlignment="1">
      <alignment vertical="center"/>
    </xf>
    <xf numFmtId="0" fontId="2" fillId="0" borderId="8" xfId="10" applyFont="1" applyFill="1" applyBorder="1" applyAlignment="1">
      <alignment vertical="center"/>
    </xf>
    <xf numFmtId="0" fontId="2" fillId="0" borderId="7" xfId="10" applyFont="1" applyFill="1" applyBorder="1" applyAlignment="1">
      <alignment vertical="center"/>
    </xf>
    <xf numFmtId="0" fontId="2" fillId="0" borderId="1" xfId="8" applyFont="1" applyBorder="1" applyAlignment="1">
      <alignment horizontal="center" vertical="top"/>
    </xf>
    <xf numFmtId="0" fontId="2" fillId="0" borderId="1" xfId="0" applyFont="1" applyFill="1" applyBorder="1" applyAlignment="1">
      <alignment vertical="top"/>
    </xf>
    <xf numFmtId="0" fontId="2" fillId="0" borderId="13" xfId="0" applyFont="1" applyFill="1" applyBorder="1" applyAlignment="1">
      <alignment vertical="top"/>
    </xf>
    <xf numFmtId="0" fontId="2" fillId="0" borderId="7" xfId="0" applyFont="1" applyFill="1" applyBorder="1" applyAlignment="1">
      <alignment vertical="top"/>
    </xf>
    <xf numFmtId="0" fontId="2" fillId="0" borderId="11" xfId="8" applyFont="1" applyFill="1" applyBorder="1" applyAlignment="1">
      <alignment vertical="top"/>
    </xf>
    <xf numFmtId="0" fontId="2" fillId="0" borderId="12" xfId="8" applyFont="1" applyFill="1" applyBorder="1" applyAlignment="1">
      <alignment vertical="top"/>
    </xf>
    <xf numFmtId="0" fontId="2" fillId="0" borderId="1" xfId="8" applyFont="1" applyFill="1" applyBorder="1" applyAlignment="1">
      <alignment horizontal="center" vertical="top"/>
    </xf>
    <xf numFmtId="49" fontId="2" fillId="0" borderId="1" xfId="8" applyNumberFormat="1" applyFont="1" applyBorder="1" applyAlignment="1">
      <alignment horizontal="center" vertical="top"/>
    </xf>
    <xf numFmtId="0" fontId="2" fillId="0" borderId="0" xfId="8" applyFont="1" applyAlignment="1">
      <alignment vertical="top"/>
    </xf>
    <xf numFmtId="0" fontId="2" fillId="0" borderId="0" xfId="8" applyFont="1" applyFill="1" applyAlignment="1">
      <alignment vertical="center"/>
    </xf>
    <xf numFmtId="49" fontId="2" fillId="0" borderId="1" xfId="8" applyNumberFormat="1" applyFont="1" applyFill="1" applyBorder="1" applyAlignment="1">
      <alignment horizontal="center" vertical="center"/>
    </xf>
    <xf numFmtId="0" fontId="2" fillId="0" borderId="1" xfId="4" applyFont="1" applyFill="1" applyBorder="1" applyAlignment="1">
      <alignment horizontal="center" vertical="center"/>
    </xf>
    <xf numFmtId="49" fontId="2" fillId="0" borderId="1" xfId="4" applyNumberFormat="1" applyFont="1" applyFill="1" applyBorder="1" applyAlignment="1">
      <alignment horizontal="center" vertical="center"/>
    </xf>
    <xf numFmtId="0" fontId="2" fillId="0" borderId="1" xfId="4" applyFont="1" applyBorder="1" applyAlignment="1">
      <alignment vertical="center"/>
    </xf>
    <xf numFmtId="49" fontId="11" fillId="0" borderId="1" xfId="8" applyNumberFormat="1" applyFont="1" applyFill="1" applyBorder="1" applyAlignment="1">
      <alignment horizontal="center" vertical="center"/>
    </xf>
    <xf numFmtId="49" fontId="2" fillId="0" borderId="1" xfId="10" applyNumberFormat="1" applyFont="1" applyFill="1" applyBorder="1" applyAlignment="1">
      <alignment horizontal="center" vertical="center"/>
    </xf>
    <xf numFmtId="0" fontId="2" fillId="0" borderId="0" xfId="12" applyFont="1" applyAlignment="1">
      <alignment horizontal="center" vertical="center"/>
    </xf>
    <xf numFmtId="0" fontId="2" fillId="0" borderId="0" xfId="12" applyFont="1" applyAlignment="1">
      <alignment vertical="center"/>
    </xf>
    <xf numFmtId="0" fontId="2" fillId="2" borderId="7" xfId="12" applyFont="1" applyFill="1" applyBorder="1" applyAlignment="1">
      <alignment horizontal="center" vertical="center"/>
    </xf>
    <xf numFmtId="0" fontId="2" fillId="2" borderId="7" xfId="12" applyFont="1" applyFill="1" applyBorder="1" applyAlignment="1">
      <alignment vertical="center"/>
    </xf>
    <xf numFmtId="0" fontId="2" fillId="2" borderId="1" xfId="12" applyFont="1" applyFill="1" applyBorder="1" applyAlignment="1">
      <alignment horizontal="center" vertical="center"/>
    </xf>
    <xf numFmtId="176" fontId="2" fillId="0" borderId="7" xfId="12" applyNumberFormat="1" applyFont="1" applyFill="1" applyBorder="1" applyAlignment="1">
      <alignment vertical="center"/>
    </xf>
    <xf numFmtId="14" fontId="2" fillId="0" borderId="1" xfId="12" applyNumberFormat="1" applyFont="1" applyBorder="1" applyAlignment="1">
      <alignment horizontal="center" vertical="center"/>
    </xf>
    <xf numFmtId="0" fontId="2" fillId="2" borderId="2" xfId="12" applyFont="1" applyFill="1" applyBorder="1" applyAlignment="1">
      <alignment horizontal="center" vertical="center"/>
    </xf>
    <xf numFmtId="0" fontId="2" fillId="2" borderId="6" xfId="12" applyFont="1" applyFill="1" applyBorder="1" applyAlignment="1">
      <alignment horizontal="center" vertical="center"/>
    </xf>
    <xf numFmtId="0" fontId="2" fillId="2" borderId="11" xfId="12" applyFont="1" applyFill="1" applyBorder="1" applyAlignment="1">
      <alignment horizontal="center" vertical="center"/>
    </xf>
    <xf numFmtId="0" fontId="2" fillId="2" borderId="12" xfId="12" applyFont="1" applyFill="1" applyBorder="1" applyAlignment="1">
      <alignment horizontal="center" vertical="center"/>
    </xf>
    <xf numFmtId="0" fontId="2" fillId="0" borderId="1" xfId="12" applyFont="1" applyFill="1" applyBorder="1" applyAlignment="1">
      <alignment horizontal="center" vertical="center"/>
    </xf>
    <xf numFmtId="0" fontId="2" fillId="0" borderId="12" xfId="12" applyFont="1" applyFill="1" applyBorder="1" applyAlignment="1">
      <alignment vertical="center"/>
    </xf>
    <xf numFmtId="49" fontId="2" fillId="0" borderId="1" xfId="12" applyNumberFormat="1" applyFont="1" applyBorder="1" applyAlignment="1">
      <alignment horizontal="center" vertical="center"/>
    </xf>
    <xf numFmtId="0" fontId="2" fillId="0" borderId="11" xfId="12" applyFont="1" applyFill="1" applyBorder="1" applyAlignment="1">
      <alignment vertical="center"/>
    </xf>
    <xf numFmtId="0" fontId="2" fillId="0" borderId="1" xfId="12" applyFont="1" applyBorder="1" applyAlignment="1">
      <alignment horizontal="center" vertical="center"/>
    </xf>
    <xf numFmtId="0" fontId="2" fillId="0" borderId="8" xfId="12" applyFont="1" applyBorder="1" applyAlignment="1">
      <alignment vertical="center"/>
    </xf>
    <xf numFmtId="0" fontId="2" fillId="0" borderId="7" xfId="12" applyFont="1" applyBorder="1" applyAlignment="1">
      <alignment vertical="center"/>
    </xf>
    <xf numFmtId="0" fontId="2" fillId="0" borderId="1" xfId="12" applyFont="1" applyBorder="1" applyAlignment="1">
      <alignment vertical="center" shrinkToFit="1"/>
    </xf>
    <xf numFmtId="0" fontId="2" fillId="0" borderId="5" xfId="12" applyFont="1" applyBorder="1" applyAlignment="1">
      <alignment vertical="center"/>
    </xf>
    <xf numFmtId="0" fontId="2" fillId="0" borderId="6" xfId="12" applyFont="1" applyBorder="1" applyAlignment="1">
      <alignment vertical="center"/>
    </xf>
    <xf numFmtId="0" fontId="2" fillId="0" borderId="11" xfId="12" applyFont="1" applyBorder="1" applyAlignment="1">
      <alignment vertical="center"/>
    </xf>
    <xf numFmtId="0" fontId="2" fillId="0" borderId="12" xfId="12" applyFont="1" applyBorder="1" applyAlignment="1">
      <alignment vertical="center"/>
    </xf>
    <xf numFmtId="0" fontId="2" fillId="0" borderId="5" xfId="8" applyFont="1" applyBorder="1" applyAlignment="1">
      <alignment vertical="center" shrinkToFit="1"/>
    </xf>
    <xf numFmtId="0" fontId="2" fillId="0" borderId="5" xfId="10" applyFont="1" applyBorder="1" applyAlignment="1">
      <alignment vertical="center" shrinkToFit="1"/>
    </xf>
    <xf numFmtId="0" fontId="2" fillId="0" borderId="0" xfId="9" applyFont="1" applyAlignment="1">
      <alignment horizontal="center" vertical="center"/>
    </xf>
    <xf numFmtId="0" fontId="2" fillId="0" borderId="0" xfId="24" applyFont="1" applyAlignment="1">
      <alignment vertical="center"/>
    </xf>
    <xf numFmtId="0" fontId="2" fillId="0" borderId="0" xfId="9" applyFont="1" applyAlignment="1">
      <alignment vertical="center"/>
    </xf>
    <xf numFmtId="0" fontId="2" fillId="2" borderId="7" xfId="9" applyFont="1" applyFill="1" applyBorder="1" applyAlignment="1">
      <alignment horizontal="center" vertical="center"/>
    </xf>
    <xf numFmtId="0" fontId="2" fillId="2" borderId="7" xfId="9" applyFont="1" applyFill="1" applyBorder="1" applyAlignment="1">
      <alignment vertical="center"/>
    </xf>
    <xf numFmtId="0" fontId="2" fillId="2" borderId="1" xfId="9" applyFont="1" applyFill="1" applyBorder="1" applyAlignment="1">
      <alignment horizontal="center" vertical="center"/>
    </xf>
    <xf numFmtId="176" fontId="2" fillId="0" borderId="7" xfId="9" applyNumberFormat="1" applyFont="1" applyFill="1" applyBorder="1" applyAlignment="1">
      <alignment vertical="center"/>
    </xf>
    <xf numFmtId="14" fontId="2" fillId="0" borderId="1" xfId="9" applyNumberFormat="1" applyFont="1" applyBorder="1" applyAlignment="1">
      <alignment horizontal="center" vertical="center"/>
    </xf>
    <xf numFmtId="0" fontId="2" fillId="2" borderId="2" xfId="9" applyFont="1" applyFill="1" applyBorder="1" applyAlignment="1">
      <alignment horizontal="center" vertical="center"/>
    </xf>
    <xf numFmtId="0" fontId="2" fillId="2" borderId="6" xfId="9" applyFont="1" applyFill="1" applyBorder="1" applyAlignment="1">
      <alignment horizontal="center" vertical="center"/>
    </xf>
    <xf numFmtId="0" fontId="2" fillId="2" borderId="11" xfId="9" applyFont="1" applyFill="1" applyBorder="1" applyAlignment="1">
      <alignment horizontal="center" vertical="center"/>
    </xf>
    <xf numFmtId="0" fontId="2" fillId="2" borderId="12" xfId="9" applyFont="1" applyFill="1" applyBorder="1" applyAlignment="1">
      <alignment horizontal="center" vertical="center"/>
    </xf>
    <xf numFmtId="0" fontId="2" fillId="0" borderId="1" xfId="9" applyFont="1" applyBorder="1" applyAlignment="1">
      <alignment horizontal="center" vertical="center"/>
    </xf>
    <xf numFmtId="0" fontId="2" fillId="0" borderId="1" xfId="9" applyFont="1" applyFill="1" applyBorder="1" applyAlignment="1">
      <alignment vertical="center" shrinkToFit="1"/>
    </xf>
    <xf numFmtId="0" fontId="2" fillId="0" borderId="5" xfId="9" applyFont="1" applyFill="1" applyBorder="1" applyAlignment="1">
      <alignment vertical="center"/>
    </xf>
    <xf numFmtId="0" fontId="2" fillId="0" borderId="6" xfId="9" applyFont="1" applyBorder="1" applyAlignment="1">
      <alignment vertical="center"/>
    </xf>
    <xf numFmtId="0" fontId="2" fillId="0" borderId="11" xfId="9" applyFont="1" applyBorder="1" applyAlignment="1">
      <alignment vertical="center"/>
    </xf>
    <xf numFmtId="0" fontId="2" fillId="0" borderId="12" xfId="9" applyFont="1" applyBorder="1" applyAlignment="1">
      <alignment vertical="center"/>
    </xf>
    <xf numFmtId="0" fontId="2" fillId="0" borderId="1" xfId="9" applyNumberFormat="1" applyFont="1" applyBorder="1" applyAlignment="1">
      <alignment horizontal="left" vertical="center"/>
    </xf>
    <xf numFmtId="0" fontId="2" fillId="0" borderId="5" xfId="9" applyFont="1" applyBorder="1" applyAlignment="1">
      <alignment vertical="center"/>
    </xf>
    <xf numFmtId="0" fontId="2" fillId="0" borderId="1" xfId="24" applyFont="1" applyFill="1" applyBorder="1" applyAlignment="1">
      <alignment vertical="center"/>
    </xf>
    <xf numFmtId="0" fontId="2" fillId="0" borderId="13" xfId="24" applyFont="1" applyFill="1" applyBorder="1" applyAlignment="1">
      <alignment vertical="center"/>
    </xf>
    <xf numFmtId="0" fontId="2" fillId="0" borderId="7" xfId="24" applyFont="1" applyBorder="1" applyAlignment="1">
      <alignment vertical="center"/>
    </xf>
    <xf numFmtId="0" fontId="2" fillId="0" borderId="0" xfId="9" applyFont="1" applyFill="1" applyAlignment="1">
      <alignment vertical="center"/>
    </xf>
    <xf numFmtId="0" fontId="11" fillId="0" borderId="0" xfId="9" applyFont="1" applyAlignment="1">
      <alignment vertical="center"/>
    </xf>
    <xf numFmtId="0" fontId="2" fillId="0" borderId="11" xfId="9" applyFont="1" applyFill="1" applyBorder="1" applyAlignment="1">
      <alignment vertical="center"/>
    </xf>
    <xf numFmtId="0" fontId="2" fillId="0" borderId="12" xfId="9" applyFont="1" applyFill="1" applyBorder="1" applyAlignment="1">
      <alignment vertical="center"/>
    </xf>
    <xf numFmtId="0" fontId="2" fillId="0" borderId="1" xfId="9" applyFont="1" applyFill="1" applyBorder="1" applyAlignment="1">
      <alignment horizontal="center" vertical="center"/>
    </xf>
    <xf numFmtId="0" fontId="2" fillId="0" borderId="1" xfId="9" applyNumberFormat="1" applyFont="1" applyFill="1" applyBorder="1" applyAlignment="1">
      <alignment horizontal="left" vertical="center"/>
    </xf>
    <xf numFmtId="0" fontId="2" fillId="0" borderId="6" xfId="9" applyFont="1" applyFill="1" applyBorder="1" applyAlignment="1">
      <alignment vertical="center"/>
    </xf>
    <xf numFmtId="0" fontId="2" fillId="0" borderId="1" xfId="4" applyNumberFormat="1" applyFont="1" applyBorder="1" applyAlignment="1">
      <alignment horizontal="left" vertical="center"/>
    </xf>
    <xf numFmtId="0" fontId="2" fillId="0" borderId="1" xfId="9" applyFont="1" applyBorder="1" applyAlignment="1">
      <alignment vertical="center" shrinkToFit="1"/>
    </xf>
    <xf numFmtId="0" fontId="2" fillId="0" borderId="1" xfId="9" applyFont="1" applyBorder="1" applyAlignment="1">
      <alignment vertical="center"/>
    </xf>
    <xf numFmtId="0" fontId="2" fillId="0" borderId="5" xfId="9" applyFont="1" applyFill="1" applyBorder="1" applyAlignment="1">
      <alignment vertical="center" shrinkToFit="1"/>
    </xf>
    <xf numFmtId="0" fontId="2" fillId="0" borderId="1" xfId="9" applyFont="1" applyFill="1" applyBorder="1" applyAlignment="1">
      <alignment vertical="center"/>
    </xf>
    <xf numFmtId="14" fontId="2" fillId="0" borderId="0" xfId="9" applyNumberFormat="1" applyFont="1" applyAlignment="1">
      <alignment vertical="center"/>
    </xf>
    <xf numFmtId="0" fontId="2" fillId="0" borderId="1" xfId="8" applyFont="1" applyFill="1" applyBorder="1" applyAlignment="1">
      <alignment vertical="center"/>
    </xf>
    <xf numFmtId="0" fontId="2" fillId="0" borderId="13" xfId="8" applyFont="1" applyFill="1" applyBorder="1" applyAlignment="1">
      <alignment vertical="center" shrinkToFit="1"/>
    </xf>
    <xf numFmtId="49" fontId="11" fillId="0" borderId="5" xfId="28" applyNumberFormat="1" applyFont="1" applyFill="1" applyBorder="1" applyAlignment="1">
      <alignment horizontal="left" vertical="center"/>
    </xf>
    <xf numFmtId="0" fontId="11" fillId="0" borderId="5" xfId="8" applyFont="1" applyBorder="1" applyAlignment="1">
      <alignment vertical="center"/>
    </xf>
    <xf numFmtId="0" fontId="11" fillId="0" borderId="6" xfId="8" applyFont="1" applyBorder="1" applyAlignment="1">
      <alignment vertical="center"/>
    </xf>
    <xf numFmtId="0" fontId="11" fillId="0" borderId="11" xfId="8" applyFont="1" applyBorder="1" applyAlignment="1">
      <alignment vertical="center"/>
    </xf>
    <xf numFmtId="0" fontId="11" fillId="0" borderId="12" xfId="8" applyFont="1" applyBorder="1" applyAlignment="1">
      <alignment vertical="center"/>
    </xf>
    <xf numFmtId="0" fontId="11" fillId="0" borderId="0" xfId="8" applyFont="1" applyAlignment="1">
      <alignment vertical="center"/>
    </xf>
    <xf numFmtId="0" fontId="11" fillId="0" borderId="1" xfId="8" applyFont="1" applyBorder="1" applyAlignment="1">
      <alignment vertical="center" shrinkToFit="1"/>
    </xf>
    <xf numFmtId="0" fontId="2" fillId="0" borderId="1" xfId="10" applyFont="1" applyFill="1" applyBorder="1" applyAlignment="1">
      <alignment vertical="center"/>
    </xf>
    <xf numFmtId="0" fontId="2" fillId="0" borderId="0" xfId="10" applyFont="1" applyFill="1" applyAlignment="1">
      <alignment horizontal="center" vertical="center"/>
    </xf>
    <xf numFmtId="0" fontId="2" fillId="0" borderId="0" xfId="0" applyFont="1" applyFill="1" applyAlignment="1">
      <alignment vertical="center"/>
    </xf>
    <xf numFmtId="0" fontId="2" fillId="0" borderId="0" xfId="10" applyFont="1" applyFill="1" applyAlignment="1">
      <alignment vertical="center"/>
    </xf>
    <xf numFmtId="0" fontId="11" fillId="0" borderId="12" xfId="10" applyFont="1" applyBorder="1" applyAlignment="1">
      <alignment vertical="center"/>
    </xf>
    <xf numFmtId="49" fontId="11" fillId="0" borderId="1" xfId="10" applyNumberFormat="1" applyFont="1" applyBorder="1" applyAlignment="1">
      <alignment horizontal="center" vertical="center"/>
    </xf>
    <xf numFmtId="0" fontId="2" fillId="4" borderId="0" xfId="10" applyFont="1" applyFill="1" applyAlignment="1">
      <alignment vertical="center"/>
    </xf>
    <xf numFmtId="0" fontId="2" fillId="0" borderId="8" xfId="0" applyFont="1" applyBorder="1" applyAlignment="1">
      <alignment vertical="center"/>
    </xf>
    <xf numFmtId="0" fontId="2" fillId="0" borderId="0" xfId="6" applyFont="1" applyAlignment="1">
      <alignment vertical="center"/>
    </xf>
    <xf numFmtId="0" fontId="2" fillId="2" borderId="7" xfId="6" applyFont="1" applyFill="1" applyBorder="1" applyAlignment="1">
      <alignment horizontal="center" vertical="center"/>
    </xf>
    <xf numFmtId="0" fontId="2" fillId="2" borderId="7" xfId="6" applyFont="1" applyFill="1" applyBorder="1" applyAlignment="1">
      <alignment vertical="center"/>
    </xf>
    <xf numFmtId="0" fontId="2" fillId="2" borderId="1" xfId="6" applyFont="1" applyFill="1" applyBorder="1" applyAlignment="1">
      <alignment horizontal="center" vertical="center"/>
    </xf>
    <xf numFmtId="176" fontId="2" fillId="0" borderId="7" xfId="6" applyNumberFormat="1" applyFont="1" applyFill="1" applyBorder="1" applyAlignment="1">
      <alignment vertical="center"/>
    </xf>
    <xf numFmtId="14" fontId="2" fillId="0" borderId="1" xfId="6" applyNumberFormat="1" applyFont="1" applyBorder="1" applyAlignment="1">
      <alignment horizontal="center" vertical="center"/>
    </xf>
    <xf numFmtId="0" fontId="2" fillId="0" borderId="1" xfId="6" applyFont="1" applyBorder="1" applyAlignment="1">
      <alignment horizontal="center" vertical="center"/>
    </xf>
    <xf numFmtId="0" fontId="2" fillId="2" borderId="2" xfId="6" applyFont="1" applyFill="1" applyBorder="1" applyAlignment="1">
      <alignment horizontal="center" vertical="center"/>
    </xf>
    <xf numFmtId="0" fontId="2" fillId="2" borderId="6" xfId="6" applyFont="1" applyFill="1" applyBorder="1" applyAlignment="1">
      <alignment horizontal="center" vertical="center"/>
    </xf>
    <xf numFmtId="0" fontId="2" fillId="2" borderId="11" xfId="6" applyFont="1" applyFill="1" applyBorder="1" applyAlignment="1">
      <alignment horizontal="center" vertical="center"/>
    </xf>
    <xf numFmtId="0" fontId="2" fillId="2" borderId="12" xfId="6" applyFont="1" applyFill="1" applyBorder="1" applyAlignment="1">
      <alignment horizontal="center" vertical="center"/>
    </xf>
    <xf numFmtId="0" fontId="2" fillId="0" borderId="11" xfId="6" applyFont="1" applyBorder="1" applyAlignment="1">
      <alignment vertical="center"/>
    </xf>
    <xf numFmtId="0" fontId="2" fillId="0" borderId="12" xfId="6" applyFont="1" applyBorder="1" applyAlignment="1">
      <alignment vertical="center"/>
    </xf>
    <xf numFmtId="49" fontId="2" fillId="0" borderId="1" xfId="6" applyNumberFormat="1" applyFont="1" applyBorder="1" applyAlignment="1">
      <alignment horizontal="center" vertical="center"/>
    </xf>
    <xf numFmtId="0" fontId="2" fillId="0" borderId="1" xfId="6" applyFont="1" applyBorder="1" applyAlignment="1">
      <alignment vertical="center" shrinkToFit="1"/>
    </xf>
    <xf numFmtId="0" fontId="2" fillId="0" borderId="5" xfId="6" applyFont="1" applyBorder="1" applyAlignment="1">
      <alignment vertical="center"/>
    </xf>
    <xf numFmtId="0" fontId="2" fillId="0" borderId="6" xfId="6" applyFont="1" applyBorder="1" applyAlignment="1">
      <alignment vertical="center"/>
    </xf>
    <xf numFmtId="0" fontId="2" fillId="0" borderId="1" xfId="6" applyFont="1" applyBorder="1" applyAlignment="1">
      <alignment vertical="center"/>
    </xf>
    <xf numFmtId="0" fontId="2" fillId="0" borderId="0" xfId="13" applyFont="1" applyAlignment="1">
      <alignment horizontal="center" vertical="center"/>
    </xf>
    <xf numFmtId="0" fontId="2" fillId="0" borderId="0" xfId="13" applyFont="1" applyAlignment="1">
      <alignment vertical="center"/>
    </xf>
    <xf numFmtId="0" fontId="2" fillId="2" borderId="7" xfId="13" applyFont="1" applyFill="1" applyBorder="1" applyAlignment="1">
      <alignment horizontal="center" vertical="center"/>
    </xf>
    <xf numFmtId="0" fontId="2" fillId="2" borderId="7" xfId="13" applyFont="1" applyFill="1" applyBorder="1" applyAlignment="1">
      <alignment vertical="center"/>
    </xf>
    <xf numFmtId="0" fontId="2" fillId="2" borderId="1" xfId="13" applyFont="1" applyFill="1" applyBorder="1" applyAlignment="1">
      <alignment horizontal="center" vertical="center"/>
    </xf>
    <xf numFmtId="176" fontId="2" fillId="0" borderId="7" xfId="13" applyNumberFormat="1" applyFont="1" applyFill="1" applyBorder="1" applyAlignment="1">
      <alignment vertical="center"/>
    </xf>
    <xf numFmtId="14" fontId="2" fillId="0" borderId="1" xfId="13" applyNumberFormat="1" applyFont="1" applyBorder="1" applyAlignment="1">
      <alignment horizontal="center" vertical="center"/>
    </xf>
    <xf numFmtId="0" fontId="2" fillId="0" borderId="1" xfId="7" applyFont="1" applyBorder="1" applyAlignment="1">
      <alignment horizontal="center" vertical="center"/>
    </xf>
    <xf numFmtId="0" fontId="2" fillId="0" borderId="1" xfId="13" applyFont="1" applyBorder="1" applyAlignment="1">
      <alignment horizontal="center" vertical="center"/>
    </xf>
    <xf numFmtId="0" fontId="2" fillId="2" borderId="2" xfId="13" applyFont="1" applyFill="1" applyBorder="1" applyAlignment="1">
      <alignment horizontal="center" vertical="center"/>
    </xf>
    <xf numFmtId="0" fontId="2" fillId="2" borderId="6" xfId="13" applyFont="1" applyFill="1" applyBorder="1" applyAlignment="1">
      <alignment horizontal="center" vertical="center"/>
    </xf>
    <xf numFmtId="0" fontId="2" fillId="2" borderId="11" xfId="13" applyFont="1" applyFill="1" applyBorder="1" applyAlignment="1">
      <alignment horizontal="center" vertical="center"/>
    </xf>
    <xf numFmtId="0" fontId="2" fillId="2" borderId="12" xfId="13" applyFont="1" applyFill="1" applyBorder="1" applyAlignment="1">
      <alignment horizontal="center" vertical="center"/>
    </xf>
    <xf numFmtId="0" fontId="2" fillId="0" borderId="11" xfId="13" applyFont="1" applyBorder="1" applyAlignment="1">
      <alignment vertical="center"/>
    </xf>
    <xf numFmtId="0" fontId="2" fillId="0" borderId="12" xfId="13" applyFont="1" applyBorder="1" applyAlignment="1">
      <alignment vertical="center"/>
    </xf>
    <xf numFmtId="49" fontId="2" fillId="0" borderId="1" xfId="13" applyNumberFormat="1" applyFont="1" applyBorder="1" applyAlignment="1">
      <alignment horizontal="center" vertical="center"/>
    </xf>
    <xf numFmtId="0" fontId="2" fillId="0" borderId="1" xfId="13" applyFont="1" applyFill="1" applyBorder="1" applyAlignment="1">
      <alignment vertical="center" shrinkToFit="1"/>
    </xf>
    <xf numFmtId="0" fontId="2" fillId="0" borderId="5" xfId="13" applyFont="1" applyFill="1" applyBorder="1" applyAlignment="1">
      <alignment vertical="center"/>
    </xf>
    <xf numFmtId="0" fontId="2" fillId="0" borderId="6" xfId="13" applyFont="1" applyFill="1" applyBorder="1" applyAlignment="1">
      <alignment vertical="center"/>
    </xf>
    <xf numFmtId="0" fontId="2" fillId="0" borderId="11" xfId="13" applyFont="1" applyFill="1" applyBorder="1" applyAlignment="1">
      <alignment vertical="center"/>
    </xf>
    <xf numFmtId="0" fontId="2" fillId="0" borderId="12" xfId="13" applyFont="1" applyFill="1" applyBorder="1" applyAlignment="1">
      <alignment vertical="center"/>
    </xf>
    <xf numFmtId="0" fontId="2" fillId="0" borderId="1" xfId="13" applyFont="1" applyFill="1" applyBorder="1" applyAlignment="1">
      <alignment horizontal="center" vertical="center"/>
    </xf>
    <xf numFmtId="49" fontId="2" fillId="0" borderId="1" xfId="13" applyNumberFormat="1" applyFont="1" applyFill="1" applyBorder="1" applyAlignment="1">
      <alignment horizontal="center" vertical="center"/>
    </xf>
    <xf numFmtId="0" fontId="2" fillId="0" borderId="1" xfId="13" applyFont="1" applyBorder="1" applyAlignment="1">
      <alignment vertical="center" shrinkToFit="1"/>
    </xf>
    <xf numFmtId="0" fontId="2" fillId="0" borderId="5" xfId="13" applyFont="1" applyBorder="1" applyAlignment="1">
      <alignment vertical="center"/>
    </xf>
    <xf numFmtId="0" fontId="2" fillId="0" borderId="6" xfId="13" applyFont="1" applyBorder="1" applyAlignment="1">
      <alignment vertical="center"/>
    </xf>
    <xf numFmtId="0" fontId="2" fillId="0" borderId="8" xfId="13" applyFont="1" applyBorder="1" applyAlignment="1">
      <alignment vertical="center"/>
    </xf>
    <xf numFmtId="0" fontId="2" fillId="0" borderId="7" xfId="13" applyFont="1" applyBorder="1" applyAlignment="1">
      <alignment vertical="center"/>
    </xf>
    <xf numFmtId="0" fontId="2" fillId="0" borderId="1" xfId="13" applyFont="1" applyBorder="1" applyAlignment="1">
      <alignment vertical="center"/>
    </xf>
    <xf numFmtId="0" fontId="2" fillId="0" borderId="1" xfId="20" applyFont="1" applyBorder="1" applyAlignment="1">
      <alignment horizontal="center" vertical="center"/>
    </xf>
    <xf numFmtId="0" fontId="2" fillId="0" borderId="5" xfId="20" applyFont="1" applyFill="1" applyBorder="1" applyAlignment="1">
      <alignment vertical="center"/>
    </xf>
    <xf numFmtId="0" fontId="2" fillId="0" borderId="6" xfId="20" applyFont="1" applyFill="1" applyBorder="1" applyAlignment="1">
      <alignment vertical="center"/>
    </xf>
    <xf numFmtId="0" fontId="2" fillId="0" borderId="11" xfId="20" applyFont="1" applyFill="1" applyBorder="1" applyAlignment="1">
      <alignment vertical="center"/>
    </xf>
    <xf numFmtId="0" fontId="2" fillId="0" borderId="12" xfId="20" applyFont="1" applyFill="1" applyBorder="1" applyAlignment="1">
      <alignment vertical="center"/>
    </xf>
    <xf numFmtId="0" fontId="2" fillId="0" borderId="1" xfId="20" applyFont="1" applyBorder="1" applyAlignment="1">
      <alignment vertical="center"/>
    </xf>
    <xf numFmtId="0" fontId="2" fillId="0" borderId="1" xfId="20" applyFont="1" applyFill="1" applyBorder="1" applyAlignment="1">
      <alignment horizontal="center" vertical="center"/>
    </xf>
    <xf numFmtId="49" fontId="2" fillId="0" borderId="1" xfId="20" applyNumberFormat="1" applyFont="1" applyFill="1" applyBorder="1" applyAlignment="1">
      <alignment horizontal="center" vertical="center"/>
    </xf>
    <xf numFmtId="0" fontId="2" fillId="0" borderId="0" xfId="20" applyFont="1" applyAlignment="1">
      <alignment vertical="center"/>
    </xf>
    <xf numFmtId="0" fontId="2" fillId="0" borderId="5" xfId="20" applyFont="1" applyBorder="1" applyAlignment="1">
      <alignment vertical="center"/>
    </xf>
    <xf numFmtId="0" fontId="2" fillId="0" borderId="6" xfId="20" applyFont="1" applyBorder="1" applyAlignment="1">
      <alignment vertical="center"/>
    </xf>
    <xf numFmtId="0" fontId="2" fillId="0" borderId="11" xfId="20" applyFont="1" applyBorder="1" applyAlignment="1">
      <alignment vertical="center"/>
    </xf>
    <xf numFmtId="0" fontId="2" fillId="0" borderId="12" xfId="20" applyFont="1" applyBorder="1" applyAlignment="1">
      <alignment vertical="center"/>
    </xf>
    <xf numFmtId="49" fontId="2" fillId="0" borderId="1" xfId="20" applyNumberFormat="1" applyFont="1" applyBorder="1" applyAlignment="1">
      <alignment horizontal="center" vertical="center"/>
    </xf>
    <xf numFmtId="14" fontId="2" fillId="0" borderId="0" xfId="10" applyNumberFormat="1" applyFont="1" applyAlignment="1">
      <alignment vertical="center"/>
    </xf>
    <xf numFmtId="0" fontId="0" fillId="0" borderId="8" xfId="0" applyBorder="1" applyAlignment="1">
      <alignment vertical="center"/>
    </xf>
    <xf numFmtId="0" fontId="0" fillId="0" borderId="7" xfId="0" applyBorder="1" applyAlignment="1">
      <alignment vertical="center"/>
    </xf>
    <xf numFmtId="0" fontId="2" fillId="0" borderId="0" xfId="19" applyFont="1" applyAlignment="1">
      <alignment horizontal="center" vertical="center"/>
    </xf>
    <xf numFmtId="0" fontId="2" fillId="0" borderId="0" xfId="19" applyFont="1" applyAlignment="1">
      <alignment vertical="center"/>
    </xf>
    <xf numFmtId="0" fontId="2" fillId="2" borderId="7" xfId="19" applyFont="1" applyFill="1" applyBorder="1" applyAlignment="1">
      <alignment horizontal="center" vertical="center"/>
    </xf>
    <xf numFmtId="0" fontId="2" fillId="2" borderId="7" xfId="19" applyFont="1" applyFill="1" applyBorder="1" applyAlignment="1">
      <alignment vertical="center"/>
    </xf>
    <xf numFmtId="0" fontId="2" fillId="2" borderId="1" xfId="19" applyFont="1" applyFill="1" applyBorder="1" applyAlignment="1">
      <alignment horizontal="center" vertical="center"/>
    </xf>
    <xf numFmtId="176" fontId="2" fillId="0" borderId="7" xfId="19" applyNumberFormat="1" applyFont="1" applyFill="1" applyBorder="1" applyAlignment="1">
      <alignment vertical="center"/>
    </xf>
    <xf numFmtId="14" fontId="2" fillId="0" borderId="1" xfId="19" applyNumberFormat="1" applyFont="1" applyBorder="1" applyAlignment="1">
      <alignment horizontal="center" vertical="center"/>
    </xf>
    <xf numFmtId="0" fontId="2" fillId="0" borderId="1" xfId="19" applyFont="1" applyBorder="1" applyAlignment="1">
      <alignment horizontal="center" vertical="center"/>
    </xf>
    <xf numFmtId="0" fontId="2" fillId="2" borderId="2" xfId="19" applyFont="1" applyFill="1" applyBorder="1" applyAlignment="1">
      <alignment horizontal="center" vertical="center"/>
    </xf>
    <xf numFmtId="0" fontId="2" fillId="2" borderId="6" xfId="19" applyFont="1" applyFill="1" applyBorder="1" applyAlignment="1">
      <alignment horizontal="center" vertical="center"/>
    </xf>
    <xf numFmtId="0" fontId="2" fillId="2" borderId="11" xfId="19" applyFont="1" applyFill="1" applyBorder="1" applyAlignment="1">
      <alignment horizontal="center" vertical="center"/>
    </xf>
    <xf numFmtId="0" fontId="2" fillId="2" borderId="12" xfId="19" applyFont="1" applyFill="1" applyBorder="1" applyAlignment="1">
      <alignment horizontal="center" vertical="center"/>
    </xf>
    <xf numFmtId="0" fontId="2" fillId="0" borderId="11" xfId="19" applyFont="1" applyFill="1" applyBorder="1" applyAlignment="1">
      <alignment vertical="center"/>
    </xf>
    <xf numFmtId="0" fontId="2" fillId="0" borderId="12" xfId="19" applyFont="1" applyFill="1" applyBorder="1" applyAlignment="1">
      <alignment vertical="center"/>
    </xf>
    <xf numFmtId="0" fontId="2" fillId="0" borderId="1" xfId="19" applyFont="1" applyBorder="1" applyAlignment="1">
      <alignment vertical="center"/>
    </xf>
    <xf numFmtId="0" fontId="2" fillId="0" borderId="1" xfId="19" applyFont="1" applyFill="1" applyBorder="1" applyAlignment="1">
      <alignment horizontal="center" vertical="center"/>
    </xf>
    <xf numFmtId="49" fontId="2" fillId="0" borderId="1" xfId="19" applyNumberFormat="1" applyFont="1" applyBorder="1" applyAlignment="1">
      <alignment horizontal="left" vertical="center"/>
    </xf>
    <xf numFmtId="0" fontId="11" fillId="0" borderId="12" xfId="19" applyFont="1" applyFill="1" applyBorder="1" applyAlignment="1">
      <alignment vertical="center"/>
    </xf>
    <xf numFmtId="49" fontId="11" fillId="0" borderId="1" xfId="19" applyNumberFormat="1" applyFont="1" applyBorder="1" applyAlignment="1">
      <alignment horizontal="center" vertical="center"/>
    </xf>
    <xf numFmtId="0" fontId="2" fillId="0" borderId="1" xfId="19" applyFont="1" applyFill="1" applyBorder="1" applyAlignment="1">
      <alignment vertical="center" shrinkToFit="1"/>
    </xf>
    <xf numFmtId="0" fontId="2" fillId="0" borderId="5" xfId="19" applyFont="1" applyFill="1" applyBorder="1" applyAlignment="1">
      <alignment vertical="center"/>
    </xf>
    <xf numFmtId="0" fontId="2" fillId="0" borderId="6" xfId="19" applyFont="1" applyFill="1" applyBorder="1" applyAlignment="1">
      <alignment vertical="center"/>
    </xf>
    <xf numFmtId="49" fontId="2" fillId="0" borderId="1" xfId="19" applyNumberFormat="1" applyFont="1" applyBorder="1" applyAlignment="1">
      <alignment horizontal="center" vertical="center"/>
    </xf>
    <xf numFmtId="0" fontId="2" fillId="0" borderId="5" xfId="19" applyFont="1" applyBorder="1" applyAlignment="1">
      <alignment vertical="center"/>
    </xf>
    <xf numFmtId="0" fontId="2" fillId="0" borderId="8" xfId="19" applyFont="1" applyBorder="1" applyAlignment="1">
      <alignment vertical="center"/>
    </xf>
    <xf numFmtId="0" fontId="2" fillId="0" borderId="7" xfId="19" applyFont="1" applyBorder="1" applyAlignment="1">
      <alignment vertical="center"/>
    </xf>
    <xf numFmtId="0" fontId="2" fillId="0" borderId="6" xfId="19" applyFont="1" applyBorder="1" applyAlignment="1">
      <alignment vertical="center"/>
    </xf>
    <xf numFmtId="0" fontId="2" fillId="0" borderId="1" xfId="19" applyFont="1" applyBorder="1" applyAlignment="1">
      <alignment vertical="center" shrinkToFit="1"/>
    </xf>
    <xf numFmtId="0" fontId="2" fillId="0" borderId="11" xfId="19" applyFont="1" applyBorder="1" applyAlignment="1">
      <alignment vertical="center"/>
    </xf>
    <xf numFmtId="0" fontId="2" fillId="0" borderId="12" xfId="19" applyFont="1" applyBorder="1" applyAlignment="1">
      <alignment vertical="center"/>
    </xf>
    <xf numFmtId="0" fontId="2" fillId="0" borderId="8" xfId="8" applyFont="1" applyFill="1" applyBorder="1" applyAlignment="1">
      <alignment vertical="center"/>
    </xf>
    <xf numFmtId="0" fontId="14" fillId="0" borderId="1" xfId="10" applyFont="1" applyBorder="1" applyAlignment="1">
      <alignment horizontal="center" vertical="center"/>
    </xf>
    <xf numFmtId="0" fontId="14" fillId="0" borderId="1" xfId="10" applyFont="1" applyFill="1" applyBorder="1" applyAlignment="1">
      <alignment vertical="center" shrinkToFit="1"/>
    </xf>
    <xf numFmtId="0" fontId="14" fillId="0" borderId="5" xfId="10" applyFont="1" applyFill="1" applyBorder="1" applyAlignment="1">
      <alignment vertical="center"/>
    </xf>
    <xf numFmtId="0" fontId="14" fillId="0" borderId="6" xfId="10" applyFont="1" applyBorder="1" applyAlignment="1">
      <alignment vertical="center"/>
    </xf>
    <xf numFmtId="0" fontId="14" fillId="0" borderId="11" xfId="10" applyFont="1" applyBorder="1" applyAlignment="1">
      <alignment vertical="center"/>
    </xf>
    <xf numFmtId="0" fontId="14" fillId="0" borderId="12" xfId="10" applyFont="1" applyFill="1" applyBorder="1" applyAlignment="1">
      <alignment vertical="center"/>
    </xf>
    <xf numFmtId="0" fontId="14" fillId="0" borderId="1" xfId="10" applyFont="1" applyFill="1" applyBorder="1" applyAlignment="1">
      <alignment vertical="center"/>
    </xf>
    <xf numFmtId="0" fontId="14" fillId="0" borderId="1" xfId="10" applyFont="1" applyFill="1" applyBorder="1" applyAlignment="1">
      <alignment horizontal="center" vertical="center"/>
    </xf>
    <xf numFmtId="49" fontId="14" fillId="0" borderId="1" xfId="10" applyNumberFormat="1" applyFont="1" applyFill="1" applyBorder="1" applyAlignment="1">
      <alignment horizontal="center" vertical="center"/>
    </xf>
    <xf numFmtId="0" fontId="14" fillId="0" borderId="0" xfId="10" applyFont="1" applyAlignment="1">
      <alignment vertical="center"/>
    </xf>
    <xf numFmtId="14" fontId="2" fillId="0" borderId="0" xfId="4" applyNumberFormat="1" applyFont="1" applyAlignment="1">
      <alignment vertical="center"/>
    </xf>
    <xf numFmtId="0" fontId="2" fillId="0" borderId="0" xfId="10" applyFont="1" applyAlignment="1">
      <alignment horizontal="right" vertical="center"/>
    </xf>
    <xf numFmtId="0" fontId="2" fillId="0" borderId="0" xfId="26" applyFont="1" applyAlignment="1">
      <alignment vertical="center"/>
    </xf>
    <xf numFmtId="14" fontId="2" fillId="0" borderId="1" xfId="18" applyNumberFormat="1" applyFont="1" applyBorder="1" applyAlignment="1">
      <alignment horizontal="center" vertical="center"/>
    </xf>
    <xf numFmtId="0" fontId="2" fillId="0" borderId="1" xfId="18" applyFont="1" applyBorder="1" applyAlignment="1">
      <alignment horizontal="center" vertical="center"/>
    </xf>
    <xf numFmtId="0" fontId="2" fillId="0" borderId="1" xfId="18" applyFont="1" applyFill="1" applyBorder="1" applyAlignment="1">
      <alignment horizontal="center" vertical="center"/>
    </xf>
    <xf numFmtId="0" fontId="2" fillId="0" borderId="1" xfId="26" applyFont="1" applyFill="1" applyBorder="1" applyAlignment="1">
      <alignment vertical="center"/>
    </xf>
    <xf numFmtId="0" fontId="2" fillId="0" borderId="13" xfId="26" applyFont="1" applyFill="1" applyBorder="1" applyAlignment="1">
      <alignment vertical="center"/>
    </xf>
    <xf numFmtId="0" fontId="2" fillId="0" borderId="7" xfId="26" applyFont="1" applyFill="1" applyBorder="1" applyAlignment="1">
      <alignment vertical="center"/>
    </xf>
    <xf numFmtId="0" fontId="2" fillId="0" borderId="11" xfId="18" applyFont="1" applyFill="1" applyBorder="1" applyAlignment="1">
      <alignment vertical="center"/>
    </xf>
    <xf numFmtId="0" fontId="11" fillId="0" borderId="12" xfId="18" applyFont="1" applyFill="1" applyBorder="1" applyAlignment="1">
      <alignment vertical="center"/>
    </xf>
    <xf numFmtId="0" fontId="2" fillId="0" borderId="1" xfId="18" applyFont="1" applyBorder="1" applyAlignment="1">
      <alignment vertical="center"/>
    </xf>
    <xf numFmtId="49" fontId="11" fillId="0" borderId="1" xfId="18" applyNumberFormat="1" applyFont="1" applyBorder="1" applyAlignment="1">
      <alignment horizontal="center" vertical="center"/>
    </xf>
    <xf numFmtId="0" fontId="2" fillId="0" borderId="5" xfId="26" applyFont="1" applyBorder="1" applyAlignment="1">
      <alignment vertical="center" wrapText="1"/>
    </xf>
    <xf numFmtId="0" fontId="2" fillId="0" borderId="8" xfId="26" applyFont="1" applyBorder="1" applyAlignment="1">
      <alignment vertical="center" wrapText="1"/>
    </xf>
    <xf numFmtId="0" fontId="2" fillId="0" borderId="7" xfId="26" applyFont="1" applyBorder="1" applyAlignment="1">
      <alignment vertical="center" wrapText="1"/>
    </xf>
    <xf numFmtId="0" fontId="2" fillId="0" borderId="0" xfId="18" applyFont="1" applyAlignment="1">
      <alignment vertical="center"/>
    </xf>
    <xf numFmtId="0" fontId="2" fillId="0" borderId="7" xfId="26" applyFont="1" applyBorder="1" applyAlignment="1">
      <alignment vertical="center"/>
    </xf>
    <xf numFmtId="0" fontId="2" fillId="0" borderId="1" xfId="18" applyFont="1" applyFill="1" applyBorder="1" applyAlignment="1">
      <alignment vertical="center" shrinkToFit="1"/>
    </xf>
    <xf numFmtId="0" fontId="2" fillId="0" borderId="5" xfId="18" applyFont="1" applyFill="1" applyBorder="1" applyAlignment="1">
      <alignment vertical="center"/>
    </xf>
    <xf numFmtId="0" fontId="2" fillId="0" borderId="6" xfId="18" applyFont="1" applyFill="1" applyBorder="1" applyAlignment="1">
      <alignment vertical="center"/>
    </xf>
    <xf numFmtId="0" fontId="2" fillId="0" borderId="12" xfId="18" applyFont="1" applyFill="1" applyBorder="1" applyAlignment="1">
      <alignment vertical="center"/>
    </xf>
    <xf numFmtId="49" fontId="2" fillId="0" borderId="1" xfId="18" applyNumberFormat="1" applyFont="1" applyFill="1" applyBorder="1" applyAlignment="1">
      <alignment horizontal="center" vertical="center"/>
    </xf>
    <xf numFmtId="0" fontId="2" fillId="0" borderId="6" xfId="18" applyFont="1" applyBorder="1" applyAlignment="1">
      <alignment vertical="center"/>
    </xf>
    <xf numFmtId="0" fontId="2" fillId="0" borderId="1" xfId="18" applyFont="1" applyBorder="1" applyAlignment="1">
      <alignment vertical="center" shrinkToFit="1"/>
    </xf>
    <xf numFmtId="0" fontId="2" fillId="0" borderId="5" xfId="18" applyFont="1" applyBorder="1" applyAlignment="1">
      <alignment vertical="center"/>
    </xf>
    <xf numFmtId="0" fontId="2" fillId="0" borderId="11" xfId="18" applyFont="1" applyBorder="1" applyAlignment="1">
      <alignment vertical="center"/>
    </xf>
    <xf numFmtId="0" fontId="2" fillId="0" borderId="12" xfId="18" applyFont="1" applyBorder="1" applyAlignment="1">
      <alignment vertical="center"/>
    </xf>
    <xf numFmtId="49" fontId="2" fillId="0" borderId="1" xfId="18" applyNumberFormat="1" applyFont="1" applyBorder="1" applyAlignment="1">
      <alignment horizontal="center" vertical="center"/>
    </xf>
    <xf numFmtId="0" fontId="2" fillId="0" borderId="8" xfId="18" applyFont="1" applyBorder="1" applyAlignment="1">
      <alignment vertical="center"/>
    </xf>
    <xf numFmtId="0" fontId="2" fillId="0" borderId="7" xfId="18" applyFont="1" applyBorder="1" applyAlignment="1">
      <alignment vertical="center"/>
    </xf>
    <xf numFmtId="0" fontId="15" fillId="0" borderId="0" xfId="10" applyFont="1" applyAlignment="1">
      <alignment vertical="center"/>
    </xf>
    <xf numFmtId="0" fontId="15" fillId="0" borderId="0" xfId="8" applyFont="1" applyAlignment="1">
      <alignment vertical="center"/>
    </xf>
    <xf numFmtId="14" fontId="2" fillId="0" borderId="1" xfId="15" applyNumberFormat="1" applyFont="1" applyBorder="1" applyAlignment="1">
      <alignment horizontal="center" vertical="center"/>
    </xf>
    <xf numFmtId="0" fontId="2" fillId="0" borderId="1" xfId="15" applyFont="1" applyBorder="1" applyAlignment="1">
      <alignment horizontal="center" vertical="center"/>
    </xf>
    <xf numFmtId="0" fontId="2" fillId="0" borderId="11" xfId="15" applyFont="1" applyFill="1" applyBorder="1" applyAlignment="1">
      <alignment vertical="center"/>
    </xf>
    <xf numFmtId="0" fontId="2" fillId="0" borderId="1" xfId="15" applyFont="1" applyBorder="1" applyAlignment="1">
      <alignment vertical="center"/>
    </xf>
    <xf numFmtId="0" fontId="2" fillId="0" borderId="11" xfId="15" applyFont="1" applyBorder="1" applyAlignment="1">
      <alignment vertical="center"/>
    </xf>
    <xf numFmtId="0" fontId="2" fillId="0" borderId="12" xfId="15" applyFont="1" applyBorder="1" applyAlignment="1">
      <alignment vertical="center"/>
    </xf>
    <xf numFmtId="49" fontId="2" fillId="0" borderId="1" xfId="15" applyNumberFormat="1" applyFont="1" applyBorder="1" applyAlignment="1">
      <alignment horizontal="center" vertical="center"/>
    </xf>
    <xf numFmtId="0" fontId="2" fillId="0" borderId="0" xfId="15" applyFont="1" applyAlignment="1">
      <alignment vertical="center"/>
    </xf>
    <xf numFmtId="0" fontId="2" fillId="0" borderId="1" xfId="15" applyFont="1" applyFill="1" applyBorder="1" applyAlignment="1">
      <alignment vertical="center" shrinkToFit="1"/>
    </xf>
    <xf numFmtId="0" fontId="2" fillId="0" borderId="5" xfId="15" applyFont="1" applyFill="1" applyBorder="1" applyAlignment="1">
      <alignment vertical="center"/>
    </xf>
    <xf numFmtId="0" fontId="2" fillId="0" borderId="6" xfId="15" applyFont="1" applyBorder="1" applyAlignment="1">
      <alignment vertical="center"/>
    </xf>
    <xf numFmtId="0" fontId="2" fillId="0" borderId="5" xfId="15" applyFont="1" applyBorder="1" applyAlignment="1">
      <alignment vertical="center"/>
    </xf>
    <xf numFmtId="0" fontId="2" fillId="0" borderId="8" xfId="15" applyFont="1" applyBorder="1" applyAlignment="1">
      <alignment vertical="center"/>
    </xf>
    <xf numFmtId="0" fontId="2" fillId="0" borderId="7" xfId="15" applyFont="1" applyBorder="1" applyAlignment="1">
      <alignment vertical="center"/>
    </xf>
    <xf numFmtId="0" fontId="2" fillId="0" borderId="12" xfId="15" applyFont="1" applyFill="1" applyBorder="1" applyAlignment="1">
      <alignment vertical="center"/>
    </xf>
    <xf numFmtId="0" fontId="2" fillId="0" borderId="1" xfId="15" applyFont="1" applyFill="1" applyBorder="1" applyAlignment="1">
      <alignment horizontal="center" vertical="center"/>
    </xf>
    <xf numFmtId="0" fontId="2" fillId="0" borderId="6" xfId="15" applyFont="1" applyFill="1" applyBorder="1" applyAlignment="1">
      <alignment vertical="center"/>
    </xf>
    <xf numFmtId="0" fontId="2" fillId="0" borderId="1" xfId="15" applyFont="1" applyBorder="1" applyAlignment="1">
      <alignment vertical="center" shrinkToFit="1"/>
    </xf>
    <xf numFmtId="0" fontId="16" fillId="0" borderId="1" xfId="3" applyFont="1" applyBorder="1" applyAlignment="1" applyProtection="1">
      <alignment vertical="top"/>
    </xf>
    <xf numFmtId="0" fontId="16" fillId="0" borderId="0" xfId="3" applyFont="1" applyAlignment="1" applyProtection="1">
      <alignment vertical="top"/>
    </xf>
    <xf numFmtId="0" fontId="2" fillId="0" borderId="0" xfId="22" applyFont="1" applyAlignment="1">
      <alignment horizontal="center" vertical="center"/>
    </xf>
    <xf numFmtId="0" fontId="2" fillId="0" borderId="0" xfId="27" applyFont="1" applyAlignment="1">
      <alignment vertical="center"/>
    </xf>
    <xf numFmtId="0" fontId="2" fillId="0" borderId="0" xfId="22" applyFont="1" applyAlignment="1">
      <alignment vertical="center"/>
    </xf>
    <xf numFmtId="0" fontId="2" fillId="2" borderId="7" xfId="22" applyFont="1" applyFill="1" applyBorder="1" applyAlignment="1">
      <alignment horizontal="center" vertical="center"/>
    </xf>
    <xf numFmtId="0" fontId="2" fillId="2" borderId="7" xfId="22" applyFont="1" applyFill="1" applyBorder="1" applyAlignment="1">
      <alignment vertical="center"/>
    </xf>
    <xf numFmtId="0" fontId="2" fillId="2" borderId="1" xfId="22" applyFont="1" applyFill="1" applyBorder="1" applyAlignment="1">
      <alignment horizontal="center" vertical="center"/>
    </xf>
    <xf numFmtId="176" fontId="2" fillId="0" borderId="7" xfId="22" applyNumberFormat="1" applyFont="1" applyFill="1" applyBorder="1" applyAlignment="1">
      <alignment vertical="center"/>
    </xf>
    <xf numFmtId="14" fontId="2" fillId="0" borderId="1" xfId="16" applyNumberFormat="1" applyFont="1" applyBorder="1" applyAlignment="1">
      <alignment horizontal="center" vertical="center"/>
    </xf>
    <xf numFmtId="0" fontId="2" fillId="0" borderId="1" xfId="22" applyFont="1" applyBorder="1" applyAlignment="1">
      <alignment horizontal="center" vertical="center"/>
    </xf>
    <xf numFmtId="0" fontId="2" fillId="0" borderId="1" xfId="16" applyFont="1" applyBorder="1" applyAlignment="1">
      <alignment horizontal="center" vertical="center"/>
    </xf>
    <xf numFmtId="0" fontId="2" fillId="2" borderId="2" xfId="22" applyFont="1" applyFill="1" applyBorder="1" applyAlignment="1">
      <alignment horizontal="center" vertical="center"/>
    </xf>
    <xf numFmtId="0" fontId="2" fillId="2" borderId="6" xfId="22" applyFont="1" applyFill="1" applyBorder="1" applyAlignment="1">
      <alignment horizontal="center" vertical="center"/>
    </xf>
    <xf numFmtId="0" fontId="2" fillId="2" borderId="11" xfId="22" applyFont="1" applyFill="1" applyBorder="1" applyAlignment="1">
      <alignment horizontal="center" vertical="center"/>
    </xf>
    <xf numFmtId="0" fontId="2" fillId="2" borderId="12" xfId="22" applyFont="1" applyFill="1" applyBorder="1" applyAlignment="1">
      <alignment horizontal="center" vertical="center"/>
    </xf>
    <xf numFmtId="0" fontId="2" fillId="0" borderId="1" xfId="27" applyFont="1" applyFill="1" applyBorder="1" applyAlignment="1">
      <alignment vertical="center"/>
    </xf>
    <xf numFmtId="0" fontId="2" fillId="0" borderId="13" xfId="27" applyFont="1" applyFill="1" applyBorder="1" applyAlignment="1">
      <alignment vertical="center"/>
    </xf>
    <xf numFmtId="0" fontId="2" fillId="0" borderId="7" xfId="27" applyFont="1" applyFill="1" applyBorder="1" applyAlignment="1">
      <alignment vertical="center"/>
    </xf>
    <xf numFmtId="0" fontId="2" fillId="0" borderId="11" xfId="16" applyFont="1" applyFill="1" applyBorder="1" applyAlignment="1">
      <alignment vertical="center"/>
    </xf>
    <xf numFmtId="0" fontId="2" fillId="0" borderId="12" xfId="22" applyFont="1" applyBorder="1" applyAlignment="1">
      <alignment vertical="center"/>
    </xf>
    <xf numFmtId="0" fontId="2" fillId="0" borderId="1" xfId="16" applyFont="1" applyBorder="1" applyAlignment="1">
      <alignment vertical="center"/>
    </xf>
    <xf numFmtId="49" fontId="2" fillId="0" borderId="1" xfId="22" applyNumberFormat="1" applyFont="1" applyBorder="1" applyAlignment="1">
      <alignment horizontal="center" vertical="center"/>
    </xf>
    <xf numFmtId="0" fontId="2" fillId="0" borderId="5" xfId="22" applyFont="1" applyFill="1" applyBorder="1" applyAlignment="1">
      <alignment vertical="center"/>
    </xf>
    <xf numFmtId="0" fontId="2" fillId="0" borderId="6" xfId="14" applyFont="1" applyFill="1" applyBorder="1" applyAlignment="1">
      <alignment vertical="center"/>
    </xf>
    <xf numFmtId="0" fontId="2" fillId="0" borderId="11" xfId="14" applyFont="1" applyFill="1" applyBorder="1" applyAlignment="1">
      <alignment vertical="center"/>
    </xf>
    <xf numFmtId="0" fontId="2" fillId="0" borderId="12" xfId="14" applyFont="1" applyFill="1" applyBorder="1" applyAlignment="1">
      <alignment vertical="center"/>
    </xf>
    <xf numFmtId="0" fontId="2" fillId="0" borderId="1" xfId="14" applyFont="1" applyBorder="1" applyAlignment="1">
      <alignment vertical="center"/>
    </xf>
    <xf numFmtId="0" fontId="2" fillId="0" borderId="1" xfId="14" applyFont="1" applyFill="1" applyBorder="1" applyAlignment="1">
      <alignment horizontal="center" vertical="center"/>
    </xf>
    <xf numFmtId="49" fontId="2" fillId="0" borderId="1" xfId="16" applyNumberFormat="1" applyFont="1" applyBorder="1" applyAlignment="1">
      <alignment horizontal="center" vertical="center"/>
    </xf>
    <xf numFmtId="0" fontId="2" fillId="0" borderId="0" xfId="16" applyFont="1" applyAlignment="1">
      <alignment vertical="center"/>
    </xf>
    <xf numFmtId="0" fontId="2" fillId="0" borderId="1" xfId="16" applyFont="1" applyFill="1" applyBorder="1" applyAlignment="1">
      <alignment vertical="center" shrinkToFit="1"/>
    </xf>
    <xf numFmtId="0" fontId="2" fillId="0" borderId="5" xfId="16" applyFont="1" applyFill="1" applyBorder="1" applyAlignment="1">
      <alignment vertical="center"/>
    </xf>
    <xf numFmtId="0" fontId="14" fillId="0" borderId="5" xfId="16" applyFont="1" applyBorder="1" applyAlignment="1">
      <alignment vertical="center"/>
    </xf>
    <xf numFmtId="0" fontId="14" fillId="0" borderId="8" xfId="16" applyFont="1" applyBorder="1" applyAlignment="1">
      <alignment vertical="center"/>
    </xf>
    <xf numFmtId="0" fontId="14" fillId="0" borderId="7" xfId="16" applyFont="1" applyBorder="1" applyAlignment="1">
      <alignment vertical="center"/>
    </xf>
    <xf numFmtId="0" fontId="2" fillId="0" borderId="6" xfId="27" applyFont="1" applyBorder="1" applyAlignment="1">
      <alignment vertical="center"/>
    </xf>
    <xf numFmtId="0" fontId="2" fillId="0" borderId="6" xfId="16" applyFont="1" applyBorder="1" applyAlignment="1">
      <alignment vertical="center"/>
    </xf>
    <xf numFmtId="0" fontId="2" fillId="0" borderId="6" xfId="16" applyFont="1" applyFill="1" applyBorder="1" applyAlignment="1">
      <alignment vertical="center"/>
    </xf>
    <xf numFmtId="0" fontId="2" fillId="0" borderId="11" xfId="16" applyFont="1" applyBorder="1" applyAlignment="1">
      <alignment vertical="center"/>
    </xf>
    <xf numFmtId="0" fontId="2" fillId="0" borderId="12" xfId="16" applyFont="1" applyBorder="1" applyAlignment="1">
      <alignment vertical="center"/>
    </xf>
    <xf numFmtId="0" fontId="2" fillId="0" borderId="12" xfId="16" applyFont="1" applyFill="1" applyBorder="1" applyAlignment="1">
      <alignment vertical="center"/>
    </xf>
    <xf numFmtId="0" fontId="2" fillId="0" borderId="1" xfId="16" applyFont="1" applyFill="1" applyBorder="1" applyAlignment="1">
      <alignment horizontal="center" vertical="center"/>
    </xf>
    <xf numFmtId="0" fontId="2" fillId="0" borderId="1" xfId="22" applyFont="1" applyBorder="1" applyAlignment="1">
      <alignment vertical="center" shrinkToFit="1"/>
    </xf>
    <xf numFmtId="0" fontId="2" fillId="0" borderId="5" xfId="22" applyFont="1" applyBorder="1" applyAlignment="1">
      <alignment vertical="center"/>
    </xf>
    <xf numFmtId="0" fontId="2" fillId="0" borderId="6" xfId="22" applyFont="1" applyBorder="1" applyAlignment="1">
      <alignment vertical="center"/>
    </xf>
    <xf numFmtId="0" fontId="2" fillId="0" borderId="11" xfId="22" applyFont="1" applyBorder="1" applyAlignment="1">
      <alignment vertical="center"/>
    </xf>
    <xf numFmtId="0" fontId="2" fillId="0" borderId="1" xfId="16" applyFont="1" applyBorder="1" applyAlignment="1">
      <alignment vertical="center" shrinkToFit="1"/>
    </xf>
    <xf numFmtId="0" fontId="2" fillId="0" borderId="5" xfId="16" applyFont="1" applyBorder="1" applyAlignment="1">
      <alignment vertical="center"/>
    </xf>
    <xf numFmtId="0" fontId="2" fillId="0" borderId="8" xfId="16" applyFont="1" applyBorder="1" applyAlignment="1">
      <alignment vertical="center"/>
    </xf>
    <xf numFmtId="0" fontId="2" fillId="0" borderId="7" xfId="16" applyFont="1" applyBorder="1" applyAlignment="1">
      <alignment vertical="center"/>
    </xf>
    <xf numFmtId="14" fontId="2" fillId="0" borderId="0" xfId="22" applyNumberFormat="1" applyFont="1" applyAlignment="1">
      <alignment vertical="center"/>
    </xf>
    <xf numFmtId="0" fontId="2" fillId="0" borderId="14" xfId="12" applyFont="1" applyBorder="1" applyAlignment="1">
      <alignment horizontal="left" vertical="center" wrapText="1"/>
    </xf>
    <xf numFmtId="0" fontId="2" fillId="0" borderId="2" xfId="12" applyFont="1" applyBorder="1" applyAlignment="1">
      <alignment horizontal="left" vertical="center" wrapText="1"/>
    </xf>
    <xf numFmtId="0" fontId="2" fillId="0" borderId="3" xfId="12" applyFont="1" applyBorder="1" applyAlignment="1">
      <alignment horizontal="left" vertical="center" wrapText="1"/>
    </xf>
    <xf numFmtId="0" fontId="2" fillId="0" borderId="5" xfId="12" applyFont="1" applyBorder="1" applyAlignment="1">
      <alignment horizontal="left" vertical="center" wrapText="1"/>
    </xf>
    <xf numFmtId="0" fontId="2" fillId="0" borderId="8" xfId="12" applyFont="1" applyBorder="1" applyAlignment="1">
      <alignment horizontal="left" vertical="center" wrapText="1"/>
    </xf>
    <xf numFmtId="0" fontId="2" fillId="0" borderId="7" xfId="12" applyFont="1" applyBorder="1" applyAlignment="1">
      <alignment horizontal="left" vertical="center" wrapText="1"/>
    </xf>
    <xf numFmtId="14" fontId="2" fillId="0" borderId="0" xfId="12" applyNumberFormat="1" applyFont="1" applyAlignment="1">
      <alignment vertical="center"/>
    </xf>
    <xf numFmtId="0" fontId="17" fillId="0" borderId="5" xfId="8" applyFont="1" applyBorder="1" applyAlignment="1">
      <alignment vertical="center"/>
    </xf>
    <xf numFmtId="0" fontId="17" fillId="0" borderId="8" xfId="8" applyFont="1" applyBorder="1" applyAlignment="1">
      <alignment vertical="center"/>
    </xf>
    <xf numFmtId="0" fontId="17" fillId="0" borderId="7" xfId="8" applyFont="1" applyBorder="1" applyAlignment="1">
      <alignment vertical="center"/>
    </xf>
    <xf numFmtId="0" fontId="2" fillId="0" borderId="1" xfId="0" applyFont="1" applyBorder="1" applyAlignment="1">
      <alignment vertical="center" wrapText="1"/>
    </xf>
    <xf numFmtId="49" fontId="2" fillId="0" borderId="5" xfId="28" applyNumberFormat="1" applyFont="1" applyFill="1" applyBorder="1" applyAlignment="1">
      <alignment horizontal="left" vertical="center" wrapText="1"/>
    </xf>
    <xf numFmtId="0" fontId="2" fillId="0" borderId="1" xfId="23" applyFont="1" applyBorder="1" applyAlignment="1">
      <alignment horizontal="center" vertical="center"/>
    </xf>
    <xf numFmtId="0" fontId="2" fillId="0" borderId="1" xfId="11" applyFont="1" applyBorder="1" applyAlignment="1">
      <alignment vertical="center"/>
    </xf>
    <xf numFmtId="0" fontId="2" fillId="0" borderId="0" xfId="11" applyFont="1" applyAlignment="1">
      <alignment vertical="center"/>
    </xf>
    <xf numFmtId="0" fontId="2" fillId="0" borderId="1" xfId="11" applyFont="1" applyFill="1" applyBorder="1" applyAlignment="1">
      <alignment vertical="center" shrinkToFit="1"/>
    </xf>
    <xf numFmtId="0" fontId="2" fillId="0" borderId="5" xfId="11" applyFont="1" applyFill="1" applyBorder="1" applyAlignment="1">
      <alignment vertical="center"/>
    </xf>
    <xf numFmtId="0" fontId="2" fillId="0" borderId="6" xfId="11" applyFont="1" applyFill="1" applyBorder="1" applyAlignment="1">
      <alignment vertical="center"/>
    </xf>
    <xf numFmtId="0" fontId="2" fillId="0" borderId="11" xfId="11" applyFont="1" applyFill="1" applyBorder="1" applyAlignment="1">
      <alignment vertical="center"/>
    </xf>
    <xf numFmtId="0" fontId="2" fillId="0" borderId="12" xfId="11" applyFont="1" applyFill="1" applyBorder="1" applyAlignment="1">
      <alignment vertical="center"/>
    </xf>
    <xf numFmtId="0" fontId="2" fillId="0" borderId="1" xfId="11" applyFont="1" applyFill="1" applyBorder="1" applyAlignment="1">
      <alignment horizontal="center" vertical="center"/>
    </xf>
    <xf numFmtId="0" fontId="2" fillId="0" borderId="1" xfId="11" applyFont="1" applyBorder="1" applyAlignment="1">
      <alignment horizontal="center" vertical="center"/>
    </xf>
    <xf numFmtId="49" fontId="2" fillId="0" borderId="1" xfId="11" applyNumberFormat="1" applyFont="1" applyBorder="1" applyAlignment="1">
      <alignment horizontal="center" vertical="center"/>
    </xf>
    <xf numFmtId="0" fontId="2" fillId="0" borderId="8" xfId="11" applyFont="1" applyBorder="1" applyAlignment="1">
      <alignment vertical="center"/>
    </xf>
    <xf numFmtId="0" fontId="2" fillId="0" borderId="7" xfId="11" applyFont="1" applyBorder="1" applyAlignment="1">
      <alignment vertical="center"/>
    </xf>
    <xf numFmtId="0" fontId="2" fillId="0" borderId="5" xfId="11" applyFont="1" applyBorder="1" applyAlignment="1">
      <alignment vertical="center"/>
    </xf>
    <xf numFmtId="0" fontId="2" fillId="0" borderId="6" xfId="11" applyFont="1" applyBorder="1" applyAlignment="1">
      <alignment vertical="center"/>
    </xf>
    <xf numFmtId="0" fontId="2" fillId="0" borderId="11" xfId="11" applyFont="1" applyBorder="1" applyAlignment="1">
      <alignment vertical="center"/>
    </xf>
    <xf numFmtId="0" fontId="2" fillId="0" borderId="12" xfId="11" applyFont="1" applyBorder="1" applyAlignment="1">
      <alignment vertical="center"/>
    </xf>
    <xf numFmtId="0" fontId="2" fillId="0" borderId="1" xfId="11" applyFont="1" applyBorder="1" applyAlignment="1">
      <alignment vertical="center" shrinkToFit="1"/>
    </xf>
    <xf numFmtId="0" fontId="4" fillId="0" borderId="1" xfId="3" applyBorder="1" applyAlignment="1" applyProtection="1">
      <alignment vertical="top"/>
    </xf>
    <xf numFmtId="0" fontId="9" fillId="0" borderId="6" xfId="4" applyFont="1" applyBorder="1" applyAlignment="1">
      <alignment vertical="top" wrapText="1"/>
    </xf>
    <xf numFmtId="0" fontId="2" fillId="0" borderId="0" xfId="29" applyFont="1" applyAlignment="1">
      <alignment horizontal="center" vertical="center"/>
    </xf>
    <xf numFmtId="0" fontId="2" fillId="0" borderId="0" xfId="29" applyFont="1" applyAlignment="1">
      <alignment vertical="center"/>
    </xf>
    <xf numFmtId="0" fontId="2" fillId="2" borderId="7" xfId="29" applyFont="1" applyFill="1" applyBorder="1" applyAlignment="1">
      <alignment vertical="center"/>
    </xf>
    <xf numFmtId="0" fontId="2" fillId="2" borderId="1" xfId="29" applyFont="1" applyFill="1" applyBorder="1" applyAlignment="1">
      <alignment horizontal="center" vertical="center"/>
    </xf>
    <xf numFmtId="176" fontId="2" fillId="0" borderId="7" xfId="29" applyNumberFormat="1" applyFont="1" applyFill="1" applyBorder="1" applyAlignment="1">
      <alignment vertical="center"/>
    </xf>
    <xf numFmtId="14" fontId="2" fillId="0" borderId="1" xfId="29" applyNumberFormat="1" applyFont="1" applyBorder="1" applyAlignment="1">
      <alignment horizontal="center" vertical="center"/>
    </xf>
    <xf numFmtId="0" fontId="2" fillId="0" borderId="1" xfId="30" applyFont="1" applyBorder="1" applyAlignment="1">
      <alignment horizontal="center" vertical="center"/>
    </xf>
    <xf numFmtId="0" fontId="2" fillId="0" borderId="1" xfId="29" applyFont="1" applyBorder="1" applyAlignment="1">
      <alignment horizontal="center" vertical="center"/>
    </xf>
    <xf numFmtId="0" fontId="2" fillId="2" borderId="2" xfId="29" applyFont="1" applyFill="1" applyBorder="1" applyAlignment="1">
      <alignment horizontal="center" vertical="center"/>
    </xf>
    <xf numFmtId="0" fontId="2" fillId="2" borderId="6" xfId="29" applyFont="1" applyFill="1" applyBorder="1" applyAlignment="1">
      <alignment horizontal="center" vertical="center"/>
    </xf>
    <xf numFmtId="0" fontId="2" fillId="2" borderId="11" xfId="29" applyFont="1" applyFill="1" applyBorder="1" applyAlignment="1">
      <alignment horizontal="center" vertical="center"/>
    </xf>
    <xf numFmtId="0" fontId="2" fillId="2" borderId="12" xfId="29" applyFont="1" applyFill="1" applyBorder="1" applyAlignment="1">
      <alignment horizontal="center" vertical="center"/>
    </xf>
    <xf numFmtId="0" fontId="2" fillId="2" borderId="7" xfId="29" applyFont="1" applyFill="1" applyBorder="1" applyAlignment="1">
      <alignment horizontal="center" vertical="center"/>
    </xf>
    <xf numFmtId="0" fontId="2" fillId="0" borderId="11" xfId="29" applyFont="1" applyFill="1" applyBorder="1" applyAlignment="1">
      <alignment vertical="center"/>
    </xf>
    <xf numFmtId="0" fontId="11" fillId="0" borderId="12" xfId="29" applyFont="1" applyFill="1" applyBorder="1" applyAlignment="1">
      <alignment vertical="center"/>
    </xf>
    <xf numFmtId="0" fontId="2" fillId="0" borderId="1" xfId="29" applyFont="1" applyBorder="1" applyAlignment="1">
      <alignment vertical="center"/>
    </xf>
    <xf numFmtId="0" fontId="2" fillId="0" borderId="1" xfId="29" applyFont="1" applyFill="1" applyBorder="1" applyAlignment="1">
      <alignment horizontal="center" vertical="center"/>
    </xf>
    <xf numFmtId="49" fontId="11" fillId="0" borderId="1" xfId="29" applyNumberFormat="1" applyFont="1" applyBorder="1" applyAlignment="1">
      <alignment horizontal="center" vertical="center"/>
    </xf>
    <xf numFmtId="0" fontId="2" fillId="0" borderId="12" xfId="29" applyFont="1" applyFill="1" applyBorder="1" applyAlignment="1">
      <alignment vertical="center"/>
    </xf>
    <xf numFmtId="49" fontId="2" fillId="0" borderId="1" xfId="29" applyNumberFormat="1" applyFont="1" applyBorder="1" applyAlignment="1">
      <alignment horizontal="center" vertical="center"/>
    </xf>
    <xf numFmtId="0" fontId="2" fillId="0" borderId="11" xfId="29" applyFont="1" applyBorder="1" applyAlignment="1">
      <alignment vertical="center"/>
    </xf>
    <xf numFmtId="0" fontId="2" fillId="0" borderId="12" xfId="29" applyFont="1" applyBorder="1" applyAlignment="1">
      <alignment vertical="center"/>
    </xf>
    <xf numFmtId="0" fontId="2" fillId="0" borderId="1" xfId="29" applyFont="1" applyFill="1" applyBorder="1" applyAlignment="1">
      <alignment vertical="center" shrinkToFit="1"/>
    </xf>
    <xf numFmtId="0" fontId="2" fillId="0" borderId="5" xfId="29" applyFont="1" applyFill="1" applyBorder="1" applyAlignment="1">
      <alignment vertical="center"/>
    </xf>
    <xf numFmtId="0" fontId="2" fillId="0" borderId="6" xfId="29" applyFont="1" applyFill="1" applyBorder="1" applyAlignment="1">
      <alignment vertical="center"/>
    </xf>
    <xf numFmtId="0" fontId="2" fillId="0" borderId="0" xfId="31" applyFont="1" applyAlignment="1">
      <alignment vertical="center"/>
    </xf>
    <xf numFmtId="0" fontId="2" fillId="0" borderId="6" xfId="29" applyFont="1" applyBorder="1" applyAlignment="1">
      <alignment vertical="center"/>
    </xf>
    <xf numFmtId="0" fontId="2" fillId="0" borderId="1" xfId="31" applyFont="1" applyFill="1" applyBorder="1" applyAlignment="1">
      <alignment vertical="center" shrinkToFit="1"/>
    </xf>
    <xf numFmtId="0" fontId="2" fillId="0" borderId="5" xfId="31" applyFont="1" applyFill="1" applyBorder="1" applyAlignment="1">
      <alignment vertical="center"/>
    </xf>
    <xf numFmtId="0" fontId="2" fillId="0" borderId="6" xfId="31" applyFont="1" applyFill="1" applyBorder="1" applyAlignment="1">
      <alignment vertical="center"/>
    </xf>
    <xf numFmtId="0" fontId="2" fillId="0" borderId="11" xfId="31" applyFont="1" applyFill="1" applyBorder="1" applyAlignment="1">
      <alignment vertical="center"/>
    </xf>
    <xf numFmtId="0" fontId="2" fillId="0" borderId="12" xfId="31" applyFont="1" applyFill="1" applyBorder="1" applyAlignment="1">
      <alignment vertical="center"/>
    </xf>
    <xf numFmtId="0" fontId="2" fillId="0" borderId="1" xfId="31" applyFont="1" applyBorder="1" applyAlignment="1">
      <alignment vertical="center"/>
    </xf>
    <xf numFmtId="0" fontId="2" fillId="0" borderId="1" xfId="31" applyFont="1" applyFill="1" applyBorder="1" applyAlignment="1">
      <alignment horizontal="center" vertical="center"/>
    </xf>
    <xf numFmtId="0" fontId="2" fillId="0" borderId="1" xfId="31" applyFont="1" applyBorder="1" applyAlignment="1">
      <alignment horizontal="center" vertical="center"/>
    </xf>
    <xf numFmtId="49" fontId="2" fillId="0" borderId="1" xfId="31" applyNumberFormat="1" applyFont="1" applyBorder="1" applyAlignment="1">
      <alignment horizontal="center" vertical="center"/>
    </xf>
    <xf numFmtId="0" fontId="2" fillId="0" borderId="5" xfId="29" applyFont="1" applyBorder="1" applyAlignment="1">
      <alignment vertical="center"/>
    </xf>
    <xf numFmtId="0" fontId="2" fillId="0" borderId="1" xfId="29" applyFont="1" applyBorder="1" applyAlignment="1">
      <alignment vertical="center" shrinkToFit="1"/>
    </xf>
    <xf numFmtId="0" fontId="2" fillId="0" borderId="5" xfId="31" applyFont="1" applyBorder="1" applyAlignment="1">
      <alignment vertical="center"/>
    </xf>
    <xf numFmtId="0" fontId="2" fillId="0" borderId="6" xfId="31" applyFont="1" applyBorder="1" applyAlignment="1">
      <alignment vertical="center"/>
    </xf>
    <xf numFmtId="0" fontId="2" fillId="0" borderId="11" xfId="31" applyFont="1" applyBorder="1" applyAlignment="1">
      <alignment vertical="center"/>
    </xf>
    <xf numFmtId="0" fontId="2" fillId="0" borderId="12" xfId="31" applyFont="1" applyBorder="1" applyAlignment="1">
      <alignment vertical="center"/>
    </xf>
    <xf numFmtId="0" fontId="2" fillId="0" borderId="8" xfId="31" applyFont="1" applyBorder="1" applyAlignment="1">
      <alignment vertical="center"/>
    </xf>
    <xf numFmtId="0" fontId="2" fillId="0" borderId="7" xfId="31" applyFont="1" applyBorder="1" applyAlignment="1">
      <alignment vertical="center"/>
    </xf>
    <xf numFmtId="0" fontId="2" fillId="0" borderId="1" xfId="31" applyFont="1" applyBorder="1" applyAlignment="1">
      <alignment vertical="center" shrinkToFit="1"/>
    </xf>
    <xf numFmtId="0" fontId="2" fillId="0" borderId="8" xfId="29" applyFont="1" applyBorder="1" applyAlignment="1">
      <alignment vertical="center"/>
    </xf>
    <xf numFmtId="0" fontId="2" fillId="0" borderId="7" xfId="29" applyFont="1" applyBorder="1" applyAlignment="1">
      <alignment vertical="center"/>
    </xf>
    <xf numFmtId="14" fontId="2" fillId="0" borderId="0" xfId="29" applyNumberFormat="1" applyFont="1" applyAlignment="1">
      <alignment vertical="center"/>
    </xf>
    <xf numFmtId="0" fontId="2" fillId="0" borderId="6" xfId="0" applyNumberFormat="1" applyFont="1" applyBorder="1" applyAlignment="1">
      <alignment vertical="center"/>
    </xf>
    <xf numFmtId="0" fontId="2" fillId="0" borderId="13" xfId="0" applyNumberFormat="1" applyFont="1" applyFill="1" applyBorder="1" applyAlignment="1">
      <alignment vertical="center"/>
    </xf>
    <xf numFmtId="0" fontId="2" fillId="0" borderId="7" xfId="29" applyFont="1" applyFill="1" applyBorder="1" applyAlignment="1">
      <alignment vertical="center"/>
    </xf>
    <xf numFmtId="49" fontId="2" fillId="0" borderId="1" xfId="29" applyNumberFormat="1" applyFont="1" applyFill="1" applyBorder="1" applyAlignment="1">
      <alignment horizontal="center" vertical="center"/>
    </xf>
    <xf numFmtId="0" fontId="2" fillId="0" borderId="5" xfId="8" applyFont="1" applyBorder="1" applyAlignment="1">
      <alignment vertical="center"/>
    </xf>
    <xf numFmtId="0" fontId="2" fillId="0" borderId="8" xfId="8" applyFont="1" applyBorder="1" applyAlignment="1">
      <alignment vertical="center"/>
    </xf>
    <xf numFmtId="0" fontId="2" fillId="0" borderId="7" xfId="8" applyFont="1" applyBorder="1" applyAlignment="1">
      <alignment vertical="center"/>
    </xf>
    <xf numFmtId="0" fontId="2" fillId="0" borderId="5" xfId="8" applyFont="1" applyFill="1" applyBorder="1" applyAlignment="1">
      <alignment vertical="center"/>
    </xf>
    <xf numFmtId="0" fontId="2" fillId="0" borderId="5" xfId="10" applyFont="1" applyFill="1" applyBorder="1" applyAlignment="1">
      <alignment vertical="center"/>
    </xf>
    <xf numFmtId="0" fontId="2" fillId="0" borderId="5" xfId="29" applyFont="1" applyBorder="1" applyAlignment="1">
      <alignment vertical="center"/>
    </xf>
    <xf numFmtId="0" fontId="2" fillId="0" borderId="8" xfId="29" applyFont="1" applyBorder="1" applyAlignment="1">
      <alignment vertical="center"/>
    </xf>
    <xf numFmtId="0" fontId="2" fillId="0" borderId="7" xfId="29" applyFont="1" applyBorder="1" applyAlignment="1">
      <alignment vertical="center"/>
    </xf>
    <xf numFmtId="0" fontId="2" fillId="0" borderId="8" xfId="31" applyFont="1" applyBorder="1" applyAlignment="1">
      <alignment vertical="center"/>
    </xf>
    <xf numFmtId="0" fontId="2" fillId="0" borderId="7" xfId="31" applyFont="1" applyBorder="1" applyAlignment="1">
      <alignment vertical="center"/>
    </xf>
    <xf numFmtId="0" fontId="2" fillId="2" borderId="2" xfId="29" applyFont="1" applyFill="1" applyBorder="1" applyAlignment="1">
      <alignment horizontal="center" vertical="center"/>
    </xf>
    <xf numFmtId="0" fontId="2" fillId="2" borderId="7" xfId="29" applyFont="1" applyFill="1" applyBorder="1" applyAlignment="1">
      <alignment horizontal="center" vertical="center"/>
    </xf>
    <xf numFmtId="0" fontId="2" fillId="0" borderId="0" xfId="32" applyFont="1" applyAlignment="1">
      <alignment horizontal="center" vertical="center"/>
    </xf>
    <xf numFmtId="0" fontId="2" fillId="0" borderId="0" xfId="33" applyFont="1" applyAlignment="1">
      <alignment vertical="center"/>
    </xf>
    <xf numFmtId="0" fontId="2" fillId="0" borderId="0" xfId="32" applyFont="1" applyAlignment="1">
      <alignment vertical="center"/>
    </xf>
    <xf numFmtId="0" fontId="2" fillId="0" borderId="0" xfId="32" applyFont="1" applyAlignment="1">
      <alignment horizontal="right" vertical="center"/>
    </xf>
    <xf numFmtId="0" fontId="2" fillId="2" borderId="7" xfId="32" applyFont="1" applyFill="1" applyBorder="1" applyAlignment="1">
      <alignment vertical="center"/>
    </xf>
    <xf numFmtId="0" fontId="2" fillId="2" borderId="1" xfId="32" applyFont="1" applyFill="1" applyBorder="1" applyAlignment="1">
      <alignment horizontal="center" vertical="center"/>
    </xf>
    <xf numFmtId="176" fontId="2" fillId="0" borderId="7" xfId="32" applyNumberFormat="1" applyFont="1" applyFill="1" applyBorder="1" applyAlignment="1">
      <alignment vertical="center"/>
    </xf>
    <xf numFmtId="14" fontId="2" fillId="0" borderId="1" xfId="32" applyNumberFormat="1" applyFont="1" applyBorder="1" applyAlignment="1">
      <alignment horizontal="center" vertical="center"/>
    </xf>
    <xf numFmtId="0" fontId="2" fillId="0" borderId="1" xfId="34" applyFont="1" applyBorder="1" applyAlignment="1">
      <alignment horizontal="center" vertical="center"/>
    </xf>
    <xf numFmtId="0" fontId="2" fillId="2" borderId="2" xfId="32" applyFont="1" applyFill="1" applyBorder="1" applyAlignment="1">
      <alignment horizontal="center" vertical="center"/>
    </xf>
    <xf numFmtId="0" fontId="2" fillId="2" borderId="6" xfId="32" applyFont="1" applyFill="1" applyBorder="1" applyAlignment="1">
      <alignment horizontal="center" vertical="center"/>
    </xf>
    <xf numFmtId="0" fontId="2" fillId="2" borderId="11" xfId="32" applyFont="1" applyFill="1" applyBorder="1" applyAlignment="1">
      <alignment horizontal="center" vertical="center"/>
    </xf>
    <xf numFmtId="0" fontId="2" fillId="2" borderId="12" xfId="32" applyFont="1" applyFill="1" applyBorder="1" applyAlignment="1">
      <alignment horizontal="center" vertical="center"/>
    </xf>
    <xf numFmtId="0" fontId="2" fillId="2" borderId="7" xfId="32" applyFont="1" applyFill="1" applyBorder="1" applyAlignment="1">
      <alignment horizontal="center" vertical="center"/>
    </xf>
    <xf numFmtId="0" fontId="2" fillId="0" borderId="1" xfId="32" applyFont="1" applyBorder="1" applyAlignment="1">
      <alignment horizontal="center" vertical="center"/>
    </xf>
    <xf numFmtId="0" fontId="2" fillId="0" borderId="7" xfId="35" applyFont="1" applyBorder="1" applyAlignment="1">
      <alignment vertical="center"/>
    </xf>
    <xf numFmtId="0" fontId="2" fillId="0" borderId="1" xfId="33" applyFont="1" applyFill="1" applyBorder="1" applyAlignment="1">
      <alignment vertical="center"/>
    </xf>
    <xf numFmtId="0" fontId="2" fillId="0" borderId="13" xfId="33" applyFont="1" applyFill="1" applyBorder="1" applyAlignment="1">
      <alignment vertical="center"/>
    </xf>
    <xf numFmtId="0" fontId="2" fillId="0" borderId="7" xfId="33" applyFont="1" applyBorder="1" applyAlignment="1">
      <alignment vertical="center"/>
    </xf>
    <xf numFmtId="0" fontId="2" fillId="0" borderId="11" xfId="32" applyFont="1" applyBorder="1" applyAlignment="1">
      <alignment vertical="center"/>
    </xf>
    <xf numFmtId="0" fontId="2" fillId="0" borderId="12" xfId="32" applyFont="1" applyBorder="1" applyAlignment="1">
      <alignment vertical="center"/>
    </xf>
    <xf numFmtId="0" fontId="2" fillId="0" borderId="1" xfId="32" applyFont="1" applyBorder="1" applyAlignment="1">
      <alignment vertical="center"/>
    </xf>
    <xf numFmtId="49" fontId="2" fillId="0" borderId="1" xfId="32" applyNumberFormat="1" applyFont="1" applyBorder="1" applyAlignment="1">
      <alignment horizontal="center" vertical="center"/>
    </xf>
    <xf numFmtId="0" fontId="2" fillId="0" borderId="1" xfId="35" applyFont="1" applyFill="1" applyBorder="1" applyAlignment="1">
      <alignment vertical="center"/>
    </xf>
    <xf numFmtId="0" fontId="2" fillId="0" borderId="13" xfId="35" applyFont="1" applyFill="1" applyBorder="1" applyAlignment="1">
      <alignment vertical="center"/>
    </xf>
    <xf numFmtId="0" fontId="2" fillId="0" borderId="1" xfId="32" applyFont="1" applyBorder="1" applyAlignment="1">
      <alignment vertical="center" shrinkToFit="1"/>
    </xf>
    <xf numFmtId="0" fontId="2" fillId="0" borderId="5" xfId="32" applyFont="1" applyBorder="1" applyAlignment="1">
      <alignment vertical="center"/>
    </xf>
    <xf numFmtId="0" fontId="2" fillId="0" borderId="6" xfId="32" applyFont="1" applyBorder="1" applyAlignment="1">
      <alignment vertical="center"/>
    </xf>
    <xf numFmtId="0" fontId="2" fillId="0" borderId="8" xfId="32" applyFont="1" applyBorder="1" applyAlignment="1">
      <alignment vertical="center"/>
    </xf>
    <xf numFmtId="0" fontId="2" fillId="0" borderId="7" xfId="32" applyFont="1" applyBorder="1" applyAlignment="1">
      <alignment vertical="center"/>
    </xf>
    <xf numFmtId="0" fontId="2" fillId="0" borderId="0" xfId="4" applyFont="1" applyAlignment="1">
      <alignment vertical="center" wrapText="1"/>
    </xf>
    <xf numFmtId="0" fontId="2" fillId="0" borderId="0" xfId="8" applyFont="1" applyFill="1" applyAlignment="1">
      <alignment vertical="center" wrapText="1"/>
    </xf>
    <xf numFmtId="0" fontId="2" fillId="0" borderId="0" xfId="8" applyFont="1" applyAlignment="1">
      <alignment vertical="center" wrapText="1"/>
    </xf>
    <xf numFmtId="0" fontId="10" fillId="2" borderId="5" xfId="4" applyFont="1" applyFill="1" applyBorder="1" applyAlignment="1">
      <alignment horizontal="center" vertical="center"/>
    </xf>
    <xf numFmtId="0" fontId="10" fillId="2" borderId="8" xfId="4" applyFont="1" applyFill="1" applyBorder="1" applyAlignment="1">
      <alignment horizontal="center" vertical="center"/>
    </xf>
    <xf numFmtId="0" fontId="10" fillId="2" borderId="22" xfId="4" applyFont="1" applyFill="1" applyBorder="1" applyAlignment="1">
      <alignment horizontal="center" vertical="center"/>
    </xf>
    <xf numFmtId="0" fontId="10" fillId="2" borderId="4" xfId="4" applyFont="1" applyFill="1" applyBorder="1" applyAlignment="1">
      <alignment horizontal="center" vertical="center"/>
    </xf>
    <xf numFmtId="0" fontId="10" fillId="2" borderId="23" xfId="4" applyFont="1" applyFill="1" applyBorder="1" applyAlignment="1">
      <alignment horizontal="center" vertical="center"/>
    </xf>
    <xf numFmtId="0" fontId="10" fillId="2" borderId="24" xfId="4" applyFont="1" applyFill="1" applyBorder="1" applyAlignment="1">
      <alignment horizontal="center" vertical="center"/>
    </xf>
    <xf numFmtId="0" fontId="2" fillId="2" borderId="5" xfId="4" applyFont="1" applyFill="1" applyBorder="1" applyAlignment="1">
      <alignment horizontal="center" vertical="center"/>
    </xf>
    <xf numFmtId="0" fontId="2" fillId="2" borderId="8" xfId="4" applyFont="1" applyFill="1" applyBorder="1" applyAlignment="1">
      <alignment horizontal="center" vertical="center"/>
    </xf>
    <xf numFmtId="0" fontId="2" fillId="2" borderId="7" xfId="4" applyFont="1" applyFill="1" applyBorder="1" applyAlignment="1">
      <alignment horizontal="center" vertical="center"/>
    </xf>
    <xf numFmtId="0" fontId="2" fillId="0" borderId="5" xfId="4" applyFont="1" applyBorder="1" applyAlignment="1">
      <alignment vertical="center"/>
    </xf>
    <xf numFmtId="0" fontId="2" fillId="0" borderId="8" xfId="4" applyFont="1" applyBorder="1" applyAlignment="1">
      <alignment vertical="center"/>
    </xf>
    <xf numFmtId="0" fontId="2" fillId="0" borderId="7" xfId="4" applyFont="1" applyBorder="1" applyAlignment="1">
      <alignment vertical="center"/>
    </xf>
    <xf numFmtId="0" fontId="2" fillId="0" borderId="5" xfId="4" applyFont="1" applyBorder="1" applyAlignment="1">
      <alignment vertical="center" wrapText="1"/>
    </xf>
    <xf numFmtId="0" fontId="2" fillId="0" borderId="5" xfId="0" applyFont="1" applyBorder="1" applyAlignment="1">
      <alignment vertical="center" wrapText="1"/>
    </xf>
    <xf numFmtId="0" fontId="2" fillId="0" borderId="8" xfId="0" applyFont="1" applyBorder="1" applyAlignment="1">
      <alignment vertical="center" wrapText="1"/>
    </xf>
    <xf numFmtId="0" fontId="2" fillId="0" borderId="7" xfId="0" applyFont="1" applyBorder="1" applyAlignment="1">
      <alignment vertical="center" wrapText="1"/>
    </xf>
    <xf numFmtId="0" fontId="2" fillId="0" borderId="5" xfId="10" applyFont="1" applyBorder="1" applyAlignment="1">
      <alignment vertical="center" wrapText="1"/>
    </xf>
    <xf numFmtId="0" fontId="2" fillId="0" borderId="8" xfId="10" applyFont="1" applyBorder="1" applyAlignment="1">
      <alignment vertical="center"/>
    </xf>
    <xf numFmtId="0" fontId="2" fillId="0" borderId="7" xfId="10" applyFont="1" applyBorder="1" applyAlignment="1">
      <alignment vertical="center"/>
    </xf>
    <xf numFmtId="0" fontId="2" fillId="0" borderId="16" xfId="4" applyFont="1" applyFill="1" applyBorder="1" applyAlignment="1">
      <alignment horizontal="center" vertical="center"/>
    </xf>
    <xf numFmtId="0" fontId="2" fillId="0" borderId="18" xfId="4" applyFont="1" applyFill="1" applyBorder="1" applyAlignment="1">
      <alignment horizontal="center" vertical="center"/>
    </xf>
    <xf numFmtId="0" fontId="2" fillId="0" borderId="14" xfId="4" applyFont="1" applyFill="1" applyBorder="1" applyAlignment="1">
      <alignment horizontal="center" vertical="center"/>
    </xf>
    <xf numFmtId="0" fontId="2" fillId="0" borderId="3" xfId="4" applyFont="1" applyFill="1" applyBorder="1" applyAlignment="1">
      <alignment horizontal="center" vertical="center"/>
    </xf>
    <xf numFmtId="0" fontId="2" fillId="0" borderId="5" xfId="8" applyFont="1" applyBorder="1" applyAlignment="1">
      <alignment vertical="center"/>
    </xf>
    <xf numFmtId="0" fontId="2" fillId="0" borderId="8" xfId="8" applyFont="1" applyBorder="1" applyAlignment="1">
      <alignment vertical="center"/>
    </xf>
    <xf numFmtId="0" fontId="2" fillId="0" borderId="7" xfId="8" applyFont="1" applyBorder="1" applyAlignment="1">
      <alignment vertical="center"/>
    </xf>
    <xf numFmtId="0" fontId="2" fillId="0" borderId="20" xfId="4" applyFont="1" applyFill="1" applyBorder="1" applyAlignment="1">
      <alignment horizontal="center" vertical="center"/>
    </xf>
    <xf numFmtId="0" fontId="2" fillId="0" borderId="21" xfId="4" applyFont="1" applyFill="1" applyBorder="1" applyAlignment="1">
      <alignment horizontal="center" vertical="center"/>
    </xf>
    <xf numFmtId="0" fontId="2" fillId="0" borderId="15" xfId="4" applyFont="1" applyFill="1" applyBorder="1" applyAlignment="1">
      <alignment horizontal="center" vertical="center"/>
    </xf>
    <xf numFmtId="0" fontId="2" fillId="0" borderId="2" xfId="4" applyFont="1" applyFill="1" applyBorder="1" applyAlignment="1">
      <alignment horizontal="center" vertical="center"/>
    </xf>
    <xf numFmtId="0" fontId="2" fillId="2" borderId="16" xfId="4" applyFont="1" applyFill="1" applyBorder="1" applyAlignment="1">
      <alignment horizontal="center" vertical="center"/>
    </xf>
    <xf numFmtId="0" fontId="2" fillId="2" borderId="17" xfId="4" applyFont="1" applyFill="1" applyBorder="1" applyAlignment="1">
      <alignment horizontal="center" vertical="center"/>
    </xf>
    <xf numFmtId="0" fontId="2" fillId="2" borderId="18" xfId="4" applyFont="1" applyFill="1" applyBorder="1" applyAlignment="1">
      <alignment horizontal="center" vertical="center"/>
    </xf>
    <xf numFmtId="0" fontId="2" fillId="2" borderId="14" xfId="4" applyFont="1" applyFill="1" applyBorder="1" applyAlignment="1">
      <alignment horizontal="center" vertical="center"/>
    </xf>
    <xf numFmtId="0" fontId="2" fillId="2" borderId="2" xfId="4" applyFont="1" applyFill="1" applyBorder="1" applyAlignment="1">
      <alignment horizontal="center" vertical="center"/>
    </xf>
    <xf numFmtId="0" fontId="2" fillId="2" borderId="3" xfId="4" applyFont="1" applyFill="1" applyBorder="1" applyAlignment="1">
      <alignment horizontal="center" vertical="center"/>
    </xf>
    <xf numFmtId="0" fontId="2" fillId="2" borderId="19" xfId="4" applyFont="1" applyFill="1" applyBorder="1" applyAlignment="1">
      <alignment horizontal="center" vertical="center"/>
    </xf>
    <xf numFmtId="0" fontId="2" fillId="2" borderId="22" xfId="4" applyFont="1" applyFill="1" applyBorder="1" applyAlignment="1">
      <alignment horizontal="center" vertical="center"/>
    </xf>
    <xf numFmtId="0" fontId="2" fillId="2" borderId="4" xfId="4" applyFont="1" applyFill="1" applyBorder="1" applyAlignment="1">
      <alignment horizontal="center" vertical="center"/>
    </xf>
    <xf numFmtId="0" fontId="2" fillId="0" borderId="5" xfId="15" applyFont="1" applyBorder="1" applyAlignment="1">
      <alignment vertical="center"/>
    </xf>
    <xf numFmtId="0" fontId="2" fillId="0" borderId="8" xfId="15" applyFont="1" applyBorder="1" applyAlignment="1">
      <alignment vertical="center"/>
    </xf>
    <xf numFmtId="0" fontId="2" fillId="0" borderId="7" xfId="15" applyFont="1" applyBorder="1" applyAlignment="1">
      <alignment vertical="center"/>
    </xf>
    <xf numFmtId="0" fontId="2" fillId="0" borderId="5" xfId="0" applyFont="1" applyBorder="1" applyAlignment="1">
      <alignment horizontal="left" vertical="center" wrapText="1"/>
    </xf>
    <xf numFmtId="0" fontId="2" fillId="0" borderId="8" xfId="0" applyFont="1" applyBorder="1" applyAlignment="1">
      <alignment horizontal="left" vertical="center" wrapText="1"/>
    </xf>
    <xf numFmtId="0" fontId="2" fillId="0" borderId="7" xfId="0" applyFont="1" applyBorder="1" applyAlignment="1">
      <alignment horizontal="left" vertical="center" wrapText="1"/>
    </xf>
    <xf numFmtId="0" fontId="2" fillId="0" borderId="5" xfId="15" applyFont="1" applyBorder="1" applyAlignment="1">
      <alignment vertical="center" wrapText="1"/>
    </xf>
    <xf numFmtId="0" fontId="2" fillId="0" borderId="5" xfId="8" applyFont="1" applyFill="1" applyBorder="1" applyAlignment="1">
      <alignment vertical="center"/>
    </xf>
    <xf numFmtId="0" fontId="2" fillId="0" borderId="8" xfId="8" applyFont="1" applyFill="1" applyBorder="1" applyAlignment="1">
      <alignment vertical="center"/>
    </xf>
    <xf numFmtId="0" fontId="2" fillId="0" borderId="7" xfId="8" applyFont="1" applyFill="1" applyBorder="1" applyAlignment="1">
      <alignment vertical="center"/>
    </xf>
    <xf numFmtId="0" fontId="12" fillId="0" borderId="8" xfId="0" applyFont="1" applyBorder="1" applyAlignment="1">
      <alignment vertical="center"/>
    </xf>
    <xf numFmtId="0" fontId="12" fillId="0" borderId="7" xfId="0" applyFont="1" applyBorder="1" applyAlignment="1">
      <alignment vertical="center"/>
    </xf>
    <xf numFmtId="0" fontId="2" fillId="0" borderId="16" xfId="0" applyFont="1" applyBorder="1" applyAlignment="1">
      <alignment vertical="center" wrapText="1"/>
    </xf>
    <xf numFmtId="0" fontId="2" fillId="0" borderId="17" xfId="0" applyFont="1" applyBorder="1" applyAlignment="1">
      <alignment vertical="center" wrapText="1"/>
    </xf>
    <xf numFmtId="0" fontId="2" fillId="0" borderId="18" xfId="0" applyFont="1" applyBorder="1" applyAlignment="1">
      <alignment vertical="center" wrapText="1"/>
    </xf>
    <xf numFmtId="0" fontId="2" fillId="0" borderId="9" xfId="0" applyFont="1" applyBorder="1" applyAlignment="1">
      <alignment vertical="center" wrapText="1"/>
    </xf>
    <xf numFmtId="0" fontId="2" fillId="0" borderId="0" xfId="0" applyFont="1" applyBorder="1" applyAlignment="1">
      <alignment vertical="center" wrapText="1"/>
    </xf>
    <xf numFmtId="0" fontId="2" fillId="0" borderId="10" xfId="0" applyFont="1" applyBorder="1" applyAlignment="1">
      <alignment vertical="center" wrapText="1"/>
    </xf>
    <xf numFmtId="0" fontId="2" fillId="2" borderId="5" xfId="8" applyFont="1" applyFill="1" applyBorder="1" applyAlignment="1">
      <alignment horizontal="center" vertical="center"/>
    </xf>
    <xf numFmtId="0" fontId="2" fillId="2" borderId="7" xfId="8" applyFont="1" applyFill="1" applyBorder="1" applyAlignment="1">
      <alignment horizontal="center" vertical="center"/>
    </xf>
    <xf numFmtId="0" fontId="2" fillId="2" borderId="22" xfId="8" applyFont="1" applyFill="1" applyBorder="1" applyAlignment="1">
      <alignment horizontal="center" vertical="center"/>
    </xf>
    <xf numFmtId="0" fontId="2" fillId="2" borderId="4" xfId="8" applyFont="1" applyFill="1" applyBorder="1" applyAlignment="1">
      <alignment horizontal="center" vertical="center"/>
    </xf>
    <xf numFmtId="0" fontId="2" fillId="0" borderId="16" xfId="8" applyFont="1" applyFill="1" applyBorder="1" applyAlignment="1">
      <alignment horizontal="center" vertical="center"/>
    </xf>
    <xf numFmtId="0" fontId="2" fillId="0" borderId="18" xfId="8" applyFont="1" applyFill="1" applyBorder="1" applyAlignment="1">
      <alignment horizontal="center" vertical="center"/>
    </xf>
    <xf numFmtId="0" fontId="2" fillId="0" borderId="14" xfId="8" applyFont="1" applyFill="1" applyBorder="1" applyAlignment="1">
      <alignment horizontal="center" vertical="center"/>
    </xf>
    <xf numFmtId="0" fontId="2" fillId="0" borderId="3" xfId="8" applyFont="1" applyFill="1" applyBorder="1" applyAlignment="1">
      <alignment horizontal="center" vertical="center"/>
    </xf>
    <xf numFmtId="0" fontId="2" fillId="2" borderId="8" xfId="8" applyFont="1" applyFill="1" applyBorder="1" applyAlignment="1">
      <alignment horizontal="center" vertical="center"/>
    </xf>
    <xf numFmtId="0" fontId="2" fillId="0" borderId="20" xfId="8" applyFont="1" applyFill="1" applyBorder="1" applyAlignment="1">
      <alignment horizontal="center" vertical="center"/>
    </xf>
    <xf numFmtId="0" fontId="2" fillId="0" borderId="21" xfId="8" applyFont="1" applyFill="1" applyBorder="1" applyAlignment="1">
      <alignment horizontal="center" vertical="center"/>
    </xf>
    <xf numFmtId="0" fontId="2" fillId="0" borderId="15" xfId="8" applyFont="1" applyFill="1" applyBorder="1" applyAlignment="1">
      <alignment horizontal="center" vertical="center"/>
    </xf>
    <xf numFmtId="0" fontId="2" fillId="0" borderId="2" xfId="8" applyFont="1" applyFill="1" applyBorder="1" applyAlignment="1">
      <alignment horizontal="center" vertical="center"/>
    </xf>
    <xf numFmtId="0" fontId="2" fillId="2" borderId="16" xfId="8" applyFont="1" applyFill="1" applyBorder="1" applyAlignment="1">
      <alignment horizontal="center" vertical="center"/>
    </xf>
    <xf numFmtId="0" fontId="2" fillId="2" borderId="17" xfId="8" applyFont="1" applyFill="1" applyBorder="1" applyAlignment="1">
      <alignment horizontal="center" vertical="center"/>
    </xf>
    <xf numFmtId="0" fontId="2" fillId="2" borderId="18" xfId="8" applyFont="1" applyFill="1" applyBorder="1" applyAlignment="1">
      <alignment horizontal="center" vertical="center"/>
    </xf>
    <xf numFmtId="0" fontId="2" fillId="2" borderId="14" xfId="8" applyFont="1" applyFill="1" applyBorder="1" applyAlignment="1">
      <alignment horizontal="center" vertical="center"/>
    </xf>
    <xf numFmtId="0" fontId="2" fillId="2" borderId="2" xfId="8" applyFont="1" applyFill="1" applyBorder="1" applyAlignment="1">
      <alignment horizontal="center" vertical="center"/>
    </xf>
    <xf numFmtId="0" fontId="2" fillId="2" borderId="3" xfId="8" applyFont="1" applyFill="1" applyBorder="1" applyAlignment="1">
      <alignment horizontal="center" vertical="center"/>
    </xf>
    <xf numFmtId="0" fontId="2" fillId="2" borderId="19" xfId="8" applyFont="1" applyFill="1" applyBorder="1" applyAlignment="1">
      <alignment horizontal="center" vertical="center"/>
    </xf>
    <xf numFmtId="0" fontId="2" fillId="0" borderId="5" xfId="10" applyFont="1" applyFill="1" applyBorder="1" applyAlignment="1">
      <alignment vertical="center" wrapText="1"/>
    </xf>
    <xf numFmtId="0" fontId="2" fillId="0" borderId="8" xfId="10" applyFont="1" applyFill="1" applyBorder="1" applyAlignment="1">
      <alignment vertical="center"/>
    </xf>
    <xf numFmtId="0" fontId="2" fillId="0" borderId="7" xfId="10" applyFont="1" applyFill="1" applyBorder="1" applyAlignment="1">
      <alignment vertical="center"/>
    </xf>
    <xf numFmtId="0" fontId="2" fillId="0" borderId="5" xfId="10" applyFont="1" applyBorder="1" applyAlignment="1">
      <alignment horizontal="left" vertical="center" wrapText="1"/>
    </xf>
    <xf numFmtId="0" fontId="2" fillId="0" borderId="8" xfId="10" applyFont="1" applyBorder="1" applyAlignment="1">
      <alignment horizontal="left" vertical="center" wrapText="1"/>
    </xf>
    <xf numFmtId="0" fontId="2" fillId="0" borderId="7" xfId="10" applyFont="1" applyBorder="1" applyAlignment="1">
      <alignment horizontal="left" vertical="center" wrapText="1"/>
    </xf>
    <xf numFmtId="0" fontId="2" fillId="0" borderId="5" xfId="10" applyFont="1" applyBorder="1" applyAlignment="1">
      <alignment vertical="center"/>
    </xf>
    <xf numFmtId="0" fontId="2" fillId="2" borderId="5" xfId="10" applyFont="1" applyFill="1" applyBorder="1" applyAlignment="1">
      <alignment horizontal="center" vertical="center"/>
    </xf>
    <xf numFmtId="0" fontId="2" fillId="2" borderId="7" xfId="10" applyFont="1" applyFill="1" applyBorder="1" applyAlignment="1">
      <alignment horizontal="center" vertical="center"/>
    </xf>
    <xf numFmtId="0" fontId="2" fillId="0" borderId="16" xfId="10" applyFont="1" applyFill="1" applyBorder="1" applyAlignment="1">
      <alignment horizontal="center" vertical="center"/>
    </xf>
    <xf numFmtId="0" fontId="2" fillId="0" borderId="18" xfId="10" applyFont="1" applyFill="1" applyBorder="1" applyAlignment="1">
      <alignment horizontal="center" vertical="center"/>
    </xf>
    <xf numFmtId="0" fontId="2" fillId="0" borderId="14" xfId="10" applyFont="1" applyFill="1" applyBorder="1" applyAlignment="1">
      <alignment horizontal="center" vertical="center"/>
    </xf>
    <xf numFmtId="0" fontId="2" fillId="0" borderId="3" xfId="10" applyFont="1" applyFill="1" applyBorder="1" applyAlignment="1">
      <alignment horizontal="center" vertical="center"/>
    </xf>
    <xf numFmtId="0" fontId="2" fillId="2" borderId="8" xfId="10" applyFont="1" applyFill="1" applyBorder="1" applyAlignment="1">
      <alignment horizontal="center" vertical="center"/>
    </xf>
    <xf numFmtId="0" fontId="2" fillId="3" borderId="20" xfId="10" applyFont="1" applyFill="1" applyBorder="1" applyAlignment="1">
      <alignment horizontal="center" vertical="center"/>
    </xf>
    <xf numFmtId="0" fontId="2" fillId="3" borderId="21" xfId="10" applyFont="1" applyFill="1" applyBorder="1" applyAlignment="1">
      <alignment horizontal="center" vertical="center"/>
    </xf>
    <xf numFmtId="0" fontId="2" fillId="3" borderId="15" xfId="10" applyFont="1" applyFill="1" applyBorder="1" applyAlignment="1">
      <alignment horizontal="center" vertical="center"/>
    </xf>
    <xf numFmtId="0" fontId="2" fillId="3" borderId="14" xfId="10" applyFont="1" applyFill="1" applyBorder="1" applyAlignment="1">
      <alignment horizontal="center" vertical="center"/>
    </xf>
    <xf numFmtId="0" fontId="2" fillId="3" borderId="2" xfId="10" applyFont="1" applyFill="1" applyBorder="1" applyAlignment="1">
      <alignment horizontal="center" vertical="center"/>
    </xf>
    <xf numFmtId="0" fontId="2" fillId="3" borderId="3" xfId="10" applyFont="1" applyFill="1" applyBorder="1" applyAlignment="1">
      <alignment horizontal="center" vertical="center"/>
    </xf>
    <xf numFmtId="0" fontId="2" fillId="2" borderId="22" xfId="10" applyFont="1" applyFill="1" applyBorder="1" applyAlignment="1">
      <alignment horizontal="center" vertical="center"/>
    </xf>
    <xf numFmtId="0" fontId="2" fillId="2" borderId="4" xfId="10" applyFont="1" applyFill="1" applyBorder="1" applyAlignment="1">
      <alignment horizontal="center" vertical="center"/>
    </xf>
    <xf numFmtId="0" fontId="2" fillId="2" borderId="16" xfId="10" applyFont="1" applyFill="1" applyBorder="1" applyAlignment="1">
      <alignment horizontal="center" vertical="center"/>
    </xf>
    <xf numFmtId="0" fontId="2" fillId="2" borderId="17" xfId="10" applyFont="1" applyFill="1" applyBorder="1" applyAlignment="1">
      <alignment horizontal="center" vertical="center"/>
    </xf>
    <xf numFmtId="0" fontId="2" fillId="2" borderId="18" xfId="10" applyFont="1" applyFill="1" applyBorder="1" applyAlignment="1">
      <alignment horizontal="center" vertical="center"/>
    </xf>
    <xf numFmtId="0" fontId="2" fillId="2" borderId="14" xfId="10" applyFont="1" applyFill="1" applyBorder="1" applyAlignment="1">
      <alignment horizontal="center" vertical="center"/>
    </xf>
    <xf numFmtId="0" fontId="2" fillId="2" borderId="2" xfId="10" applyFont="1" applyFill="1" applyBorder="1" applyAlignment="1">
      <alignment horizontal="center" vertical="center"/>
    </xf>
    <xf numFmtId="0" fontId="2" fillId="2" borderId="3" xfId="10" applyFont="1" applyFill="1" applyBorder="1" applyAlignment="1">
      <alignment horizontal="center" vertical="center"/>
    </xf>
    <xf numFmtId="0" fontId="2" fillId="2" borderId="19" xfId="10" applyFont="1" applyFill="1" applyBorder="1" applyAlignment="1">
      <alignment horizontal="center" vertical="center"/>
    </xf>
    <xf numFmtId="0" fontId="2" fillId="0" borderId="8" xfId="10" applyFont="1" applyBorder="1" applyAlignment="1">
      <alignment vertical="center" wrapText="1"/>
    </xf>
    <xf numFmtId="0" fontId="2" fillId="0" borderId="7" xfId="10" applyFont="1" applyBorder="1" applyAlignment="1">
      <alignment vertical="center" wrapText="1"/>
    </xf>
    <xf numFmtId="0" fontId="2" fillId="0" borderId="5" xfId="10" applyFont="1" applyFill="1" applyBorder="1" applyAlignment="1">
      <alignment vertical="center"/>
    </xf>
    <xf numFmtId="0" fontId="2" fillId="0" borderId="5" xfId="17" applyFont="1" applyBorder="1" applyAlignment="1">
      <alignment vertical="center"/>
    </xf>
    <xf numFmtId="0" fontId="2" fillId="0" borderId="8" xfId="17" applyFont="1" applyBorder="1" applyAlignment="1">
      <alignment vertical="center"/>
    </xf>
    <xf numFmtId="0" fontId="2" fillId="0" borderId="7" xfId="17" applyFont="1" applyBorder="1" applyAlignment="1">
      <alignment vertical="center"/>
    </xf>
    <xf numFmtId="0" fontId="2" fillId="0" borderId="5" xfId="17" applyFont="1" applyFill="1" applyBorder="1" applyAlignment="1">
      <alignment vertical="center" wrapText="1"/>
    </xf>
    <xf numFmtId="0" fontId="2" fillId="0" borderId="8" xfId="17" applyFont="1" applyFill="1" applyBorder="1" applyAlignment="1">
      <alignment vertical="center" wrapText="1"/>
    </xf>
    <xf numFmtId="0" fontId="2" fillId="0" borderId="7" xfId="17" applyFont="1" applyFill="1" applyBorder="1" applyAlignment="1">
      <alignment vertical="center" wrapText="1"/>
    </xf>
    <xf numFmtId="0" fontId="2" fillId="2" borderId="5" xfId="9" applyFont="1" applyFill="1" applyBorder="1" applyAlignment="1">
      <alignment horizontal="center" vertical="center"/>
    </xf>
    <xf numFmtId="0" fontId="2" fillId="2" borderId="7" xfId="9" applyFont="1" applyFill="1" applyBorder="1" applyAlignment="1">
      <alignment horizontal="center" vertical="center"/>
    </xf>
    <xf numFmtId="0" fontId="2" fillId="0" borderId="16" xfId="9" applyFont="1" applyFill="1" applyBorder="1" applyAlignment="1">
      <alignment horizontal="center" vertical="center"/>
    </xf>
    <xf numFmtId="0" fontId="2" fillId="0" borderId="18" xfId="9" applyFont="1" applyFill="1" applyBorder="1" applyAlignment="1">
      <alignment horizontal="center" vertical="center"/>
    </xf>
    <xf numFmtId="0" fontId="2" fillId="0" borderId="14" xfId="9" applyFont="1" applyFill="1" applyBorder="1" applyAlignment="1">
      <alignment horizontal="center" vertical="center"/>
    </xf>
    <xf numFmtId="0" fontId="2" fillId="0" borderId="3" xfId="9" applyFont="1" applyFill="1" applyBorder="1" applyAlignment="1">
      <alignment horizontal="center" vertical="center"/>
    </xf>
    <xf numFmtId="0" fontId="2" fillId="2" borderId="8" xfId="9" applyFont="1" applyFill="1" applyBorder="1" applyAlignment="1">
      <alignment horizontal="center" vertical="center"/>
    </xf>
    <xf numFmtId="0" fontId="2" fillId="0" borderId="20" xfId="9" applyFont="1" applyFill="1" applyBorder="1" applyAlignment="1">
      <alignment horizontal="center" vertical="center"/>
    </xf>
    <xf numFmtId="0" fontId="2" fillId="0" borderId="21" xfId="9" applyFont="1" applyFill="1" applyBorder="1" applyAlignment="1">
      <alignment horizontal="center" vertical="center"/>
    </xf>
    <xf numFmtId="0" fontId="2" fillId="0" borderId="15" xfId="9" applyFont="1" applyFill="1" applyBorder="1" applyAlignment="1">
      <alignment horizontal="center" vertical="center"/>
    </xf>
    <xf numFmtId="0" fontId="2" fillId="0" borderId="2" xfId="9" applyFont="1" applyFill="1" applyBorder="1" applyAlignment="1">
      <alignment horizontal="center" vertical="center"/>
    </xf>
    <xf numFmtId="0" fontId="2" fillId="2" borderId="22" xfId="9" applyFont="1" applyFill="1" applyBorder="1" applyAlignment="1">
      <alignment horizontal="center" vertical="center"/>
    </xf>
    <xf numFmtId="0" fontId="2" fillId="2" borderId="4" xfId="9" applyFont="1" applyFill="1" applyBorder="1" applyAlignment="1">
      <alignment horizontal="center" vertical="center"/>
    </xf>
    <xf numFmtId="0" fontId="2" fillId="0" borderId="5" xfId="9" applyFont="1" applyBorder="1" applyAlignment="1">
      <alignment vertical="center" wrapText="1"/>
    </xf>
    <xf numFmtId="0" fontId="2" fillId="0" borderId="8" xfId="9" applyFont="1" applyBorder="1" applyAlignment="1">
      <alignment vertical="center"/>
    </xf>
    <xf numFmtId="0" fontId="2" fillId="0" borderId="7" xfId="9" applyFont="1" applyBorder="1" applyAlignment="1">
      <alignment vertical="center"/>
    </xf>
    <xf numFmtId="0" fontId="2" fillId="2" borderId="16" xfId="9" applyFont="1" applyFill="1" applyBorder="1" applyAlignment="1">
      <alignment horizontal="center" vertical="center"/>
    </xf>
    <xf numFmtId="0" fontId="2" fillId="2" borderId="17" xfId="9" applyFont="1" applyFill="1" applyBorder="1" applyAlignment="1">
      <alignment horizontal="center" vertical="center"/>
    </xf>
    <xf numFmtId="0" fontId="2" fillId="2" borderId="18" xfId="9" applyFont="1" applyFill="1" applyBorder="1" applyAlignment="1">
      <alignment horizontal="center" vertical="center"/>
    </xf>
    <xf numFmtId="0" fontId="2" fillId="2" borderId="14" xfId="9" applyFont="1" applyFill="1" applyBorder="1" applyAlignment="1">
      <alignment horizontal="center" vertical="center"/>
    </xf>
    <xf numFmtId="0" fontId="2" fillId="2" borderId="2" xfId="9" applyFont="1" applyFill="1" applyBorder="1" applyAlignment="1">
      <alignment horizontal="center" vertical="center"/>
    </xf>
    <xf numFmtId="0" fontId="2" fillId="2" borderId="3" xfId="9" applyFont="1" applyFill="1" applyBorder="1" applyAlignment="1">
      <alignment horizontal="center" vertical="center"/>
    </xf>
    <xf numFmtId="0" fontId="2" fillId="2" borderId="19" xfId="9" applyFont="1" applyFill="1" applyBorder="1" applyAlignment="1">
      <alignment horizontal="center" vertical="center"/>
    </xf>
    <xf numFmtId="0" fontId="2" fillId="0" borderId="5" xfId="9" applyFont="1" applyBorder="1" applyAlignment="1">
      <alignment vertical="center"/>
    </xf>
    <xf numFmtId="0" fontId="2" fillId="0" borderId="5" xfId="24" applyFont="1" applyBorder="1" applyAlignment="1">
      <alignment vertical="center" wrapText="1"/>
    </xf>
    <xf numFmtId="0" fontId="2" fillId="0" borderId="8" xfId="24" applyFont="1" applyBorder="1" applyAlignment="1">
      <alignment vertical="center" wrapText="1"/>
    </xf>
    <xf numFmtId="0" fontId="2" fillId="0" borderId="7" xfId="24" applyFont="1" applyBorder="1" applyAlignment="1">
      <alignment vertical="center" wrapText="1"/>
    </xf>
    <xf numFmtId="0" fontId="2" fillId="0" borderId="16" xfId="10" applyFont="1" applyFill="1" applyBorder="1" applyAlignment="1">
      <alignment vertical="center" wrapText="1"/>
    </xf>
    <xf numFmtId="0" fontId="2" fillId="0" borderId="17" xfId="10" applyFont="1" applyFill="1" applyBorder="1" applyAlignment="1">
      <alignment vertical="center" wrapText="1"/>
    </xf>
    <xf numFmtId="0" fontId="2" fillId="0" borderId="18" xfId="10" applyFont="1" applyFill="1" applyBorder="1" applyAlignment="1">
      <alignment vertical="center" wrapText="1"/>
    </xf>
    <xf numFmtId="0" fontId="0" fillId="0" borderId="9" xfId="0" applyBorder="1" applyAlignment="1">
      <alignment vertical="center" wrapText="1"/>
    </xf>
    <xf numFmtId="0" fontId="0" fillId="0" borderId="0" xfId="0" applyAlignment="1">
      <alignment vertical="center" wrapText="1"/>
    </xf>
    <xf numFmtId="0" fontId="0" fillId="0" borderId="10"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2" fillId="0" borderId="5" xfId="9" applyFont="1" applyFill="1" applyBorder="1" applyAlignment="1">
      <alignment vertical="center"/>
    </xf>
    <xf numFmtId="0" fontId="2" fillId="0" borderId="8" xfId="9" applyFont="1" applyFill="1" applyBorder="1" applyAlignment="1">
      <alignment vertical="center"/>
    </xf>
    <xf numFmtId="0" fontId="2" fillId="0" borderId="7" xfId="9" applyFont="1" applyFill="1" applyBorder="1" applyAlignment="1">
      <alignment vertical="center"/>
    </xf>
    <xf numFmtId="0" fontId="2" fillId="0" borderId="8" xfId="9" applyFont="1" applyBorder="1" applyAlignment="1">
      <alignment vertical="center" wrapText="1"/>
    </xf>
    <xf numFmtId="0" fontId="2" fillId="0" borderId="7" xfId="9" applyFont="1" applyBorder="1" applyAlignment="1">
      <alignment vertical="center" wrapText="1"/>
    </xf>
    <xf numFmtId="0" fontId="2" fillId="0" borderId="5" xfId="8" applyFont="1" applyBorder="1" applyAlignment="1">
      <alignment horizontal="left" vertical="center"/>
    </xf>
    <xf numFmtId="0" fontId="2" fillId="0" borderId="8" xfId="8" applyFont="1" applyBorder="1" applyAlignment="1">
      <alignment horizontal="left" vertical="center"/>
    </xf>
    <xf numFmtId="0" fontId="2" fillId="0" borderId="7" xfId="8" applyFont="1" applyBorder="1" applyAlignment="1">
      <alignment horizontal="left" vertical="center"/>
    </xf>
    <xf numFmtId="0" fontId="2" fillId="0" borderId="5" xfId="9" applyFont="1" applyFill="1" applyBorder="1" applyAlignment="1">
      <alignment horizontal="left" vertical="center"/>
    </xf>
    <xf numFmtId="0" fontId="2" fillId="0" borderId="8" xfId="9" applyFont="1" applyFill="1" applyBorder="1" applyAlignment="1">
      <alignment horizontal="left" vertical="center"/>
    </xf>
    <xf numFmtId="0" fontId="2" fillId="0" borderId="7" xfId="9" applyFont="1" applyFill="1" applyBorder="1" applyAlignment="1">
      <alignment horizontal="left" vertical="center"/>
    </xf>
    <xf numFmtId="0" fontId="2" fillId="0" borderId="5" xfId="8" applyFont="1" applyBorder="1" applyAlignment="1">
      <alignment vertical="center" wrapText="1"/>
    </xf>
    <xf numFmtId="0" fontId="2" fillId="0" borderId="20" xfId="10" applyFont="1" applyFill="1" applyBorder="1" applyAlignment="1">
      <alignment horizontal="center" vertical="center"/>
    </xf>
    <xf numFmtId="0" fontId="2" fillId="0" borderId="21" xfId="10" applyFont="1" applyFill="1" applyBorder="1" applyAlignment="1">
      <alignment horizontal="center" vertical="center"/>
    </xf>
    <xf numFmtId="0" fontId="2" fillId="0" borderId="15" xfId="10" applyFont="1" applyFill="1" applyBorder="1" applyAlignment="1">
      <alignment horizontal="center" vertical="center"/>
    </xf>
    <xf numFmtId="0" fontId="2" fillId="0" borderId="2" xfId="10" applyFont="1" applyFill="1" applyBorder="1" applyAlignment="1">
      <alignment horizontal="center" vertical="center"/>
    </xf>
    <xf numFmtId="0" fontId="2" fillId="0" borderId="1" xfId="0" applyFont="1" applyBorder="1" applyAlignment="1">
      <alignment vertical="center" wrapText="1"/>
    </xf>
    <xf numFmtId="0" fontId="2" fillId="0" borderId="8" xfId="8" applyFont="1" applyBorder="1" applyAlignment="1">
      <alignment vertical="center" wrapText="1"/>
    </xf>
    <xf numFmtId="0" fontId="2" fillId="0" borderId="7" xfId="8" applyFont="1" applyBorder="1" applyAlignment="1">
      <alignment vertical="center" wrapText="1"/>
    </xf>
    <xf numFmtId="0" fontId="2" fillId="0" borderId="5" xfId="16" applyFont="1" applyBorder="1" applyAlignment="1">
      <alignment vertical="center"/>
    </xf>
    <xf numFmtId="0" fontId="2" fillId="0" borderId="8" xfId="16" applyFont="1" applyBorder="1" applyAlignment="1">
      <alignment vertical="center"/>
    </xf>
    <xf numFmtId="0" fontId="2" fillId="0" borderId="7" xfId="16" applyFont="1" applyBorder="1" applyAlignment="1">
      <alignment vertical="center"/>
    </xf>
    <xf numFmtId="0" fontId="14" fillId="0" borderId="5" xfId="16" applyFont="1" applyBorder="1" applyAlignment="1">
      <alignment vertical="center"/>
    </xf>
    <xf numFmtId="0" fontId="14" fillId="0" borderId="8" xfId="16" applyFont="1" applyBorder="1" applyAlignment="1">
      <alignment vertical="center"/>
    </xf>
    <xf numFmtId="0" fontId="14" fillId="0" borderId="7" xfId="16" applyFont="1" applyBorder="1" applyAlignment="1">
      <alignment vertical="center"/>
    </xf>
    <xf numFmtId="0" fontId="2" fillId="2" borderId="22" xfId="22" applyFont="1" applyFill="1" applyBorder="1" applyAlignment="1">
      <alignment horizontal="center" vertical="center"/>
    </xf>
    <xf numFmtId="0" fontId="2" fillId="2" borderId="4" xfId="22" applyFont="1" applyFill="1" applyBorder="1" applyAlignment="1">
      <alignment horizontal="center" vertical="center"/>
    </xf>
    <xf numFmtId="0" fontId="14" fillId="0" borderId="5" xfId="27" applyFont="1" applyBorder="1" applyAlignment="1">
      <alignment vertical="center" wrapText="1"/>
    </xf>
    <xf numFmtId="0" fontId="14" fillId="0" borderId="8" xfId="27" applyFont="1" applyBorder="1" applyAlignment="1">
      <alignment vertical="center" wrapText="1"/>
    </xf>
    <xf numFmtId="0" fontId="14" fillId="0" borderId="7" xfId="27" applyFont="1" applyBorder="1" applyAlignment="1">
      <alignment vertical="center" wrapText="1"/>
    </xf>
    <xf numFmtId="0" fontId="2" fillId="2" borderId="5" xfId="22" applyFont="1" applyFill="1" applyBorder="1" applyAlignment="1">
      <alignment horizontal="center" vertical="center"/>
    </xf>
    <xf numFmtId="0" fontId="2" fillId="2" borderId="8" xfId="22" applyFont="1" applyFill="1" applyBorder="1" applyAlignment="1">
      <alignment horizontal="center" vertical="center"/>
    </xf>
    <xf numFmtId="0" fontId="2" fillId="2" borderId="16" xfId="22" applyFont="1" applyFill="1" applyBorder="1" applyAlignment="1">
      <alignment horizontal="center" vertical="center"/>
    </xf>
    <xf numFmtId="0" fontId="2" fillId="2" borderId="17" xfId="22" applyFont="1" applyFill="1" applyBorder="1" applyAlignment="1">
      <alignment horizontal="center" vertical="center"/>
    </xf>
    <xf numFmtId="0" fontId="2" fillId="2" borderId="18" xfId="22" applyFont="1" applyFill="1" applyBorder="1" applyAlignment="1">
      <alignment horizontal="center" vertical="center"/>
    </xf>
    <xf numFmtId="0" fontId="2" fillId="2" borderId="14" xfId="22" applyFont="1" applyFill="1" applyBorder="1" applyAlignment="1">
      <alignment horizontal="center" vertical="center"/>
    </xf>
    <xf numFmtId="0" fontId="2" fillId="2" borderId="2" xfId="22" applyFont="1" applyFill="1" applyBorder="1" applyAlignment="1">
      <alignment horizontal="center" vertical="center"/>
    </xf>
    <xf numFmtId="0" fontId="2" fillId="2" borderId="3" xfId="22" applyFont="1" applyFill="1" applyBorder="1" applyAlignment="1">
      <alignment horizontal="center" vertical="center"/>
    </xf>
    <xf numFmtId="0" fontId="2" fillId="2" borderId="7" xfId="22" applyFont="1" applyFill="1" applyBorder="1" applyAlignment="1">
      <alignment horizontal="center" vertical="center"/>
    </xf>
    <xf numFmtId="0" fontId="2" fillId="2" borderId="19" xfId="22" applyFont="1" applyFill="1" applyBorder="1" applyAlignment="1">
      <alignment horizontal="center" vertical="center"/>
    </xf>
    <xf numFmtId="0" fontId="2" fillId="0" borderId="16" xfId="22" applyFont="1" applyFill="1" applyBorder="1" applyAlignment="1">
      <alignment horizontal="center" vertical="center"/>
    </xf>
    <xf numFmtId="0" fontId="2" fillId="0" borderId="18" xfId="22" applyFont="1" applyFill="1" applyBorder="1" applyAlignment="1">
      <alignment horizontal="center" vertical="center"/>
    </xf>
    <xf numFmtId="0" fontId="2" fillId="0" borderId="14" xfId="22" applyFont="1" applyFill="1" applyBorder="1" applyAlignment="1">
      <alignment horizontal="center" vertical="center"/>
    </xf>
    <xf numFmtId="0" fontId="2" fillId="0" borderId="3" xfId="22" applyFont="1" applyFill="1" applyBorder="1" applyAlignment="1">
      <alignment horizontal="center" vertical="center"/>
    </xf>
    <xf numFmtId="0" fontId="2" fillId="0" borderId="20" xfId="22" applyFont="1" applyFill="1" applyBorder="1" applyAlignment="1">
      <alignment horizontal="center" vertical="center"/>
    </xf>
    <xf numFmtId="0" fontId="2" fillId="0" borderId="21" xfId="22" applyFont="1" applyFill="1" applyBorder="1" applyAlignment="1">
      <alignment horizontal="center" vertical="center"/>
    </xf>
    <xf numFmtId="0" fontId="2" fillId="0" borderId="15" xfId="22" applyFont="1" applyFill="1" applyBorder="1" applyAlignment="1">
      <alignment horizontal="center" vertical="center"/>
    </xf>
    <xf numFmtId="0" fontId="2" fillId="0" borderId="2" xfId="22" applyFont="1" applyFill="1" applyBorder="1" applyAlignment="1">
      <alignment horizontal="center" vertical="center"/>
    </xf>
    <xf numFmtId="0" fontId="2" fillId="0" borderId="5" xfId="22" applyFont="1" applyBorder="1" applyAlignment="1">
      <alignment vertical="center"/>
    </xf>
    <xf numFmtId="0" fontId="2" fillId="0" borderId="8" xfId="22" applyFont="1" applyBorder="1" applyAlignment="1">
      <alignment vertical="center"/>
    </xf>
    <xf numFmtId="0" fontId="2" fillId="0" borderId="7" xfId="22" applyFont="1" applyBorder="1" applyAlignment="1">
      <alignment vertical="center"/>
    </xf>
    <xf numFmtId="0" fontId="14" fillId="0" borderId="5" xfId="22" applyFont="1" applyBorder="1" applyAlignment="1">
      <alignment vertical="center" wrapText="1"/>
    </xf>
    <xf numFmtId="0" fontId="14" fillId="0" borderId="8" xfId="22" applyFont="1" applyBorder="1" applyAlignment="1">
      <alignment vertical="center" wrapText="1"/>
    </xf>
    <xf numFmtId="0" fontId="14" fillId="0" borderId="7" xfId="22" applyFont="1" applyBorder="1" applyAlignment="1">
      <alignment vertical="center" wrapText="1"/>
    </xf>
    <xf numFmtId="0" fontId="14" fillId="0" borderId="5" xfId="27" applyFont="1" applyBorder="1" applyAlignment="1">
      <alignment horizontal="left" vertical="center" wrapText="1"/>
    </xf>
    <xf numFmtId="0" fontId="14" fillId="0" borderId="8" xfId="27" applyFont="1" applyBorder="1" applyAlignment="1">
      <alignment horizontal="left" vertical="center" wrapText="1"/>
    </xf>
    <xf numFmtId="0" fontId="14" fillId="0" borderId="7" xfId="27" applyFont="1" applyBorder="1" applyAlignment="1">
      <alignment horizontal="left" vertical="center" wrapText="1"/>
    </xf>
    <xf numFmtId="0" fontId="14" fillId="0" borderId="8" xfId="22" applyFont="1" applyBorder="1" applyAlignment="1">
      <alignment vertical="center"/>
    </xf>
    <xf numFmtId="0" fontId="14" fillId="0" borderId="7" xfId="22" applyFont="1" applyBorder="1" applyAlignment="1">
      <alignment vertical="center"/>
    </xf>
    <xf numFmtId="0" fontId="14" fillId="0" borderId="5" xfId="16" applyFont="1" applyBorder="1" applyAlignment="1">
      <alignment vertical="center" wrapText="1"/>
    </xf>
    <xf numFmtId="0" fontId="14" fillId="0" borderId="5" xfId="22" applyFont="1" applyBorder="1" applyAlignment="1">
      <alignment vertical="center"/>
    </xf>
    <xf numFmtId="0" fontId="2" fillId="2" borderId="5" xfId="6" applyFont="1" applyFill="1" applyBorder="1" applyAlignment="1">
      <alignment horizontal="center" vertical="center"/>
    </xf>
    <xf numFmtId="0" fontId="2" fillId="2" borderId="8" xfId="6" applyFont="1" applyFill="1" applyBorder="1" applyAlignment="1">
      <alignment horizontal="center" vertical="center"/>
    </xf>
    <xf numFmtId="0" fontId="2" fillId="2" borderId="16" xfId="6" applyFont="1" applyFill="1" applyBorder="1" applyAlignment="1">
      <alignment horizontal="center" vertical="center"/>
    </xf>
    <xf numFmtId="0" fontId="2" fillId="2" borderId="17" xfId="6" applyFont="1" applyFill="1" applyBorder="1" applyAlignment="1">
      <alignment horizontal="center" vertical="center"/>
    </xf>
    <xf numFmtId="0" fontId="2" fillId="2" borderId="18" xfId="6" applyFont="1" applyFill="1" applyBorder="1" applyAlignment="1">
      <alignment horizontal="center" vertical="center"/>
    </xf>
    <xf numFmtId="0" fontId="2" fillId="2" borderId="14" xfId="6" applyFont="1" applyFill="1" applyBorder="1" applyAlignment="1">
      <alignment horizontal="center" vertical="center"/>
    </xf>
    <xf numFmtId="0" fontId="2" fillId="2" borderId="2" xfId="6" applyFont="1" applyFill="1" applyBorder="1" applyAlignment="1">
      <alignment horizontal="center" vertical="center"/>
    </xf>
    <xf numFmtId="0" fontId="2" fillId="2" borderId="3" xfId="6" applyFont="1" applyFill="1" applyBorder="1" applyAlignment="1">
      <alignment horizontal="center" vertical="center"/>
    </xf>
    <xf numFmtId="0" fontId="2" fillId="2" borderId="7" xfId="6" applyFont="1" applyFill="1" applyBorder="1" applyAlignment="1">
      <alignment horizontal="center" vertical="center"/>
    </xf>
    <xf numFmtId="0" fontId="2" fillId="0" borderId="16" xfId="6" applyFont="1" applyFill="1" applyBorder="1" applyAlignment="1">
      <alignment horizontal="center" vertical="center"/>
    </xf>
    <xf numFmtId="0" fontId="2" fillId="0" borderId="18" xfId="6" applyFont="1" applyFill="1" applyBorder="1" applyAlignment="1">
      <alignment horizontal="center" vertical="center"/>
    </xf>
    <xf numFmtId="0" fontId="2" fillId="0" borderId="14" xfId="6" applyFont="1" applyFill="1" applyBorder="1" applyAlignment="1">
      <alignment horizontal="center" vertical="center"/>
    </xf>
    <xf numFmtId="0" fontId="2" fillId="0" borderId="3" xfId="6" applyFont="1" applyFill="1" applyBorder="1" applyAlignment="1">
      <alignment horizontal="center" vertical="center"/>
    </xf>
    <xf numFmtId="0" fontId="2" fillId="2" borderId="19" xfId="6" applyFont="1" applyFill="1" applyBorder="1" applyAlignment="1">
      <alignment horizontal="center" vertical="center"/>
    </xf>
    <xf numFmtId="0" fontId="2" fillId="2" borderId="22" xfId="6" applyFont="1" applyFill="1" applyBorder="1" applyAlignment="1">
      <alignment horizontal="center" vertical="center"/>
    </xf>
    <xf numFmtId="0" fontId="2" fillId="2" borderId="4" xfId="6" applyFont="1" applyFill="1" applyBorder="1" applyAlignment="1">
      <alignment horizontal="center" vertical="center"/>
    </xf>
    <xf numFmtId="0" fontId="2" fillId="0" borderId="20" xfId="6" applyFont="1" applyFill="1" applyBorder="1" applyAlignment="1">
      <alignment horizontal="center" vertical="center"/>
    </xf>
    <xf numFmtId="0" fontId="2" fillId="0" borderId="21" xfId="6" applyFont="1" applyFill="1" applyBorder="1" applyAlignment="1">
      <alignment horizontal="center" vertical="center"/>
    </xf>
    <xf numFmtId="0" fontId="2" fillId="0" borderId="15" xfId="6" applyFont="1" applyFill="1" applyBorder="1" applyAlignment="1">
      <alignment horizontal="center" vertical="center"/>
    </xf>
    <xf numFmtId="0" fontId="2" fillId="0" borderId="2" xfId="6" applyFont="1" applyFill="1" applyBorder="1" applyAlignment="1">
      <alignment horizontal="center" vertical="center"/>
    </xf>
    <xf numFmtId="0" fontId="2" fillId="0" borderId="5" xfId="6" applyFont="1" applyBorder="1" applyAlignment="1">
      <alignment vertical="center"/>
    </xf>
    <xf numFmtId="0" fontId="2" fillId="0" borderId="8" xfId="6" applyFont="1" applyBorder="1" applyAlignment="1">
      <alignment vertical="center"/>
    </xf>
    <xf numFmtId="0" fontId="2" fillId="0" borderId="7" xfId="6" applyFont="1" applyBorder="1" applyAlignment="1">
      <alignment vertical="center"/>
    </xf>
    <xf numFmtId="0" fontId="2" fillId="0" borderId="5" xfId="6" applyFont="1" applyBorder="1" applyAlignment="1">
      <alignment vertical="center" wrapText="1"/>
    </xf>
    <xf numFmtId="0" fontId="2" fillId="0" borderId="5" xfId="19" applyFont="1" applyBorder="1" applyAlignment="1">
      <alignment vertical="center"/>
    </xf>
    <xf numFmtId="0" fontId="2" fillId="0" borderId="8" xfId="19" applyFont="1" applyBorder="1" applyAlignment="1">
      <alignment vertical="center"/>
    </xf>
    <xf numFmtId="0" fontId="2" fillId="0" borderId="7" xfId="19" applyFont="1" applyBorder="1" applyAlignment="1">
      <alignment vertical="center"/>
    </xf>
    <xf numFmtId="0" fontId="2" fillId="2" borderId="22" xfId="19" applyFont="1" applyFill="1" applyBorder="1" applyAlignment="1">
      <alignment horizontal="center" vertical="center"/>
    </xf>
    <xf numFmtId="0" fontId="2" fillId="2" borderId="4" xfId="19" applyFont="1" applyFill="1" applyBorder="1" applyAlignment="1">
      <alignment horizontal="center" vertical="center"/>
    </xf>
    <xf numFmtId="0" fontId="2" fillId="2" borderId="5" xfId="19" applyFont="1" applyFill="1" applyBorder="1" applyAlignment="1">
      <alignment horizontal="center" vertical="center"/>
    </xf>
    <xf numFmtId="0" fontId="2" fillId="2" borderId="8" xfId="19" applyFont="1" applyFill="1" applyBorder="1" applyAlignment="1">
      <alignment horizontal="center" vertical="center"/>
    </xf>
    <xf numFmtId="0" fontId="2" fillId="2" borderId="7" xfId="19" applyFont="1" applyFill="1" applyBorder="1" applyAlignment="1">
      <alignment horizontal="center" vertical="center"/>
    </xf>
    <xf numFmtId="0" fontId="2" fillId="2" borderId="19" xfId="19" applyFont="1" applyFill="1" applyBorder="1" applyAlignment="1">
      <alignment horizontal="center" vertical="center"/>
    </xf>
    <xf numFmtId="0" fontId="2" fillId="2" borderId="16" xfId="19" applyFont="1" applyFill="1" applyBorder="1" applyAlignment="1">
      <alignment horizontal="center" vertical="center"/>
    </xf>
    <xf numFmtId="0" fontId="2" fillId="2" borderId="17" xfId="19" applyFont="1" applyFill="1" applyBorder="1" applyAlignment="1">
      <alignment horizontal="center" vertical="center"/>
    </xf>
    <xf numFmtId="0" fontId="2" fillId="2" borderId="18" xfId="19" applyFont="1" applyFill="1" applyBorder="1" applyAlignment="1">
      <alignment horizontal="center" vertical="center"/>
    </xf>
    <xf numFmtId="0" fontId="2" fillId="2" borderId="14" xfId="19" applyFont="1" applyFill="1" applyBorder="1" applyAlignment="1">
      <alignment horizontal="center" vertical="center"/>
    </xf>
    <xf numFmtId="0" fontId="2" fillId="2" borderId="2" xfId="19" applyFont="1" applyFill="1" applyBorder="1" applyAlignment="1">
      <alignment horizontal="center" vertical="center"/>
    </xf>
    <xf numFmtId="0" fontId="2" fillId="2" borderId="3" xfId="19" applyFont="1" applyFill="1" applyBorder="1" applyAlignment="1">
      <alignment horizontal="center" vertical="center"/>
    </xf>
    <xf numFmtId="0" fontId="2" fillId="0" borderId="5" xfId="19" applyFont="1" applyBorder="1" applyAlignment="1">
      <alignment vertical="center" wrapText="1"/>
    </xf>
    <xf numFmtId="0" fontId="2" fillId="0" borderId="16" xfId="19" applyFont="1" applyFill="1" applyBorder="1" applyAlignment="1">
      <alignment horizontal="center" vertical="center"/>
    </xf>
    <xf numFmtId="0" fontId="2" fillId="0" borderId="18" xfId="19" applyFont="1" applyFill="1" applyBorder="1" applyAlignment="1">
      <alignment horizontal="center" vertical="center"/>
    </xf>
    <xf numFmtId="0" fontId="2" fillId="0" borderId="14" xfId="19" applyFont="1" applyFill="1" applyBorder="1" applyAlignment="1">
      <alignment horizontal="center" vertical="center"/>
    </xf>
    <xf numFmtId="0" fontId="2" fillId="0" borderId="3" xfId="19" applyFont="1" applyFill="1" applyBorder="1" applyAlignment="1">
      <alignment horizontal="center" vertical="center"/>
    </xf>
    <xf numFmtId="0" fontId="2" fillId="0" borderId="20" xfId="19" applyFont="1" applyFill="1" applyBorder="1" applyAlignment="1">
      <alignment horizontal="center" vertical="center"/>
    </xf>
    <xf numFmtId="0" fontId="2" fillId="0" borderId="21" xfId="19" applyFont="1" applyFill="1" applyBorder="1" applyAlignment="1">
      <alignment horizontal="center" vertical="center"/>
    </xf>
    <xf numFmtId="0" fontId="2" fillId="0" borderId="15" xfId="19" applyFont="1" applyFill="1" applyBorder="1" applyAlignment="1">
      <alignment horizontal="center" vertical="center"/>
    </xf>
    <xf numFmtId="0" fontId="2" fillId="0" borderId="2" xfId="19" applyFont="1" applyFill="1" applyBorder="1" applyAlignment="1">
      <alignment horizontal="center" vertical="center"/>
    </xf>
    <xf numFmtId="0" fontId="2" fillId="0" borderId="1" xfId="10" applyFont="1" applyBorder="1" applyAlignment="1">
      <alignment vertical="center" wrapText="1"/>
    </xf>
    <xf numFmtId="0" fontId="2" fillId="0" borderId="5" xfId="20" applyFont="1" applyFill="1" applyBorder="1" applyAlignment="1">
      <alignment vertical="center" wrapText="1"/>
    </xf>
    <xf numFmtId="0" fontId="2" fillId="0" borderId="8" xfId="20" applyFont="1" applyFill="1" applyBorder="1" applyAlignment="1">
      <alignment vertical="center"/>
    </xf>
    <xf numFmtId="0" fontId="2" fillId="0" borderId="7" xfId="20" applyFont="1" applyFill="1" applyBorder="1" applyAlignment="1">
      <alignment vertical="center"/>
    </xf>
    <xf numFmtId="0" fontId="2" fillId="0" borderId="5" xfId="20" applyFont="1" applyBorder="1" applyAlignment="1">
      <alignment vertical="center"/>
    </xf>
    <xf numFmtId="0" fontId="2" fillId="0" borderId="8" xfId="20" applyFont="1" applyBorder="1" applyAlignment="1">
      <alignment vertical="center"/>
    </xf>
    <xf numFmtId="0" fontId="2" fillId="0" borderId="7" xfId="20" applyFont="1" applyBorder="1" applyAlignment="1">
      <alignment vertical="center"/>
    </xf>
    <xf numFmtId="0" fontId="2" fillId="0" borderId="5" xfId="20" applyFont="1" applyBorder="1" applyAlignment="1">
      <alignment vertical="center" wrapText="1"/>
    </xf>
    <xf numFmtId="0" fontId="0" fillId="0" borderId="8" xfId="0" applyBorder="1" applyAlignment="1">
      <alignment vertical="center" wrapText="1"/>
    </xf>
    <xf numFmtId="0" fontId="0" fillId="0" borderId="7" xfId="0" applyBorder="1" applyAlignment="1">
      <alignment vertical="center" wrapText="1"/>
    </xf>
    <xf numFmtId="0" fontId="2" fillId="4" borderId="20" xfId="10" applyFont="1" applyFill="1" applyBorder="1" applyAlignment="1">
      <alignment horizontal="center" vertical="center"/>
    </xf>
    <xf numFmtId="0" fontId="2" fillId="4" borderId="21" xfId="10" applyFont="1" applyFill="1" applyBorder="1" applyAlignment="1">
      <alignment horizontal="center" vertical="center"/>
    </xf>
    <xf numFmtId="0" fontId="2" fillId="4" borderId="15" xfId="10" applyFont="1" applyFill="1" applyBorder="1" applyAlignment="1">
      <alignment horizontal="center" vertical="center"/>
    </xf>
    <xf numFmtId="0" fontId="2" fillId="4" borderId="14" xfId="10" applyFont="1" applyFill="1" applyBorder="1" applyAlignment="1">
      <alignment horizontal="center" vertical="center"/>
    </xf>
    <xf numFmtId="0" fontId="2" fillId="4" borderId="2" xfId="10" applyFont="1" applyFill="1" applyBorder="1" applyAlignment="1">
      <alignment horizontal="center" vertical="center"/>
    </xf>
    <xf numFmtId="0" fontId="2" fillId="4" borderId="3" xfId="10" applyFont="1" applyFill="1" applyBorder="1" applyAlignment="1">
      <alignment horizontal="center" vertical="center"/>
    </xf>
    <xf numFmtId="0" fontId="2" fillId="0" borderId="5" xfId="0" applyFont="1" applyBorder="1" applyAlignment="1">
      <alignment vertical="top" wrapText="1"/>
    </xf>
    <xf numFmtId="0" fontId="2" fillId="0" borderId="8" xfId="0" applyFont="1" applyBorder="1" applyAlignment="1">
      <alignment vertical="top" wrapText="1"/>
    </xf>
    <xf numFmtId="0" fontId="2" fillId="0" borderId="7" xfId="0" applyFont="1" applyBorder="1" applyAlignment="1">
      <alignment vertical="top" wrapText="1"/>
    </xf>
    <xf numFmtId="0" fontId="2" fillId="0" borderId="5" xfId="0" applyFont="1" applyFill="1" applyBorder="1" applyAlignment="1">
      <alignment vertical="center"/>
    </xf>
    <xf numFmtId="0" fontId="2" fillId="0" borderId="8" xfId="0" applyFont="1" applyFill="1" applyBorder="1" applyAlignment="1">
      <alignment vertical="center"/>
    </xf>
    <xf numFmtId="0" fontId="2" fillId="0" borderId="7" xfId="0" applyFont="1" applyFill="1" applyBorder="1" applyAlignment="1">
      <alignment vertical="center"/>
    </xf>
    <xf numFmtId="0" fontId="2" fillId="0" borderId="5" xfId="8" applyFont="1" applyBorder="1" applyAlignment="1">
      <alignment horizontal="left" vertical="center" wrapText="1"/>
    </xf>
    <xf numFmtId="0" fontId="2" fillId="0" borderId="8" xfId="8" applyFont="1" applyBorder="1" applyAlignment="1">
      <alignment horizontal="left" vertical="center" wrapText="1"/>
    </xf>
    <xf numFmtId="0" fontId="2" fillId="0" borderId="7" xfId="8" applyFont="1" applyBorder="1" applyAlignment="1">
      <alignment horizontal="left" vertical="center" wrapText="1"/>
    </xf>
    <xf numFmtId="0" fontId="2" fillId="0" borderId="5" xfId="0" applyFont="1" applyFill="1" applyBorder="1" applyAlignment="1">
      <alignment vertical="center" wrapText="1"/>
    </xf>
    <xf numFmtId="0" fontId="2" fillId="0" borderId="8" xfId="0" applyFont="1" applyFill="1" applyBorder="1" applyAlignment="1">
      <alignment vertical="center" wrapText="1"/>
    </xf>
    <xf numFmtId="0" fontId="2" fillId="0" borderId="7" xfId="0" applyFont="1" applyFill="1" applyBorder="1" applyAlignment="1">
      <alignment vertical="center" wrapText="1"/>
    </xf>
    <xf numFmtId="0" fontId="17" fillId="0" borderId="5" xfId="4" applyFont="1" applyBorder="1" applyAlignment="1">
      <alignment vertical="center"/>
    </xf>
    <xf numFmtId="0" fontId="17" fillId="0" borderId="8" xfId="4" applyFont="1" applyBorder="1" applyAlignment="1">
      <alignment vertical="center"/>
    </xf>
    <xf numFmtId="0" fontId="17" fillId="0" borderId="7" xfId="4" applyFont="1" applyBorder="1" applyAlignment="1">
      <alignment vertical="center"/>
    </xf>
    <xf numFmtId="0" fontId="17" fillId="0" borderId="5" xfId="8" applyFont="1" applyBorder="1" applyAlignment="1">
      <alignment vertical="center"/>
    </xf>
    <xf numFmtId="0" fontId="17" fillId="0" borderId="8" xfId="8" applyFont="1" applyBorder="1" applyAlignment="1">
      <alignment vertical="center"/>
    </xf>
    <xf numFmtId="0" fontId="17" fillId="0" borderId="7" xfId="8" applyFont="1" applyBorder="1" applyAlignment="1">
      <alignment vertical="center"/>
    </xf>
    <xf numFmtId="0" fontId="17" fillId="0" borderId="5" xfId="8" applyFont="1" applyBorder="1" applyAlignment="1">
      <alignment vertical="center" wrapText="1"/>
    </xf>
    <xf numFmtId="0" fontId="17" fillId="0" borderId="5" xfId="0" applyFont="1" applyBorder="1" applyAlignment="1">
      <alignment vertical="center" wrapText="1"/>
    </xf>
    <xf numFmtId="0" fontId="17" fillId="0" borderId="8" xfId="0" applyFont="1" applyBorder="1" applyAlignment="1">
      <alignment vertical="center" wrapText="1"/>
    </xf>
    <xf numFmtId="0" fontId="17" fillId="0" borderId="7" xfId="0" applyFont="1" applyBorder="1" applyAlignment="1">
      <alignment vertical="center" wrapText="1"/>
    </xf>
    <xf numFmtId="0" fontId="17" fillId="0" borderId="5" xfId="8" applyFont="1" applyBorder="1" applyAlignment="1">
      <alignment horizontal="left" vertical="center" wrapText="1"/>
    </xf>
    <xf numFmtId="0" fontId="17" fillId="0" borderId="8" xfId="8" applyFont="1" applyBorder="1" applyAlignment="1">
      <alignment horizontal="left" vertical="center" wrapText="1"/>
    </xf>
    <xf numFmtId="0" fontId="17" fillId="0" borderId="7" xfId="8" applyFont="1" applyBorder="1" applyAlignment="1">
      <alignment horizontal="left" vertical="center" wrapText="1"/>
    </xf>
    <xf numFmtId="0" fontId="17" fillId="0" borderId="5" xfId="0" applyFont="1" applyBorder="1" applyAlignment="1" applyProtection="1">
      <alignment vertical="center" wrapText="1"/>
      <protection locked="0"/>
    </xf>
    <xf numFmtId="0" fontId="17" fillId="0" borderId="8" xfId="0" applyFont="1" applyBorder="1" applyAlignment="1" applyProtection="1">
      <alignment vertical="center" wrapText="1"/>
      <protection locked="0"/>
    </xf>
    <xf numFmtId="0" fontId="17" fillId="0" borderId="7" xfId="0" applyFont="1" applyBorder="1" applyAlignment="1" applyProtection="1">
      <alignment vertical="center" wrapText="1"/>
      <protection locked="0"/>
    </xf>
    <xf numFmtId="0" fontId="17" fillId="0" borderId="5" xfId="4" applyFont="1" applyBorder="1" applyAlignment="1">
      <alignment vertical="center" wrapText="1"/>
    </xf>
    <xf numFmtId="0" fontId="17" fillId="0" borderId="8" xfId="4" applyFont="1" applyBorder="1" applyAlignment="1">
      <alignment vertical="center" wrapText="1"/>
    </xf>
    <xf numFmtId="0" fontId="17" fillId="0" borderId="7" xfId="4" applyFont="1" applyBorder="1" applyAlignment="1">
      <alignment vertical="center" wrapText="1"/>
    </xf>
    <xf numFmtId="0" fontId="17" fillId="0" borderId="5" xfId="0" applyFont="1" applyBorder="1" applyAlignment="1">
      <alignment horizontal="left" vertical="center" wrapText="1"/>
    </xf>
    <xf numFmtId="0" fontId="17" fillId="0" borderId="8" xfId="0" applyFont="1" applyBorder="1" applyAlignment="1">
      <alignment horizontal="left" vertical="center" wrapText="1"/>
    </xf>
    <xf numFmtId="0" fontId="17" fillId="0" borderId="7" xfId="0" applyFont="1" applyBorder="1" applyAlignment="1">
      <alignment horizontal="left" vertical="center" wrapText="1"/>
    </xf>
    <xf numFmtId="0" fontId="17" fillId="0" borderId="5" xfId="4" applyFont="1" applyBorder="1" applyAlignment="1">
      <alignment horizontal="left" vertical="center" wrapText="1"/>
    </xf>
    <xf numFmtId="0" fontId="17" fillId="0" borderId="8" xfId="4" applyFont="1" applyBorder="1" applyAlignment="1">
      <alignment horizontal="left" vertical="center"/>
    </xf>
    <xf numFmtId="0" fontId="17" fillId="0" borderId="7" xfId="4" applyFont="1" applyBorder="1" applyAlignment="1">
      <alignment horizontal="left" vertical="center"/>
    </xf>
    <xf numFmtId="0" fontId="2" fillId="2" borderId="22" xfId="12" applyFont="1" applyFill="1" applyBorder="1" applyAlignment="1">
      <alignment horizontal="center" vertical="center"/>
    </xf>
    <xf numFmtId="0" fontId="2" fillId="2" borderId="4" xfId="12" applyFont="1" applyFill="1" applyBorder="1" applyAlignment="1">
      <alignment horizontal="center" vertical="center"/>
    </xf>
    <xf numFmtId="0" fontId="2" fillId="2" borderId="5" xfId="12" applyFont="1" applyFill="1" applyBorder="1" applyAlignment="1">
      <alignment horizontal="center" vertical="center"/>
    </xf>
    <xf numFmtId="0" fontId="2" fillId="2" borderId="7" xfId="12" applyFont="1" applyFill="1" applyBorder="1" applyAlignment="1">
      <alignment horizontal="center" vertical="center"/>
    </xf>
    <xf numFmtId="0" fontId="2" fillId="0" borderId="16" xfId="12" applyFont="1" applyFill="1" applyBorder="1" applyAlignment="1">
      <alignment horizontal="center" vertical="center"/>
    </xf>
    <xf numFmtId="0" fontId="2" fillId="0" borderId="18" xfId="12" applyFont="1" applyFill="1" applyBorder="1" applyAlignment="1">
      <alignment horizontal="center" vertical="center"/>
    </xf>
    <xf numFmtId="0" fontId="2" fillId="0" borderId="14" xfId="12" applyFont="1" applyFill="1" applyBorder="1" applyAlignment="1">
      <alignment horizontal="center" vertical="center"/>
    </xf>
    <xf numFmtId="0" fontId="2" fillId="0" borderId="3" xfId="12" applyFont="1" applyFill="1" applyBorder="1" applyAlignment="1">
      <alignment horizontal="center" vertical="center"/>
    </xf>
    <xf numFmtId="0" fontId="2" fillId="2" borderId="8" xfId="12" applyFont="1" applyFill="1" applyBorder="1" applyAlignment="1">
      <alignment horizontal="center" vertical="center"/>
    </xf>
    <xf numFmtId="0" fontId="2" fillId="0" borderId="20" xfId="12" applyFont="1" applyFill="1" applyBorder="1" applyAlignment="1">
      <alignment horizontal="center" vertical="center"/>
    </xf>
    <xf numFmtId="0" fontId="2" fillId="0" borderId="21" xfId="12" applyFont="1" applyFill="1" applyBorder="1" applyAlignment="1">
      <alignment horizontal="center" vertical="center"/>
    </xf>
    <xf numFmtId="0" fontId="2" fillId="0" borderId="15" xfId="12" applyFont="1" applyFill="1" applyBorder="1" applyAlignment="1">
      <alignment horizontal="center" vertical="center"/>
    </xf>
    <xf numFmtId="0" fontId="2" fillId="0" borderId="2" xfId="12" applyFont="1" applyFill="1" applyBorder="1" applyAlignment="1">
      <alignment horizontal="center" vertical="center"/>
    </xf>
    <xf numFmtId="0" fontId="2" fillId="0" borderId="5" xfId="26" applyFont="1" applyBorder="1" applyAlignment="1">
      <alignment vertical="center" wrapText="1"/>
    </xf>
    <xf numFmtId="0" fontId="2" fillId="0" borderId="8" xfId="26" applyFont="1" applyBorder="1" applyAlignment="1">
      <alignment vertical="center" wrapText="1"/>
    </xf>
    <xf numFmtId="0" fontId="2" fillId="0" borderId="7" xfId="26" applyFont="1" applyBorder="1" applyAlignment="1">
      <alignment vertical="center" wrapText="1"/>
    </xf>
    <xf numFmtId="0" fontId="2" fillId="0" borderId="5" xfId="9" applyFont="1" applyBorder="1" applyAlignment="1">
      <alignment horizontal="left" vertical="center" wrapText="1"/>
    </xf>
    <xf numFmtId="0" fontId="2" fillId="0" borderId="8" xfId="9" applyFont="1" applyBorder="1" applyAlignment="1">
      <alignment horizontal="left" vertical="center" wrapText="1"/>
    </xf>
    <xf numFmtId="0" fontId="2" fillId="0" borderId="7" xfId="9" applyFont="1" applyBorder="1" applyAlignment="1">
      <alignment horizontal="left" vertical="center" wrapText="1"/>
    </xf>
    <xf numFmtId="0" fontId="2" fillId="0" borderId="5" xfId="18" applyFont="1" applyBorder="1" applyAlignment="1">
      <alignment vertical="center"/>
    </xf>
    <xf numFmtId="0" fontId="2" fillId="0" borderId="8" xfId="18" applyFont="1" applyBorder="1" applyAlignment="1">
      <alignment vertical="center"/>
    </xf>
    <xf numFmtId="0" fontId="2" fillId="0" borderId="7" xfId="18" applyFont="1" applyBorder="1" applyAlignment="1">
      <alignment vertical="center"/>
    </xf>
    <xf numFmtId="0" fontId="2" fillId="0" borderId="5" xfId="12" applyFont="1" applyBorder="1" applyAlignment="1">
      <alignment horizontal="center" vertical="center"/>
    </xf>
    <xf numFmtId="0" fontId="2" fillId="0" borderId="8" xfId="12" applyFont="1" applyBorder="1" applyAlignment="1">
      <alignment horizontal="center" vertical="center"/>
    </xf>
    <xf numFmtId="0" fontId="2" fillId="0" borderId="7" xfId="12" applyFont="1" applyBorder="1" applyAlignment="1">
      <alignment horizontal="center" vertical="center"/>
    </xf>
    <xf numFmtId="0" fontId="2" fillId="2" borderId="16" xfId="12" applyFont="1" applyFill="1" applyBorder="1" applyAlignment="1">
      <alignment horizontal="center" vertical="center"/>
    </xf>
    <xf numFmtId="0" fontId="2" fillId="2" borderId="17" xfId="12" applyFont="1" applyFill="1" applyBorder="1" applyAlignment="1">
      <alignment horizontal="center" vertical="center"/>
    </xf>
    <xf numFmtId="0" fontId="2" fillId="2" borderId="18" xfId="12" applyFont="1" applyFill="1" applyBorder="1" applyAlignment="1">
      <alignment horizontal="center" vertical="center"/>
    </xf>
    <xf numFmtId="0" fontId="2" fillId="2" borderId="14" xfId="12" applyFont="1" applyFill="1" applyBorder="1" applyAlignment="1">
      <alignment horizontal="center" vertical="center"/>
    </xf>
    <xf numFmtId="0" fontId="2" fillId="2" borderId="2" xfId="12" applyFont="1" applyFill="1" applyBorder="1" applyAlignment="1">
      <alignment horizontal="center" vertical="center"/>
    </xf>
    <xf numFmtId="0" fontId="2" fillId="2" borderId="3" xfId="12" applyFont="1" applyFill="1" applyBorder="1" applyAlignment="1">
      <alignment horizontal="center" vertical="center"/>
    </xf>
    <xf numFmtId="0" fontId="2" fillId="2" borderId="19" xfId="12" applyFont="1" applyFill="1" applyBorder="1" applyAlignment="1">
      <alignment horizontal="center" vertical="center"/>
    </xf>
    <xf numFmtId="0" fontId="2" fillId="0" borderId="16" xfId="26" applyFont="1" applyBorder="1" applyAlignment="1">
      <alignment horizontal="left" vertical="center" wrapText="1"/>
    </xf>
    <xf numFmtId="0" fontId="2" fillId="0" borderId="17" xfId="26" applyFont="1" applyBorder="1" applyAlignment="1">
      <alignment horizontal="left" vertical="center" wrapText="1"/>
    </xf>
    <xf numFmtId="0" fontId="2" fillId="0" borderId="18" xfId="26" applyFont="1" applyBorder="1" applyAlignment="1">
      <alignment horizontal="left" vertical="center" wrapText="1"/>
    </xf>
    <xf numFmtId="0" fontId="2" fillId="0" borderId="14" xfId="26" applyFont="1" applyBorder="1" applyAlignment="1">
      <alignment horizontal="left" vertical="center" wrapText="1"/>
    </xf>
    <xf numFmtId="0" fontId="2" fillId="0" borderId="2" xfId="26" applyFont="1" applyBorder="1" applyAlignment="1">
      <alignment horizontal="left" vertical="center" wrapText="1"/>
    </xf>
    <xf numFmtId="0" fontId="2" fillId="0" borderId="3" xfId="26" applyFont="1" applyBorder="1" applyAlignment="1">
      <alignment horizontal="left" vertical="center" wrapText="1"/>
    </xf>
    <xf numFmtId="0" fontId="2" fillId="0" borderId="5" xfId="26" applyFont="1" applyBorder="1" applyAlignment="1">
      <alignment horizontal="left" vertical="center" wrapText="1"/>
    </xf>
    <xf numFmtId="0" fontId="2" fillId="0" borderId="8" xfId="26" applyFont="1" applyBorder="1" applyAlignment="1">
      <alignment horizontal="left" vertical="center" wrapText="1"/>
    </xf>
    <xf numFmtId="0" fontId="2" fillId="0" borderId="7" xfId="26" applyFont="1" applyBorder="1" applyAlignment="1">
      <alignment horizontal="left" vertical="center" wrapText="1"/>
    </xf>
    <xf numFmtId="0" fontId="2" fillId="0" borderId="5" xfId="18" applyFont="1" applyFill="1" applyBorder="1" applyAlignment="1">
      <alignment horizontal="left" vertical="center"/>
    </xf>
    <xf numFmtId="0" fontId="2" fillId="0" borderId="8" xfId="18" applyFont="1" applyFill="1" applyBorder="1" applyAlignment="1">
      <alignment horizontal="left" vertical="center"/>
    </xf>
    <xf numFmtId="0" fontId="2" fillId="0" borderId="7" xfId="18" applyFont="1" applyFill="1" applyBorder="1" applyAlignment="1">
      <alignment horizontal="left" vertical="center"/>
    </xf>
    <xf numFmtId="0" fontId="14" fillId="0" borderId="5" xfId="10" applyFont="1" applyFill="1" applyBorder="1" applyAlignment="1">
      <alignment vertical="center" wrapText="1"/>
    </xf>
    <xf numFmtId="0" fontId="14" fillId="0" borderId="8" xfId="10" applyFont="1" applyFill="1" applyBorder="1" applyAlignment="1">
      <alignment vertical="center" wrapText="1"/>
    </xf>
    <xf numFmtId="0" fontId="14" fillId="0" borderId="7" xfId="10" applyFont="1" applyFill="1" applyBorder="1" applyAlignment="1">
      <alignment vertical="center" wrapText="1"/>
    </xf>
    <xf numFmtId="0" fontId="2" fillId="3" borderId="20" xfId="8" applyFont="1" applyFill="1" applyBorder="1" applyAlignment="1">
      <alignment horizontal="center" vertical="center"/>
    </xf>
    <xf numFmtId="0" fontId="2" fillId="3" borderId="21" xfId="8" applyFont="1" applyFill="1" applyBorder="1" applyAlignment="1">
      <alignment horizontal="center" vertical="center"/>
    </xf>
    <xf numFmtId="0" fontId="2" fillId="3" borderId="15" xfId="8" applyFont="1" applyFill="1" applyBorder="1" applyAlignment="1">
      <alignment horizontal="center" vertical="center"/>
    </xf>
    <xf numFmtId="0" fontId="2" fillId="3" borderId="14" xfId="8" applyFont="1" applyFill="1" applyBorder="1" applyAlignment="1">
      <alignment horizontal="center" vertical="center"/>
    </xf>
    <xf numFmtId="0" fontId="2" fillId="3" borderId="2" xfId="8" applyFont="1" applyFill="1" applyBorder="1" applyAlignment="1">
      <alignment horizontal="center" vertical="center"/>
    </xf>
    <xf numFmtId="0" fontId="2" fillId="3" borderId="3" xfId="8" applyFont="1" applyFill="1" applyBorder="1" applyAlignment="1">
      <alignment horizontal="center" vertical="center"/>
    </xf>
    <xf numFmtId="0" fontId="11" fillId="0" borderId="5" xfId="8" applyFont="1" applyBorder="1" applyAlignment="1">
      <alignment vertical="center"/>
    </xf>
    <xf numFmtId="0" fontId="11" fillId="0" borderId="8" xfId="8" applyFont="1" applyBorder="1" applyAlignment="1">
      <alignment vertical="center"/>
    </xf>
    <xf numFmtId="0" fontId="11" fillId="0" borderId="7" xfId="8" applyFont="1" applyBorder="1" applyAlignment="1">
      <alignment vertical="center"/>
    </xf>
    <xf numFmtId="0" fontId="2" fillId="0" borderId="5" xfId="23" applyFont="1" applyBorder="1" applyAlignment="1">
      <alignment vertical="center" wrapText="1"/>
    </xf>
    <xf numFmtId="0" fontId="2" fillId="0" borderId="8" xfId="23" applyFont="1" applyBorder="1" applyAlignment="1">
      <alignment vertical="center" wrapText="1"/>
    </xf>
    <xf numFmtId="0" fontId="2" fillId="0" borderId="7" xfId="23" applyFont="1" applyBorder="1" applyAlignment="1">
      <alignment vertical="center" wrapText="1"/>
    </xf>
    <xf numFmtId="0" fontId="14" fillId="0" borderId="5" xfId="0" applyFont="1" applyBorder="1" applyAlignment="1">
      <alignment horizontal="left" vertical="center" wrapText="1"/>
    </xf>
    <xf numFmtId="0" fontId="14" fillId="0" borderId="8" xfId="0" applyFont="1" applyBorder="1" applyAlignment="1">
      <alignment horizontal="left" vertical="center" wrapText="1"/>
    </xf>
    <xf numFmtId="0" fontId="14" fillId="0" borderId="7" xfId="0" applyFont="1" applyBorder="1" applyAlignment="1">
      <alignment horizontal="left" vertical="center" wrapText="1"/>
    </xf>
    <xf numFmtId="0" fontId="2" fillId="0" borderId="5" xfId="11" applyFont="1" applyBorder="1" applyAlignment="1">
      <alignment vertical="center" wrapText="1"/>
    </xf>
    <xf numFmtId="0" fontId="2" fillId="0" borderId="8" xfId="11" applyFont="1" applyBorder="1" applyAlignment="1">
      <alignment vertical="center"/>
    </xf>
    <xf numFmtId="0" fontId="2" fillId="0" borderId="7" xfId="11" applyFont="1" applyBorder="1" applyAlignment="1">
      <alignment vertical="center"/>
    </xf>
    <xf numFmtId="0" fontId="2" fillId="0" borderId="5" xfId="10" applyFont="1" applyFill="1" applyBorder="1" applyAlignment="1">
      <alignment horizontal="left" vertical="center" wrapText="1"/>
    </xf>
    <xf numFmtId="0" fontId="2" fillId="0" borderId="8" xfId="10" applyFont="1" applyFill="1" applyBorder="1" applyAlignment="1">
      <alignment horizontal="left" vertical="center" wrapText="1"/>
    </xf>
    <xf numFmtId="0" fontId="2" fillId="0" borderId="7" xfId="10" applyFont="1" applyFill="1" applyBorder="1" applyAlignment="1">
      <alignment horizontal="left" vertical="center" wrapText="1"/>
    </xf>
    <xf numFmtId="0" fontId="2" fillId="0" borderId="14" xfId="0" applyFont="1" applyBorder="1" applyAlignment="1">
      <alignment vertical="center" wrapText="1"/>
    </xf>
    <xf numFmtId="0" fontId="2" fillId="0" borderId="2" xfId="0" applyFont="1" applyBorder="1" applyAlignment="1">
      <alignment vertical="center" wrapText="1"/>
    </xf>
    <xf numFmtId="0" fontId="2" fillId="0" borderId="3" xfId="0" applyFont="1" applyBorder="1" applyAlignment="1">
      <alignment vertical="center" wrapText="1"/>
    </xf>
    <xf numFmtId="0" fontId="2" fillId="3" borderId="20" xfId="9" applyFont="1" applyFill="1" applyBorder="1" applyAlignment="1">
      <alignment horizontal="center" vertical="center"/>
    </xf>
    <xf numFmtId="0" fontId="2" fillId="3" borderId="21" xfId="9" applyFont="1" applyFill="1" applyBorder="1" applyAlignment="1">
      <alignment horizontal="center" vertical="center"/>
    </xf>
    <xf numFmtId="0" fontId="2" fillId="3" borderId="15" xfId="9" applyFont="1" applyFill="1" applyBorder="1" applyAlignment="1">
      <alignment horizontal="center" vertical="center"/>
    </xf>
    <xf numFmtId="0" fontId="2" fillId="3" borderId="14" xfId="9" applyFont="1" applyFill="1" applyBorder="1" applyAlignment="1">
      <alignment horizontal="center" vertical="center"/>
    </xf>
    <xf numFmtId="0" fontId="2" fillId="3" borderId="2" xfId="9" applyFont="1" applyFill="1" applyBorder="1" applyAlignment="1">
      <alignment horizontal="center" vertical="center"/>
    </xf>
    <xf numFmtId="0" fontId="2" fillId="3" borderId="3" xfId="9" applyFont="1" applyFill="1" applyBorder="1" applyAlignment="1">
      <alignment horizontal="center" vertical="center"/>
    </xf>
    <xf numFmtId="0" fontId="2" fillId="0" borderId="5" xfId="8" applyFont="1" applyFill="1" applyBorder="1" applyAlignment="1">
      <alignment vertical="center" wrapText="1"/>
    </xf>
    <xf numFmtId="0" fontId="2" fillId="0" borderId="8" xfId="8" applyFont="1" applyFill="1" applyBorder="1" applyAlignment="1">
      <alignment vertical="center" wrapText="1"/>
    </xf>
    <xf numFmtId="0" fontId="2" fillId="0" borderId="7" xfId="8" applyFont="1" applyFill="1" applyBorder="1" applyAlignment="1">
      <alignment vertical="center" wrapText="1"/>
    </xf>
    <xf numFmtId="0" fontId="2" fillId="0" borderId="9" xfId="10" applyFont="1" applyBorder="1" applyAlignment="1">
      <alignment vertical="center" wrapText="1"/>
    </xf>
    <xf numFmtId="0" fontId="2" fillId="0" borderId="8" xfId="4" applyFont="1" applyBorder="1" applyAlignment="1">
      <alignment vertical="center" wrapText="1"/>
    </xf>
    <xf numFmtId="0" fontId="2" fillId="0" borderId="7" xfId="4" applyFont="1" applyBorder="1" applyAlignment="1">
      <alignment vertical="center" wrapText="1"/>
    </xf>
    <xf numFmtId="49" fontId="2" fillId="0" borderId="5" xfId="0" applyNumberFormat="1" applyFont="1" applyBorder="1" applyAlignment="1">
      <alignment vertical="center" wrapText="1"/>
    </xf>
    <xf numFmtId="49" fontId="2" fillId="0" borderId="8" xfId="0" applyNumberFormat="1" applyFont="1" applyBorder="1" applyAlignment="1">
      <alignment vertical="center" wrapText="1"/>
    </xf>
    <xf numFmtId="49" fontId="2" fillId="0" borderId="7" xfId="0" applyNumberFormat="1" applyFont="1" applyBorder="1" applyAlignment="1">
      <alignment vertical="center" wrapText="1"/>
    </xf>
    <xf numFmtId="0" fontId="2" fillId="0" borderId="5" xfId="13" applyFont="1" applyBorder="1" applyAlignment="1">
      <alignment vertical="center"/>
    </xf>
    <xf numFmtId="0" fontId="2" fillId="0" borderId="8" xfId="13" applyFont="1" applyBorder="1" applyAlignment="1">
      <alignment vertical="center"/>
    </xf>
    <xf numFmtId="0" fontId="2" fillId="0" borderId="7" xfId="13" applyFont="1" applyBorder="1" applyAlignment="1">
      <alignment vertical="center"/>
    </xf>
    <xf numFmtId="0" fontId="2" fillId="2" borderId="22" xfId="13" applyFont="1" applyFill="1" applyBorder="1" applyAlignment="1">
      <alignment horizontal="center" vertical="center"/>
    </xf>
    <xf numFmtId="0" fontId="2" fillId="2" borderId="4" xfId="13" applyFont="1" applyFill="1" applyBorder="1" applyAlignment="1">
      <alignment horizontal="center" vertical="center"/>
    </xf>
    <xf numFmtId="0" fontId="2" fillId="2" borderId="5" xfId="13" applyFont="1" applyFill="1" applyBorder="1" applyAlignment="1">
      <alignment horizontal="center" vertical="center"/>
    </xf>
    <xf numFmtId="0" fontId="2" fillId="2" borderId="8" xfId="13" applyFont="1" applyFill="1" applyBorder="1" applyAlignment="1">
      <alignment horizontal="center" vertical="center"/>
    </xf>
    <xf numFmtId="0" fontId="2" fillId="2" borderId="16" xfId="13" applyFont="1" applyFill="1" applyBorder="1" applyAlignment="1">
      <alignment horizontal="center" vertical="center"/>
    </xf>
    <xf numFmtId="0" fontId="2" fillId="2" borderId="17" xfId="13" applyFont="1" applyFill="1" applyBorder="1" applyAlignment="1">
      <alignment horizontal="center" vertical="center"/>
    </xf>
    <xf numFmtId="0" fontId="2" fillId="2" borderId="18" xfId="13" applyFont="1" applyFill="1" applyBorder="1" applyAlignment="1">
      <alignment horizontal="center" vertical="center"/>
    </xf>
    <xf numFmtId="0" fontId="2" fillId="2" borderId="14" xfId="13" applyFont="1" applyFill="1" applyBorder="1" applyAlignment="1">
      <alignment horizontal="center" vertical="center"/>
    </xf>
    <xf numFmtId="0" fontId="2" fillId="2" borderId="2" xfId="13" applyFont="1" applyFill="1" applyBorder="1" applyAlignment="1">
      <alignment horizontal="center" vertical="center"/>
    </xf>
    <xf numFmtId="0" fontId="2" fillId="2" borderId="3" xfId="13" applyFont="1" applyFill="1" applyBorder="1" applyAlignment="1">
      <alignment horizontal="center" vertical="center"/>
    </xf>
    <xf numFmtId="0" fontId="2" fillId="2" borderId="7" xfId="13" applyFont="1" applyFill="1" applyBorder="1" applyAlignment="1">
      <alignment horizontal="center" vertical="center"/>
    </xf>
    <xf numFmtId="0" fontId="2" fillId="2" borderId="19" xfId="13" applyFont="1" applyFill="1" applyBorder="1" applyAlignment="1">
      <alignment horizontal="center" vertical="center"/>
    </xf>
    <xf numFmtId="0" fontId="2" fillId="0" borderId="16" xfId="13" applyFont="1" applyFill="1" applyBorder="1" applyAlignment="1">
      <alignment horizontal="center" vertical="center"/>
    </xf>
    <xf numFmtId="0" fontId="2" fillId="0" borderId="18" xfId="13" applyFont="1" applyFill="1" applyBorder="1" applyAlignment="1">
      <alignment horizontal="center" vertical="center"/>
    </xf>
    <xf numFmtId="0" fontId="2" fillId="0" borderId="14" xfId="13" applyFont="1" applyFill="1" applyBorder="1" applyAlignment="1">
      <alignment horizontal="center" vertical="center"/>
    </xf>
    <xf numFmtId="0" fontId="2" fillId="0" borderId="3" xfId="13" applyFont="1" applyFill="1" applyBorder="1" applyAlignment="1">
      <alignment horizontal="center" vertical="center"/>
    </xf>
    <xf numFmtId="0" fontId="2" fillId="0" borderId="20" xfId="13" applyFont="1" applyFill="1" applyBorder="1" applyAlignment="1">
      <alignment horizontal="center" vertical="center"/>
    </xf>
    <xf numFmtId="0" fontId="2" fillId="0" borderId="21" xfId="13" applyFont="1" applyFill="1" applyBorder="1" applyAlignment="1">
      <alignment horizontal="center" vertical="center"/>
    </xf>
    <xf numFmtId="0" fontId="2" fillId="0" borderId="15" xfId="13" applyFont="1" applyFill="1" applyBorder="1" applyAlignment="1">
      <alignment horizontal="center" vertical="center"/>
    </xf>
    <xf numFmtId="0" fontId="2" fillId="0" borderId="2" xfId="13" applyFont="1" applyFill="1" applyBorder="1" applyAlignment="1">
      <alignment horizontal="center" vertical="center"/>
    </xf>
    <xf numFmtId="0" fontId="2" fillId="3" borderId="20" xfId="4" applyFont="1" applyFill="1" applyBorder="1" applyAlignment="1">
      <alignment horizontal="center" vertical="center"/>
    </xf>
    <xf numFmtId="0" fontId="2" fillId="3" borderId="21" xfId="4" applyFont="1" applyFill="1" applyBorder="1" applyAlignment="1">
      <alignment horizontal="center" vertical="center"/>
    </xf>
    <xf numFmtId="0" fontId="2" fillId="3" borderId="15" xfId="4" applyFont="1" applyFill="1" applyBorder="1" applyAlignment="1">
      <alignment horizontal="center" vertical="center"/>
    </xf>
    <xf numFmtId="0" fontId="2" fillId="3" borderId="14" xfId="4" applyFont="1" applyFill="1" applyBorder="1" applyAlignment="1">
      <alignment horizontal="center" vertical="center"/>
    </xf>
    <xf numFmtId="0" fontId="2" fillId="3" borderId="2" xfId="4" applyFont="1" applyFill="1" applyBorder="1" applyAlignment="1">
      <alignment horizontal="center" vertical="center"/>
    </xf>
    <xf numFmtId="0" fontId="2" fillId="3" borderId="3" xfId="4" applyFont="1" applyFill="1" applyBorder="1" applyAlignment="1">
      <alignment horizontal="center" vertical="center"/>
    </xf>
    <xf numFmtId="0" fontId="2" fillId="0" borderId="5" xfId="0" applyFont="1" applyBorder="1" applyAlignment="1">
      <alignment vertical="center"/>
    </xf>
    <xf numFmtId="0" fontId="2" fillId="0" borderId="5" xfId="29" applyFont="1" applyBorder="1" applyAlignment="1">
      <alignment vertical="center"/>
    </xf>
    <xf numFmtId="0" fontId="2" fillId="0" borderId="8" xfId="29" applyFont="1" applyBorder="1" applyAlignment="1">
      <alignment vertical="center"/>
    </xf>
    <xf numFmtId="0" fontId="2" fillId="0" borderId="7" xfId="29" applyFont="1" applyBorder="1" applyAlignment="1">
      <alignment vertical="center"/>
    </xf>
    <xf numFmtId="0" fontId="2" fillId="0" borderId="5" xfId="31" applyFont="1" applyBorder="1" applyAlignment="1">
      <alignment vertical="center" wrapText="1"/>
    </xf>
    <xf numFmtId="0" fontId="2" fillId="0" borderId="8" xfId="31" applyFont="1" applyBorder="1" applyAlignment="1">
      <alignment vertical="center"/>
    </xf>
    <xf numFmtId="0" fontId="2" fillId="0" borderId="7" xfId="31" applyFont="1" applyBorder="1" applyAlignment="1">
      <alignment vertical="center"/>
    </xf>
    <xf numFmtId="0" fontId="2" fillId="0" borderId="14" xfId="29" applyFont="1" applyFill="1" applyBorder="1" applyAlignment="1">
      <alignment horizontal="center" vertical="center"/>
    </xf>
    <xf numFmtId="0" fontId="2" fillId="0" borderId="3" xfId="29" applyFont="1" applyFill="1" applyBorder="1" applyAlignment="1">
      <alignment horizontal="center" vertical="center"/>
    </xf>
    <xf numFmtId="0" fontId="2" fillId="0" borderId="2" xfId="29" applyFont="1" applyFill="1" applyBorder="1" applyAlignment="1">
      <alignment horizontal="center" vertical="center"/>
    </xf>
    <xf numFmtId="0" fontId="2" fillId="2" borderId="5" xfId="29" applyFont="1" applyFill="1" applyBorder="1" applyAlignment="1">
      <alignment horizontal="center" vertical="center"/>
    </xf>
    <xf numFmtId="0" fontId="2" fillId="2" borderId="7" xfId="29" applyFont="1" applyFill="1" applyBorder="1" applyAlignment="1">
      <alignment horizontal="center" vertical="center"/>
    </xf>
    <xf numFmtId="0" fontId="2" fillId="2" borderId="22" xfId="29" applyFont="1" applyFill="1" applyBorder="1" applyAlignment="1">
      <alignment horizontal="center" vertical="center"/>
    </xf>
    <xf numFmtId="0" fontId="2" fillId="2" borderId="4" xfId="29" applyFont="1" applyFill="1" applyBorder="1" applyAlignment="1">
      <alignment horizontal="center" vertical="center"/>
    </xf>
    <xf numFmtId="0" fontId="2" fillId="2" borderId="8" xfId="29" applyFont="1" applyFill="1" applyBorder="1" applyAlignment="1">
      <alignment horizontal="center" vertical="center"/>
    </xf>
    <xf numFmtId="0" fontId="2" fillId="2" borderId="19" xfId="29" applyFont="1" applyFill="1" applyBorder="1" applyAlignment="1">
      <alignment horizontal="center" vertical="center"/>
    </xf>
    <xf numFmtId="0" fontId="2" fillId="2" borderId="16" xfId="29" applyFont="1" applyFill="1" applyBorder="1" applyAlignment="1">
      <alignment horizontal="center" vertical="center"/>
    </xf>
    <xf numFmtId="0" fontId="2" fillId="2" borderId="17" xfId="29" applyFont="1" applyFill="1" applyBorder="1" applyAlignment="1">
      <alignment horizontal="center" vertical="center"/>
    </xf>
    <xf numFmtId="0" fontId="2" fillId="2" borderId="18" xfId="29" applyFont="1" applyFill="1" applyBorder="1" applyAlignment="1">
      <alignment horizontal="center" vertical="center"/>
    </xf>
    <xf numFmtId="0" fontId="2" fillId="2" borderId="14" xfId="29" applyFont="1" applyFill="1" applyBorder="1" applyAlignment="1">
      <alignment horizontal="center" vertical="center"/>
    </xf>
    <xf numFmtId="0" fontId="2" fillId="2" borderId="2" xfId="29" applyFont="1" applyFill="1" applyBorder="1" applyAlignment="1">
      <alignment horizontal="center" vertical="center"/>
    </xf>
    <xf numFmtId="0" fontId="2" fillId="2" borderId="3" xfId="29" applyFont="1" applyFill="1" applyBorder="1" applyAlignment="1">
      <alignment horizontal="center" vertical="center"/>
    </xf>
    <xf numFmtId="0" fontId="2" fillId="0" borderId="16" xfId="29" applyFont="1" applyFill="1" applyBorder="1" applyAlignment="1">
      <alignment horizontal="center" vertical="center"/>
    </xf>
    <xf numFmtId="0" fontId="2" fillId="0" borderId="18" xfId="29" applyFont="1" applyFill="1" applyBorder="1" applyAlignment="1">
      <alignment horizontal="center" vertical="center"/>
    </xf>
    <xf numFmtId="0" fontId="2" fillId="0" borderId="20" xfId="29" applyFont="1" applyFill="1" applyBorder="1" applyAlignment="1">
      <alignment horizontal="center" vertical="center"/>
    </xf>
    <xf numFmtId="0" fontId="2" fillId="0" borderId="21" xfId="29" applyFont="1" applyFill="1" applyBorder="1" applyAlignment="1">
      <alignment horizontal="center" vertical="center"/>
    </xf>
    <xf numFmtId="0" fontId="2" fillId="0" borderId="15" xfId="29" applyFont="1" applyFill="1" applyBorder="1" applyAlignment="1">
      <alignment horizontal="center" vertical="center"/>
    </xf>
    <xf numFmtId="0" fontId="2" fillId="2" borderId="16" xfId="32" applyFont="1" applyFill="1" applyBorder="1" applyAlignment="1">
      <alignment horizontal="center" vertical="center"/>
    </xf>
    <xf numFmtId="0" fontId="2" fillId="2" borderId="17" xfId="32" applyFont="1" applyFill="1" applyBorder="1" applyAlignment="1">
      <alignment horizontal="center" vertical="center"/>
    </xf>
    <xf numFmtId="0" fontId="2" fillId="2" borderId="18" xfId="32" applyFont="1" applyFill="1" applyBorder="1" applyAlignment="1">
      <alignment horizontal="center" vertical="center"/>
    </xf>
    <xf numFmtId="0" fontId="2" fillId="2" borderId="14" xfId="32" applyFont="1" applyFill="1" applyBorder="1" applyAlignment="1">
      <alignment horizontal="center" vertical="center"/>
    </xf>
    <xf numFmtId="0" fontId="2" fillId="2" borderId="2" xfId="32" applyFont="1" applyFill="1" applyBorder="1" applyAlignment="1">
      <alignment horizontal="center" vertical="center"/>
    </xf>
    <xf numFmtId="0" fontId="2" fillId="2" borderId="3" xfId="32" applyFont="1" applyFill="1" applyBorder="1" applyAlignment="1">
      <alignment horizontal="center" vertical="center"/>
    </xf>
    <xf numFmtId="0" fontId="2" fillId="0" borderId="5" xfId="33" applyFont="1" applyBorder="1" applyAlignment="1">
      <alignment vertical="center" wrapText="1"/>
    </xf>
    <xf numFmtId="0" fontId="2" fillId="0" borderId="8" xfId="33" applyFont="1" applyBorder="1" applyAlignment="1">
      <alignment vertical="center" wrapText="1"/>
    </xf>
    <xf numFmtId="0" fontId="2" fillId="0" borderId="7" xfId="33" applyFont="1" applyBorder="1" applyAlignment="1">
      <alignment vertical="center" wrapText="1"/>
    </xf>
    <xf numFmtId="0" fontId="2" fillId="0" borderId="5" xfId="35" applyFont="1" applyBorder="1" applyAlignment="1">
      <alignment vertical="center" wrapText="1"/>
    </xf>
    <xf numFmtId="0" fontId="2" fillId="0" borderId="8" xfId="35" applyFont="1" applyBorder="1" applyAlignment="1">
      <alignment vertical="center" wrapText="1"/>
    </xf>
    <xf numFmtId="0" fontId="2" fillId="0" borderId="7" xfId="35" applyFont="1" applyBorder="1" applyAlignment="1">
      <alignment vertical="center" wrapText="1"/>
    </xf>
    <xf numFmtId="0" fontId="2" fillId="0" borderId="14" xfId="32" applyFont="1" applyFill="1" applyBorder="1" applyAlignment="1">
      <alignment horizontal="center" vertical="center"/>
    </xf>
    <xf numFmtId="0" fontId="2" fillId="0" borderId="3" xfId="32" applyFont="1" applyFill="1" applyBorder="1" applyAlignment="1">
      <alignment horizontal="center" vertical="center"/>
    </xf>
    <xf numFmtId="0" fontId="2" fillId="0" borderId="2" xfId="32" applyFont="1" applyFill="1" applyBorder="1" applyAlignment="1">
      <alignment horizontal="center" vertical="center"/>
    </xf>
    <xf numFmtId="0" fontId="2" fillId="2" borderId="5" xfId="32" applyFont="1" applyFill="1" applyBorder="1" applyAlignment="1">
      <alignment horizontal="center" vertical="center"/>
    </xf>
    <xf numFmtId="0" fontId="2" fillId="2" borderId="7" xfId="32" applyFont="1" applyFill="1" applyBorder="1" applyAlignment="1">
      <alignment horizontal="center" vertical="center"/>
    </xf>
    <xf numFmtId="0" fontId="2" fillId="2" borderId="22" xfId="32" applyFont="1" applyFill="1" applyBorder="1" applyAlignment="1">
      <alignment horizontal="center" vertical="center"/>
    </xf>
    <xf numFmtId="0" fontId="2" fillId="2" borderId="4" xfId="32" applyFont="1" applyFill="1" applyBorder="1" applyAlignment="1">
      <alignment horizontal="center" vertical="center"/>
    </xf>
    <xf numFmtId="0" fontId="2" fillId="2" borderId="8" xfId="32" applyFont="1" applyFill="1" applyBorder="1" applyAlignment="1">
      <alignment horizontal="center" vertical="center"/>
    </xf>
    <xf numFmtId="0" fontId="2" fillId="2" borderId="19" xfId="32" applyFont="1" applyFill="1" applyBorder="1" applyAlignment="1">
      <alignment horizontal="center" vertical="center"/>
    </xf>
    <xf numFmtId="0" fontId="2" fillId="0" borderId="16" xfId="32" applyFont="1" applyFill="1" applyBorder="1" applyAlignment="1">
      <alignment horizontal="center" vertical="center"/>
    </xf>
    <xf numFmtId="0" fontId="2" fillId="0" borderId="18" xfId="32" applyFont="1" applyFill="1" applyBorder="1" applyAlignment="1">
      <alignment horizontal="center" vertical="center"/>
    </xf>
    <xf numFmtId="0" fontId="2" fillId="0" borderId="20" xfId="32" applyFont="1" applyFill="1" applyBorder="1" applyAlignment="1">
      <alignment horizontal="center" vertical="center"/>
    </xf>
    <xf numFmtId="0" fontId="2" fillId="0" borderId="21" xfId="32" applyFont="1" applyFill="1" applyBorder="1" applyAlignment="1">
      <alignment horizontal="center" vertical="center"/>
    </xf>
    <xf numFmtId="0" fontId="2" fillId="0" borderId="15" xfId="32" applyFont="1" applyFill="1" applyBorder="1" applyAlignment="1">
      <alignment horizontal="center" vertical="center"/>
    </xf>
  </cellXfs>
  <cellStyles count="36">
    <cellStyle name="IBM(401K)" xfId="1" xr:uid="{00000000-0005-0000-0000-000000000000}"/>
    <cellStyle name="J401K" xfId="2" xr:uid="{00000000-0005-0000-0000-000001000000}"/>
    <cellStyle name="ハイパーリンク" xfId="3" builtinId="8"/>
    <cellStyle name="標準" xfId="0" builtinId="0"/>
    <cellStyle name="標準 2" xfId="35" xr:uid="{00000000-0005-0000-0000-000004000000}"/>
    <cellStyle name="標準_01_テーブル定義書(ＣＲＭソリューション部)" xfId="4" xr:uid="{00000000-0005-0000-0000-000005000000}"/>
    <cellStyle name="標準_01_テーブル定義書(ＣＲＭソリューション部) 2" xfId="34" xr:uid="{00000000-0005-0000-0000-000006000000}"/>
    <cellStyle name="標準_01_テーブル定義書(ＣＲＭソリューション部)_aDB定義書(マスタ)" xfId="5" xr:uid="{00000000-0005-0000-0000-000007000000}"/>
    <cellStyle name="標準_01_テーブル定義書(ＣＲＭソリューション部)_aDB定義書(マスタ) 2" xfId="30" xr:uid="{00000000-0005-0000-0000-000008000000}"/>
    <cellStyle name="標準_01_テーブル定義書(ＣＲＭソリューション部)_aDB定義書(マスタ)_DB定義書(マスタ)" xfId="6" xr:uid="{00000000-0005-0000-0000-000009000000}"/>
    <cellStyle name="標準_01_テーブル定義書(ＣＲＭソリューション部)_aDB定義書(マスタ)_DB定義書(マスタ)最終確定版-作業中" xfId="7" xr:uid="{00000000-0005-0000-0000-00000A000000}"/>
    <cellStyle name="標準_01_テーブル定義書(ＣＲＭソリューション部)_DB定義書(マスタ)" xfId="8" xr:uid="{00000000-0005-0000-0000-00000B000000}"/>
    <cellStyle name="標準_01_テーブル定義書(ＣＲＭソリューション部)_DB定義書(マスタ) 2" xfId="29" xr:uid="{00000000-0005-0000-0000-00000C000000}"/>
    <cellStyle name="標準_01_テーブル定義書(ＣＲＭソリューション部)_DB定義書(マスタ)_Book1" xfId="9" xr:uid="{00000000-0005-0000-0000-00000D000000}"/>
    <cellStyle name="標準_01_テーブル定義書(ＣＲＭソリューション部)_DB定義書(マスタ)_DB定義書(マスタ)" xfId="10" xr:uid="{00000000-0005-0000-0000-00000E000000}"/>
    <cellStyle name="標準_01_テーブル定義書(ＣＲＭソリューション部)_DB定義書(マスタ)_DB定義書(マスタ) 2" xfId="32" xr:uid="{00000000-0005-0000-0000-00000F000000}"/>
    <cellStyle name="標準_01_テーブル定義書(ＣＲＭソリューション部)_DB定義書(マスタ)_DB定義書(マスタ)_Ver3.02_DB定義書(マスタ)" xfId="11" xr:uid="{00000000-0005-0000-0000-000010000000}"/>
    <cellStyle name="標準_01_テーブル定義書(ＣＲＭソリューション部)_DB定義書(マスタ)_DB定義書(マスタ)_Ver3.02_DB定義書(マスタ) 2" xfId="31" xr:uid="{00000000-0005-0000-0000-000011000000}"/>
    <cellStyle name="標準_01_テーブル定義書(ＣＲＭソリューション部)_DB定義書(マスタ)_DB定義書(マスタ)20051004" xfId="12" xr:uid="{00000000-0005-0000-0000-000012000000}"/>
    <cellStyle name="標準_01_テーブル定義書(ＣＲＭソリューション部)_DB定義書(マスタ)_DB定義書(マスタ)最終確定版-作業中" xfId="13" xr:uid="{00000000-0005-0000-0000-000013000000}"/>
    <cellStyle name="標準_01_テーブル定義書(ＣＲＭソリューション部)_DB定義書(マスタ)_GROUPMST" xfId="14" xr:uid="{00000000-0005-0000-0000-000014000000}"/>
    <cellStyle name="標準_01_テーブル定義書(ＣＲＭソリューション部)_DB定義書(マスタ)_Ver3.01_DB定義書(マスタ)" xfId="15" xr:uid="{00000000-0005-0000-0000-000015000000}"/>
    <cellStyle name="標準_01_テーブル定義書(ＣＲＭソリューション部)_DB定義書(マスタ)_Ver3.01_DB定義書(マスタ)_Ver3.01_DB定義書(マスタ)" xfId="16" xr:uid="{00000000-0005-0000-0000-000016000000}"/>
    <cellStyle name="標準_01_テーブル定義書(ＣＲＭソリューション部)_DB定義書(マスタ)_コメントマスタ" xfId="17" xr:uid="{00000000-0005-0000-0000-000017000000}"/>
    <cellStyle name="標準_01_テーブル定義書(ＣＲＭソリューション部)_DB定義書(マスタ)_希釈倍率" xfId="18" xr:uid="{00000000-0005-0000-0000-000018000000}"/>
    <cellStyle name="標準_01_テーブル定義書(ＣＲＭソリューション部)_DB定義書(マスタ)_緊急項目マスタ" xfId="19" xr:uid="{00000000-0005-0000-0000-000019000000}"/>
    <cellStyle name="標準_01_テーブル定義書(ＣＲＭソリューション部)_DB定義書(マスタ)_結果フィルターマスタ" xfId="20" xr:uid="{00000000-0005-0000-0000-00001A000000}"/>
    <cellStyle name="標準_01_テーブル定義書(ＣＲＭソリューション部)_DB定義書(マスタ)_特別基準値マスタ" xfId="21" xr:uid="{00000000-0005-0000-0000-00001B000000}"/>
    <cellStyle name="標準_01_テーブル定義書(ＣＲＭソリューション部)_Ver3.01_DB定義書(マスタ)" xfId="22" xr:uid="{00000000-0005-0000-0000-00001C000000}"/>
    <cellStyle name="標準_01_テーブル定義書(ＣＲＭソリューション部)_Ver3.02_DB定義書(マスタ)" xfId="23" xr:uid="{00000000-0005-0000-0000-00001D000000}"/>
    <cellStyle name="標準_Akiyama_DB定義書(マスタ)" xfId="24" xr:uid="{00000000-0005-0000-0000-00001E000000}"/>
    <cellStyle name="標準_DB定義書(データ)最終確定版(作業中)" xfId="25" xr:uid="{00000000-0005-0000-0000-00001F000000}"/>
    <cellStyle name="標準_DB定義書(マスタ)改訂中" xfId="26" xr:uid="{00000000-0005-0000-0000-000020000000}"/>
    <cellStyle name="標準_Ver3.01_DB定義書(マスタ)" xfId="27" xr:uid="{00000000-0005-0000-0000-000021000000}"/>
    <cellStyle name="標準_Ver3.02_DB定義書(マスタ)" xfId="33" xr:uid="{00000000-0005-0000-0000-000022000000}"/>
    <cellStyle name="標準_ﾃｰﾌﾞﾙﾌｫｰﾏｯﾄ(Bubkup)" xfId="28" xr:uid="{00000000-0005-0000-0000-00002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Idcpsv01\&#12481;&#12540;&#12512;&#12456;&#12522;&#12450;\My%20Documents\401k\&#12510;&#12463;&#12525;&#12385;&#12419;&#12435;\df&#19968;&#35239;h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データ項目"/>
      <sheetName val="PR"/>
      <sheetName val="支払指図書データ（退職）(5.2.1.1)"/>
      <sheetName val="支払指図書データ（税引後）(5.2.1.2)"/>
      <sheetName val="支払指図書データ（困窮時）(5.2.1.3)"/>
      <sheetName val="支払指図書データ（一時払）(5.2.1.4)"/>
      <sheetName val="RO指図書データ（RO証明書）(5.2.1.5)"/>
      <sheetName val="RO指図書データ（RO取崩）(5.2.1.6)"/>
      <sheetName val="支払指図書データ（プラン外年金）(5.2.1.7)"/>
      <sheetName val="異動情報(5.2.1.11)"/>
      <sheetName val="RO移管払出適格証明請求情報(5.2.2)"/>
      <sheetName val="退職通知書情報(5.2.3.1)"/>
      <sheetName val="個人型受給者情報(5.2.3.2)"/>
      <sheetName val="売却情報(5.2.4.1)"/>
      <sheetName val="33260(3.2.2.3)"/>
      <sheetName val="33260(3.2.2.７)"/>
      <sheetName val="ローン内容登録情報（変更異動）(9.1.1)"/>
      <sheetName val="売却情報1(9.1.2)"/>
      <sheetName val="売却指図情報(9.1.2)"/>
      <sheetName val="実行ステータス情報(9.2.1)"/>
      <sheetName val="売却完了情報(9.2.1)"/>
      <sheetName val="売却完了情報(9.2.2)"/>
      <sheetName val="実行ステータス情報(9.2.3)"/>
      <sheetName val="一括返済額情報(9.3.1)"/>
      <sheetName val="入金予定額情報（一括時のみ）(9.3.3)"/>
      <sheetName val="売却時情報(9.3.5)"/>
      <sheetName val="33403(3.4)"/>
      <sheetName val="33518(3.5.4)"/>
      <sheetName val="33519(3.5.5)"/>
      <sheetName val="33602(3.6)"/>
      <sheetName val="24201(4.2.1)"/>
      <sheetName val="24235(4.2.2)"/>
      <sheetName val="24215(4.2.4)"/>
      <sheetName val="24322(4.3.4)"/>
      <sheetName val="24323(4.3.4)"/>
      <sheetName val="24404(4.4.2)"/>
      <sheetName val="24422(4.4.2)"/>
      <sheetName val="24409(4.4.3)"/>
      <sheetName val="24410(4.4.3)"/>
      <sheetName val="24411(4.4.4)"/>
      <sheetName val="24424(4.4.4)"/>
      <sheetName val="24502(4.5)"/>
      <sheetName val="保有数量(5.2.3.3)"/>
      <sheetName val="売却商品(5.2.4.4)"/>
      <sheetName val="資産処分明細情報(5.3)"/>
      <sheetName val="支払完了ｽﾃｰﾀｽ(5.3.2)"/>
      <sheetName val="加入者別商品売却情報(6.1.1)"/>
      <sheetName val="発注情報(6.1.2)"/>
      <sheetName val="発注情報(6.1.4)"/>
      <sheetName val="個人型売却結果(6.2.4)"/>
      <sheetName val="加入者別商品売却情報(6.3.2)"/>
      <sheetName val="約定済情報(6.3.2)"/>
      <sheetName val="加入者別商品売却情報(6.3.3)"/>
      <sheetName val="売却結果按分情報(6.3.3)"/>
      <sheetName val="売却結果按分情報(6.3.4)"/>
      <sheetName val="約定済情報(6.3.4)"/>
      <sheetName val="加入者別商品売却情報(6.4.1)"/>
      <sheetName val="加入者別対象残高(7.2)"/>
      <sheetName val="個人型収益明細情報 (7.3.5)"/>
      <sheetName val="対象残高（按分用）(7.3.6)"/>
      <sheetName val="加入者別収益明細情報(7.3.6)"/>
      <sheetName val="加入者別収益明細情報(7.3.7)"/>
      <sheetName val="加入者別収益情報(7.3.8)"/>
      <sheetName val="個人型収益情報(7.4)"/>
      <sheetName val="個人型買付指図情報(7.4)"/>
      <sheetName val="対象残高（按分用）(7.5.1)"/>
      <sheetName val="再投資結果按分情報(7.5.1)"/>
      <sheetName val="買付取引明細(9.3.5)"/>
      <sheetName val="加入者別売却指図取引明細（10.3）"/>
      <sheetName val="資産売却情報（加入者別)(10.5.1)"/>
      <sheetName val="移管済ステータス(10.5.6)"/>
      <sheetName val="33515(3.5.3)"/>
      <sheetName val="33516(3.5.4)"/>
      <sheetName val="指図書データ（プラン単位）(10.2)"/>
      <sheetName val="売却指図(10.3)"/>
      <sheetName val="売却指図"/>
      <sheetName val="移行先情報(10.5.1)"/>
      <sheetName val="加入者証変更情報(2.1.2.3)"/>
      <sheetName val="加入者口座存在有無(2.2)"/>
      <sheetName val="加入者口座登録情報(2.3.1.1.3)"/>
      <sheetName val="加入者証発行区分(2.3.1.6)"/>
      <sheetName val="加入者証発行区分(2.3.1.6) (2)"/>
      <sheetName val="加入者口座変更(2.3.1.2.3)"/>
      <sheetName val="加入者口座変更 (2.3.1.2.3)(2)"/>
      <sheetName val="加入者拠出金変更(2.3.1.3.2)"/>
      <sheetName val="加入者拠出金変更 (2.3.1.3.2)(2)"/>
      <sheetName val="ＲＯ加入者口座登録情報(2.3.1.5.3)"/>
      <sheetName val="加入者口座情報(2.3.3)"/>
      <sheetName val="33112(3.1.1.4)"/>
      <sheetName val="33151(3.1.2.1)"/>
      <sheetName val="33153(3.12.2)"/>
      <sheetName val="33165(3.1.2.5)"/>
      <sheetName val="33253(3.2.2.1)"/>
      <sheetName val="33334(3.3.7)"/>
      <sheetName val="加入者ｽﾃｰﾀｽ等(5.1.1)"/>
      <sheetName val="加入者ｽﾃｰﾀｽ等 (5.1.2) "/>
      <sheetName val="発送済フラグ"/>
      <sheetName val="加入者ｽﾃｰﾀｽ等(5.1.3) "/>
      <sheetName val="加入者ｽﾃｰﾀｽ区分(5.2.1)"/>
      <sheetName val="加入者ｽﾃｰﾀｽ区分(5.2.3.1)"/>
      <sheetName val="加入者ｽﾃｰﾀｽ区分 (5.2.3.2)"/>
      <sheetName val="支払済ｽﾃｰﾀｽ（5.3.2）"/>
      <sheetName val="受取人情報（5.3.3）"/>
      <sheetName val="加入者口座情報(6.1.4)"/>
      <sheetName val="有効プラン加入者(7.1.2)"/>
      <sheetName val="加入者キー情報(8.3.1)"/>
      <sheetName val="ローン要件情報(加入者）(9.1.1)"/>
      <sheetName val="決済口座情報(9.2.2)"/>
      <sheetName val="返済順序方法(9.3.5)"/>
      <sheetName val="加入者口座属性情報(10.5.2)"/>
      <sheetName val="加入者口座属性情報(10.5.4)"/>
      <sheetName val="従業員名寄せ情報(2.1.1.1)"/>
      <sheetName val="加入者属性登録情報(2.1.1.3)"/>
      <sheetName val="変更前従業員属性情報(2.1.2.1)"/>
      <sheetName val="従業員確認書情報(2.1.2.2)"/>
      <sheetName val="加入者属性変更情報(2.1.2.3)"/>
      <sheetName val="加入者証情報(2.1.2.3)"/>
      <sheetName val="従業員属性情報(2.1.3)"/>
      <sheetName val="募集用加入通知書情報(2.2)"/>
      <sheetName val="加入者存在有無(2.3.1.1.1)"/>
      <sheetName val="加入者属性登録情報(2.3.1.1.2)"/>
      <sheetName val="加入者属性変更(2.3.1.2)"/>
      <sheetName val="加入者属性変更(2.3.1.2) (2)"/>
      <sheetName val="加入者名情報(2.3.1.3.2)"/>
      <sheetName val="加入者名情報(2.3.1.6)"/>
      <sheetName val="33139(3.1.1..4)"/>
      <sheetName val="33503(3.5.1)"/>
      <sheetName val="33603(3.6)"/>
      <sheetName val="24213(4.2.4)"/>
      <sheetName val="24229(4.2.5)"/>
      <sheetName val="生年月日・現況区分(5.1.1)"/>
      <sheetName val="生年月日・現況区分 (5.1.2)"/>
      <sheetName val="生年月日・現況区分(5.1.3) "/>
      <sheetName val="加入者属性情報(5.2.1)"/>
      <sheetName val="加入者属性情報(5.2.2)"/>
      <sheetName val="退職事由等(5.2.3.1)"/>
      <sheetName val="退職事由等(5.2.3.2) (2)"/>
      <sheetName val="加入者属性情報(5.2.3)"/>
      <sheetName val="加入者属性情報(5.3.1)"/>
      <sheetName val="ﾌﾟﾗﾝ脱退情報(5.3.2)"/>
      <sheetName val="加入者属性情報(5.3.3.1)"/>
      <sheetName val="加入者属性情報(5.3.3.2)"/>
      <sheetName val="加入者属性情報(5.3.4.3)"/>
      <sheetName val="企業情報(6.1.2)"/>
      <sheetName val="加入者属性情報(6.1.4)"/>
      <sheetName val="加入者属性情報(6.1.5)"/>
      <sheetName val="加入者属性情報(7.1.2)"/>
      <sheetName val="加入属性情報(9.1.1)"/>
      <sheetName val="加入者属性(9.2.3)"/>
      <sheetName val="延滞情報(9.4.1)"/>
      <sheetName val="対象加入者属性情報(10.1.4)"/>
      <sheetName val="加入者属性情報(10.5.2)"/>
      <sheetName val="加入者属性情報(10.5.4)"/>
      <sheetName val="加入者属性情報(10.5.5)"/>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G62"/>
  <sheetViews>
    <sheetView showGridLines="0" topLeftCell="B36" zoomScaleNormal="100" workbookViewId="0">
      <selection activeCell="F53" sqref="F53"/>
    </sheetView>
  </sheetViews>
  <sheetFormatPr defaultRowHeight="12"/>
  <cols>
    <col min="1" max="1" width="3.125" style="1" hidden="1" customWidth="1"/>
    <col min="2" max="2" width="4" style="1" customWidth="1"/>
    <col min="3" max="3" width="33.625" style="1" customWidth="1"/>
    <col min="4" max="4" width="12.625" style="1" customWidth="1"/>
    <col min="5" max="5" width="66" style="1" customWidth="1"/>
    <col min="6" max="6" width="79.5" style="1" bestFit="1" customWidth="1"/>
    <col min="7" max="7" width="14.25" style="1" customWidth="1"/>
    <col min="8" max="8" width="9" style="1" customWidth="1"/>
    <col min="9" max="16384" width="9" style="1"/>
  </cols>
  <sheetData>
    <row r="1" spans="1:7" ht="13.5" customHeight="1">
      <c r="B1" s="588" t="s">
        <v>33</v>
      </c>
      <c r="C1" s="586" t="s">
        <v>36</v>
      </c>
      <c r="D1" s="587"/>
      <c r="E1" s="590" t="s">
        <v>1795</v>
      </c>
      <c r="F1" s="588" t="s">
        <v>48</v>
      </c>
      <c r="G1" s="2"/>
    </row>
    <row r="2" spans="1:7" ht="13.5" customHeight="1">
      <c r="B2" s="589"/>
      <c r="C2" s="3" t="s">
        <v>49</v>
      </c>
      <c r="D2" s="4" t="s">
        <v>50</v>
      </c>
      <c r="E2" s="591"/>
      <c r="F2" s="589"/>
      <c r="G2" s="2"/>
    </row>
    <row r="3" spans="1:7" ht="13.5" customHeight="1">
      <c r="A3" s="5" t="s">
        <v>34</v>
      </c>
      <c r="B3" s="6" t="s">
        <v>35</v>
      </c>
      <c r="C3" s="8"/>
      <c r="D3" s="8"/>
      <c r="E3" s="9"/>
      <c r="F3" s="11"/>
      <c r="G3" s="10"/>
    </row>
    <row r="4" spans="1:7">
      <c r="A4" s="5"/>
      <c r="B4" s="7">
        <f>ROW()-3</f>
        <v>1</v>
      </c>
      <c r="C4" s="405" t="str">
        <f>HYPERLINK("#アッセイスケジュール!A1","ｱｯｾｲｽｹｼﾞｭｰﾙマスタ")</f>
        <v>ｱｯｾｲｽｹｼﾞｭｰﾙマスタ</v>
      </c>
      <c r="D4" s="8" t="s">
        <v>1475</v>
      </c>
      <c r="E4" s="9" t="s">
        <v>1778</v>
      </c>
      <c r="F4" s="11" t="s">
        <v>1174</v>
      </c>
      <c r="G4" s="10"/>
    </row>
    <row r="5" spans="1:7" ht="24">
      <c r="A5" s="5"/>
      <c r="B5" s="7">
        <f>ROW()-3</f>
        <v>2</v>
      </c>
      <c r="C5" s="405" t="str">
        <f>HYPERLINK("#分注量マスタ!A1","分注量マスタ")</f>
        <v>分注量マスタ</v>
      </c>
      <c r="D5" s="8" t="s">
        <v>1239</v>
      </c>
      <c r="E5" s="488" t="s">
        <v>1814</v>
      </c>
      <c r="F5" s="12"/>
      <c r="G5" s="10"/>
    </row>
    <row r="6" spans="1:7">
      <c r="A6" s="5"/>
      <c r="B6" s="7">
        <f>ROW()-3</f>
        <v>3</v>
      </c>
      <c r="C6" s="405" t="str">
        <f>HYPERLINK("#別紙コメントマスタ!A1","別紙コメントマスタ")</f>
        <v>別紙コメントマスタ</v>
      </c>
      <c r="D6" s="8" t="s">
        <v>1476</v>
      </c>
      <c r="E6" s="9" t="s">
        <v>102</v>
      </c>
      <c r="F6" s="11" t="s">
        <v>1175</v>
      </c>
      <c r="G6" s="10"/>
    </row>
    <row r="7" spans="1:7" ht="24">
      <c r="A7" s="5"/>
      <c r="B7" s="7">
        <f t="shared" ref="B7:B62" si="0">ROW()-3</f>
        <v>4</v>
      </c>
      <c r="C7" s="405" t="str">
        <f>HYPERLINK("#計算項目マスタ!A1","計算項目マスタ")</f>
        <v>計算項目マスタ</v>
      </c>
      <c r="D7" s="8" t="s">
        <v>851</v>
      </c>
      <c r="E7" s="488" t="s">
        <v>1815</v>
      </c>
      <c r="F7" s="12" t="s">
        <v>1816</v>
      </c>
      <c r="G7" s="10"/>
    </row>
    <row r="8" spans="1:7">
      <c r="A8" s="5"/>
      <c r="B8" s="7">
        <f t="shared" si="0"/>
        <v>5</v>
      </c>
      <c r="C8" s="405" t="str">
        <f>HYPERLINK("#100％チェックマスタ!A1","100％チェックマスタ")</f>
        <v>100％チェックマスタ</v>
      </c>
      <c r="D8" s="8" t="s">
        <v>1484</v>
      </c>
      <c r="E8" s="9" t="s">
        <v>102</v>
      </c>
      <c r="F8" s="12"/>
      <c r="G8" s="10"/>
    </row>
    <row r="9" spans="1:7">
      <c r="A9" s="5"/>
      <c r="B9" s="7">
        <f t="shared" si="0"/>
        <v>6</v>
      </c>
      <c r="C9" s="405" t="str">
        <f>HYPERLINK("#チェック種別マスタ!A1","チェック種別マスタ")</f>
        <v>チェック種別マスタ</v>
      </c>
      <c r="D9" s="8" t="s">
        <v>1480</v>
      </c>
      <c r="E9" s="9" t="s">
        <v>102</v>
      </c>
      <c r="F9" s="12" t="s">
        <v>1182</v>
      </c>
      <c r="G9" s="10"/>
    </row>
    <row r="10" spans="1:7" ht="33.75">
      <c r="A10" s="5"/>
      <c r="B10" s="7">
        <f t="shared" si="0"/>
        <v>7</v>
      </c>
      <c r="C10" s="405" t="str">
        <f>HYPERLINK("#コメントマスタ!A1","コメントマスタ")</f>
        <v>コメントマスタ</v>
      </c>
      <c r="D10" s="8" t="s">
        <v>1003</v>
      </c>
      <c r="E10" s="488" t="s">
        <v>1777</v>
      </c>
      <c r="F10" s="11" t="s">
        <v>1776</v>
      </c>
      <c r="G10" s="10"/>
    </row>
    <row r="11" spans="1:7" ht="36">
      <c r="A11" s="5"/>
      <c r="B11" s="7">
        <f t="shared" si="0"/>
        <v>8</v>
      </c>
      <c r="C11" s="405" t="str">
        <f>HYPERLINK("#コントロール異常判定マスタ!A1","コントロール異常判定マスタ")</f>
        <v>コントロール異常判定マスタ</v>
      </c>
      <c r="D11" s="8" t="s">
        <v>967</v>
      </c>
      <c r="E11" s="488" t="s">
        <v>1800</v>
      </c>
      <c r="F11" s="11" t="s">
        <v>1728</v>
      </c>
      <c r="G11" s="10"/>
    </row>
    <row r="12" spans="1:7" ht="24">
      <c r="A12" s="5"/>
      <c r="B12" s="7">
        <f t="shared" si="0"/>
        <v>9</v>
      </c>
      <c r="C12" s="405" t="str">
        <f>HYPERLINK("#コントロールマスタ!A1","コントロールマスタ")</f>
        <v>コントロールマスタ</v>
      </c>
      <c r="D12" s="8" t="s">
        <v>1010</v>
      </c>
      <c r="E12" s="488" t="s">
        <v>1801</v>
      </c>
      <c r="F12" s="11" t="s">
        <v>1817</v>
      </c>
      <c r="G12" s="10"/>
    </row>
    <row r="13" spans="1:7">
      <c r="A13" s="5"/>
      <c r="B13" s="7">
        <f t="shared" si="0"/>
        <v>10</v>
      </c>
      <c r="C13" s="406" t="str">
        <f>HYPERLINK("#コントロール種別マスタ!A1","コントロール種別マスタ")</f>
        <v>コントロール種別マスタ</v>
      </c>
      <c r="D13" s="8" t="s">
        <v>959</v>
      </c>
      <c r="E13" s="9" t="s">
        <v>1796</v>
      </c>
      <c r="F13" s="11" t="s">
        <v>1727</v>
      </c>
      <c r="G13" s="10"/>
    </row>
    <row r="14" spans="1:7">
      <c r="A14" s="5"/>
      <c r="B14" s="7">
        <f t="shared" si="0"/>
        <v>11</v>
      </c>
      <c r="C14" s="405" t="str">
        <f>HYPERLINK("#デフォルトプリンタ!A1","デフォルトプリンタマスタ")</f>
        <v>デフォルトプリンタマスタ</v>
      </c>
      <c r="D14" s="8" t="s">
        <v>1530</v>
      </c>
      <c r="E14" s="9" t="s">
        <v>1775</v>
      </c>
      <c r="F14" s="11" t="s">
        <v>1620</v>
      </c>
      <c r="G14" s="10"/>
    </row>
    <row r="15" spans="1:7" ht="24">
      <c r="A15" s="5"/>
      <c r="B15" s="7">
        <f t="shared" si="0"/>
        <v>12</v>
      </c>
      <c r="C15" s="405" t="str">
        <f>HYPERLINK("#営業所マスタ!A1","営業所マスタ")</f>
        <v>営業所マスタ</v>
      </c>
      <c r="D15" s="8" t="s">
        <v>1089</v>
      </c>
      <c r="E15" s="488" t="s">
        <v>1802</v>
      </c>
      <c r="F15" s="11" t="s">
        <v>782</v>
      </c>
      <c r="G15" s="10"/>
    </row>
    <row r="16" spans="1:7">
      <c r="A16" s="5"/>
      <c r="B16" s="7">
        <f t="shared" si="0"/>
        <v>13</v>
      </c>
      <c r="C16" s="405" t="str">
        <f>HYPERLINK("#負荷パターンチェック!A1","負荷パターンチェックマスタ")</f>
        <v>負荷パターンチェックマスタ</v>
      </c>
      <c r="D16" s="8" t="s">
        <v>1009</v>
      </c>
      <c r="E16" s="9" t="s">
        <v>102</v>
      </c>
      <c r="F16" s="11" t="s">
        <v>777</v>
      </c>
      <c r="G16" s="10"/>
    </row>
    <row r="17" spans="1:7" ht="24">
      <c r="A17" s="5"/>
      <c r="B17" s="7">
        <f t="shared" si="0"/>
        <v>14</v>
      </c>
      <c r="C17" s="405" t="str">
        <f>HYPERLINK("#グループ分類マスタ!A1","グループ分類マスタ")</f>
        <v>グループ分類マスタ</v>
      </c>
      <c r="D17" s="8" t="s">
        <v>1326</v>
      </c>
      <c r="E17" s="488" t="s">
        <v>1797</v>
      </c>
      <c r="F17" s="11"/>
      <c r="G17" s="10"/>
    </row>
    <row r="18" spans="1:7" ht="24">
      <c r="A18" s="5"/>
      <c r="B18" s="7">
        <f t="shared" si="0"/>
        <v>15</v>
      </c>
      <c r="C18" s="405" t="str">
        <f>HYPERLINK("#自動発生項目!A1","自動発生項目マスタ")</f>
        <v>自動発生項目マスタ</v>
      </c>
      <c r="D18" s="8" t="s">
        <v>1004</v>
      </c>
      <c r="E18" s="488" t="s">
        <v>1799</v>
      </c>
      <c r="F18" s="11" t="s">
        <v>1772</v>
      </c>
      <c r="G18" s="10"/>
    </row>
    <row r="19" spans="1:7">
      <c r="A19" s="5"/>
      <c r="B19" s="7">
        <f t="shared" si="0"/>
        <v>16</v>
      </c>
      <c r="C19" s="405" t="str">
        <f>HYPERLINK("#休業日マスタ!A1","休業日マスタ")</f>
        <v>休業日マスタ</v>
      </c>
      <c r="D19" s="8" t="s">
        <v>1474</v>
      </c>
      <c r="E19" s="9" t="s">
        <v>102</v>
      </c>
      <c r="F19" s="11" t="s">
        <v>1177</v>
      </c>
      <c r="G19" s="10"/>
    </row>
    <row r="20" spans="1:7">
      <c r="A20" s="5"/>
      <c r="B20" s="7">
        <f t="shared" si="0"/>
        <v>17</v>
      </c>
      <c r="C20" s="405" t="str">
        <f>HYPERLINK("#緊急項目マスタ!A1","緊急項目マスタ")</f>
        <v>緊急項目マスタ</v>
      </c>
      <c r="D20" s="8" t="s">
        <v>1685</v>
      </c>
      <c r="E20" s="9" t="s">
        <v>102</v>
      </c>
      <c r="F20" s="12"/>
      <c r="G20" s="10"/>
    </row>
    <row r="21" spans="1:7" ht="24">
      <c r="A21" s="5"/>
      <c r="B21" s="7">
        <f t="shared" si="0"/>
        <v>18</v>
      </c>
      <c r="C21" s="405" t="str">
        <f>HYPERLINK("#基準値マスタ!A1","基準値マスタ")</f>
        <v>基準値マスタ</v>
      </c>
      <c r="D21" s="8" t="s">
        <v>997</v>
      </c>
      <c r="E21" s="488" t="s">
        <v>1819</v>
      </c>
      <c r="F21" s="11" t="s">
        <v>1818</v>
      </c>
      <c r="G21" s="10"/>
    </row>
    <row r="22" spans="1:7" ht="24">
      <c r="A22" s="5"/>
      <c r="B22" s="7">
        <f t="shared" si="0"/>
        <v>19</v>
      </c>
      <c r="C22" s="405" t="str">
        <f>HYPERLINK("#結果フィルターマスタ!A1","結果フィルターマスタ")</f>
        <v>結果フィルターマスタ</v>
      </c>
      <c r="D22" s="8" t="s">
        <v>1478</v>
      </c>
      <c r="E22" s="488" t="s">
        <v>1810</v>
      </c>
      <c r="F22" s="11" t="s">
        <v>1178</v>
      </c>
      <c r="G22" s="10"/>
    </row>
    <row r="23" spans="1:7">
      <c r="A23" s="5"/>
      <c r="B23" s="7">
        <f t="shared" si="0"/>
        <v>20</v>
      </c>
      <c r="C23" s="405" t="str">
        <f>HYPERLINK("#結果補足マスタ!A1","結果補足マスタ")</f>
        <v>結果補足マスタ</v>
      </c>
      <c r="D23" s="8" t="s">
        <v>1515</v>
      </c>
      <c r="E23" s="488" t="s">
        <v>1806</v>
      </c>
      <c r="F23" s="12"/>
      <c r="G23" s="10"/>
    </row>
    <row r="24" spans="1:7" ht="24">
      <c r="A24" s="5"/>
      <c r="B24" s="7">
        <f t="shared" si="0"/>
        <v>21</v>
      </c>
      <c r="C24" s="405" t="str">
        <f>HYPERLINK("#項目グループマスタ!A1","項目グループマスタ")</f>
        <v>項目グループマスタ</v>
      </c>
      <c r="D24" s="8" t="s">
        <v>1468</v>
      </c>
      <c r="E24" s="488" t="s">
        <v>1921</v>
      </c>
      <c r="F24" s="11" t="s">
        <v>1773</v>
      </c>
      <c r="G24" s="10"/>
    </row>
    <row r="25" spans="1:7" ht="24">
      <c r="A25" s="5"/>
      <c r="B25" s="7">
        <f t="shared" si="0"/>
        <v>22</v>
      </c>
      <c r="C25" s="405" t="str">
        <f>HYPERLINK("#項目マスタ!A1","項目マスタ")</f>
        <v>項目マスタ</v>
      </c>
      <c r="D25" s="8" t="s">
        <v>996</v>
      </c>
      <c r="E25" s="488" t="s">
        <v>1820</v>
      </c>
      <c r="F25" s="11" t="s">
        <v>779</v>
      </c>
      <c r="G25" s="10"/>
    </row>
    <row r="26" spans="1:7" ht="24">
      <c r="A26" s="5"/>
      <c r="B26" s="7">
        <f t="shared" si="0"/>
        <v>23</v>
      </c>
      <c r="C26" s="405" t="str">
        <f>HYPERLINK("#機能権限マスタ!A1","機能権限マスタ")</f>
        <v>機能権限マスタ</v>
      </c>
      <c r="D26" s="8" t="s">
        <v>1015</v>
      </c>
      <c r="E26" s="488" t="s">
        <v>1811</v>
      </c>
      <c r="F26" s="11"/>
      <c r="G26" s="10"/>
    </row>
    <row r="27" spans="1:7" ht="24">
      <c r="A27" s="5"/>
      <c r="B27" s="7">
        <f t="shared" si="0"/>
        <v>24</v>
      </c>
      <c r="C27" s="405" t="str">
        <f>HYPERLINK("#検査グループマスタ!A1","検査グループマスタ")</f>
        <v>検査グループマスタ</v>
      </c>
      <c r="D27" s="8" t="s">
        <v>998</v>
      </c>
      <c r="E27" s="488" t="s">
        <v>1821</v>
      </c>
      <c r="F27" s="11" t="s">
        <v>1812</v>
      </c>
      <c r="G27" s="10"/>
    </row>
    <row r="28" spans="1:7" ht="24">
      <c r="A28" s="5"/>
      <c r="B28" s="7">
        <f t="shared" si="0"/>
        <v>25</v>
      </c>
      <c r="C28" s="405" t="str">
        <f>HYPERLINK("#関連項目マスタ!A1","関連項目マスタ")</f>
        <v>関連項目マスタ</v>
      </c>
      <c r="D28" s="8" t="s">
        <v>1005</v>
      </c>
      <c r="E28" s="488" t="s">
        <v>1822</v>
      </c>
      <c r="F28" s="11" t="s">
        <v>1813</v>
      </c>
      <c r="G28" s="10"/>
    </row>
    <row r="29" spans="1:7" ht="24">
      <c r="A29" s="5"/>
      <c r="B29" s="7">
        <f t="shared" si="0"/>
        <v>26</v>
      </c>
      <c r="C29" s="405" t="str">
        <f>HYPERLINK("#希釈倍率マスタ!A1","希釈倍率マスタ")</f>
        <v>希釈倍率マスタ</v>
      </c>
      <c r="D29" s="8" t="s">
        <v>1006</v>
      </c>
      <c r="E29" s="488" t="s">
        <v>1822</v>
      </c>
      <c r="F29" s="11" t="s">
        <v>1774</v>
      </c>
      <c r="G29" s="10"/>
    </row>
    <row r="30" spans="1:7" ht="24">
      <c r="A30" s="5"/>
      <c r="B30" s="7">
        <f t="shared" si="0"/>
        <v>27</v>
      </c>
      <c r="C30" s="487" t="str">
        <f>HYPERLINK("#分析機チャネルマスタ!A1","分析機チャネルマスタ")</f>
        <v>分析機チャネルマスタ</v>
      </c>
      <c r="D30" s="8" t="s">
        <v>1011</v>
      </c>
      <c r="E30" s="488" t="s">
        <v>1809</v>
      </c>
      <c r="F30" s="11" t="s">
        <v>790</v>
      </c>
      <c r="G30" s="10"/>
    </row>
    <row r="31" spans="1:7">
      <c r="A31" s="5"/>
      <c r="B31" s="7">
        <f t="shared" si="0"/>
        <v>28</v>
      </c>
      <c r="C31" s="405" t="str">
        <f>HYPERLINK("#分析機ラインマスタ!A1","分析機ラインマスタ")</f>
        <v>分析機ラインマスタ</v>
      </c>
      <c r="D31" s="8" t="s">
        <v>1470</v>
      </c>
      <c r="E31" s="9" t="s">
        <v>102</v>
      </c>
      <c r="F31" s="11" t="s">
        <v>789</v>
      </c>
      <c r="G31" s="10"/>
    </row>
    <row r="32" spans="1:7" ht="24">
      <c r="A32" s="5"/>
      <c r="B32" s="7">
        <f t="shared" si="0"/>
        <v>29</v>
      </c>
      <c r="C32" s="405" t="str">
        <f>HYPERLINK("#分析機マスタ!A1","分析機マスタ")</f>
        <v>分析機マスタ</v>
      </c>
      <c r="D32" s="8" t="s">
        <v>1012</v>
      </c>
      <c r="E32" s="488" t="s">
        <v>1808</v>
      </c>
      <c r="F32" s="11" t="s">
        <v>788</v>
      </c>
      <c r="G32" s="10"/>
    </row>
    <row r="33" spans="1:7">
      <c r="A33" s="5"/>
      <c r="B33" s="7">
        <f t="shared" si="0"/>
        <v>30</v>
      </c>
      <c r="C33" s="405" t="str">
        <f>HYPERLINK("#メッセージマスタ!A1","メッセージマスタ")</f>
        <v>メッセージマスタ</v>
      </c>
      <c r="D33" s="8" t="s">
        <v>1518</v>
      </c>
      <c r="E33" s="9" t="s">
        <v>1807</v>
      </c>
      <c r="F33" s="12"/>
      <c r="G33" s="10"/>
    </row>
    <row r="34" spans="1:7">
      <c r="A34" s="5"/>
      <c r="B34" s="7">
        <f t="shared" si="0"/>
        <v>31</v>
      </c>
      <c r="C34" s="405" t="str">
        <f>HYPERLINK("#通信管理!A1","通信管理マスタ")</f>
        <v>通信管理マスタ</v>
      </c>
      <c r="D34" s="8" t="s">
        <v>1471</v>
      </c>
      <c r="E34" s="9" t="s">
        <v>1775</v>
      </c>
      <c r="F34" s="11"/>
      <c r="G34" s="10"/>
    </row>
    <row r="35" spans="1:7">
      <c r="A35" s="5"/>
      <c r="B35" s="7">
        <f t="shared" si="0"/>
        <v>32</v>
      </c>
      <c r="C35" s="405" t="str">
        <f>HYPERLINK("#プロセス管理!A1","プロセス管理マスタ")</f>
        <v>プロセス管理マスタ</v>
      </c>
      <c r="D35" s="8" t="s">
        <v>1472</v>
      </c>
      <c r="E35" s="9" t="s">
        <v>1775</v>
      </c>
      <c r="F35" s="11" t="s">
        <v>791</v>
      </c>
      <c r="G35" s="10"/>
    </row>
    <row r="36" spans="1:7" ht="24">
      <c r="A36" s="5"/>
      <c r="B36" s="7">
        <f t="shared" si="0"/>
        <v>33</v>
      </c>
      <c r="C36" s="405" t="str">
        <f>HYPERLINK("#ラック管理マスタ!A1","ラック管理マスタ")</f>
        <v>ラック管理マスタ</v>
      </c>
      <c r="D36" s="8" t="s">
        <v>1502</v>
      </c>
      <c r="E36" s="488" t="s">
        <v>1805</v>
      </c>
      <c r="F36" s="11"/>
      <c r="G36" s="10"/>
    </row>
    <row r="37" spans="1:7" ht="24">
      <c r="A37" s="5"/>
      <c r="B37" s="7">
        <f t="shared" si="0"/>
        <v>34</v>
      </c>
      <c r="C37" s="405" t="str">
        <f>HYPERLINK("#レンジチェックマスタ!A1","レンジチェックマスタ")</f>
        <v>レンジチェックマスタ</v>
      </c>
      <c r="D37" s="8" t="s">
        <v>1479</v>
      </c>
      <c r="E37" s="488" t="s">
        <v>1820</v>
      </c>
      <c r="F37" s="11" t="s">
        <v>1920</v>
      </c>
      <c r="G37" s="10"/>
    </row>
    <row r="38" spans="1:7" ht="24">
      <c r="A38" s="5"/>
      <c r="B38" s="7">
        <f t="shared" si="0"/>
        <v>35</v>
      </c>
      <c r="C38" s="405" t="str">
        <f>HYPERLINK("#履歴チェックマスタ!A1","履歴チェックマスタ")</f>
        <v>履歴チェックマスタ</v>
      </c>
      <c r="D38" s="8" t="s">
        <v>1485</v>
      </c>
      <c r="E38" s="488" t="s">
        <v>1804</v>
      </c>
      <c r="F38" s="12" t="s">
        <v>1794</v>
      </c>
      <c r="G38" s="10"/>
    </row>
    <row r="39" spans="1:7">
      <c r="A39" s="5"/>
      <c r="B39" s="7">
        <f t="shared" si="0"/>
        <v>36</v>
      </c>
      <c r="C39" s="405" t="str">
        <f>HYPERLINK("#セクションマスタ!A1","セクションマスタ")</f>
        <v>セクションマスタ</v>
      </c>
      <c r="D39" s="8" t="s">
        <v>1481</v>
      </c>
      <c r="E39" s="9" t="s">
        <v>1793</v>
      </c>
      <c r="F39" s="12" t="s">
        <v>1183</v>
      </c>
      <c r="G39" s="10"/>
    </row>
    <row r="40" spans="1:7" ht="24">
      <c r="A40" s="5"/>
      <c r="B40" s="7">
        <f t="shared" si="0"/>
        <v>37</v>
      </c>
      <c r="C40" s="405" t="str">
        <f>HYPERLINK("#相関チェック!A1","相関チェックマスタ")</f>
        <v>相関チェックマスタ</v>
      </c>
      <c r="D40" s="8" t="s">
        <v>1008</v>
      </c>
      <c r="E40" s="488" t="s">
        <v>1923</v>
      </c>
      <c r="F40" s="11" t="s">
        <v>1924</v>
      </c>
      <c r="G40" s="10"/>
    </row>
    <row r="41" spans="1:7">
      <c r="A41" s="5"/>
      <c r="B41" s="7">
        <f t="shared" si="0"/>
        <v>38</v>
      </c>
      <c r="C41" s="405" t="str">
        <f>HYPERLINK("#再検理由マスタ!A1","再検理由マスタ")</f>
        <v>再検理由マスタ</v>
      </c>
      <c r="D41" s="8" t="s">
        <v>1482</v>
      </c>
      <c r="E41" s="9" t="s">
        <v>1775</v>
      </c>
      <c r="F41" s="12" t="s">
        <v>1184</v>
      </c>
      <c r="G41" s="10"/>
    </row>
    <row r="42" spans="1:7">
      <c r="A42" s="5"/>
      <c r="B42" s="7">
        <f t="shared" si="0"/>
        <v>39</v>
      </c>
      <c r="C42" s="405" t="str">
        <f>HYPERLINK("#施設別基準値マスタ!A1","施設別基準値マスタ")</f>
        <v>施設別基準値マスタ</v>
      </c>
      <c r="D42" s="8" t="s">
        <v>1341</v>
      </c>
      <c r="E42" s="9" t="s">
        <v>1775</v>
      </c>
      <c r="F42" s="11" t="s">
        <v>781</v>
      </c>
      <c r="G42" s="10"/>
    </row>
    <row r="43" spans="1:7" ht="22.5">
      <c r="A43" s="5"/>
      <c r="B43" s="7">
        <f t="shared" si="0"/>
        <v>40</v>
      </c>
      <c r="C43" s="405" t="str">
        <f>HYPERLINK("#施設別処理マスタ!A1","施設別処理マスタ")</f>
        <v>施設別処理マスタ</v>
      </c>
      <c r="D43" s="8" t="s">
        <v>1000</v>
      </c>
      <c r="E43" s="9" t="s">
        <v>1791</v>
      </c>
      <c r="F43" s="11" t="s">
        <v>1792</v>
      </c>
      <c r="G43" s="10"/>
    </row>
    <row r="44" spans="1:7">
      <c r="A44" s="5"/>
      <c r="B44" s="7">
        <f t="shared" si="0"/>
        <v>41</v>
      </c>
      <c r="C44" s="405" t="str">
        <f>HYPERLINK("#スタンダードマスタ!A1","スタンダードマスタ")</f>
        <v>スタンダードマスタ</v>
      </c>
      <c r="D44" s="8" t="s">
        <v>1469</v>
      </c>
      <c r="E44" s="9" t="s">
        <v>1775</v>
      </c>
      <c r="F44" s="11" t="s">
        <v>778</v>
      </c>
      <c r="G44" s="10"/>
    </row>
    <row r="45" spans="1:7" ht="24">
      <c r="A45" s="5"/>
      <c r="B45" s="7">
        <f t="shared" si="0"/>
        <v>42</v>
      </c>
      <c r="C45" s="405" t="str">
        <f>HYPERLINK("#システム管理!A1","システム管理マスタ")</f>
        <v>システム管理マスタ</v>
      </c>
      <c r="D45" s="8" t="s">
        <v>1473</v>
      </c>
      <c r="E45" s="488" t="s">
        <v>1790</v>
      </c>
      <c r="F45" s="11" t="s">
        <v>1173</v>
      </c>
      <c r="G45" s="10"/>
    </row>
    <row r="46" spans="1:7" ht="24">
      <c r="A46" s="5"/>
      <c r="B46" s="7">
        <f t="shared" si="0"/>
        <v>43</v>
      </c>
      <c r="C46" s="405" t="str">
        <f>HYPERLINK("#トレー管理マスタ!A1","トレー管理マスタ")</f>
        <v>トレー管理マスタ</v>
      </c>
      <c r="D46" s="8" t="s">
        <v>1013</v>
      </c>
      <c r="E46" s="488" t="s">
        <v>1789</v>
      </c>
      <c r="F46" s="11" t="s">
        <v>1788</v>
      </c>
      <c r="G46" s="10"/>
    </row>
    <row r="47" spans="1:7" ht="24">
      <c r="A47" s="5"/>
      <c r="B47" s="7">
        <f t="shared" si="0"/>
        <v>44</v>
      </c>
      <c r="C47" s="405" t="str">
        <f>HYPERLINK("#透析前後チェック!A1","透析前後チェックマスタ")</f>
        <v>透析前後チェックマスタ</v>
      </c>
      <c r="D47" s="8" t="s">
        <v>1007</v>
      </c>
      <c r="E47" s="488" t="s">
        <v>1787</v>
      </c>
      <c r="F47" s="11" t="s">
        <v>787</v>
      </c>
      <c r="G47" s="10"/>
    </row>
    <row r="48" spans="1:7">
      <c r="A48" s="5"/>
      <c r="B48" s="7">
        <f t="shared" si="0"/>
        <v>45</v>
      </c>
      <c r="C48" s="405" t="str">
        <f>HYPERLINK("#ユーザーマスタ!A1","ユーザーマスタ")</f>
        <v>ユーザーマスタ</v>
      </c>
      <c r="D48" s="8" t="s">
        <v>1014</v>
      </c>
      <c r="E48" s="9" t="s">
        <v>1803</v>
      </c>
      <c r="F48" s="11"/>
      <c r="G48" s="10"/>
    </row>
    <row r="49" spans="1:7" ht="24">
      <c r="A49" s="5"/>
      <c r="B49" s="7">
        <f t="shared" si="0"/>
        <v>46</v>
      </c>
      <c r="C49" s="405" t="str">
        <f>HYPERLINK("#XbarMチェックマスタ!A1","XbarMチェックマスタ")</f>
        <v>XbarMチェックマスタ</v>
      </c>
      <c r="D49" s="8" t="s">
        <v>1464</v>
      </c>
      <c r="E49" s="488" t="s">
        <v>1786</v>
      </c>
      <c r="F49" s="12" t="s">
        <v>1181</v>
      </c>
      <c r="G49" s="10"/>
    </row>
    <row r="50" spans="1:7">
      <c r="A50" s="5"/>
      <c r="B50" s="7">
        <f t="shared" si="0"/>
        <v>47</v>
      </c>
      <c r="C50" s="405" t="str">
        <f>HYPERLINK("#XEエラー!A1","XEエラーマスタ")</f>
        <v>XEエラーマスタ</v>
      </c>
      <c r="D50" s="8" t="s">
        <v>1477</v>
      </c>
      <c r="E50" s="9" t="s">
        <v>1775</v>
      </c>
      <c r="F50" s="11" t="s">
        <v>1176</v>
      </c>
      <c r="G50" s="10"/>
    </row>
    <row r="51" spans="1:7">
      <c r="A51" s="5"/>
      <c r="B51" s="7">
        <f t="shared" si="0"/>
        <v>48</v>
      </c>
      <c r="C51" s="405" t="str">
        <f>HYPERLINK("#材料マスタ!A1","材料マスタ")</f>
        <v>材料マスタ</v>
      </c>
      <c r="D51" s="8" t="s">
        <v>1784</v>
      </c>
      <c r="E51" s="9" t="s">
        <v>1785</v>
      </c>
      <c r="F51" s="11" t="s">
        <v>783</v>
      </c>
      <c r="G51" s="10"/>
    </row>
    <row r="52" spans="1:7">
      <c r="A52" s="5"/>
      <c r="B52" s="7">
        <f t="shared" si="0"/>
        <v>49</v>
      </c>
      <c r="C52" s="405" t="s">
        <v>1970</v>
      </c>
      <c r="D52" s="8" t="s">
        <v>1922</v>
      </c>
      <c r="E52" s="9" t="s">
        <v>1785</v>
      </c>
      <c r="F52" s="11" t="s">
        <v>1971</v>
      </c>
      <c r="G52" s="10"/>
    </row>
    <row r="53" spans="1:7" ht="24">
      <c r="A53" s="5"/>
      <c r="B53" s="7">
        <f t="shared" si="0"/>
        <v>50</v>
      </c>
      <c r="C53" s="405" t="str">
        <f>HYPERLINK("#システム間計算マスタ!A1","システム間計算マスタ")</f>
        <v>システム間計算マスタ</v>
      </c>
      <c r="D53" s="8" t="s">
        <v>1841</v>
      </c>
      <c r="E53" s="488" t="s">
        <v>1845</v>
      </c>
      <c r="F53" s="11" t="s">
        <v>1835</v>
      </c>
      <c r="G53" s="10"/>
    </row>
    <row r="54" spans="1:7" ht="24">
      <c r="A54" s="5"/>
      <c r="B54" s="7">
        <f t="shared" si="0"/>
        <v>51</v>
      </c>
      <c r="C54" s="405" t="str">
        <f>HYPERLINK("#属性チェックマスタ!A1","属性チェックマスタ")</f>
        <v>属性チェックマスタ</v>
      </c>
      <c r="D54" s="8" t="s">
        <v>1834</v>
      </c>
      <c r="E54" s="488" t="s">
        <v>1836</v>
      </c>
      <c r="F54" s="11" t="s">
        <v>1837</v>
      </c>
      <c r="G54" s="10"/>
    </row>
    <row r="55" spans="1:7" ht="24">
      <c r="A55" s="5"/>
      <c r="B55" s="7">
        <f t="shared" si="0"/>
        <v>52</v>
      </c>
      <c r="C55" s="405" t="str">
        <f>HYPERLINK("#システム間結果要求マスタ!A1","システム間結果要求マスタ")</f>
        <v>システム間結果要求マスタ</v>
      </c>
      <c r="D55" s="8" t="s">
        <v>1839</v>
      </c>
      <c r="E55" s="488" t="s">
        <v>1840</v>
      </c>
      <c r="F55" s="11" t="s">
        <v>1846</v>
      </c>
      <c r="G55" s="10"/>
    </row>
    <row r="56" spans="1:7" ht="24">
      <c r="A56" s="5"/>
      <c r="B56" s="7">
        <f t="shared" si="0"/>
        <v>53</v>
      </c>
      <c r="C56" s="405" t="str">
        <f>HYPERLINK("#ZSライン制御マスタ!A1","ZSライン制御マスタ")</f>
        <v>ZSライン制御マスタ</v>
      </c>
      <c r="D56" s="8" t="s">
        <v>1823</v>
      </c>
      <c r="E56" s="488" t="s">
        <v>1824</v>
      </c>
      <c r="F56" s="12" t="s">
        <v>1825</v>
      </c>
      <c r="G56" s="10"/>
    </row>
    <row r="57" spans="1:7" ht="24">
      <c r="A57" s="5"/>
      <c r="B57" s="7">
        <f t="shared" si="0"/>
        <v>54</v>
      </c>
      <c r="C57" s="7"/>
      <c r="D57" s="8" t="s">
        <v>1842</v>
      </c>
      <c r="E57" s="488" t="s">
        <v>1843</v>
      </c>
      <c r="F57" s="12" t="s">
        <v>1844</v>
      </c>
      <c r="G57" s="10"/>
    </row>
    <row r="58" spans="1:7">
      <c r="A58" s="5"/>
      <c r="B58" s="7">
        <f t="shared" si="0"/>
        <v>55</v>
      </c>
      <c r="C58" s="7"/>
      <c r="D58" s="8" t="s">
        <v>1826</v>
      </c>
      <c r="E58" s="9" t="s">
        <v>1828</v>
      </c>
      <c r="F58" s="12"/>
      <c r="G58" s="10"/>
    </row>
    <row r="59" spans="1:7">
      <c r="A59" s="5"/>
      <c r="B59" s="7">
        <f t="shared" si="0"/>
        <v>56</v>
      </c>
      <c r="C59" s="7"/>
      <c r="D59" s="8" t="s">
        <v>1827</v>
      </c>
      <c r="E59" s="9" t="s">
        <v>1828</v>
      </c>
      <c r="F59" s="12"/>
      <c r="G59" s="10"/>
    </row>
    <row r="60" spans="1:7" ht="24">
      <c r="A60" s="5"/>
      <c r="B60" s="7">
        <f t="shared" si="0"/>
        <v>57</v>
      </c>
      <c r="C60" s="7"/>
      <c r="D60" s="8" t="s">
        <v>1829</v>
      </c>
      <c r="E60" s="488" t="s">
        <v>1830</v>
      </c>
      <c r="F60" s="12" t="s">
        <v>1831</v>
      </c>
      <c r="G60" s="10"/>
    </row>
    <row r="61" spans="1:7" ht="24">
      <c r="A61" s="5"/>
      <c r="B61" s="7">
        <f t="shared" si="0"/>
        <v>58</v>
      </c>
      <c r="C61" s="7"/>
      <c r="D61" s="8" t="s">
        <v>1779</v>
      </c>
      <c r="E61" s="488" t="s">
        <v>1798</v>
      </c>
      <c r="F61" s="12" t="s">
        <v>1783</v>
      </c>
      <c r="G61" s="10"/>
    </row>
    <row r="62" spans="1:7">
      <c r="A62" s="5"/>
      <c r="B62" s="7">
        <f t="shared" si="0"/>
        <v>59</v>
      </c>
      <c r="C62" s="7"/>
      <c r="D62" s="8" t="s">
        <v>1780</v>
      </c>
      <c r="E62" s="9" t="s">
        <v>1781</v>
      </c>
      <c r="F62" s="12" t="s">
        <v>1782</v>
      </c>
      <c r="G62" s="10"/>
    </row>
  </sheetData>
  <mergeCells count="4">
    <mergeCell ref="C1:D1"/>
    <mergeCell ref="B1:B2"/>
    <mergeCell ref="E1:E2"/>
    <mergeCell ref="F1:F2"/>
  </mergeCells>
  <phoneticPr fontId="6"/>
  <pageMargins left="0.59055118110236227" right="0.59055118110236227" top="0.78740157480314965" bottom="0.39370078740157483" header="0.31496062992125984" footer="0.19685039370078741"/>
  <pageSetup paperSize="9" scale="69" fitToHeight="0" orientation="landscape" r:id="rId1"/>
  <headerFooter alignWithMargins="0">
    <oddFooter>&amp;C&amp;10&amp;P/&amp;N&amp;R&amp;10&amp;A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pageSetUpPr fitToPage="1"/>
  </sheetPr>
  <dimension ref="A1:P110"/>
  <sheetViews>
    <sheetView showGridLines="0" zoomScaleNormal="100" zoomScaleSheetLayoutView="100" workbookViewId="0">
      <pane ySplit="6" topLeftCell="A7" activePane="bottomLeft" state="frozen"/>
      <selection activeCell="A7" sqref="A7"/>
      <selection pane="bottomLeft"/>
    </sheetView>
  </sheetViews>
  <sheetFormatPr defaultRowHeight="12"/>
  <cols>
    <col min="1" max="1" width="3.875" style="113" bestFit="1" customWidth="1"/>
    <col min="2" max="2" width="28.625" style="113" customWidth="1"/>
    <col min="3" max="3" width="13.375" style="113" customWidth="1"/>
    <col min="4" max="4" width="9.375" style="113" customWidth="1"/>
    <col min="5" max="6" width="4.75" style="113" bestFit="1" customWidth="1"/>
    <col min="7" max="7" width="6.125" style="113" bestFit="1" customWidth="1"/>
    <col min="8" max="8" width="4.75" style="113" bestFit="1" customWidth="1"/>
    <col min="9" max="9" width="4.75" style="113" customWidth="1"/>
    <col min="10" max="11" width="9.625" style="113" customWidth="1"/>
    <col min="12" max="13" width="10.25" style="113" customWidth="1"/>
    <col min="14" max="14" width="9" style="113"/>
    <col min="15" max="16" width="0" style="113" hidden="1" customWidth="1"/>
    <col min="17" max="16384" width="9" style="113"/>
  </cols>
  <sheetData>
    <row r="1" spans="1:16">
      <c r="B1" s="47"/>
    </row>
    <row r="2" spans="1:16">
      <c r="A2" s="592" t="s">
        <v>230</v>
      </c>
      <c r="B2" s="594"/>
      <c r="C2" s="592" t="s">
        <v>36</v>
      </c>
      <c r="D2" s="593"/>
      <c r="E2" s="593"/>
      <c r="F2" s="593"/>
      <c r="G2" s="594"/>
      <c r="H2" s="592"/>
      <c r="I2" s="593"/>
      <c r="J2" s="594"/>
      <c r="K2" s="115"/>
      <c r="L2" s="116" t="s">
        <v>37</v>
      </c>
      <c r="M2" s="116" t="s">
        <v>38</v>
      </c>
    </row>
    <row r="3" spans="1:16">
      <c r="A3" s="605"/>
      <c r="B3" s="606"/>
      <c r="C3" s="612" t="s">
        <v>479</v>
      </c>
      <c r="D3" s="613"/>
      <c r="E3" s="613"/>
      <c r="F3" s="613"/>
      <c r="G3" s="614"/>
      <c r="H3" s="592" t="s">
        <v>39</v>
      </c>
      <c r="I3" s="594"/>
      <c r="J3" s="117">
        <f>COUNT(A7:A100)</f>
        <v>5</v>
      </c>
      <c r="K3" s="116" t="s">
        <v>40</v>
      </c>
      <c r="L3" s="118">
        <v>38629</v>
      </c>
      <c r="M3" s="41" t="s">
        <v>56</v>
      </c>
      <c r="O3" s="113" t="s">
        <v>41</v>
      </c>
      <c r="P3" s="113" t="s">
        <v>42</v>
      </c>
    </row>
    <row r="4" spans="1:16">
      <c r="A4" s="607" t="s">
        <v>43</v>
      </c>
      <c r="B4" s="608"/>
      <c r="C4" s="607" t="s">
        <v>1475</v>
      </c>
      <c r="D4" s="615"/>
      <c r="E4" s="615"/>
      <c r="F4" s="615"/>
      <c r="G4" s="608"/>
      <c r="H4" s="592" t="s">
        <v>44</v>
      </c>
      <c r="I4" s="594"/>
      <c r="J4" s="117">
        <f>SUM(G7:G100)</f>
        <v>42</v>
      </c>
      <c r="K4" s="116" t="s">
        <v>45</v>
      </c>
      <c r="L4" s="40">
        <v>38763</v>
      </c>
      <c r="M4" s="42" t="s">
        <v>1407</v>
      </c>
      <c r="O4" s="113" t="s">
        <v>1368</v>
      </c>
      <c r="P4" s="113" t="s">
        <v>1367</v>
      </c>
    </row>
    <row r="5" spans="1:16">
      <c r="A5" s="623" t="s">
        <v>1448</v>
      </c>
      <c r="B5" s="592" t="s">
        <v>46</v>
      </c>
      <c r="C5" s="593"/>
      <c r="D5" s="622" t="s">
        <v>47</v>
      </c>
      <c r="E5" s="593"/>
      <c r="F5" s="593"/>
      <c r="G5" s="593"/>
      <c r="H5" s="593"/>
      <c r="I5" s="592" t="s">
        <v>604</v>
      </c>
      <c r="J5" s="594"/>
      <c r="K5" s="616" t="s">
        <v>48</v>
      </c>
      <c r="L5" s="617"/>
      <c r="M5" s="618"/>
      <c r="P5" s="113" t="s">
        <v>605</v>
      </c>
    </row>
    <row r="6" spans="1:16">
      <c r="A6" s="624"/>
      <c r="B6" s="116" t="s">
        <v>49</v>
      </c>
      <c r="C6" s="119" t="s">
        <v>50</v>
      </c>
      <c r="D6" s="120" t="s">
        <v>42</v>
      </c>
      <c r="E6" s="121" t="s">
        <v>51</v>
      </c>
      <c r="F6" s="122" t="s">
        <v>52</v>
      </c>
      <c r="G6" s="116" t="s">
        <v>606</v>
      </c>
      <c r="H6" s="114" t="s">
        <v>53</v>
      </c>
      <c r="I6" s="114" t="s">
        <v>607</v>
      </c>
      <c r="J6" s="114" t="s">
        <v>608</v>
      </c>
      <c r="K6" s="619"/>
      <c r="L6" s="620"/>
      <c r="M6" s="621"/>
      <c r="P6" s="113" t="s">
        <v>609</v>
      </c>
    </row>
    <row r="7" spans="1:16">
      <c r="A7" s="41">
        <v>1</v>
      </c>
      <c r="B7" s="48" t="s">
        <v>54</v>
      </c>
      <c r="C7" s="49" t="s">
        <v>1361</v>
      </c>
      <c r="D7" s="50" t="s">
        <v>1164</v>
      </c>
      <c r="E7" s="51">
        <v>16</v>
      </c>
      <c r="F7" s="123"/>
      <c r="G7" s="20">
        <f>IF(D7="DATE",4,IF(D7="CHAR",E7,IF(D7="SMALLINT",2,IF(D7="INTEGER",4,IF(D7="TIMESTAMP",10,IF(D7="TIME",3,0))))))</f>
        <v>16</v>
      </c>
      <c r="H7" s="41" t="s">
        <v>1377</v>
      </c>
      <c r="I7" s="41" t="s">
        <v>1377</v>
      </c>
      <c r="J7" s="124"/>
      <c r="K7" s="599"/>
      <c r="L7" s="600"/>
      <c r="M7" s="601"/>
      <c r="P7" s="113" t="s">
        <v>522</v>
      </c>
    </row>
    <row r="8" spans="1:16">
      <c r="A8" s="42">
        <f>IF(B8=""," ",A7+1)</f>
        <v>2</v>
      </c>
      <c r="B8" s="48" t="s">
        <v>1261</v>
      </c>
      <c r="C8" s="49" t="s">
        <v>480</v>
      </c>
      <c r="D8" s="78" t="s">
        <v>566</v>
      </c>
      <c r="E8" s="127"/>
      <c r="F8" s="123"/>
      <c r="G8" s="20">
        <f>IF(D8="DATE",4,IF(D8="CHAR",E8,IF(D8="SMALLINT",2,IF(D8="INTEGER",4,IF(D8="TIMESTAMP",10,IF(D8="TIME",3,0))))))</f>
        <v>4</v>
      </c>
      <c r="H8" s="41" t="s">
        <v>1377</v>
      </c>
      <c r="I8" s="41" t="s">
        <v>1377</v>
      </c>
      <c r="J8" s="124"/>
      <c r="K8" s="599" t="s">
        <v>1262</v>
      </c>
      <c r="L8" s="600"/>
      <c r="M8" s="601"/>
      <c r="P8" s="113" t="s">
        <v>562</v>
      </c>
    </row>
    <row r="9" spans="1:16">
      <c r="A9" s="42">
        <f>IF(B9=""," ",A8+1)</f>
        <v>3</v>
      </c>
      <c r="B9" s="48" t="s">
        <v>1260</v>
      </c>
      <c r="C9" s="49" t="s">
        <v>481</v>
      </c>
      <c r="D9" s="78" t="s">
        <v>566</v>
      </c>
      <c r="E9" s="127"/>
      <c r="F9" s="123"/>
      <c r="G9" s="20">
        <f>IF(D9="DATE",4,IF(D9="CHAR",E9,IF(D9="SMALLINT",2,IF(D9="INTEGER",4,IF(D9="TIMESTAMP",10,IF(D9="TIME",3,0))))))</f>
        <v>4</v>
      </c>
      <c r="H9" s="41" t="s">
        <v>1377</v>
      </c>
      <c r="I9" s="41"/>
      <c r="J9" s="124"/>
      <c r="K9" s="599" t="s">
        <v>1260</v>
      </c>
      <c r="L9" s="600"/>
      <c r="M9" s="601"/>
      <c r="P9" s="113" t="s">
        <v>562</v>
      </c>
    </row>
    <row r="10" spans="1:16" s="16" customFormat="1" ht="12" customHeight="1">
      <c r="A10" s="42">
        <f>IF(B10=""," ",A9+1)</f>
        <v>4</v>
      </c>
      <c r="B10" s="64" t="s">
        <v>1083</v>
      </c>
      <c r="C10" s="24" t="s">
        <v>1111</v>
      </c>
      <c r="D10" s="72" t="s">
        <v>1431</v>
      </c>
      <c r="E10" s="51">
        <v>8</v>
      </c>
      <c r="F10" s="58"/>
      <c r="G10" s="20">
        <f>IF(D10="DATE",4,IF(D10="CHAR",E10,IF(D10="SMALLINT",2,IF(D10="INTEGER",4,IF(D10="TIMESTAMP",10,IF(D10="TIME",3,0))))))</f>
        <v>8</v>
      </c>
      <c r="H10" s="53" t="s">
        <v>1432</v>
      </c>
      <c r="I10" s="53"/>
      <c r="J10" s="59"/>
      <c r="K10" s="609" t="s">
        <v>1112</v>
      </c>
      <c r="L10" s="610"/>
      <c r="M10" s="611"/>
    </row>
    <row r="11" spans="1:16" s="22" customFormat="1">
      <c r="A11" s="42">
        <f>IF(B11=""," ",A10+1)</f>
        <v>5</v>
      </c>
      <c r="B11" s="93" t="s">
        <v>1724</v>
      </c>
      <c r="C11" s="26" t="s">
        <v>1404</v>
      </c>
      <c r="D11" s="94" t="s">
        <v>1405</v>
      </c>
      <c r="E11" s="95"/>
      <c r="F11" s="90"/>
      <c r="G11" s="21">
        <f>IF(D11="DATE",4,IF(D11="CHAR",E11,IF(D11="SMALLINT",2,IF(D11="INTEGER",4,IF(D11="TIMESTAMP",10,IF(D11="TIME",3,0))))))</f>
        <v>10</v>
      </c>
      <c r="H11" s="91" t="s">
        <v>1406</v>
      </c>
      <c r="I11" s="89"/>
      <c r="J11" s="92"/>
      <c r="K11" s="602"/>
      <c r="L11" s="603"/>
      <c r="M11" s="604"/>
    </row>
    <row r="12" spans="1:16" ht="11.25" customHeight="1">
      <c r="A12" s="168"/>
      <c r="B12" s="100"/>
      <c r="C12" s="137"/>
      <c r="D12" s="78"/>
      <c r="E12" s="127"/>
      <c r="F12" s="123"/>
      <c r="G12" s="20"/>
      <c r="H12" s="41"/>
      <c r="I12" s="41"/>
      <c r="J12" s="124"/>
      <c r="K12" s="599"/>
      <c r="L12" s="600"/>
      <c r="M12" s="601"/>
    </row>
    <row r="13" spans="1:16" ht="11.25" customHeight="1">
      <c r="A13" s="168"/>
      <c r="B13" s="100"/>
      <c r="C13" s="137"/>
      <c r="D13" s="78"/>
      <c r="E13" s="127"/>
      <c r="F13" s="123"/>
      <c r="G13" s="20"/>
      <c r="H13" s="41"/>
      <c r="I13" s="41"/>
      <c r="J13" s="124"/>
      <c r="K13" s="599"/>
      <c r="L13" s="600"/>
      <c r="M13" s="601"/>
    </row>
    <row r="14" spans="1:16">
      <c r="A14" s="168"/>
      <c r="B14" s="134"/>
      <c r="C14" s="27"/>
      <c r="D14" s="126"/>
      <c r="E14" s="127"/>
      <c r="F14" s="123"/>
      <c r="G14" s="20"/>
      <c r="H14" s="41"/>
      <c r="I14" s="41"/>
      <c r="J14" s="124"/>
      <c r="K14" s="17"/>
      <c r="L14" s="18"/>
      <c r="M14" s="19"/>
    </row>
    <row r="15" spans="1:16">
      <c r="A15" s="168"/>
      <c r="B15" s="134"/>
      <c r="C15" s="27"/>
      <c r="D15" s="126"/>
      <c r="E15" s="127"/>
      <c r="F15" s="123"/>
      <c r="G15" s="20"/>
      <c r="H15" s="41"/>
      <c r="I15" s="41"/>
      <c r="J15" s="124"/>
      <c r="K15" s="595"/>
      <c r="L15" s="596"/>
      <c r="M15" s="597"/>
    </row>
    <row r="16" spans="1:16">
      <c r="A16" s="168"/>
      <c r="B16" s="134"/>
      <c r="C16" s="27"/>
      <c r="D16" s="126"/>
      <c r="E16" s="127"/>
      <c r="F16" s="123"/>
      <c r="G16" s="20"/>
      <c r="H16" s="41"/>
      <c r="I16" s="41"/>
      <c r="J16" s="124"/>
      <c r="K16" s="595"/>
      <c r="L16" s="596"/>
      <c r="M16" s="597"/>
    </row>
    <row r="17" spans="1:13">
      <c r="A17" s="168"/>
      <c r="B17" s="134"/>
      <c r="C17" s="27"/>
      <c r="D17" s="126"/>
      <c r="E17" s="127"/>
      <c r="F17" s="123"/>
      <c r="G17" s="20"/>
      <c r="H17" s="41"/>
      <c r="I17" s="41"/>
      <c r="J17" s="124"/>
      <c r="K17" s="595"/>
      <c r="L17" s="596"/>
      <c r="M17" s="597"/>
    </row>
    <row r="18" spans="1:13">
      <c r="A18" s="168"/>
      <c r="B18" s="134"/>
      <c r="C18" s="27"/>
      <c r="D18" s="126"/>
      <c r="E18" s="127"/>
      <c r="F18" s="123"/>
      <c r="G18" s="20"/>
      <c r="H18" s="41"/>
      <c r="I18" s="41"/>
      <c r="J18" s="124"/>
      <c r="K18" s="598"/>
      <c r="L18" s="596"/>
      <c r="M18" s="597"/>
    </row>
    <row r="19" spans="1:13">
      <c r="A19" s="168"/>
      <c r="B19" s="134"/>
      <c r="C19" s="27"/>
      <c r="D19" s="126"/>
      <c r="E19" s="127"/>
      <c r="F19" s="123"/>
      <c r="G19" s="20"/>
      <c r="H19" s="41"/>
      <c r="I19" s="41"/>
      <c r="J19" s="124"/>
      <c r="K19" s="595"/>
      <c r="L19" s="596"/>
      <c r="M19" s="597"/>
    </row>
    <row r="20" spans="1:13">
      <c r="A20" s="168"/>
      <c r="B20" s="134"/>
      <c r="C20" s="27"/>
      <c r="D20" s="126"/>
      <c r="E20" s="127"/>
      <c r="F20" s="123"/>
      <c r="G20" s="20"/>
      <c r="H20" s="41"/>
      <c r="I20" s="41"/>
      <c r="J20" s="124"/>
      <c r="K20" s="595"/>
      <c r="L20" s="596"/>
      <c r="M20" s="597"/>
    </row>
    <row r="21" spans="1:13">
      <c r="A21" s="89"/>
      <c r="B21" s="66"/>
      <c r="C21" s="31"/>
      <c r="D21" s="97"/>
      <c r="E21" s="98"/>
      <c r="F21" s="99"/>
      <c r="G21" s="20"/>
      <c r="H21" s="89"/>
      <c r="I21" s="89"/>
      <c r="J21" s="92"/>
      <c r="K21" s="31"/>
      <c r="L21" s="32"/>
      <c r="M21" s="33"/>
    </row>
    <row r="22" spans="1:13">
      <c r="A22" s="89"/>
      <c r="B22" s="96"/>
      <c r="C22" s="31"/>
      <c r="D22" s="97"/>
      <c r="E22" s="98"/>
      <c r="F22" s="99"/>
      <c r="G22" s="20"/>
      <c r="H22" s="89"/>
      <c r="I22" s="89"/>
      <c r="J22" s="92"/>
      <c r="K22" s="31"/>
      <c r="L22" s="32"/>
      <c r="M22" s="33"/>
    </row>
    <row r="23" spans="1:13">
      <c r="A23" s="89"/>
      <c r="B23" s="96"/>
      <c r="C23" s="31"/>
      <c r="D23" s="97"/>
      <c r="E23" s="98"/>
      <c r="F23" s="99"/>
      <c r="G23" s="20"/>
      <c r="H23" s="89"/>
      <c r="I23" s="89"/>
      <c r="J23" s="92"/>
      <c r="K23" s="31"/>
      <c r="L23" s="32"/>
      <c r="M23" s="33"/>
    </row>
    <row r="24" spans="1:13">
      <c r="A24" s="89"/>
      <c r="B24" s="96"/>
      <c r="C24" s="31"/>
      <c r="D24" s="97"/>
      <c r="E24" s="98"/>
      <c r="F24" s="99"/>
      <c r="G24" s="20"/>
      <c r="H24" s="89"/>
      <c r="I24" s="89"/>
      <c r="J24" s="92"/>
      <c r="K24" s="31"/>
      <c r="L24" s="32"/>
      <c r="M24" s="33"/>
    </row>
    <row r="25" spans="1:13">
      <c r="A25" s="89"/>
      <c r="B25" s="96"/>
      <c r="C25" s="31"/>
      <c r="D25" s="97"/>
      <c r="E25" s="98"/>
      <c r="F25" s="99"/>
      <c r="G25" s="20"/>
      <c r="H25" s="89"/>
      <c r="I25" s="89"/>
      <c r="J25" s="92"/>
      <c r="K25" s="31"/>
      <c r="L25" s="32"/>
      <c r="M25" s="33"/>
    </row>
    <row r="26" spans="1:13">
      <c r="A26" s="89"/>
      <c r="B26" s="96"/>
      <c r="C26" s="31"/>
      <c r="D26" s="97"/>
      <c r="E26" s="98"/>
      <c r="F26" s="99"/>
      <c r="G26" s="20"/>
      <c r="H26" s="89"/>
      <c r="I26" s="89"/>
      <c r="J26" s="92"/>
      <c r="K26" s="31"/>
      <c r="L26" s="32"/>
      <c r="M26" s="33"/>
    </row>
    <row r="27" spans="1:13">
      <c r="A27" s="89"/>
      <c r="B27" s="96"/>
      <c r="C27" s="31"/>
      <c r="D27" s="97"/>
      <c r="E27" s="98"/>
      <c r="F27" s="99"/>
      <c r="G27" s="20"/>
      <c r="H27" s="89"/>
      <c r="I27" s="89"/>
      <c r="J27" s="92"/>
      <c r="K27" s="31"/>
      <c r="L27" s="32"/>
      <c r="M27" s="33"/>
    </row>
    <row r="28" spans="1:13">
      <c r="A28" s="89"/>
      <c r="B28" s="96"/>
      <c r="C28" s="31"/>
      <c r="D28" s="97"/>
      <c r="E28" s="98"/>
      <c r="F28" s="99"/>
      <c r="G28" s="20"/>
      <c r="H28" s="89"/>
      <c r="I28" s="89"/>
      <c r="J28" s="92"/>
      <c r="K28" s="31"/>
      <c r="L28" s="32"/>
      <c r="M28" s="33"/>
    </row>
    <row r="29" spans="1:13">
      <c r="A29" s="89"/>
      <c r="B29" s="96"/>
      <c r="C29" s="31"/>
      <c r="D29" s="97"/>
      <c r="E29" s="98"/>
      <c r="F29" s="99"/>
      <c r="G29" s="20"/>
      <c r="H29" s="89"/>
      <c r="I29" s="89"/>
      <c r="J29" s="92"/>
      <c r="K29" s="31"/>
      <c r="L29" s="32"/>
      <c r="M29" s="33"/>
    </row>
    <row r="30" spans="1:13">
      <c r="A30" s="89"/>
      <c r="B30" s="96"/>
      <c r="C30" s="31"/>
      <c r="D30" s="97"/>
      <c r="E30" s="98"/>
      <c r="F30" s="99"/>
      <c r="G30" s="20"/>
      <c r="H30" s="89"/>
      <c r="I30" s="89"/>
      <c r="J30" s="92"/>
      <c r="K30" s="31"/>
      <c r="L30" s="32"/>
      <c r="M30" s="33"/>
    </row>
    <row r="31" spans="1:13">
      <c r="A31" s="89"/>
      <c r="B31" s="96"/>
      <c r="C31" s="31"/>
      <c r="D31" s="97"/>
      <c r="E31" s="98"/>
      <c r="F31" s="99"/>
      <c r="G31" s="20"/>
      <c r="H31" s="89"/>
      <c r="I31" s="89"/>
      <c r="J31" s="92"/>
      <c r="K31" s="31"/>
      <c r="L31" s="32"/>
      <c r="M31" s="33"/>
    </row>
    <row r="32" spans="1:13">
      <c r="A32" s="89"/>
      <c r="B32" s="96"/>
      <c r="C32" s="31"/>
      <c r="D32" s="97"/>
      <c r="E32" s="98"/>
      <c r="F32" s="99"/>
      <c r="G32" s="20"/>
      <c r="H32" s="89"/>
      <c r="I32" s="89"/>
      <c r="J32" s="92"/>
      <c r="K32" s="31"/>
      <c r="L32" s="32"/>
      <c r="M32" s="33"/>
    </row>
    <row r="33" spans="1:13">
      <c r="A33" s="42"/>
      <c r="B33" s="71"/>
      <c r="C33" s="13"/>
      <c r="D33" s="72"/>
      <c r="E33" s="73"/>
      <c r="F33" s="74"/>
      <c r="G33" s="20"/>
      <c r="H33" s="42"/>
      <c r="I33" s="42"/>
      <c r="J33" s="59"/>
      <c r="K33" s="609"/>
      <c r="L33" s="610"/>
      <c r="M33" s="611"/>
    </row>
    <row r="34" spans="1:13">
      <c r="A34" s="42"/>
      <c r="B34" s="71"/>
      <c r="C34" s="13"/>
      <c r="D34" s="72"/>
      <c r="E34" s="73"/>
      <c r="F34" s="74"/>
      <c r="G34" s="20"/>
      <c r="H34" s="42"/>
      <c r="I34" s="42"/>
      <c r="J34" s="59"/>
      <c r="K34" s="609"/>
      <c r="L34" s="610"/>
      <c r="M34" s="611"/>
    </row>
    <row r="35" spans="1:13">
      <c r="A35" s="42"/>
      <c r="B35" s="71"/>
      <c r="C35" s="13"/>
      <c r="D35" s="72"/>
      <c r="E35" s="73"/>
      <c r="F35" s="74"/>
      <c r="G35" s="20"/>
      <c r="H35" s="42"/>
      <c r="I35" s="42"/>
      <c r="J35" s="59"/>
      <c r="K35" s="13"/>
      <c r="L35" s="14"/>
      <c r="M35" s="15"/>
    </row>
    <row r="36" spans="1:13">
      <c r="A36" s="42"/>
      <c r="B36" s="71"/>
      <c r="C36" s="13"/>
      <c r="D36" s="72"/>
      <c r="E36" s="73"/>
      <c r="F36" s="74"/>
      <c r="G36" s="20"/>
      <c r="H36" s="42"/>
      <c r="I36" s="42"/>
      <c r="J36" s="59"/>
      <c r="K36" s="13"/>
      <c r="L36" s="14"/>
      <c r="M36" s="15"/>
    </row>
    <row r="37" spans="1:13">
      <c r="A37" s="42"/>
      <c r="B37" s="71"/>
      <c r="C37" s="13"/>
      <c r="D37" s="72"/>
      <c r="E37" s="73"/>
      <c r="F37" s="74"/>
      <c r="G37" s="20"/>
      <c r="H37" s="42"/>
      <c r="I37" s="42"/>
      <c r="J37" s="59"/>
      <c r="K37" s="609"/>
      <c r="L37" s="610"/>
      <c r="M37" s="611"/>
    </row>
    <row r="38" spans="1:13">
      <c r="A38" s="42"/>
      <c r="B38" s="71"/>
      <c r="C38" s="13"/>
      <c r="D38" s="72"/>
      <c r="E38" s="73"/>
      <c r="F38" s="74"/>
      <c r="G38" s="20"/>
      <c r="H38" s="42"/>
      <c r="I38" s="42"/>
      <c r="J38" s="59"/>
      <c r="K38" s="609"/>
      <c r="L38" s="610"/>
      <c r="M38" s="611"/>
    </row>
    <row r="39" spans="1:13">
      <c r="A39" s="42"/>
      <c r="B39" s="71"/>
      <c r="C39" s="13"/>
      <c r="D39" s="72"/>
      <c r="E39" s="73"/>
      <c r="F39" s="74"/>
      <c r="G39" s="20"/>
      <c r="H39" s="42"/>
      <c r="I39" s="42"/>
      <c r="J39" s="59"/>
      <c r="K39" s="13"/>
      <c r="L39" s="14"/>
      <c r="M39" s="15"/>
    </row>
    <row r="40" spans="1:13">
      <c r="A40" s="42"/>
      <c r="B40" s="71"/>
      <c r="C40" s="13"/>
      <c r="D40" s="72"/>
      <c r="E40" s="73"/>
      <c r="F40" s="74"/>
      <c r="G40" s="20"/>
      <c r="H40" s="42"/>
      <c r="I40" s="42"/>
      <c r="J40" s="59"/>
      <c r="K40" s="13"/>
      <c r="L40" s="14"/>
      <c r="M40" s="15"/>
    </row>
    <row r="41" spans="1:13">
      <c r="A41" s="42"/>
      <c r="B41" s="71"/>
      <c r="C41" s="13"/>
      <c r="D41" s="72"/>
      <c r="E41" s="73"/>
      <c r="F41" s="74"/>
      <c r="G41" s="20"/>
      <c r="H41" s="42"/>
      <c r="I41" s="42"/>
      <c r="J41" s="59"/>
      <c r="K41" s="609"/>
      <c r="L41" s="610"/>
      <c r="M41" s="611"/>
    </row>
    <row r="42" spans="1:13">
      <c r="A42" s="42"/>
      <c r="B42" s="71"/>
      <c r="C42" s="13"/>
      <c r="D42" s="72"/>
      <c r="E42" s="73"/>
      <c r="F42" s="74"/>
      <c r="G42" s="20"/>
      <c r="H42" s="42"/>
      <c r="I42" s="42"/>
      <c r="J42" s="59"/>
      <c r="K42" s="609"/>
      <c r="L42" s="610"/>
      <c r="M42" s="611"/>
    </row>
    <row r="43" spans="1:13">
      <c r="A43" s="42"/>
      <c r="B43" s="71"/>
      <c r="C43" s="13"/>
      <c r="D43" s="72"/>
      <c r="E43" s="73"/>
      <c r="F43" s="74"/>
      <c r="G43" s="20"/>
      <c r="H43" s="42"/>
      <c r="I43" s="42"/>
      <c r="J43" s="59"/>
      <c r="K43" s="13"/>
      <c r="L43" s="14"/>
      <c r="M43" s="15"/>
    </row>
    <row r="44" spans="1:13">
      <c r="A44" s="42" t="str">
        <f>IF(B44=""," ",A43+1)</f>
        <v xml:space="preserve"> </v>
      </c>
      <c r="B44" s="71"/>
      <c r="C44" s="13"/>
      <c r="D44" s="72"/>
      <c r="E44" s="73"/>
      <c r="F44" s="74"/>
      <c r="G44" s="20"/>
      <c r="H44" s="42"/>
      <c r="I44" s="42"/>
      <c r="J44" s="59"/>
      <c r="K44" s="13"/>
      <c r="L44" s="14"/>
      <c r="M44" s="15"/>
    </row>
    <row r="45" spans="1:13">
      <c r="A45" s="42" t="str">
        <f>IF(B45=""," ",A44+1)</f>
        <v xml:space="preserve"> </v>
      </c>
      <c r="B45" s="71"/>
      <c r="C45" s="13"/>
      <c r="D45" s="72"/>
      <c r="E45" s="73"/>
      <c r="F45" s="74"/>
      <c r="G45" s="20"/>
      <c r="H45" s="42"/>
      <c r="I45" s="42"/>
      <c r="J45" s="59"/>
      <c r="K45" s="609"/>
      <c r="L45" s="610"/>
      <c r="M45" s="611"/>
    </row>
    <row r="46" spans="1:13">
      <c r="A46" s="42" t="str">
        <f>IF(B46=""," ",#REF!+1)</f>
        <v xml:space="preserve"> </v>
      </c>
      <c r="B46" s="71"/>
      <c r="C46" s="13"/>
      <c r="D46" s="72"/>
      <c r="E46" s="73"/>
      <c r="F46" s="74"/>
      <c r="G46" s="20"/>
      <c r="H46" s="42"/>
      <c r="I46" s="42"/>
      <c r="J46" s="59"/>
      <c r="K46" s="609"/>
      <c r="L46" s="610"/>
      <c r="M46" s="611"/>
    </row>
    <row r="47" spans="1:13">
      <c r="A47" s="42" t="str">
        <f>IF(B47=""," ",#REF!+1)</f>
        <v xml:space="preserve"> </v>
      </c>
      <c r="B47" s="71"/>
      <c r="C47" s="13"/>
      <c r="D47" s="72"/>
      <c r="E47" s="73"/>
      <c r="F47" s="74"/>
      <c r="G47" s="20"/>
      <c r="H47" s="42"/>
      <c r="I47" s="42"/>
      <c r="J47" s="59"/>
      <c r="K47" s="13"/>
      <c r="L47" s="14"/>
      <c r="M47" s="15"/>
    </row>
    <row r="48" spans="1:13">
      <c r="A48" s="42" t="str">
        <f>IF(B48=""," ",A47+1)</f>
        <v xml:space="preserve"> </v>
      </c>
      <c r="B48" s="71"/>
      <c r="C48" s="13"/>
      <c r="D48" s="72"/>
      <c r="E48" s="73"/>
      <c r="F48" s="74"/>
      <c r="G48" s="20"/>
      <c r="H48" s="42"/>
      <c r="I48" s="42"/>
      <c r="J48" s="59"/>
      <c r="K48" s="13"/>
      <c r="L48" s="14"/>
      <c r="M48" s="15"/>
    </row>
    <row r="49" spans="1:13">
      <c r="A49" s="42" t="str">
        <f>IF(B49=""," ",A48+1)</f>
        <v xml:space="preserve"> </v>
      </c>
      <c r="B49" s="71"/>
      <c r="C49" s="13"/>
      <c r="D49" s="72"/>
      <c r="E49" s="73"/>
      <c r="F49" s="74"/>
      <c r="G49" s="20"/>
      <c r="H49" s="42"/>
      <c r="I49" s="42"/>
      <c r="J49" s="59"/>
      <c r="K49" s="609"/>
      <c r="L49" s="610"/>
      <c r="M49" s="611"/>
    </row>
    <row r="50" spans="1:13">
      <c r="A50" s="42" t="str">
        <f>IF(B50=""," ",#REF!+1)</f>
        <v xml:space="preserve"> </v>
      </c>
      <c r="B50" s="71"/>
      <c r="C50" s="13"/>
      <c r="D50" s="72"/>
      <c r="E50" s="73"/>
      <c r="F50" s="74"/>
      <c r="G50" s="20"/>
      <c r="H50" s="42"/>
      <c r="I50" s="42"/>
      <c r="J50" s="59"/>
      <c r="K50" s="609"/>
      <c r="L50" s="610"/>
      <c r="M50" s="611"/>
    </row>
    <row r="51" spans="1:13">
      <c r="A51" s="42" t="str">
        <f>IF(B51=""," ",#REF!+1)</f>
        <v xml:space="preserve"> </v>
      </c>
      <c r="B51" s="71"/>
      <c r="C51" s="13"/>
      <c r="D51" s="72"/>
      <c r="E51" s="73"/>
      <c r="F51" s="74"/>
      <c r="G51" s="20"/>
      <c r="H51" s="42"/>
      <c r="I51" s="42"/>
      <c r="J51" s="59"/>
      <c r="K51" s="13"/>
      <c r="L51" s="14"/>
      <c r="M51" s="15"/>
    </row>
    <row r="52" spans="1:13">
      <c r="A52" s="42" t="str">
        <f>IF(B52=""," ",A51+1)</f>
        <v xml:space="preserve"> </v>
      </c>
      <c r="B52" s="71"/>
      <c r="C52" s="13"/>
      <c r="D52" s="72"/>
      <c r="E52" s="73"/>
      <c r="F52" s="74"/>
      <c r="G52" s="20"/>
      <c r="H52" s="42"/>
      <c r="I52" s="42"/>
      <c r="J52" s="59"/>
      <c r="K52" s="13"/>
      <c r="L52" s="14"/>
      <c r="M52" s="15"/>
    </row>
    <row r="53" spans="1:13">
      <c r="A53" s="42" t="str">
        <f>IF(B53=""," ",A52+1)</f>
        <v xml:space="preserve"> </v>
      </c>
      <c r="B53" s="71"/>
      <c r="C53" s="13"/>
      <c r="D53" s="72"/>
      <c r="E53" s="73"/>
      <c r="F53" s="74"/>
      <c r="G53" s="20"/>
      <c r="H53" s="42"/>
      <c r="I53" s="42"/>
      <c r="J53" s="59"/>
      <c r="K53" s="609"/>
      <c r="L53" s="610"/>
      <c r="M53" s="611"/>
    </row>
    <row r="54" spans="1:13">
      <c r="A54" s="42" t="str">
        <f>IF(B54=""," ",#REF!+1)</f>
        <v xml:space="preserve"> </v>
      </c>
      <c r="B54" s="71"/>
      <c r="C54" s="13"/>
      <c r="D54" s="72"/>
      <c r="E54" s="73"/>
      <c r="F54" s="74"/>
      <c r="G54" s="20"/>
      <c r="H54" s="42"/>
      <c r="I54" s="42"/>
      <c r="J54" s="59"/>
      <c r="K54" s="609"/>
      <c r="L54" s="610"/>
      <c r="M54" s="611"/>
    </row>
    <row r="55" spans="1:13">
      <c r="A55" s="42" t="str">
        <f>IF(B55=""," ",#REF!+1)</f>
        <v xml:space="preserve"> </v>
      </c>
      <c r="B55" s="71"/>
      <c r="C55" s="13"/>
      <c r="D55" s="72"/>
      <c r="E55" s="73"/>
      <c r="F55" s="74"/>
      <c r="G55" s="20"/>
      <c r="H55" s="42"/>
      <c r="I55" s="42"/>
      <c r="J55" s="59"/>
      <c r="K55" s="13"/>
      <c r="L55" s="14"/>
      <c r="M55" s="15"/>
    </row>
    <row r="56" spans="1:13">
      <c r="A56" s="42" t="str">
        <f>IF(B56=""," ",A55+1)</f>
        <v xml:space="preserve"> </v>
      </c>
      <c r="B56" s="71"/>
      <c r="C56" s="13"/>
      <c r="D56" s="72"/>
      <c r="E56" s="73"/>
      <c r="F56" s="74"/>
      <c r="G56" s="20"/>
      <c r="H56" s="42"/>
      <c r="I56" s="42"/>
      <c r="J56" s="59"/>
      <c r="K56" s="13"/>
      <c r="L56" s="14"/>
      <c r="M56" s="15"/>
    </row>
    <row r="57" spans="1:13">
      <c r="A57" s="42" t="str">
        <f>IF(B57=""," ",A56+1)</f>
        <v xml:space="preserve"> </v>
      </c>
      <c r="B57" s="71"/>
      <c r="C57" s="13"/>
      <c r="D57" s="72"/>
      <c r="E57" s="73"/>
      <c r="F57" s="74"/>
      <c r="G57" s="20"/>
      <c r="H57" s="42"/>
      <c r="I57" s="42"/>
      <c r="J57" s="59"/>
      <c r="K57" s="609"/>
      <c r="L57" s="610"/>
      <c r="M57" s="611"/>
    </row>
    <row r="58" spans="1:13">
      <c r="A58" s="42" t="str">
        <f>IF(B58=""," ",#REF!+1)</f>
        <v xml:space="preserve"> </v>
      </c>
      <c r="B58" s="71"/>
      <c r="C58" s="13"/>
      <c r="D58" s="72"/>
      <c r="E58" s="73"/>
      <c r="F58" s="74"/>
      <c r="G58" s="20"/>
      <c r="H58" s="42"/>
      <c r="I58" s="42"/>
      <c r="J58" s="59"/>
      <c r="K58" s="609"/>
      <c r="L58" s="610"/>
      <c r="M58" s="611"/>
    </row>
    <row r="59" spans="1:13">
      <c r="A59" s="42" t="str">
        <f>IF(B59=""," ",#REF!+1)</f>
        <v xml:space="preserve"> </v>
      </c>
      <c r="B59" s="71"/>
      <c r="C59" s="13"/>
      <c r="D59" s="72"/>
      <c r="E59" s="73"/>
      <c r="F59" s="74"/>
      <c r="G59" s="20"/>
      <c r="H59" s="42"/>
      <c r="I59" s="42"/>
      <c r="J59" s="59"/>
      <c r="K59" s="13"/>
      <c r="L59" s="14"/>
      <c r="M59" s="15"/>
    </row>
    <row r="60" spans="1:13">
      <c r="A60" s="42" t="str">
        <f>IF(B60=""," ",A59+1)</f>
        <v xml:space="preserve"> </v>
      </c>
      <c r="B60" s="71"/>
      <c r="C60" s="13"/>
      <c r="D60" s="72"/>
      <c r="E60" s="73"/>
      <c r="F60" s="74"/>
      <c r="G60" s="20"/>
      <c r="H60" s="42"/>
      <c r="I60" s="42"/>
      <c r="J60" s="59"/>
      <c r="K60" s="13"/>
      <c r="L60" s="14"/>
      <c r="M60" s="15"/>
    </row>
    <row r="61" spans="1:13">
      <c r="A61" s="42" t="str">
        <f>IF(B61=""," ",A60+1)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13"/>
      <c r="L100" s="14"/>
      <c r="M100" s="15"/>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s="16" customFormat="1">
      <c r="A110" s="46"/>
      <c r="B110" s="75" t="s">
        <v>273</v>
      </c>
      <c r="C110" s="16" t="s">
        <v>1411</v>
      </c>
    </row>
  </sheetData>
  <mergeCells count="61">
    <mergeCell ref="K98:M98"/>
    <mergeCell ref="K99:M99"/>
    <mergeCell ref="K89:M89"/>
    <mergeCell ref="K90:M90"/>
    <mergeCell ref="K93:M93"/>
    <mergeCell ref="K94:M94"/>
    <mergeCell ref="K65:M65"/>
    <mergeCell ref="K66:M66"/>
    <mergeCell ref="K69:M69"/>
    <mergeCell ref="K70:M70"/>
    <mergeCell ref="K10:M10"/>
    <mergeCell ref="K57:M57"/>
    <mergeCell ref="K58:M58"/>
    <mergeCell ref="K61:M61"/>
    <mergeCell ref="K62:M62"/>
    <mergeCell ref="K49:M49"/>
    <mergeCell ref="K50:M50"/>
    <mergeCell ref="K53:M53"/>
    <mergeCell ref="K54:M54"/>
    <mergeCell ref="K42:M42"/>
    <mergeCell ref="K45:M45"/>
    <mergeCell ref="K46:M46"/>
    <mergeCell ref="K86:M86"/>
    <mergeCell ref="K73:M73"/>
    <mergeCell ref="K74:M74"/>
    <mergeCell ref="K77:M77"/>
    <mergeCell ref="K78:M78"/>
    <mergeCell ref="K81:M81"/>
    <mergeCell ref="K82:M82"/>
    <mergeCell ref="K85:M85"/>
    <mergeCell ref="K33:M33"/>
    <mergeCell ref="K34:M34"/>
    <mergeCell ref="K37:M37"/>
    <mergeCell ref="K38:M38"/>
    <mergeCell ref="A5:A6"/>
    <mergeCell ref="K16:M16"/>
    <mergeCell ref="A2:B2"/>
    <mergeCell ref="A3:B3"/>
    <mergeCell ref="A4:B4"/>
    <mergeCell ref="K41:M41"/>
    <mergeCell ref="C2:G2"/>
    <mergeCell ref="C3:G3"/>
    <mergeCell ref="C4:G4"/>
    <mergeCell ref="K7:M7"/>
    <mergeCell ref="B5:C5"/>
    <mergeCell ref="K5:M6"/>
    <mergeCell ref="I5:J5"/>
    <mergeCell ref="D5:H5"/>
    <mergeCell ref="H4:I4"/>
    <mergeCell ref="H3:I3"/>
    <mergeCell ref="K20:M20"/>
    <mergeCell ref="K15:M15"/>
    <mergeCell ref="H2:J2"/>
    <mergeCell ref="K17:M17"/>
    <mergeCell ref="K18:M18"/>
    <mergeCell ref="K19:M19"/>
    <mergeCell ref="K8:M8"/>
    <mergeCell ref="K11:M11"/>
    <mergeCell ref="K12:M12"/>
    <mergeCell ref="K9:M9"/>
    <mergeCell ref="K13:M13"/>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pageSetUpPr fitToPage="1"/>
  </sheetPr>
  <dimension ref="A1:P105"/>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112" customWidth="1"/>
    <col min="2" max="2" width="28.625" style="113" customWidth="1"/>
    <col min="3" max="3" width="13.375" style="113" customWidth="1"/>
    <col min="4" max="4" width="9.375" style="113" customWidth="1"/>
    <col min="5" max="5" width="4.875" style="113" bestFit="1" customWidth="1"/>
    <col min="6" max="6" width="4.75" style="113" bestFit="1" customWidth="1"/>
    <col min="7" max="7" width="6.125" style="113" bestFit="1" customWidth="1"/>
    <col min="8" max="8" width="4.75" style="113" bestFit="1" customWidth="1"/>
    <col min="9" max="9" width="4.75" style="113" customWidth="1"/>
    <col min="10" max="11" width="9.625" style="113" customWidth="1"/>
    <col min="12" max="13" width="10.25" style="113" customWidth="1"/>
    <col min="14" max="14" width="9" style="113"/>
    <col min="15" max="16" width="0" style="113" hidden="1" customWidth="1"/>
    <col min="17" max="16384" width="9" style="113"/>
  </cols>
  <sheetData>
    <row r="1" spans="1:16" ht="12" customHeight="1">
      <c r="B1" s="47"/>
    </row>
    <row r="2" spans="1:16" ht="12" customHeight="1">
      <c r="A2" s="592" t="s">
        <v>230</v>
      </c>
      <c r="B2" s="594"/>
      <c r="C2" s="592" t="s">
        <v>36</v>
      </c>
      <c r="D2" s="593"/>
      <c r="E2" s="593"/>
      <c r="F2" s="593"/>
      <c r="G2" s="594"/>
      <c r="H2" s="592"/>
      <c r="I2" s="593"/>
      <c r="J2" s="594"/>
      <c r="K2" s="115"/>
      <c r="L2" s="116" t="s">
        <v>37</v>
      </c>
      <c r="M2" s="116" t="s">
        <v>38</v>
      </c>
    </row>
    <row r="3" spans="1:16" ht="12" customHeight="1">
      <c r="A3" s="605"/>
      <c r="B3" s="606"/>
      <c r="C3" s="612" t="s">
        <v>1238</v>
      </c>
      <c r="D3" s="613"/>
      <c r="E3" s="613"/>
      <c r="F3" s="613"/>
      <c r="G3" s="614"/>
      <c r="H3" s="592" t="s">
        <v>39</v>
      </c>
      <c r="I3" s="594"/>
      <c r="J3" s="117">
        <f>COUNT(A7:A100)</f>
        <v>17</v>
      </c>
      <c r="K3" s="116" t="s">
        <v>40</v>
      </c>
      <c r="L3" s="118">
        <v>39056</v>
      </c>
      <c r="M3" s="41" t="s">
        <v>1407</v>
      </c>
      <c r="O3" s="113" t="s">
        <v>41</v>
      </c>
      <c r="P3" s="113" t="s">
        <v>42</v>
      </c>
    </row>
    <row r="4" spans="1:16" ht="12" customHeight="1">
      <c r="A4" s="607" t="s">
        <v>43</v>
      </c>
      <c r="B4" s="608"/>
      <c r="C4" s="607" t="s">
        <v>1239</v>
      </c>
      <c r="D4" s="615"/>
      <c r="E4" s="615"/>
      <c r="F4" s="615"/>
      <c r="G4" s="608"/>
      <c r="H4" s="592" t="s">
        <v>44</v>
      </c>
      <c r="I4" s="594"/>
      <c r="J4" s="117">
        <f>SUM(G7:G95)</f>
        <v>108</v>
      </c>
      <c r="K4" s="116" t="s">
        <v>45</v>
      </c>
      <c r="L4" s="387"/>
      <c r="M4" s="388"/>
      <c r="O4" s="113" t="s">
        <v>1220</v>
      </c>
      <c r="P4" s="113" t="s">
        <v>1221</v>
      </c>
    </row>
    <row r="5" spans="1:16" ht="12" customHeight="1">
      <c r="A5" s="623" t="s">
        <v>1222</v>
      </c>
      <c r="B5" s="592" t="s">
        <v>46</v>
      </c>
      <c r="C5" s="593"/>
      <c r="D5" s="622" t="s">
        <v>47</v>
      </c>
      <c r="E5" s="593"/>
      <c r="F5" s="593"/>
      <c r="G5" s="593"/>
      <c r="H5" s="593"/>
      <c r="I5" s="592" t="s">
        <v>1223</v>
      </c>
      <c r="J5" s="594"/>
      <c r="K5" s="616" t="s">
        <v>48</v>
      </c>
      <c r="L5" s="617"/>
      <c r="M5" s="618"/>
      <c r="P5" s="113" t="s">
        <v>1568</v>
      </c>
    </row>
    <row r="6" spans="1:16" ht="12" customHeight="1">
      <c r="A6" s="624"/>
      <c r="B6" s="116" t="s">
        <v>49</v>
      </c>
      <c r="C6" s="119" t="s">
        <v>50</v>
      </c>
      <c r="D6" s="120" t="s">
        <v>42</v>
      </c>
      <c r="E6" s="121" t="s">
        <v>51</v>
      </c>
      <c r="F6" s="122" t="s">
        <v>52</v>
      </c>
      <c r="G6" s="116" t="s">
        <v>1569</v>
      </c>
      <c r="H6" s="114" t="s">
        <v>53</v>
      </c>
      <c r="I6" s="114" t="s">
        <v>1570</v>
      </c>
      <c r="J6" s="114" t="s">
        <v>1571</v>
      </c>
      <c r="K6" s="619"/>
      <c r="L6" s="620"/>
      <c r="M6" s="621"/>
      <c r="P6" s="113" t="s">
        <v>1572</v>
      </c>
    </row>
    <row r="7" spans="1:16" ht="12" customHeight="1">
      <c r="A7" s="41">
        <v>1</v>
      </c>
      <c r="B7" s="48" t="s">
        <v>543</v>
      </c>
      <c r="C7" s="49" t="s">
        <v>1224</v>
      </c>
      <c r="D7" s="50" t="s">
        <v>1574</v>
      </c>
      <c r="E7" s="389">
        <v>16</v>
      </c>
      <c r="F7" s="123"/>
      <c r="G7" s="390">
        <f t="shared" ref="G7:G23" si="0">IF(D7="DATE",4,IF(D7="CHAR",E7,IF(D7="SMALLINT",2,IF(D7="INTEGER",4,IF(D7="TIMESTAMP",10,IF(D7="TIME",3,0))))))</f>
        <v>16</v>
      </c>
      <c r="H7" s="41" t="s">
        <v>1575</v>
      </c>
      <c r="I7" s="41" t="s">
        <v>1575</v>
      </c>
      <c r="J7" s="124"/>
      <c r="K7" s="599"/>
      <c r="L7" s="600"/>
      <c r="M7" s="601"/>
      <c r="P7" s="113" t="s">
        <v>1576</v>
      </c>
    </row>
    <row r="8" spans="1:16" ht="12" customHeight="1">
      <c r="A8" s="388">
        <f t="shared" ref="A8:A25" si="1">IF(B8=""," ",A7+1)</f>
        <v>2</v>
      </c>
      <c r="B8" s="66" t="s">
        <v>1227</v>
      </c>
      <c r="C8" s="125" t="s">
        <v>1241</v>
      </c>
      <c r="D8" s="65" t="s">
        <v>821</v>
      </c>
      <c r="E8" s="51"/>
      <c r="F8" s="58"/>
      <c r="G8" s="20">
        <f t="shared" si="0"/>
        <v>4</v>
      </c>
      <c r="H8" s="53" t="s">
        <v>573</v>
      </c>
      <c r="I8" s="41"/>
      <c r="J8" s="124"/>
      <c r="K8" s="595"/>
      <c r="L8" s="596"/>
      <c r="M8" s="597"/>
    </row>
    <row r="9" spans="1:16" ht="12" customHeight="1">
      <c r="A9" s="388">
        <f t="shared" si="1"/>
        <v>3</v>
      </c>
      <c r="B9" s="66" t="s">
        <v>1228</v>
      </c>
      <c r="C9" s="125" t="s">
        <v>1240</v>
      </c>
      <c r="D9" s="65" t="s">
        <v>821</v>
      </c>
      <c r="E9" s="51"/>
      <c r="F9" s="58"/>
      <c r="G9" s="20">
        <f t="shared" si="0"/>
        <v>4</v>
      </c>
      <c r="H9" s="53" t="s">
        <v>573</v>
      </c>
      <c r="I9" s="41"/>
      <c r="J9" s="124"/>
      <c r="K9" s="595"/>
      <c r="L9" s="596"/>
      <c r="M9" s="597"/>
    </row>
    <row r="10" spans="1:16" s="394" customFormat="1" ht="12" customHeight="1">
      <c r="A10" s="388">
        <f t="shared" si="1"/>
        <v>4</v>
      </c>
      <c r="B10" s="48" t="s">
        <v>1229</v>
      </c>
      <c r="C10" s="49" t="s">
        <v>1242</v>
      </c>
      <c r="D10" s="65" t="s">
        <v>821</v>
      </c>
      <c r="E10" s="51"/>
      <c r="F10" s="58"/>
      <c r="G10" s="20">
        <f t="shared" si="0"/>
        <v>4</v>
      </c>
      <c r="H10" s="53" t="s">
        <v>573</v>
      </c>
      <c r="I10" s="388"/>
      <c r="J10" s="393"/>
      <c r="K10" s="628"/>
      <c r="L10" s="629"/>
      <c r="M10" s="630"/>
    </row>
    <row r="11" spans="1:16" s="394" customFormat="1" ht="12" customHeight="1">
      <c r="A11" s="388">
        <f t="shared" si="1"/>
        <v>5</v>
      </c>
      <c r="B11" s="395" t="s">
        <v>1230</v>
      </c>
      <c r="C11" s="396" t="s">
        <v>1243</v>
      </c>
      <c r="D11" s="65" t="s">
        <v>821</v>
      </c>
      <c r="E11" s="51"/>
      <c r="F11" s="58"/>
      <c r="G11" s="20">
        <f t="shared" ref="G11:G16" si="2">IF(D11="DATE",4,IF(D11="CHAR",E11,IF(D11="SMALLINT",2,IF(D11="INTEGER",4,IF(D11="TIMESTAMP",10,IF(D11="TIME",3,0))))))</f>
        <v>4</v>
      </c>
      <c r="H11" s="41" t="s">
        <v>573</v>
      </c>
      <c r="I11" s="388"/>
      <c r="J11" s="393"/>
      <c r="K11" s="625"/>
      <c r="L11" s="626"/>
      <c r="M11" s="627"/>
    </row>
    <row r="12" spans="1:16" s="394" customFormat="1" ht="12" customHeight="1">
      <c r="A12" s="388">
        <f t="shared" si="1"/>
        <v>6</v>
      </c>
      <c r="B12" s="395" t="s">
        <v>1231</v>
      </c>
      <c r="C12" s="396" t="s">
        <v>1244</v>
      </c>
      <c r="D12" s="65" t="s">
        <v>821</v>
      </c>
      <c r="E12" s="51"/>
      <c r="F12" s="58"/>
      <c r="G12" s="20">
        <f t="shared" si="2"/>
        <v>4</v>
      </c>
      <c r="H12" s="41" t="s">
        <v>573</v>
      </c>
      <c r="I12" s="388"/>
      <c r="J12" s="393"/>
      <c r="K12" s="625"/>
      <c r="L12" s="626"/>
      <c r="M12" s="627"/>
    </row>
    <row r="13" spans="1:16" s="394" customFormat="1" ht="12" customHeight="1">
      <c r="A13" s="388">
        <f t="shared" si="1"/>
        <v>7</v>
      </c>
      <c r="B13" s="395" t="s">
        <v>1231</v>
      </c>
      <c r="C13" s="396" t="s">
        <v>1245</v>
      </c>
      <c r="D13" s="65" t="s">
        <v>821</v>
      </c>
      <c r="E13" s="51"/>
      <c r="F13" s="58"/>
      <c r="G13" s="20">
        <f t="shared" si="2"/>
        <v>4</v>
      </c>
      <c r="H13" s="41" t="s">
        <v>573</v>
      </c>
      <c r="I13" s="388"/>
      <c r="J13" s="393"/>
      <c r="K13" s="625"/>
      <c r="L13" s="626"/>
      <c r="M13" s="627"/>
    </row>
    <row r="14" spans="1:16" s="394" customFormat="1" ht="12" customHeight="1">
      <c r="A14" s="388">
        <f t="shared" si="1"/>
        <v>8</v>
      </c>
      <c r="B14" s="395" t="s">
        <v>1232</v>
      </c>
      <c r="C14" s="396" t="s">
        <v>1246</v>
      </c>
      <c r="D14" s="65" t="s">
        <v>821</v>
      </c>
      <c r="E14" s="51"/>
      <c r="F14" s="58"/>
      <c r="G14" s="20">
        <f t="shared" si="2"/>
        <v>4</v>
      </c>
      <c r="H14" s="41" t="s">
        <v>573</v>
      </c>
      <c r="I14" s="388"/>
      <c r="J14" s="393"/>
      <c r="K14" s="625"/>
      <c r="L14" s="626"/>
      <c r="M14" s="627"/>
    </row>
    <row r="15" spans="1:16" s="394" customFormat="1" ht="12" customHeight="1">
      <c r="A15" s="388">
        <f t="shared" si="1"/>
        <v>9</v>
      </c>
      <c r="B15" s="395" t="s">
        <v>1233</v>
      </c>
      <c r="C15" s="396" t="s">
        <v>1247</v>
      </c>
      <c r="D15" s="65" t="s">
        <v>821</v>
      </c>
      <c r="E15" s="51"/>
      <c r="F15" s="58"/>
      <c r="G15" s="20">
        <f t="shared" si="2"/>
        <v>4</v>
      </c>
      <c r="H15" s="41" t="s">
        <v>573</v>
      </c>
      <c r="I15" s="388"/>
      <c r="J15" s="393"/>
      <c r="K15" s="625"/>
      <c r="L15" s="626"/>
      <c r="M15" s="627"/>
    </row>
    <row r="16" spans="1:16" s="394" customFormat="1" ht="12" customHeight="1">
      <c r="A16" s="388">
        <f t="shared" si="1"/>
        <v>10</v>
      </c>
      <c r="B16" s="395" t="s">
        <v>1234</v>
      </c>
      <c r="C16" s="396" t="s">
        <v>1248</v>
      </c>
      <c r="D16" s="65" t="s">
        <v>821</v>
      </c>
      <c r="E16" s="51"/>
      <c r="F16" s="58"/>
      <c r="G16" s="20">
        <f t="shared" si="2"/>
        <v>4</v>
      </c>
      <c r="H16" s="41" t="s">
        <v>573</v>
      </c>
      <c r="I16" s="388"/>
      <c r="J16" s="393"/>
      <c r="K16" s="625"/>
      <c r="L16" s="626"/>
      <c r="M16" s="627"/>
    </row>
    <row r="17" spans="1:13" s="394" customFormat="1" ht="12" customHeight="1">
      <c r="A17" s="388">
        <f t="shared" si="1"/>
        <v>11</v>
      </c>
      <c r="B17" s="395" t="s">
        <v>1235</v>
      </c>
      <c r="C17" s="396" t="s">
        <v>1249</v>
      </c>
      <c r="D17" s="397" t="s">
        <v>527</v>
      </c>
      <c r="E17" s="391">
        <v>10</v>
      </c>
      <c r="F17" s="392"/>
      <c r="G17" s="390">
        <f>IF(D17="DATE",4,IF(D17="CHAR",E17,IF(D17="SMALLINT",2,IF(D17="INTEGER",4,IF(D17="TIMESTAMP",10,IF(D17="TIME",3,0))))))</f>
        <v>10</v>
      </c>
      <c r="H17" s="41" t="s">
        <v>573</v>
      </c>
      <c r="I17" s="388"/>
      <c r="J17" s="393"/>
      <c r="K17" s="625"/>
      <c r="L17" s="626"/>
      <c r="M17" s="627"/>
    </row>
    <row r="18" spans="1:13" s="394" customFormat="1" ht="12" customHeight="1">
      <c r="A18" s="388">
        <f t="shared" si="1"/>
        <v>12</v>
      </c>
      <c r="B18" s="395" t="s">
        <v>1236</v>
      </c>
      <c r="C18" s="396" t="s">
        <v>1250</v>
      </c>
      <c r="D18" s="397" t="s">
        <v>527</v>
      </c>
      <c r="E18" s="391">
        <v>10</v>
      </c>
      <c r="F18" s="392"/>
      <c r="G18" s="390">
        <f t="shared" si="0"/>
        <v>10</v>
      </c>
      <c r="H18" s="41" t="s">
        <v>573</v>
      </c>
      <c r="I18" s="388"/>
      <c r="J18" s="393"/>
      <c r="K18" s="625"/>
      <c r="L18" s="626"/>
      <c r="M18" s="627"/>
    </row>
    <row r="19" spans="1:13" s="394" customFormat="1" ht="12" customHeight="1">
      <c r="A19" s="388">
        <f t="shared" si="1"/>
        <v>13</v>
      </c>
      <c r="B19" s="395" t="s">
        <v>1237</v>
      </c>
      <c r="C19" s="396" t="s">
        <v>1251</v>
      </c>
      <c r="D19" s="397" t="s">
        <v>527</v>
      </c>
      <c r="E19" s="391">
        <v>10</v>
      </c>
      <c r="F19" s="392"/>
      <c r="G19" s="390">
        <f>IF(D19="DATE",4,IF(D19="CHAR",E19,IF(D19="SMALLINT",2,IF(D19="INTEGER",4,IF(D19="TIMESTAMP",10,IF(D19="TIME",3,0))))))</f>
        <v>10</v>
      </c>
      <c r="H19" s="41" t="s">
        <v>573</v>
      </c>
      <c r="I19" s="388"/>
      <c r="J19" s="393"/>
      <c r="K19" s="625"/>
      <c r="L19" s="626"/>
      <c r="M19" s="627"/>
    </row>
    <row r="20" spans="1:13" ht="13.5" customHeight="1">
      <c r="A20" s="388">
        <f t="shared" si="1"/>
        <v>14</v>
      </c>
      <c r="B20" s="395" t="s">
        <v>26</v>
      </c>
      <c r="C20" s="396" t="s">
        <v>1030</v>
      </c>
      <c r="D20" s="129" t="s">
        <v>1031</v>
      </c>
      <c r="E20" s="391"/>
      <c r="F20" s="392"/>
      <c r="G20" s="390">
        <f t="shared" si="0"/>
        <v>4</v>
      </c>
      <c r="H20" s="41" t="s">
        <v>1032</v>
      </c>
      <c r="I20" s="388" t="s">
        <v>1032</v>
      </c>
      <c r="J20" s="393"/>
      <c r="K20" s="625" t="s">
        <v>1409</v>
      </c>
      <c r="L20" s="626"/>
      <c r="M20" s="627"/>
    </row>
    <row r="21" spans="1:13">
      <c r="A21" s="388">
        <f t="shared" si="1"/>
        <v>15</v>
      </c>
      <c r="B21" s="395" t="s">
        <v>27</v>
      </c>
      <c r="C21" s="396" t="s">
        <v>1033</v>
      </c>
      <c r="D21" s="397" t="s">
        <v>1031</v>
      </c>
      <c r="E21" s="391"/>
      <c r="F21" s="392"/>
      <c r="G21" s="390">
        <f t="shared" si="0"/>
        <v>4</v>
      </c>
      <c r="H21" s="41" t="s">
        <v>1032</v>
      </c>
      <c r="I21" s="388"/>
      <c r="J21" s="393"/>
      <c r="K21" s="625" t="s">
        <v>1410</v>
      </c>
      <c r="L21" s="626"/>
      <c r="M21" s="627"/>
    </row>
    <row r="22" spans="1:13" s="394" customFormat="1" ht="12" customHeight="1">
      <c r="A22" s="388">
        <f t="shared" si="1"/>
        <v>16</v>
      </c>
      <c r="B22" s="395" t="s">
        <v>1083</v>
      </c>
      <c r="C22" s="396" t="s">
        <v>1034</v>
      </c>
      <c r="D22" s="397" t="s">
        <v>1374</v>
      </c>
      <c r="E22" s="389">
        <v>8</v>
      </c>
      <c r="F22" s="401"/>
      <c r="G22" s="390">
        <f t="shared" si="0"/>
        <v>8</v>
      </c>
      <c r="H22" s="402" t="s">
        <v>1375</v>
      </c>
      <c r="I22" s="402"/>
      <c r="J22" s="393"/>
      <c r="K22" s="625" t="s">
        <v>1225</v>
      </c>
      <c r="L22" s="626"/>
      <c r="M22" s="627"/>
    </row>
    <row r="23" spans="1:13" s="394" customFormat="1">
      <c r="A23" s="388">
        <f t="shared" si="1"/>
        <v>17</v>
      </c>
      <c r="B23" s="395" t="s">
        <v>1724</v>
      </c>
      <c r="C23" s="396" t="s">
        <v>1035</v>
      </c>
      <c r="D23" s="403" t="s">
        <v>1595</v>
      </c>
      <c r="E23" s="389"/>
      <c r="F23" s="401"/>
      <c r="G23" s="390">
        <f t="shared" si="0"/>
        <v>10</v>
      </c>
      <c r="H23" s="402" t="s">
        <v>1596</v>
      </c>
      <c r="I23" s="388"/>
      <c r="J23" s="393"/>
      <c r="K23" s="631"/>
      <c r="L23" s="626"/>
      <c r="M23" s="627"/>
    </row>
    <row r="24" spans="1:13">
      <c r="A24" s="41" t="str">
        <f t="shared" si="1"/>
        <v xml:space="preserve"> </v>
      </c>
      <c r="B24" s="134"/>
      <c r="C24" s="27"/>
      <c r="D24" s="126"/>
      <c r="E24" s="127"/>
      <c r="F24" s="123"/>
      <c r="G24" s="390"/>
      <c r="H24" s="41"/>
      <c r="I24" s="41"/>
      <c r="J24" s="124"/>
      <c r="K24" s="595"/>
      <c r="L24" s="596"/>
      <c r="M24" s="597"/>
    </row>
    <row r="25" spans="1:13">
      <c r="A25" s="41" t="str">
        <f t="shared" si="1"/>
        <v xml:space="preserve"> </v>
      </c>
      <c r="B25" s="134"/>
      <c r="C25" s="27"/>
      <c r="D25" s="126"/>
      <c r="E25" s="127"/>
      <c r="F25" s="123"/>
      <c r="G25" s="390"/>
      <c r="H25" s="41"/>
      <c r="I25" s="41"/>
      <c r="J25" s="124"/>
      <c r="K25" s="595"/>
      <c r="L25" s="596"/>
      <c r="M25" s="597"/>
    </row>
    <row r="26" spans="1:13">
      <c r="A26" s="41" t="str">
        <f>IF(B26=""," ",#REF!+1)</f>
        <v xml:space="preserve"> </v>
      </c>
      <c r="B26" s="134"/>
      <c r="C26" s="27"/>
      <c r="D26" s="126"/>
      <c r="E26" s="127"/>
      <c r="F26" s="123"/>
      <c r="G26" s="390"/>
      <c r="H26" s="41"/>
      <c r="I26" s="41"/>
      <c r="J26" s="124"/>
      <c r="K26" s="595"/>
      <c r="L26" s="596"/>
      <c r="M26" s="597"/>
    </row>
    <row r="27" spans="1:13">
      <c r="A27" s="41" t="str">
        <f>IF(B27=""," ",A26+1)</f>
        <v xml:space="preserve"> </v>
      </c>
      <c r="B27" s="134"/>
      <c r="C27" s="27"/>
      <c r="D27" s="126"/>
      <c r="E27" s="127"/>
      <c r="F27" s="123"/>
      <c r="G27" s="390"/>
      <c r="H27" s="41"/>
      <c r="I27" s="41"/>
      <c r="J27" s="124"/>
      <c r="K27" s="595"/>
      <c r="L27" s="596"/>
      <c r="M27" s="597"/>
    </row>
    <row r="28" spans="1:13">
      <c r="A28" s="41" t="str">
        <f>IF(B28=""," ",A27+1)</f>
        <v xml:space="preserve"> </v>
      </c>
      <c r="B28" s="134"/>
      <c r="C28" s="27"/>
      <c r="D28" s="126"/>
      <c r="E28" s="127"/>
      <c r="F28" s="123"/>
      <c r="G28" s="390"/>
      <c r="H28" s="41"/>
      <c r="I28" s="41"/>
      <c r="J28" s="124"/>
      <c r="K28" s="595"/>
      <c r="L28" s="596"/>
      <c r="M28" s="597"/>
    </row>
    <row r="29" spans="1:13">
      <c r="A29" s="41" t="str">
        <f>IF(B29=""," ",A28+1)</f>
        <v xml:space="preserve"> </v>
      </c>
      <c r="B29" s="134"/>
      <c r="C29" s="27"/>
      <c r="D29" s="126"/>
      <c r="E29" s="127"/>
      <c r="F29" s="123"/>
      <c r="G29" s="390"/>
      <c r="H29" s="41"/>
      <c r="I29" s="41"/>
      <c r="J29" s="124"/>
      <c r="K29" s="595"/>
      <c r="L29" s="596"/>
      <c r="M29" s="597"/>
    </row>
    <row r="30" spans="1:13">
      <c r="A30" s="41" t="str">
        <f>IF(B30=""," ",A29+1)</f>
        <v xml:space="preserve"> </v>
      </c>
      <c r="B30" s="134"/>
      <c r="C30" s="27"/>
      <c r="D30" s="126"/>
      <c r="E30" s="127"/>
      <c r="F30" s="123"/>
      <c r="G30" s="390"/>
      <c r="H30" s="41"/>
      <c r="I30" s="41"/>
      <c r="J30" s="124"/>
      <c r="K30" s="595"/>
      <c r="L30" s="596"/>
      <c r="M30" s="597"/>
    </row>
    <row r="31" spans="1:13">
      <c r="A31" s="388" t="str">
        <f>IF(B31=""," ",A30+1)</f>
        <v xml:space="preserve"> </v>
      </c>
      <c r="B31" s="404"/>
      <c r="C31" s="398"/>
      <c r="D31" s="397"/>
      <c r="E31" s="391"/>
      <c r="F31" s="392"/>
      <c r="G31" s="390"/>
      <c r="H31" s="388"/>
      <c r="I31" s="388"/>
      <c r="J31" s="393"/>
      <c r="K31" s="625"/>
      <c r="L31" s="626"/>
      <c r="M31" s="627"/>
    </row>
    <row r="32" spans="1:13">
      <c r="A32" s="388" t="str">
        <f>IF(B32=""," ",#REF!+1)</f>
        <v xml:space="preserve"> </v>
      </c>
      <c r="B32" s="404"/>
      <c r="C32" s="398"/>
      <c r="D32" s="397"/>
      <c r="E32" s="391"/>
      <c r="F32" s="392"/>
      <c r="G32" s="390"/>
      <c r="H32" s="388"/>
      <c r="I32" s="388"/>
      <c r="J32" s="393"/>
      <c r="K32" s="625"/>
      <c r="L32" s="626"/>
      <c r="M32" s="627"/>
    </row>
    <row r="33" spans="1:13">
      <c r="A33" s="388" t="str">
        <f>IF(B33=""," ",#REF!+1)</f>
        <v xml:space="preserve"> </v>
      </c>
      <c r="B33" s="404"/>
      <c r="C33" s="398"/>
      <c r="D33" s="397"/>
      <c r="E33" s="391"/>
      <c r="F33" s="392"/>
      <c r="G33" s="390"/>
      <c r="H33" s="388"/>
      <c r="I33" s="388"/>
      <c r="J33" s="393"/>
      <c r="K33" s="398"/>
      <c r="L33" s="399"/>
      <c r="M33" s="400"/>
    </row>
    <row r="34" spans="1:13">
      <c r="A34" s="388" t="str">
        <f>IF(B34=""," ",A33+1)</f>
        <v xml:space="preserve"> </v>
      </c>
      <c r="B34" s="404"/>
      <c r="C34" s="398"/>
      <c r="D34" s="397"/>
      <c r="E34" s="391"/>
      <c r="F34" s="392"/>
      <c r="G34" s="390"/>
      <c r="H34" s="388"/>
      <c r="I34" s="388"/>
      <c r="J34" s="393"/>
      <c r="K34" s="398"/>
      <c r="L34" s="399"/>
      <c r="M34" s="400"/>
    </row>
    <row r="35" spans="1:13">
      <c r="A35" s="388" t="str">
        <f>IF(B35=""," ",A34+1)</f>
        <v xml:space="preserve"> </v>
      </c>
      <c r="B35" s="404"/>
      <c r="C35" s="398"/>
      <c r="D35" s="397"/>
      <c r="E35" s="391"/>
      <c r="F35" s="392"/>
      <c r="G35" s="390"/>
      <c r="H35" s="388"/>
      <c r="I35" s="388"/>
      <c r="J35" s="393"/>
      <c r="K35" s="625"/>
      <c r="L35" s="626"/>
      <c r="M35" s="627"/>
    </row>
    <row r="36" spans="1:13">
      <c r="A36" s="388" t="str">
        <f>IF(B36=""," ",#REF!+1)</f>
        <v xml:space="preserve"> </v>
      </c>
      <c r="B36" s="404"/>
      <c r="C36" s="398"/>
      <c r="D36" s="397"/>
      <c r="E36" s="391"/>
      <c r="F36" s="392"/>
      <c r="G36" s="390"/>
      <c r="H36" s="388"/>
      <c r="I36" s="388"/>
      <c r="J36" s="393"/>
      <c r="K36" s="625"/>
      <c r="L36" s="626"/>
      <c r="M36" s="627"/>
    </row>
    <row r="37" spans="1:13">
      <c r="A37" s="388" t="str">
        <f>IF(B37=""," ",#REF!+1)</f>
        <v xml:space="preserve"> </v>
      </c>
      <c r="B37" s="404"/>
      <c r="C37" s="398"/>
      <c r="D37" s="397"/>
      <c r="E37" s="391"/>
      <c r="F37" s="392"/>
      <c r="G37" s="390"/>
      <c r="H37" s="388"/>
      <c r="I37" s="388"/>
      <c r="J37" s="393"/>
      <c r="K37" s="398"/>
      <c r="L37" s="399"/>
      <c r="M37" s="400"/>
    </row>
    <row r="38" spans="1:13">
      <c r="A38" s="388" t="str">
        <f>IF(B38=""," ",A37+1)</f>
        <v xml:space="preserve"> </v>
      </c>
      <c r="B38" s="404"/>
      <c r="C38" s="398"/>
      <c r="D38" s="397"/>
      <c r="E38" s="391"/>
      <c r="F38" s="392"/>
      <c r="G38" s="390"/>
      <c r="H38" s="388"/>
      <c r="I38" s="388"/>
      <c r="J38" s="393"/>
      <c r="K38" s="398"/>
      <c r="L38" s="399"/>
      <c r="M38" s="400"/>
    </row>
    <row r="39" spans="1:13">
      <c r="A39" s="388" t="str">
        <f>IF(B39=""," ",A38+1)</f>
        <v xml:space="preserve"> </v>
      </c>
      <c r="B39" s="404"/>
      <c r="C39" s="398"/>
      <c r="D39" s="397"/>
      <c r="E39" s="391"/>
      <c r="F39" s="392"/>
      <c r="G39" s="390"/>
      <c r="H39" s="388"/>
      <c r="I39" s="388"/>
      <c r="J39" s="393"/>
      <c r="K39" s="625"/>
      <c r="L39" s="626"/>
      <c r="M39" s="627"/>
    </row>
    <row r="40" spans="1:13">
      <c r="A40" s="388" t="str">
        <f>IF(B40=""," ",#REF!+1)</f>
        <v xml:space="preserve"> </v>
      </c>
      <c r="B40" s="404"/>
      <c r="C40" s="398"/>
      <c r="D40" s="397"/>
      <c r="E40" s="391"/>
      <c r="F40" s="392"/>
      <c r="G40" s="390"/>
      <c r="H40" s="388"/>
      <c r="I40" s="388"/>
      <c r="J40" s="393"/>
      <c r="K40" s="625"/>
      <c r="L40" s="626"/>
      <c r="M40" s="627"/>
    </row>
    <row r="41" spans="1:13">
      <c r="A41" s="388" t="str">
        <f>IF(B41=""," ",#REF!+1)</f>
        <v xml:space="preserve"> </v>
      </c>
      <c r="B41" s="404"/>
      <c r="C41" s="398"/>
      <c r="D41" s="397"/>
      <c r="E41" s="391"/>
      <c r="F41" s="392"/>
      <c r="G41" s="390"/>
      <c r="H41" s="388"/>
      <c r="I41" s="388"/>
      <c r="J41" s="393"/>
      <c r="K41" s="398"/>
      <c r="L41" s="399"/>
      <c r="M41" s="400"/>
    </row>
    <row r="42" spans="1:13">
      <c r="A42" s="388" t="str">
        <f>IF(B42=""," ",A41+1)</f>
        <v xml:space="preserve"> </v>
      </c>
      <c r="B42" s="404"/>
      <c r="C42" s="398"/>
      <c r="D42" s="397"/>
      <c r="E42" s="391"/>
      <c r="F42" s="392"/>
      <c r="G42" s="390"/>
      <c r="H42" s="388"/>
      <c r="I42" s="388"/>
      <c r="J42" s="393"/>
      <c r="K42" s="398"/>
      <c r="L42" s="399"/>
      <c r="M42" s="400"/>
    </row>
    <row r="43" spans="1:13">
      <c r="A43" s="388" t="str">
        <f>IF(B43=""," ",A42+1)</f>
        <v xml:space="preserve"> </v>
      </c>
      <c r="B43" s="404"/>
      <c r="C43" s="398"/>
      <c r="D43" s="397"/>
      <c r="E43" s="391"/>
      <c r="F43" s="392"/>
      <c r="G43" s="390"/>
      <c r="H43" s="388"/>
      <c r="I43" s="388"/>
      <c r="J43" s="393"/>
      <c r="K43" s="625"/>
      <c r="L43" s="626"/>
      <c r="M43" s="627"/>
    </row>
    <row r="44" spans="1:13">
      <c r="A44" s="388" t="str">
        <f>IF(B44=""," ",#REF!+1)</f>
        <v xml:space="preserve"> </v>
      </c>
      <c r="B44" s="404"/>
      <c r="C44" s="398"/>
      <c r="D44" s="397"/>
      <c r="E44" s="391"/>
      <c r="F44" s="392"/>
      <c r="G44" s="390"/>
      <c r="H44" s="388"/>
      <c r="I44" s="388"/>
      <c r="J44" s="393"/>
      <c r="K44" s="625"/>
      <c r="L44" s="626"/>
      <c r="M44" s="627"/>
    </row>
    <row r="45" spans="1:13">
      <c r="A45" s="388" t="str">
        <f>IF(B45=""," ",#REF!+1)</f>
        <v xml:space="preserve"> </v>
      </c>
      <c r="B45" s="404"/>
      <c r="C45" s="398"/>
      <c r="D45" s="397"/>
      <c r="E45" s="391"/>
      <c r="F45" s="392"/>
      <c r="G45" s="390"/>
      <c r="H45" s="388"/>
      <c r="I45" s="388"/>
      <c r="J45" s="393"/>
      <c r="K45" s="398"/>
      <c r="L45" s="399"/>
      <c r="M45" s="400"/>
    </row>
    <row r="46" spans="1:13">
      <c r="A46" s="388" t="str">
        <f>IF(B46=""," ",A45+1)</f>
        <v xml:space="preserve"> </v>
      </c>
      <c r="B46" s="404"/>
      <c r="C46" s="398"/>
      <c r="D46" s="397"/>
      <c r="E46" s="391"/>
      <c r="F46" s="392"/>
      <c r="G46" s="390"/>
      <c r="H46" s="388"/>
      <c r="I46" s="388"/>
      <c r="J46" s="393"/>
      <c r="K46" s="398"/>
      <c r="L46" s="399"/>
      <c r="M46" s="400"/>
    </row>
    <row r="47" spans="1:13">
      <c r="A47" s="388" t="str">
        <f>IF(B47=""," ",A46+1)</f>
        <v xml:space="preserve"> </v>
      </c>
      <c r="B47" s="404"/>
      <c r="C47" s="398"/>
      <c r="D47" s="397"/>
      <c r="E47" s="391"/>
      <c r="F47" s="392"/>
      <c r="G47" s="390"/>
      <c r="H47" s="388"/>
      <c r="I47" s="388"/>
      <c r="J47" s="393"/>
      <c r="K47" s="625"/>
      <c r="L47" s="626"/>
      <c r="M47" s="627"/>
    </row>
    <row r="48" spans="1:13">
      <c r="A48" s="388" t="str">
        <f>IF(B48=""," ",#REF!+1)</f>
        <v xml:space="preserve"> </v>
      </c>
      <c r="B48" s="404"/>
      <c r="C48" s="398"/>
      <c r="D48" s="397"/>
      <c r="E48" s="391"/>
      <c r="F48" s="392"/>
      <c r="G48" s="390"/>
      <c r="H48" s="388"/>
      <c r="I48" s="388"/>
      <c r="J48" s="393"/>
      <c r="K48" s="625"/>
      <c r="L48" s="626"/>
      <c r="M48" s="627"/>
    </row>
    <row r="49" spans="1:13">
      <c r="A49" s="388" t="str">
        <f>IF(B49=""," ",#REF!+1)</f>
        <v xml:space="preserve"> </v>
      </c>
      <c r="B49" s="404"/>
      <c r="C49" s="398"/>
      <c r="D49" s="397"/>
      <c r="E49" s="391"/>
      <c r="F49" s="392"/>
      <c r="G49" s="390"/>
      <c r="H49" s="388"/>
      <c r="I49" s="388"/>
      <c r="J49" s="393"/>
      <c r="K49" s="398"/>
      <c r="L49" s="399"/>
      <c r="M49" s="400"/>
    </row>
    <row r="50" spans="1:13">
      <c r="A50" s="388" t="str">
        <f>IF(B50=""," ",A49+1)</f>
        <v xml:space="preserve"> </v>
      </c>
      <c r="B50" s="404"/>
      <c r="C50" s="398"/>
      <c r="D50" s="397"/>
      <c r="E50" s="391"/>
      <c r="F50" s="392"/>
      <c r="G50" s="390"/>
      <c r="H50" s="388"/>
      <c r="I50" s="388"/>
      <c r="J50" s="393"/>
      <c r="K50" s="398"/>
      <c r="L50" s="399"/>
      <c r="M50" s="400"/>
    </row>
    <row r="51" spans="1:13">
      <c r="A51" s="388" t="str">
        <f>IF(B51=""," ",A50+1)</f>
        <v xml:space="preserve"> </v>
      </c>
      <c r="B51" s="404"/>
      <c r="C51" s="398"/>
      <c r="D51" s="397"/>
      <c r="E51" s="391"/>
      <c r="F51" s="392"/>
      <c r="G51" s="390"/>
      <c r="H51" s="388"/>
      <c r="I51" s="388"/>
      <c r="J51" s="393"/>
      <c r="K51" s="625"/>
      <c r="L51" s="626"/>
      <c r="M51" s="627"/>
    </row>
    <row r="52" spans="1:13">
      <c r="A52" s="388" t="str">
        <f>IF(B52=""," ",#REF!+1)</f>
        <v xml:space="preserve"> </v>
      </c>
      <c r="B52" s="404"/>
      <c r="C52" s="398"/>
      <c r="D52" s="397"/>
      <c r="E52" s="391"/>
      <c r="F52" s="392"/>
      <c r="G52" s="390"/>
      <c r="H52" s="388"/>
      <c r="I52" s="388"/>
      <c r="J52" s="393"/>
      <c r="K52" s="625"/>
      <c r="L52" s="626"/>
      <c r="M52" s="627"/>
    </row>
    <row r="53" spans="1:13">
      <c r="A53" s="388" t="str">
        <f>IF(B53=""," ",#REF!+1)</f>
        <v xml:space="preserve"> </v>
      </c>
      <c r="B53" s="404"/>
      <c r="C53" s="398"/>
      <c r="D53" s="397"/>
      <c r="E53" s="391"/>
      <c r="F53" s="392"/>
      <c r="G53" s="390"/>
      <c r="H53" s="388"/>
      <c r="I53" s="388"/>
      <c r="J53" s="393"/>
      <c r="K53" s="398"/>
      <c r="L53" s="399"/>
      <c r="M53" s="400"/>
    </row>
    <row r="54" spans="1:13">
      <c r="A54" s="388" t="str">
        <f>IF(B54=""," ",A53+1)</f>
        <v xml:space="preserve"> </v>
      </c>
      <c r="B54" s="404"/>
      <c r="C54" s="398"/>
      <c r="D54" s="397"/>
      <c r="E54" s="391"/>
      <c r="F54" s="392"/>
      <c r="G54" s="390"/>
      <c r="H54" s="388"/>
      <c r="I54" s="388"/>
      <c r="J54" s="393"/>
      <c r="K54" s="398"/>
      <c r="L54" s="399"/>
      <c r="M54" s="400"/>
    </row>
    <row r="55" spans="1:13">
      <c r="A55" s="388" t="str">
        <f>IF(B55=""," ",A54+1)</f>
        <v xml:space="preserve"> </v>
      </c>
      <c r="B55" s="404"/>
      <c r="C55" s="398"/>
      <c r="D55" s="397"/>
      <c r="E55" s="391"/>
      <c r="F55" s="392"/>
      <c r="G55" s="390"/>
      <c r="H55" s="388"/>
      <c r="I55" s="388"/>
      <c r="J55" s="393"/>
      <c r="K55" s="625"/>
      <c r="L55" s="626"/>
      <c r="M55" s="627"/>
    </row>
    <row r="56" spans="1:13">
      <c r="A56" s="388" t="str">
        <f>IF(B56=""," ",#REF!+1)</f>
        <v xml:space="preserve"> </v>
      </c>
      <c r="B56" s="404"/>
      <c r="C56" s="398"/>
      <c r="D56" s="397"/>
      <c r="E56" s="391"/>
      <c r="F56" s="392"/>
      <c r="G56" s="390"/>
      <c r="H56" s="388"/>
      <c r="I56" s="388"/>
      <c r="J56" s="393"/>
      <c r="K56" s="625"/>
      <c r="L56" s="626"/>
      <c r="M56" s="627"/>
    </row>
    <row r="57" spans="1:13">
      <c r="A57" s="388" t="str">
        <f>IF(B57=""," ",#REF!+1)</f>
        <v xml:space="preserve"> </v>
      </c>
      <c r="B57" s="404"/>
      <c r="C57" s="398"/>
      <c r="D57" s="397"/>
      <c r="E57" s="391"/>
      <c r="F57" s="392"/>
      <c r="G57" s="390"/>
      <c r="H57" s="388"/>
      <c r="I57" s="388"/>
      <c r="J57" s="393"/>
      <c r="K57" s="398"/>
      <c r="L57" s="399"/>
      <c r="M57" s="400"/>
    </row>
    <row r="58" spans="1:13">
      <c r="A58" s="388" t="str">
        <f>IF(B58=""," ",A57+1)</f>
        <v xml:space="preserve"> </v>
      </c>
      <c r="B58" s="404"/>
      <c r="C58" s="398"/>
      <c r="D58" s="397"/>
      <c r="E58" s="391"/>
      <c r="F58" s="392"/>
      <c r="G58" s="390"/>
      <c r="H58" s="388"/>
      <c r="I58" s="388"/>
      <c r="J58" s="393"/>
      <c r="K58" s="398"/>
      <c r="L58" s="399"/>
      <c r="M58" s="400"/>
    </row>
    <row r="59" spans="1:13">
      <c r="A59" s="388" t="str">
        <f>IF(B59=""," ",A58+1)</f>
        <v xml:space="preserve"> </v>
      </c>
      <c r="B59" s="404"/>
      <c r="C59" s="398"/>
      <c r="D59" s="397"/>
      <c r="E59" s="391"/>
      <c r="F59" s="392"/>
      <c r="G59" s="390"/>
      <c r="H59" s="388"/>
      <c r="I59" s="388"/>
      <c r="J59" s="393"/>
      <c r="K59" s="625"/>
      <c r="L59" s="626"/>
      <c r="M59" s="627"/>
    </row>
    <row r="60" spans="1:13">
      <c r="A60" s="388" t="str">
        <f>IF(B60=""," ",#REF!+1)</f>
        <v xml:space="preserve"> </v>
      </c>
      <c r="B60" s="404"/>
      <c r="C60" s="398"/>
      <c r="D60" s="397"/>
      <c r="E60" s="391"/>
      <c r="F60" s="392"/>
      <c r="G60" s="390"/>
      <c r="H60" s="388"/>
      <c r="I60" s="388"/>
      <c r="J60" s="393"/>
      <c r="K60" s="625"/>
      <c r="L60" s="626"/>
      <c r="M60" s="627"/>
    </row>
    <row r="61" spans="1:13">
      <c r="A61" s="388" t="str">
        <f>IF(B61=""," ",#REF!+1)</f>
        <v xml:space="preserve"> </v>
      </c>
      <c r="B61" s="404"/>
      <c r="C61" s="398"/>
      <c r="D61" s="397"/>
      <c r="E61" s="391"/>
      <c r="F61" s="392"/>
      <c r="G61" s="390"/>
      <c r="H61" s="388"/>
      <c r="I61" s="388"/>
      <c r="J61" s="393"/>
      <c r="K61" s="398"/>
      <c r="L61" s="399"/>
      <c r="M61" s="400"/>
    </row>
    <row r="62" spans="1:13">
      <c r="A62" s="388" t="str">
        <f>IF(B62=""," ",A61+1)</f>
        <v xml:space="preserve"> </v>
      </c>
      <c r="B62" s="404"/>
      <c r="C62" s="398"/>
      <c r="D62" s="397"/>
      <c r="E62" s="391"/>
      <c r="F62" s="392"/>
      <c r="G62" s="390"/>
      <c r="H62" s="388"/>
      <c r="I62" s="388"/>
      <c r="J62" s="393"/>
      <c r="K62" s="398"/>
      <c r="L62" s="399"/>
      <c r="M62" s="400"/>
    </row>
    <row r="63" spans="1:13">
      <c r="A63" s="388" t="str">
        <f>IF(B63=""," ",A62+1)</f>
        <v xml:space="preserve"> </v>
      </c>
      <c r="B63" s="404"/>
      <c r="C63" s="398"/>
      <c r="D63" s="397"/>
      <c r="E63" s="391"/>
      <c r="F63" s="392"/>
      <c r="G63" s="390"/>
      <c r="H63" s="388"/>
      <c r="I63" s="388"/>
      <c r="J63" s="393"/>
      <c r="K63" s="625"/>
      <c r="L63" s="626"/>
      <c r="M63" s="627"/>
    </row>
    <row r="64" spans="1:13">
      <c r="A64" s="388" t="str">
        <f>IF(B64=""," ",#REF!+1)</f>
        <v xml:space="preserve"> </v>
      </c>
      <c r="B64" s="404"/>
      <c r="C64" s="398"/>
      <c r="D64" s="397"/>
      <c r="E64" s="391"/>
      <c r="F64" s="392"/>
      <c r="G64" s="390"/>
      <c r="H64" s="388"/>
      <c r="I64" s="388"/>
      <c r="J64" s="393"/>
      <c r="K64" s="625"/>
      <c r="L64" s="626"/>
      <c r="M64" s="627"/>
    </row>
    <row r="65" spans="1:13">
      <c r="A65" s="388" t="str">
        <f>IF(B65=""," ",#REF!+1)</f>
        <v xml:space="preserve"> </v>
      </c>
      <c r="B65" s="404"/>
      <c r="C65" s="398"/>
      <c r="D65" s="397"/>
      <c r="E65" s="391"/>
      <c r="F65" s="392"/>
      <c r="G65" s="390"/>
      <c r="H65" s="388"/>
      <c r="I65" s="388"/>
      <c r="J65" s="393"/>
      <c r="K65" s="398"/>
      <c r="L65" s="399"/>
      <c r="M65" s="400"/>
    </row>
    <row r="66" spans="1:13">
      <c r="A66" s="388" t="str">
        <f>IF(B66=""," ",A65+1)</f>
        <v xml:space="preserve"> </v>
      </c>
      <c r="B66" s="404"/>
      <c r="C66" s="398"/>
      <c r="D66" s="397"/>
      <c r="E66" s="391"/>
      <c r="F66" s="392"/>
      <c r="G66" s="390"/>
      <c r="H66" s="388"/>
      <c r="I66" s="388"/>
      <c r="J66" s="393"/>
      <c r="K66" s="398"/>
      <c r="L66" s="399"/>
      <c r="M66" s="400"/>
    </row>
    <row r="67" spans="1:13">
      <c r="A67" s="388" t="str">
        <f>IF(B67=""," ",A66+1)</f>
        <v xml:space="preserve"> </v>
      </c>
      <c r="B67" s="404"/>
      <c r="C67" s="398"/>
      <c r="D67" s="397"/>
      <c r="E67" s="391"/>
      <c r="F67" s="392"/>
      <c r="G67" s="390"/>
      <c r="H67" s="388"/>
      <c r="I67" s="388"/>
      <c r="J67" s="393"/>
      <c r="K67" s="625"/>
      <c r="L67" s="626"/>
      <c r="M67" s="627"/>
    </row>
    <row r="68" spans="1:13">
      <c r="A68" s="388" t="str">
        <f>IF(B68=""," ",#REF!+1)</f>
        <v xml:space="preserve"> </v>
      </c>
      <c r="B68" s="404"/>
      <c r="C68" s="398"/>
      <c r="D68" s="397"/>
      <c r="E68" s="391"/>
      <c r="F68" s="392"/>
      <c r="G68" s="390"/>
      <c r="H68" s="388"/>
      <c r="I68" s="388"/>
      <c r="J68" s="393"/>
      <c r="K68" s="625"/>
      <c r="L68" s="626"/>
      <c r="M68" s="627"/>
    </row>
    <row r="69" spans="1:13">
      <c r="A69" s="388" t="str">
        <f>IF(B69=""," ",#REF!+1)</f>
        <v xml:space="preserve"> </v>
      </c>
      <c r="B69" s="404"/>
      <c r="C69" s="398"/>
      <c r="D69" s="397"/>
      <c r="E69" s="391"/>
      <c r="F69" s="392"/>
      <c r="G69" s="390"/>
      <c r="H69" s="388"/>
      <c r="I69" s="388"/>
      <c r="J69" s="393"/>
      <c r="K69" s="398"/>
      <c r="L69" s="399"/>
      <c r="M69" s="400"/>
    </row>
    <row r="70" spans="1:13">
      <c r="A70" s="388" t="str">
        <f>IF(B70=""," ",A69+1)</f>
        <v xml:space="preserve"> </v>
      </c>
      <c r="B70" s="404"/>
      <c r="C70" s="398"/>
      <c r="D70" s="397"/>
      <c r="E70" s="391"/>
      <c r="F70" s="392"/>
      <c r="G70" s="390"/>
      <c r="H70" s="388"/>
      <c r="I70" s="388"/>
      <c r="J70" s="393"/>
      <c r="K70" s="398"/>
      <c r="L70" s="399"/>
      <c r="M70" s="400"/>
    </row>
    <row r="71" spans="1:13">
      <c r="A71" s="388" t="str">
        <f>IF(B71=""," ",A70+1)</f>
        <v xml:space="preserve"> </v>
      </c>
      <c r="B71" s="404"/>
      <c r="C71" s="398"/>
      <c r="D71" s="397"/>
      <c r="E71" s="391"/>
      <c r="F71" s="392"/>
      <c r="G71" s="390"/>
      <c r="H71" s="388"/>
      <c r="I71" s="388"/>
      <c r="J71" s="393"/>
      <c r="K71" s="625"/>
      <c r="L71" s="626"/>
      <c r="M71" s="627"/>
    </row>
    <row r="72" spans="1:13">
      <c r="A72" s="388" t="str">
        <f>IF(B72=""," ",#REF!+1)</f>
        <v xml:space="preserve"> </v>
      </c>
      <c r="B72" s="404"/>
      <c r="C72" s="398"/>
      <c r="D72" s="397"/>
      <c r="E72" s="391"/>
      <c r="F72" s="392"/>
      <c r="G72" s="390"/>
      <c r="H72" s="388"/>
      <c r="I72" s="388"/>
      <c r="J72" s="393"/>
      <c r="K72" s="625"/>
      <c r="L72" s="626"/>
      <c r="M72" s="627"/>
    </row>
    <row r="73" spans="1:13">
      <c r="A73" s="388" t="str">
        <f>IF(B73=""," ",#REF!+1)</f>
        <v xml:space="preserve"> </v>
      </c>
      <c r="B73" s="404"/>
      <c r="C73" s="398"/>
      <c r="D73" s="397"/>
      <c r="E73" s="391"/>
      <c r="F73" s="392"/>
      <c r="G73" s="390"/>
      <c r="H73" s="388"/>
      <c r="I73" s="388"/>
      <c r="J73" s="393"/>
      <c r="K73" s="398"/>
      <c r="L73" s="399"/>
      <c r="M73" s="400"/>
    </row>
    <row r="74" spans="1:13">
      <c r="A74" s="388" t="str">
        <f>IF(B74=""," ",A73+1)</f>
        <v xml:space="preserve"> </v>
      </c>
      <c r="B74" s="404"/>
      <c r="C74" s="398"/>
      <c r="D74" s="397"/>
      <c r="E74" s="391"/>
      <c r="F74" s="392"/>
      <c r="G74" s="390"/>
      <c r="H74" s="388"/>
      <c r="I74" s="388"/>
      <c r="J74" s="393"/>
      <c r="K74" s="398"/>
      <c r="L74" s="399"/>
      <c r="M74" s="400"/>
    </row>
    <row r="75" spans="1:13">
      <c r="A75" s="388" t="str">
        <f>IF(B75=""," ",A74+1)</f>
        <v xml:space="preserve"> </v>
      </c>
      <c r="B75" s="404"/>
      <c r="C75" s="398"/>
      <c r="D75" s="397"/>
      <c r="E75" s="391"/>
      <c r="F75" s="392"/>
      <c r="G75" s="390"/>
      <c r="H75" s="388"/>
      <c r="I75" s="388"/>
      <c r="J75" s="393"/>
      <c r="K75" s="625"/>
      <c r="L75" s="626"/>
      <c r="M75" s="627"/>
    </row>
    <row r="76" spans="1:13">
      <c r="A76" s="388" t="str">
        <f>IF(B76=""," ",#REF!+1)</f>
        <v xml:space="preserve"> </v>
      </c>
      <c r="B76" s="404"/>
      <c r="C76" s="398"/>
      <c r="D76" s="397"/>
      <c r="E76" s="391"/>
      <c r="F76" s="392"/>
      <c r="G76" s="390"/>
      <c r="H76" s="388"/>
      <c r="I76" s="388"/>
      <c r="J76" s="393"/>
      <c r="K76" s="625"/>
      <c r="L76" s="626"/>
      <c r="M76" s="627"/>
    </row>
    <row r="77" spans="1:13">
      <c r="A77" s="388" t="str">
        <f>IF(B77=""," ",#REF!+1)</f>
        <v xml:space="preserve"> </v>
      </c>
      <c r="B77" s="404"/>
      <c r="C77" s="398"/>
      <c r="D77" s="397"/>
      <c r="E77" s="391"/>
      <c r="F77" s="392"/>
      <c r="G77" s="390"/>
      <c r="H77" s="388"/>
      <c r="I77" s="388"/>
      <c r="J77" s="393"/>
      <c r="K77" s="398"/>
      <c r="L77" s="399"/>
      <c r="M77" s="400"/>
    </row>
    <row r="78" spans="1:13">
      <c r="A78" s="388" t="str">
        <f>IF(B78=""," ",A77+1)</f>
        <v xml:space="preserve"> </v>
      </c>
      <c r="B78" s="404"/>
      <c r="C78" s="398"/>
      <c r="D78" s="397"/>
      <c r="E78" s="391"/>
      <c r="F78" s="392"/>
      <c r="G78" s="390"/>
      <c r="H78" s="388"/>
      <c r="I78" s="388"/>
      <c r="J78" s="393"/>
      <c r="K78" s="398"/>
      <c r="L78" s="399"/>
      <c r="M78" s="400"/>
    </row>
    <row r="79" spans="1:13">
      <c r="A79" s="388" t="str">
        <f>IF(B79=""," ",A78+1)</f>
        <v xml:space="preserve"> </v>
      </c>
      <c r="B79" s="404"/>
      <c r="C79" s="398"/>
      <c r="D79" s="397"/>
      <c r="E79" s="391"/>
      <c r="F79" s="392"/>
      <c r="G79" s="390"/>
      <c r="H79" s="388"/>
      <c r="I79" s="388"/>
      <c r="J79" s="393"/>
      <c r="K79" s="625"/>
      <c r="L79" s="626"/>
      <c r="M79" s="627"/>
    </row>
    <row r="80" spans="1:13">
      <c r="A80" s="388" t="str">
        <f>IF(B80=""," ",#REF!+1)</f>
        <v xml:space="preserve"> </v>
      </c>
      <c r="B80" s="404"/>
      <c r="C80" s="398"/>
      <c r="D80" s="397"/>
      <c r="E80" s="391"/>
      <c r="F80" s="392"/>
      <c r="G80" s="390"/>
      <c r="H80" s="388"/>
      <c r="I80" s="388"/>
      <c r="J80" s="393"/>
      <c r="K80" s="625"/>
      <c r="L80" s="626"/>
      <c r="M80" s="627"/>
    </row>
    <row r="81" spans="1:13">
      <c r="A81" s="388" t="str">
        <f>IF(B81=""," ",#REF!+1)</f>
        <v xml:space="preserve"> </v>
      </c>
      <c r="B81" s="404"/>
      <c r="C81" s="398"/>
      <c r="D81" s="397"/>
      <c r="E81" s="391"/>
      <c r="F81" s="392"/>
      <c r="G81" s="390"/>
      <c r="H81" s="388"/>
      <c r="I81" s="388"/>
      <c r="J81" s="393"/>
      <c r="K81" s="398"/>
      <c r="L81" s="399"/>
      <c r="M81" s="400"/>
    </row>
    <row r="82" spans="1:13">
      <c r="A82" s="388" t="str">
        <f>IF(B82=""," ",A81+1)</f>
        <v xml:space="preserve"> </v>
      </c>
      <c r="B82" s="404"/>
      <c r="C82" s="398"/>
      <c r="D82" s="397"/>
      <c r="E82" s="391"/>
      <c r="F82" s="392"/>
      <c r="G82" s="390"/>
      <c r="H82" s="388"/>
      <c r="I82" s="388"/>
      <c r="J82" s="393"/>
      <c r="K82" s="398"/>
      <c r="L82" s="399"/>
      <c r="M82" s="400"/>
    </row>
    <row r="83" spans="1:13">
      <c r="A83" s="388" t="str">
        <f>IF(B83=""," ",A82+1)</f>
        <v xml:space="preserve"> </v>
      </c>
      <c r="B83" s="404"/>
      <c r="C83" s="398"/>
      <c r="D83" s="397"/>
      <c r="E83" s="391"/>
      <c r="F83" s="392"/>
      <c r="G83" s="390"/>
      <c r="H83" s="388"/>
      <c r="I83" s="388"/>
      <c r="J83" s="393"/>
      <c r="K83" s="625"/>
      <c r="L83" s="626"/>
      <c r="M83" s="627"/>
    </row>
    <row r="84" spans="1:13">
      <c r="A84" s="388" t="str">
        <f>IF(B84=""," ",#REF!+1)</f>
        <v xml:space="preserve"> </v>
      </c>
      <c r="B84" s="404"/>
      <c r="C84" s="398"/>
      <c r="D84" s="397"/>
      <c r="E84" s="391"/>
      <c r="F84" s="392"/>
      <c r="G84" s="390"/>
      <c r="H84" s="388"/>
      <c r="I84" s="388"/>
      <c r="J84" s="393"/>
      <c r="K84" s="625"/>
      <c r="L84" s="626"/>
      <c r="M84" s="627"/>
    </row>
    <row r="85" spans="1:13">
      <c r="A85" s="388" t="str">
        <f>IF(B85=""," ",#REF!+1)</f>
        <v xml:space="preserve"> </v>
      </c>
      <c r="B85" s="404"/>
      <c r="C85" s="398"/>
      <c r="D85" s="397"/>
      <c r="E85" s="391"/>
      <c r="F85" s="392"/>
      <c r="G85" s="390"/>
      <c r="H85" s="388"/>
      <c r="I85" s="388"/>
      <c r="J85" s="393"/>
      <c r="K85" s="398"/>
      <c r="L85" s="399"/>
      <c r="M85" s="400"/>
    </row>
    <row r="86" spans="1:13">
      <c r="A86" s="388" t="str">
        <f>IF(B86=""," ",A85+1)</f>
        <v xml:space="preserve"> </v>
      </c>
      <c r="B86" s="404"/>
      <c r="C86" s="398"/>
      <c r="D86" s="397"/>
      <c r="E86" s="391"/>
      <c r="F86" s="392"/>
      <c r="G86" s="390"/>
      <c r="H86" s="388"/>
      <c r="I86" s="388"/>
      <c r="J86" s="393"/>
      <c r="K86" s="398"/>
      <c r="L86" s="399"/>
      <c r="M86" s="400"/>
    </row>
    <row r="87" spans="1:13">
      <c r="A87" s="388" t="str">
        <f>IF(B87=""," ",A86+1)</f>
        <v xml:space="preserve"> </v>
      </c>
      <c r="B87" s="404"/>
      <c r="C87" s="398"/>
      <c r="D87" s="397"/>
      <c r="E87" s="391"/>
      <c r="F87" s="392"/>
      <c r="G87" s="390"/>
      <c r="H87" s="388"/>
      <c r="I87" s="388"/>
      <c r="J87" s="393"/>
      <c r="K87" s="625"/>
      <c r="L87" s="626"/>
      <c r="M87" s="627"/>
    </row>
    <row r="88" spans="1:13">
      <c r="A88" s="388" t="str">
        <f>IF(B88=""," ",#REF!+1)</f>
        <v xml:space="preserve"> </v>
      </c>
      <c r="B88" s="404"/>
      <c r="C88" s="398"/>
      <c r="D88" s="397"/>
      <c r="E88" s="391"/>
      <c r="F88" s="392"/>
      <c r="G88" s="390"/>
      <c r="H88" s="388"/>
      <c r="I88" s="388"/>
      <c r="J88" s="393"/>
      <c r="K88" s="625"/>
      <c r="L88" s="626"/>
      <c r="M88" s="627"/>
    </row>
    <row r="89" spans="1:13">
      <c r="A89" s="388" t="str">
        <f>IF(B89=""," ",#REF!+1)</f>
        <v xml:space="preserve"> </v>
      </c>
      <c r="B89" s="404"/>
      <c r="C89" s="398"/>
      <c r="D89" s="397"/>
      <c r="E89" s="391"/>
      <c r="F89" s="392"/>
      <c r="G89" s="390"/>
      <c r="H89" s="388"/>
      <c r="I89" s="388"/>
      <c r="J89" s="393"/>
      <c r="K89" s="398"/>
      <c r="L89" s="399"/>
      <c r="M89" s="400"/>
    </row>
    <row r="90" spans="1:13">
      <c r="A90" s="388" t="str">
        <f>IF(B90=""," ",A89+1)</f>
        <v xml:space="preserve"> </v>
      </c>
      <c r="B90" s="404"/>
      <c r="C90" s="398"/>
      <c r="D90" s="397"/>
      <c r="E90" s="391"/>
      <c r="F90" s="392"/>
      <c r="G90" s="390"/>
      <c r="H90" s="388"/>
      <c r="I90" s="388"/>
      <c r="J90" s="393"/>
      <c r="K90" s="398"/>
      <c r="L90" s="399"/>
      <c r="M90" s="400"/>
    </row>
    <row r="91" spans="1:13">
      <c r="A91" s="388" t="str">
        <f>IF(B91=""," ",A90+1)</f>
        <v xml:space="preserve"> </v>
      </c>
      <c r="B91" s="404"/>
      <c r="C91" s="398"/>
      <c r="D91" s="397"/>
      <c r="E91" s="391"/>
      <c r="F91" s="392"/>
      <c r="G91" s="390"/>
      <c r="H91" s="388"/>
      <c r="I91" s="388"/>
      <c r="J91" s="393"/>
      <c r="K91" s="625"/>
      <c r="L91" s="626"/>
      <c r="M91" s="627"/>
    </row>
    <row r="92" spans="1:13">
      <c r="A92" s="388" t="str">
        <f>IF(B92=""," ",#REF!+1)</f>
        <v xml:space="preserve"> </v>
      </c>
      <c r="B92" s="404"/>
      <c r="C92" s="398"/>
      <c r="D92" s="397"/>
      <c r="E92" s="391"/>
      <c r="F92" s="392"/>
      <c r="G92" s="390"/>
      <c r="H92" s="388"/>
      <c r="I92" s="388"/>
      <c r="J92" s="393"/>
      <c r="K92" s="625"/>
      <c r="L92" s="626"/>
      <c r="M92" s="627"/>
    </row>
    <row r="93" spans="1:13">
      <c r="A93" s="388" t="str">
        <f>IF(B93=""," ",#REF!+1)</f>
        <v xml:space="preserve"> </v>
      </c>
      <c r="B93" s="404"/>
      <c r="C93" s="398"/>
      <c r="D93" s="397"/>
      <c r="E93" s="391"/>
      <c r="F93" s="392"/>
      <c r="G93" s="390"/>
      <c r="H93" s="388"/>
      <c r="I93" s="388"/>
      <c r="J93" s="393"/>
      <c r="K93" s="398"/>
      <c r="L93" s="399"/>
      <c r="M93" s="400"/>
    </row>
    <row r="94" spans="1:13">
      <c r="A94" s="388" t="str">
        <f>IF(B94=""," ",A92+1)</f>
        <v xml:space="preserve"> </v>
      </c>
      <c r="B94" s="404"/>
      <c r="C94" s="398"/>
      <c r="D94" s="397"/>
      <c r="E94" s="391"/>
      <c r="F94" s="392"/>
      <c r="G94" s="390"/>
      <c r="H94" s="388"/>
      <c r="I94" s="388"/>
      <c r="J94" s="393"/>
      <c r="K94" s="398"/>
      <c r="L94" s="399"/>
      <c r="M94" s="400"/>
    </row>
    <row r="95" spans="1:13">
      <c r="A95" s="388" t="str">
        <f>IF(B95=""," ",A93+1)</f>
        <v xml:space="preserve"> </v>
      </c>
      <c r="B95" s="404"/>
      <c r="C95" s="398"/>
      <c r="D95" s="397"/>
      <c r="E95" s="391"/>
      <c r="F95" s="392"/>
      <c r="G95" s="390"/>
      <c r="H95" s="388"/>
      <c r="I95" s="388"/>
      <c r="J95" s="393"/>
      <c r="K95" s="398"/>
      <c r="L95" s="399"/>
      <c r="M95" s="400"/>
    </row>
    <row r="96" spans="1:13">
      <c r="A96" s="388" t="str">
        <f>IF(B96=""," ",A95+1)</f>
        <v xml:space="preserve"> </v>
      </c>
      <c r="B96" s="404"/>
      <c r="C96" s="398"/>
      <c r="D96" s="397"/>
      <c r="E96" s="391"/>
      <c r="F96" s="392"/>
      <c r="G96" s="390"/>
      <c r="H96" s="388"/>
      <c r="I96" s="388"/>
      <c r="J96" s="393"/>
      <c r="K96" s="625"/>
      <c r="L96" s="626"/>
      <c r="M96" s="627"/>
    </row>
    <row r="97" spans="1:13">
      <c r="A97" s="388" t="str">
        <f>IF(B97=""," ",#REF!+1)</f>
        <v xml:space="preserve"> </v>
      </c>
      <c r="B97" s="404"/>
      <c r="C97" s="398"/>
      <c r="D97" s="397"/>
      <c r="E97" s="391"/>
      <c r="F97" s="392"/>
      <c r="G97" s="390"/>
      <c r="H97" s="388"/>
      <c r="I97" s="388"/>
      <c r="J97" s="393"/>
      <c r="K97" s="625"/>
      <c r="L97" s="626"/>
      <c r="M97" s="627"/>
    </row>
    <row r="98" spans="1:13">
      <c r="A98" s="388" t="str">
        <f>IF(B98=""," ",#REF!+1)</f>
        <v xml:space="preserve"> </v>
      </c>
      <c r="B98" s="404"/>
      <c r="C98" s="398"/>
      <c r="D98" s="397"/>
      <c r="E98" s="391"/>
      <c r="F98" s="392"/>
      <c r="G98" s="390"/>
      <c r="H98" s="388"/>
      <c r="I98" s="388"/>
      <c r="J98" s="393"/>
      <c r="K98" s="398"/>
      <c r="L98" s="399"/>
      <c r="M98" s="400"/>
    </row>
    <row r="99" spans="1:13">
      <c r="A99" s="388" t="str">
        <f>IF(B99=""," ",A98+1)</f>
        <v xml:space="preserve"> </v>
      </c>
      <c r="B99" s="404"/>
      <c r="C99" s="398"/>
      <c r="D99" s="397"/>
      <c r="E99" s="391"/>
      <c r="F99" s="392"/>
      <c r="G99" s="390"/>
      <c r="H99" s="388"/>
      <c r="I99" s="388"/>
      <c r="J99" s="393"/>
      <c r="K99" s="398"/>
      <c r="L99" s="399"/>
      <c r="M99" s="400"/>
    </row>
    <row r="100" spans="1:13">
      <c r="A100" s="388" t="str">
        <f>IF(B100=""," ",A99+1)</f>
        <v xml:space="preserve"> </v>
      </c>
      <c r="B100" s="404"/>
      <c r="C100" s="398"/>
      <c r="D100" s="397"/>
      <c r="E100" s="391"/>
      <c r="F100" s="392"/>
      <c r="G100" s="390"/>
      <c r="H100" s="388"/>
      <c r="I100" s="388"/>
      <c r="J100" s="393"/>
      <c r="K100" s="625"/>
      <c r="L100" s="626"/>
      <c r="M100" s="627"/>
    </row>
    <row r="102" spans="1:13">
      <c r="B102" s="394" t="s">
        <v>1691</v>
      </c>
      <c r="C102" s="394"/>
      <c r="D102" s="394"/>
      <c r="E102" s="394"/>
      <c r="F102" s="394"/>
      <c r="G102" s="394"/>
      <c r="H102" s="394"/>
      <c r="I102" s="394"/>
      <c r="J102" s="394"/>
      <c r="K102" s="394"/>
    </row>
    <row r="103" spans="1:13">
      <c r="B103" s="394"/>
      <c r="C103" s="394"/>
      <c r="D103" s="394"/>
      <c r="E103" s="394"/>
      <c r="F103" s="394"/>
      <c r="G103" s="394"/>
      <c r="H103" s="394"/>
      <c r="I103" s="394"/>
      <c r="J103" s="394"/>
      <c r="K103" s="394"/>
    </row>
    <row r="104" spans="1:13">
      <c r="B104" s="394" t="s">
        <v>1226</v>
      </c>
      <c r="C104" s="394" t="s">
        <v>1561</v>
      </c>
      <c r="D104" s="394"/>
      <c r="E104" s="394"/>
      <c r="F104" s="394"/>
      <c r="G104" s="394"/>
      <c r="H104" s="394"/>
      <c r="I104" s="394"/>
      <c r="J104" s="394"/>
      <c r="K104" s="394"/>
    </row>
    <row r="105" spans="1:13">
      <c r="B105" s="394"/>
      <c r="C105" s="394"/>
      <c r="D105" s="394"/>
      <c r="E105" s="394"/>
      <c r="F105" s="394"/>
      <c r="G105" s="394"/>
      <c r="H105" s="394"/>
      <c r="I105" s="394"/>
      <c r="J105" s="394"/>
      <c r="K105" s="394"/>
    </row>
  </sheetData>
  <mergeCells count="73">
    <mergeCell ref="K9:M9"/>
    <mergeCell ref="K12:M12"/>
    <mergeCell ref="K30:M30"/>
    <mergeCell ref="K21:M21"/>
    <mergeCell ref="K23:M23"/>
    <mergeCell ref="K22:M22"/>
    <mergeCell ref="K24:M24"/>
    <mergeCell ref="K25:M25"/>
    <mergeCell ref="K29:M29"/>
    <mergeCell ref="K14:M14"/>
    <mergeCell ref="K19:M19"/>
    <mergeCell ref="K18:M18"/>
    <mergeCell ref="K17:M17"/>
    <mergeCell ref="K16:M16"/>
    <mergeCell ref="H4:I4"/>
    <mergeCell ref="A2:B2"/>
    <mergeCell ref="A3:B3"/>
    <mergeCell ref="A4:B4"/>
    <mergeCell ref="C2:G2"/>
    <mergeCell ref="C3:G3"/>
    <mergeCell ref="C4:G4"/>
    <mergeCell ref="H2:J2"/>
    <mergeCell ref="H3:I3"/>
    <mergeCell ref="K40:M40"/>
    <mergeCell ref="A5:A6"/>
    <mergeCell ref="K7:M7"/>
    <mergeCell ref="B5:C5"/>
    <mergeCell ref="K5:M6"/>
    <mergeCell ref="I5:J5"/>
    <mergeCell ref="D5:H5"/>
    <mergeCell ref="K11:M11"/>
    <mergeCell ref="K20:M20"/>
    <mergeCell ref="K15:M15"/>
    <mergeCell ref="K27:M27"/>
    <mergeCell ref="K28:M28"/>
    <mergeCell ref="K26:M26"/>
    <mergeCell ref="K8:M8"/>
    <mergeCell ref="K13:M13"/>
    <mergeCell ref="K10:M10"/>
    <mergeCell ref="K31:M31"/>
    <mergeCell ref="K32:M32"/>
    <mergeCell ref="K35:M35"/>
    <mergeCell ref="K36:M36"/>
    <mergeCell ref="K39:M39"/>
    <mergeCell ref="K60:M60"/>
    <mergeCell ref="K47:M47"/>
    <mergeCell ref="K48:M48"/>
    <mergeCell ref="K51:M51"/>
    <mergeCell ref="K52:M52"/>
    <mergeCell ref="K43:M43"/>
    <mergeCell ref="K44:M44"/>
    <mergeCell ref="K55:M55"/>
    <mergeCell ref="K56:M56"/>
    <mergeCell ref="K59:M59"/>
    <mergeCell ref="K63:M63"/>
    <mergeCell ref="K64:M64"/>
    <mergeCell ref="K67:M67"/>
    <mergeCell ref="K84:M84"/>
    <mergeCell ref="K80:M80"/>
    <mergeCell ref="K68:M68"/>
    <mergeCell ref="K100:M100"/>
    <mergeCell ref="K71:M71"/>
    <mergeCell ref="K72:M72"/>
    <mergeCell ref="K75:M75"/>
    <mergeCell ref="K76:M76"/>
    <mergeCell ref="K91:M91"/>
    <mergeCell ref="K92:M92"/>
    <mergeCell ref="K79:M79"/>
    <mergeCell ref="K83:M83"/>
    <mergeCell ref="K87:M87"/>
    <mergeCell ref="K96:M96"/>
    <mergeCell ref="K88:M88"/>
    <mergeCell ref="K97:M97"/>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0">
    <pageSetUpPr fitToPage="1"/>
  </sheetPr>
  <dimension ref="A1:P111"/>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113" bestFit="1" customWidth="1"/>
    <col min="2" max="2" width="28.625" style="113" customWidth="1"/>
    <col min="3" max="3" width="13.375" style="113" customWidth="1"/>
    <col min="4" max="4" width="9.375" style="113" customWidth="1"/>
    <col min="5" max="6" width="4.75" style="113" bestFit="1" customWidth="1"/>
    <col min="7" max="7" width="6.125" style="113" bestFit="1" customWidth="1"/>
    <col min="8" max="8" width="4.75" style="113" bestFit="1" customWidth="1"/>
    <col min="9" max="9" width="4.75" style="113" customWidth="1"/>
    <col min="10" max="11" width="9.625" style="113" customWidth="1"/>
    <col min="12" max="13" width="10.25" style="113" customWidth="1"/>
    <col min="14" max="14" width="9" style="113"/>
    <col min="15" max="16" width="9" style="113" hidden="1" customWidth="1"/>
    <col min="17" max="16384" width="9" style="113"/>
  </cols>
  <sheetData>
    <row r="1" spans="1:16">
      <c r="B1" s="47"/>
      <c r="C1" s="244"/>
    </row>
    <row r="2" spans="1:16">
      <c r="A2" s="592" t="s">
        <v>230</v>
      </c>
      <c r="B2" s="594"/>
      <c r="C2" s="592" t="s">
        <v>36</v>
      </c>
      <c r="D2" s="593"/>
      <c r="E2" s="593"/>
      <c r="F2" s="593"/>
      <c r="G2" s="594"/>
      <c r="H2" s="592"/>
      <c r="I2" s="593"/>
      <c r="J2" s="594"/>
      <c r="K2" s="115"/>
      <c r="L2" s="116" t="s">
        <v>37</v>
      </c>
      <c r="M2" s="116" t="s">
        <v>38</v>
      </c>
    </row>
    <row r="3" spans="1:16">
      <c r="A3" s="605"/>
      <c r="B3" s="606"/>
      <c r="C3" s="612" t="s">
        <v>646</v>
      </c>
      <c r="D3" s="613"/>
      <c r="E3" s="613"/>
      <c r="F3" s="613"/>
      <c r="G3" s="614"/>
      <c r="H3" s="592" t="s">
        <v>39</v>
      </c>
      <c r="I3" s="594"/>
      <c r="J3" s="117">
        <f>COUNT(A7:A100)</f>
        <v>7</v>
      </c>
      <c r="K3" s="116" t="s">
        <v>40</v>
      </c>
      <c r="L3" s="40">
        <v>38674</v>
      </c>
      <c r="M3" s="42" t="s">
        <v>675</v>
      </c>
      <c r="O3" s="113" t="s">
        <v>41</v>
      </c>
      <c r="P3" s="113" t="s">
        <v>42</v>
      </c>
    </row>
    <row r="4" spans="1:16">
      <c r="A4" s="607" t="s">
        <v>43</v>
      </c>
      <c r="B4" s="608"/>
      <c r="C4" s="607" t="s">
        <v>1476</v>
      </c>
      <c r="D4" s="615"/>
      <c r="E4" s="615"/>
      <c r="F4" s="615"/>
      <c r="G4" s="608"/>
      <c r="H4" s="592" t="s">
        <v>44</v>
      </c>
      <c r="I4" s="594"/>
      <c r="J4" s="117">
        <f>SUM(G7:G100)</f>
        <v>134</v>
      </c>
      <c r="K4" s="116" t="s">
        <v>45</v>
      </c>
      <c r="L4" s="40">
        <v>38803</v>
      </c>
      <c r="M4" s="42" t="s">
        <v>532</v>
      </c>
      <c r="O4" s="113" t="s">
        <v>1358</v>
      </c>
      <c r="P4" s="113" t="s">
        <v>1359</v>
      </c>
    </row>
    <row r="5" spans="1:16">
      <c r="A5" s="623" t="s">
        <v>1360</v>
      </c>
      <c r="B5" s="592" t="s">
        <v>46</v>
      </c>
      <c r="C5" s="593"/>
      <c r="D5" s="622" t="s">
        <v>47</v>
      </c>
      <c r="E5" s="593"/>
      <c r="F5" s="593"/>
      <c r="G5" s="593"/>
      <c r="H5" s="593"/>
      <c r="I5" s="592" t="s">
        <v>604</v>
      </c>
      <c r="J5" s="594"/>
      <c r="K5" s="616" t="s">
        <v>48</v>
      </c>
      <c r="L5" s="617"/>
      <c r="M5" s="618"/>
      <c r="P5" s="113" t="s">
        <v>605</v>
      </c>
    </row>
    <row r="6" spans="1:16">
      <c r="A6" s="624"/>
      <c r="B6" s="116" t="s">
        <v>49</v>
      </c>
      <c r="C6" s="119" t="s">
        <v>50</v>
      </c>
      <c r="D6" s="120" t="s">
        <v>42</v>
      </c>
      <c r="E6" s="121" t="s">
        <v>51</v>
      </c>
      <c r="F6" s="122" t="s">
        <v>52</v>
      </c>
      <c r="G6" s="116" t="s">
        <v>606</v>
      </c>
      <c r="H6" s="114" t="s">
        <v>53</v>
      </c>
      <c r="I6" s="114" t="s">
        <v>607</v>
      </c>
      <c r="J6" s="114" t="s">
        <v>608</v>
      </c>
      <c r="K6" s="619"/>
      <c r="L6" s="620"/>
      <c r="M6" s="621"/>
      <c r="P6" s="113" t="s">
        <v>609</v>
      </c>
    </row>
    <row r="7" spans="1:16" ht="11.25" customHeight="1">
      <c r="A7" s="41">
        <v>1</v>
      </c>
      <c r="B7" s="48" t="s">
        <v>1218</v>
      </c>
      <c r="C7" s="49" t="s">
        <v>365</v>
      </c>
      <c r="D7" s="78" t="s">
        <v>366</v>
      </c>
      <c r="E7" s="127"/>
      <c r="F7" s="123"/>
      <c r="G7" s="21">
        <f t="shared" ref="G7:G13" si="0">IF(D7="DATE",4,IF(D7="CHAR",E7,IF(D7="SMALLINT",2,IF(D7="INTEGER",4,IF(D7="TIMESTAMP",10,IF(D7="TIME",3,0))))))</f>
        <v>4</v>
      </c>
      <c r="H7" s="41" t="s">
        <v>367</v>
      </c>
      <c r="I7" s="41" t="s">
        <v>367</v>
      </c>
      <c r="J7" s="124"/>
      <c r="K7" s="599"/>
      <c r="L7" s="600"/>
      <c r="M7" s="601"/>
      <c r="P7" s="113" t="s">
        <v>368</v>
      </c>
    </row>
    <row r="8" spans="1:16" ht="11.25" customHeight="1">
      <c r="A8" s="41">
        <v>2</v>
      </c>
      <c r="B8" s="48" t="s">
        <v>1219</v>
      </c>
      <c r="C8" s="49" t="s">
        <v>369</v>
      </c>
      <c r="D8" s="78" t="s">
        <v>370</v>
      </c>
      <c r="E8" s="127"/>
      <c r="F8" s="123"/>
      <c r="G8" s="21">
        <f t="shared" si="0"/>
        <v>4</v>
      </c>
      <c r="H8" s="41" t="s">
        <v>371</v>
      </c>
      <c r="I8" s="41" t="s">
        <v>371</v>
      </c>
      <c r="J8" s="124"/>
      <c r="K8" s="599"/>
      <c r="L8" s="600"/>
      <c r="M8" s="601"/>
      <c r="P8" s="113" t="s">
        <v>372</v>
      </c>
    </row>
    <row r="9" spans="1:16" ht="11.25" customHeight="1">
      <c r="A9" s="41">
        <v>3</v>
      </c>
      <c r="B9" s="48" t="s">
        <v>1252</v>
      </c>
      <c r="C9" s="49" t="s">
        <v>373</v>
      </c>
      <c r="D9" s="78" t="s">
        <v>1359</v>
      </c>
      <c r="E9" s="127">
        <v>100</v>
      </c>
      <c r="F9" s="123"/>
      <c r="G9" s="21">
        <f t="shared" si="0"/>
        <v>100</v>
      </c>
      <c r="H9" s="41" t="s">
        <v>1358</v>
      </c>
      <c r="I9" s="41"/>
      <c r="J9" s="124"/>
      <c r="K9" s="599"/>
      <c r="L9" s="600"/>
      <c r="M9" s="601"/>
      <c r="P9" s="113" t="s">
        <v>875</v>
      </c>
    </row>
    <row r="10" spans="1:16" s="22" customFormat="1">
      <c r="A10" s="41">
        <v>4</v>
      </c>
      <c r="B10" s="64" t="s">
        <v>26</v>
      </c>
      <c r="C10" s="24" t="s">
        <v>1399</v>
      </c>
      <c r="D10" s="65" t="s">
        <v>519</v>
      </c>
      <c r="E10" s="51"/>
      <c r="F10" s="58"/>
      <c r="G10" s="21">
        <f t="shared" si="0"/>
        <v>4</v>
      </c>
      <c r="H10" s="41" t="s">
        <v>1400</v>
      </c>
      <c r="I10" s="41" t="s">
        <v>1400</v>
      </c>
      <c r="J10" s="165"/>
      <c r="K10" s="632" t="s">
        <v>1659</v>
      </c>
      <c r="L10" s="633"/>
      <c r="M10" s="634"/>
    </row>
    <row r="11" spans="1:16" s="22" customFormat="1">
      <c r="A11" s="41">
        <v>5</v>
      </c>
      <c r="B11" s="64" t="s">
        <v>27</v>
      </c>
      <c r="C11" s="24" t="s">
        <v>1401</v>
      </c>
      <c r="D11" s="65" t="s">
        <v>1402</v>
      </c>
      <c r="E11" s="51"/>
      <c r="F11" s="58"/>
      <c r="G11" s="21">
        <f t="shared" si="0"/>
        <v>4</v>
      </c>
      <c r="H11" s="41" t="s">
        <v>1403</v>
      </c>
      <c r="I11" s="53"/>
      <c r="J11" s="165"/>
      <c r="K11" s="632" t="s">
        <v>1660</v>
      </c>
      <c r="L11" s="633"/>
      <c r="M11" s="634"/>
    </row>
    <row r="12" spans="1:16" s="22" customFormat="1">
      <c r="A12" s="41">
        <v>6</v>
      </c>
      <c r="B12" s="64" t="s">
        <v>1083</v>
      </c>
      <c r="C12" s="24" t="s">
        <v>1111</v>
      </c>
      <c r="D12" s="72" t="s">
        <v>1431</v>
      </c>
      <c r="E12" s="51">
        <v>8</v>
      </c>
      <c r="F12" s="58"/>
      <c r="G12" s="20">
        <f t="shared" si="0"/>
        <v>8</v>
      </c>
      <c r="H12" s="53" t="s">
        <v>1432</v>
      </c>
      <c r="I12" s="89"/>
      <c r="J12" s="92"/>
      <c r="K12" s="602"/>
      <c r="L12" s="603"/>
      <c r="M12" s="604"/>
    </row>
    <row r="13" spans="1:16" ht="11.25" customHeight="1">
      <c r="A13" s="41">
        <f>IF(B13=""," ",A12+1)</f>
        <v>7</v>
      </c>
      <c r="B13" s="93" t="s">
        <v>1724</v>
      </c>
      <c r="C13" s="26" t="s">
        <v>1404</v>
      </c>
      <c r="D13" s="94" t="s">
        <v>1405</v>
      </c>
      <c r="E13" s="95"/>
      <c r="F13" s="90"/>
      <c r="G13" s="21">
        <f t="shared" si="0"/>
        <v>10</v>
      </c>
      <c r="H13" s="91" t="s">
        <v>1406</v>
      </c>
      <c r="I13" s="41"/>
      <c r="J13" s="124"/>
      <c r="K13" s="599"/>
      <c r="L13" s="600"/>
      <c r="M13" s="601"/>
    </row>
    <row r="14" spans="1:16" ht="11.25" customHeight="1">
      <c r="A14" s="41" t="str">
        <f>IF(B14=""," ",A13+1)</f>
        <v xml:space="preserve"> </v>
      </c>
      <c r="B14" s="100"/>
      <c r="C14" s="137"/>
      <c r="D14" s="78"/>
      <c r="E14" s="127"/>
      <c r="F14" s="123"/>
      <c r="G14" s="168"/>
      <c r="H14" s="41"/>
      <c r="I14" s="41"/>
      <c r="J14" s="124"/>
      <c r="K14" s="599"/>
      <c r="L14" s="600"/>
      <c r="M14" s="601"/>
    </row>
    <row r="15" spans="1:16">
      <c r="A15" s="41" t="str">
        <f>IF(B15=""," ",#REF!+1)</f>
        <v xml:space="preserve"> </v>
      </c>
      <c r="B15" s="134"/>
      <c r="C15" s="27"/>
      <c r="D15" s="126"/>
      <c r="E15" s="127"/>
      <c r="F15" s="123"/>
      <c r="G15" s="168"/>
      <c r="H15" s="41"/>
      <c r="I15" s="41"/>
      <c r="J15" s="124"/>
      <c r="K15" s="595"/>
      <c r="L15" s="596"/>
      <c r="M15" s="597"/>
    </row>
    <row r="16" spans="1:16">
      <c r="A16" s="41" t="str">
        <f t="shared" ref="A16:A40" si="1">IF(B16=""," ",A15+1)</f>
        <v xml:space="preserve"> </v>
      </c>
      <c r="B16" s="134"/>
      <c r="C16" s="27"/>
      <c r="D16" s="126"/>
      <c r="E16" s="127"/>
      <c r="F16" s="123"/>
      <c r="G16" s="168"/>
      <c r="H16" s="41"/>
      <c r="I16" s="41"/>
      <c r="J16" s="124"/>
      <c r="K16" s="595"/>
      <c r="L16" s="596"/>
      <c r="M16" s="597"/>
    </row>
    <row r="17" spans="1:13">
      <c r="A17" s="41" t="str">
        <f t="shared" si="1"/>
        <v xml:space="preserve"> </v>
      </c>
      <c r="B17" s="134"/>
      <c r="C17" s="27"/>
      <c r="D17" s="126"/>
      <c r="E17" s="127"/>
      <c r="F17" s="123"/>
      <c r="G17" s="168"/>
      <c r="H17" s="41"/>
      <c r="I17" s="41"/>
      <c r="J17" s="124"/>
      <c r="K17" s="595"/>
      <c r="L17" s="596"/>
      <c r="M17" s="597"/>
    </row>
    <row r="18" spans="1:13">
      <c r="A18" s="41" t="str">
        <f t="shared" si="1"/>
        <v xml:space="preserve"> </v>
      </c>
      <c r="B18" s="134"/>
      <c r="C18" s="27"/>
      <c r="D18" s="126"/>
      <c r="E18" s="127"/>
      <c r="F18" s="123"/>
      <c r="G18" s="168"/>
      <c r="H18" s="41"/>
      <c r="I18" s="41"/>
      <c r="J18" s="124"/>
      <c r="K18" s="595"/>
      <c r="L18" s="596"/>
      <c r="M18" s="597"/>
    </row>
    <row r="19" spans="1:13">
      <c r="A19" s="41" t="str">
        <f t="shared" si="1"/>
        <v xml:space="preserve"> </v>
      </c>
      <c r="B19" s="134"/>
      <c r="C19" s="27"/>
      <c r="D19" s="126"/>
      <c r="E19" s="127"/>
      <c r="F19" s="123"/>
      <c r="G19" s="168"/>
      <c r="H19" s="41"/>
      <c r="I19" s="41"/>
      <c r="J19" s="124"/>
      <c r="K19" s="595"/>
      <c r="L19" s="596"/>
      <c r="M19" s="597"/>
    </row>
    <row r="20" spans="1:13">
      <c r="A20" s="41" t="str">
        <f t="shared" si="1"/>
        <v xml:space="preserve"> </v>
      </c>
      <c r="B20" s="134"/>
      <c r="C20" s="27"/>
      <c r="D20" s="126"/>
      <c r="E20" s="127"/>
      <c r="F20" s="123"/>
      <c r="G20" s="168"/>
      <c r="H20" s="41"/>
      <c r="I20" s="41"/>
      <c r="J20" s="124"/>
      <c r="K20" s="595"/>
      <c r="L20" s="596"/>
      <c r="M20" s="597"/>
    </row>
    <row r="21" spans="1:13">
      <c r="A21" s="41" t="str">
        <f t="shared" si="1"/>
        <v xml:space="preserve"> </v>
      </c>
      <c r="B21" s="134"/>
      <c r="C21" s="27"/>
      <c r="D21" s="126"/>
      <c r="E21" s="127"/>
      <c r="F21" s="123"/>
      <c r="G21" s="168"/>
      <c r="H21" s="41"/>
      <c r="I21" s="41"/>
      <c r="J21" s="124"/>
      <c r="K21" s="595"/>
      <c r="L21" s="596"/>
      <c r="M21" s="597"/>
    </row>
    <row r="22" spans="1:13">
      <c r="A22" s="41" t="str">
        <f t="shared" si="1"/>
        <v xml:space="preserve"> </v>
      </c>
      <c r="B22" s="134"/>
      <c r="C22" s="27"/>
      <c r="D22" s="126"/>
      <c r="E22" s="127"/>
      <c r="F22" s="123"/>
      <c r="G22" s="168"/>
      <c r="H22" s="41"/>
      <c r="I22" s="41"/>
      <c r="J22" s="124"/>
      <c r="K22" s="595"/>
      <c r="L22" s="596"/>
      <c r="M22" s="597"/>
    </row>
    <row r="23" spans="1:13">
      <c r="A23" s="41" t="str">
        <f t="shared" si="1"/>
        <v xml:space="preserve"> </v>
      </c>
      <c r="B23" s="134"/>
      <c r="C23" s="27"/>
      <c r="D23" s="126"/>
      <c r="E23" s="127"/>
      <c r="F23" s="123"/>
      <c r="G23" s="168"/>
      <c r="H23" s="41"/>
      <c r="I23" s="41"/>
      <c r="J23" s="124"/>
      <c r="K23" s="595"/>
      <c r="L23" s="596"/>
      <c r="M23" s="597"/>
    </row>
    <row r="24" spans="1:13">
      <c r="A24" s="41" t="str">
        <f t="shared" si="1"/>
        <v xml:space="preserve"> </v>
      </c>
      <c r="B24" s="134"/>
      <c r="C24" s="27"/>
      <c r="D24" s="126"/>
      <c r="E24" s="127"/>
      <c r="F24" s="123"/>
      <c r="G24" s="168"/>
      <c r="H24" s="41"/>
      <c r="I24" s="41"/>
      <c r="J24" s="124"/>
      <c r="K24" s="595"/>
      <c r="L24" s="596"/>
      <c r="M24" s="597"/>
    </row>
    <row r="25" spans="1:13">
      <c r="A25" s="41" t="str">
        <f t="shared" si="1"/>
        <v xml:space="preserve"> </v>
      </c>
      <c r="B25" s="134"/>
      <c r="C25" s="27"/>
      <c r="D25" s="126"/>
      <c r="E25" s="127"/>
      <c r="F25" s="123"/>
      <c r="G25" s="168"/>
      <c r="H25" s="41"/>
      <c r="I25" s="41"/>
      <c r="J25" s="124"/>
      <c r="K25" s="595"/>
      <c r="L25" s="596"/>
      <c r="M25" s="597"/>
    </row>
    <row r="26" spans="1:13">
      <c r="A26" s="41" t="str">
        <f t="shared" si="1"/>
        <v xml:space="preserve"> </v>
      </c>
      <c r="B26" s="134"/>
      <c r="C26" s="27"/>
      <c r="D26" s="126"/>
      <c r="E26" s="127"/>
      <c r="F26" s="123"/>
      <c r="G26" s="168"/>
      <c r="H26" s="41"/>
      <c r="I26" s="41"/>
      <c r="J26" s="124"/>
      <c r="K26" s="595"/>
      <c r="L26" s="596"/>
      <c r="M26" s="597"/>
    </row>
    <row r="27" spans="1:13">
      <c r="A27" s="41" t="str">
        <f t="shared" si="1"/>
        <v xml:space="preserve"> </v>
      </c>
      <c r="B27" s="134"/>
      <c r="C27" s="27"/>
      <c r="D27" s="126"/>
      <c r="E27" s="127"/>
      <c r="F27" s="123"/>
      <c r="G27" s="168"/>
      <c r="H27" s="41"/>
      <c r="I27" s="41"/>
      <c r="J27" s="124"/>
      <c r="K27" s="595"/>
      <c r="L27" s="596"/>
      <c r="M27" s="597"/>
    </row>
    <row r="28" spans="1:13">
      <c r="A28" s="41" t="str">
        <f t="shared" si="1"/>
        <v xml:space="preserve"> </v>
      </c>
      <c r="B28" s="134"/>
      <c r="C28" s="27"/>
      <c r="D28" s="126"/>
      <c r="E28" s="127"/>
      <c r="F28" s="123"/>
      <c r="G28" s="168"/>
      <c r="H28" s="41"/>
      <c r="I28" s="41"/>
      <c r="J28" s="124"/>
      <c r="K28" s="595"/>
      <c r="L28" s="596"/>
      <c r="M28" s="597"/>
    </row>
    <row r="29" spans="1:13">
      <c r="A29" s="41" t="str">
        <f t="shared" si="1"/>
        <v xml:space="preserve"> </v>
      </c>
      <c r="B29" s="134"/>
      <c r="C29" s="27"/>
      <c r="D29" s="126"/>
      <c r="E29" s="127"/>
      <c r="F29" s="123"/>
      <c r="G29" s="168"/>
      <c r="H29" s="41"/>
      <c r="I29" s="41"/>
      <c r="J29" s="124"/>
      <c r="K29" s="595"/>
      <c r="L29" s="596"/>
      <c r="M29" s="597"/>
    </row>
    <row r="30" spans="1:13">
      <c r="A30" s="41" t="str">
        <f t="shared" si="1"/>
        <v xml:space="preserve"> </v>
      </c>
      <c r="B30" s="134"/>
      <c r="C30" s="27"/>
      <c r="D30" s="126"/>
      <c r="E30" s="127"/>
      <c r="F30" s="123"/>
      <c r="G30" s="168"/>
      <c r="H30" s="41"/>
      <c r="I30" s="41"/>
      <c r="J30" s="124"/>
      <c r="K30" s="595"/>
      <c r="L30" s="596"/>
      <c r="M30" s="597"/>
    </row>
    <row r="31" spans="1:13">
      <c r="A31" s="41" t="str">
        <f t="shared" si="1"/>
        <v xml:space="preserve"> </v>
      </c>
      <c r="B31" s="134"/>
      <c r="C31" s="27"/>
      <c r="D31" s="126"/>
      <c r="E31" s="127"/>
      <c r="F31" s="123"/>
      <c r="G31" s="168"/>
      <c r="H31" s="41"/>
      <c r="I31" s="41"/>
      <c r="J31" s="124"/>
      <c r="K31" s="595"/>
      <c r="L31" s="596"/>
      <c r="M31" s="597"/>
    </row>
    <row r="32" spans="1:13">
      <c r="A32" s="41" t="str">
        <f t="shared" si="1"/>
        <v xml:space="preserve"> </v>
      </c>
      <c r="B32" s="134"/>
      <c r="C32" s="27"/>
      <c r="D32" s="126"/>
      <c r="E32" s="127"/>
      <c r="F32" s="123"/>
      <c r="G32" s="168"/>
      <c r="H32" s="41"/>
      <c r="I32" s="41"/>
      <c r="J32" s="124"/>
      <c r="K32" s="595"/>
      <c r="L32" s="596"/>
      <c r="M32" s="597"/>
    </row>
    <row r="33" spans="1:13">
      <c r="A33" s="41" t="str">
        <f t="shared" si="1"/>
        <v xml:space="preserve"> </v>
      </c>
      <c r="B33" s="134"/>
      <c r="C33" s="27"/>
      <c r="D33" s="126"/>
      <c r="E33" s="127"/>
      <c r="F33" s="123"/>
      <c r="G33" s="168"/>
      <c r="H33" s="41"/>
      <c r="I33" s="41"/>
      <c r="J33" s="124"/>
      <c r="K33" s="595"/>
      <c r="L33" s="596"/>
      <c r="M33" s="597"/>
    </row>
    <row r="34" spans="1:13">
      <c r="A34" s="41" t="str">
        <f t="shared" si="1"/>
        <v xml:space="preserve"> </v>
      </c>
      <c r="B34" s="134"/>
      <c r="C34" s="27"/>
      <c r="D34" s="126"/>
      <c r="E34" s="127"/>
      <c r="F34" s="123"/>
      <c r="G34" s="168"/>
      <c r="H34" s="41"/>
      <c r="I34" s="41"/>
      <c r="J34" s="124"/>
      <c r="K34" s="595"/>
      <c r="L34" s="596"/>
      <c r="M34" s="597"/>
    </row>
    <row r="35" spans="1:13">
      <c r="A35" s="41" t="str">
        <f t="shared" si="1"/>
        <v xml:space="preserve"> </v>
      </c>
      <c r="B35" s="134"/>
      <c r="C35" s="27"/>
      <c r="D35" s="126"/>
      <c r="E35" s="127"/>
      <c r="F35" s="123"/>
      <c r="G35" s="168"/>
      <c r="H35" s="41"/>
      <c r="I35" s="41"/>
      <c r="J35" s="124"/>
      <c r="K35" s="595"/>
      <c r="L35" s="596"/>
      <c r="M35" s="597"/>
    </row>
    <row r="36" spans="1:13">
      <c r="A36" s="41" t="str">
        <f t="shared" si="1"/>
        <v xml:space="preserve"> </v>
      </c>
      <c r="B36" s="134"/>
      <c r="C36" s="27"/>
      <c r="D36" s="126"/>
      <c r="E36" s="127"/>
      <c r="F36" s="123"/>
      <c r="G36" s="168"/>
      <c r="H36" s="41"/>
      <c r="I36" s="41"/>
      <c r="J36" s="124"/>
      <c r="K36" s="595"/>
      <c r="L36" s="596"/>
      <c r="M36" s="597"/>
    </row>
    <row r="37" spans="1:13">
      <c r="A37" s="41" t="str">
        <f t="shared" si="1"/>
        <v xml:space="preserve"> </v>
      </c>
      <c r="B37" s="134"/>
      <c r="C37" s="27"/>
      <c r="D37" s="126"/>
      <c r="E37" s="127"/>
      <c r="F37" s="123"/>
      <c r="G37" s="168"/>
      <c r="H37" s="41"/>
      <c r="I37" s="41"/>
      <c r="J37" s="124"/>
      <c r="K37" s="595"/>
      <c r="L37" s="596"/>
      <c r="M37" s="597"/>
    </row>
    <row r="38" spans="1:13">
      <c r="A38" s="41" t="str">
        <f t="shared" si="1"/>
        <v xml:space="preserve"> </v>
      </c>
      <c r="B38" s="134"/>
      <c r="C38" s="27"/>
      <c r="D38" s="126"/>
      <c r="E38" s="127"/>
      <c r="F38" s="123"/>
      <c r="G38" s="168"/>
      <c r="H38" s="41"/>
      <c r="I38" s="41"/>
      <c r="J38" s="124"/>
      <c r="K38" s="595"/>
      <c r="L38" s="596"/>
      <c r="M38" s="597"/>
    </row>
    <row r="39" spans="1:13">
      <c r="A39" s="41" t="str">
        <f t="shared" si="1"/>
        <v xml:space="preserve"> </v>
      </c>
      <c r="B39" s="134"/>
      <c r="C39" s="27"/>
      <c r="D39" s="126"/>
      <c r="E39" s="127"/>
      <c r="F39" s="123"/>
      <c r="G39" s="168"/>
      <c r="H39" s="41"/>
      <c r="I39" s="41"/>
      <c r="J39" s="124"/>
      <c r="K39" s="595"/>
      <c r="L39" s="596"/>
      <c r="M39" s="597"/>
    </row>
    <row r="40" spans="1:13">
      <c r="A40" s="41" t="str">
        <f t="shared" si="1"/>
        <v xml:space="preserve"> </v>
      </c>
      <c r="B40" s="134"/>
      <c r="C40" s="27"/>
      <c r="D40" s="126"/>
      <c r="E40" s="127"/>
      <c r="F40" s="123"/>
      <c r="G40" s="168"/>
      <c r="H40" s="41"/>
      <c r="I40" s="41"/>
      <c r="J40" s="124"/>
      <c r="K40" s="595"/>
      <c r="L40" s="596"/>
      <c r="M40" s="597"/>
    </row>
    <row r="41" spans="1:13">
      <c r="A41" s="41" t="str">
        <f t="shared" ref="A41:A60" si="2">IF(B41=""," ",A40+1)</f>
        <v xml:space="preserve"> </v>
      </c>
      <c r="B41" s="134"/>
      <c r="C41" s="27"/>
      <c r="D41" s="126"/>
      <c r="E41" s="127"/>
      <c r="F41" s="123"/>
      <c r="G41" s="168"/>
      <c r="H41" s="41"/>
      <c r="I41" s="41"/>
      <c r="J41" s="124"/>
      <c r="K41" s="595"/>
      <c r="L41" s="596"/>
      <c r="M41" s="597"/>
    </row>
    <row r="42" spans="1:13">
      <c r="A42" s="41" t="str">
        <f t="shared" si="2"/>
        <v xml:space="preserve"> </v>
      </c>
      <c r="B42" s="134"/>
      <c r="C42" s="27"/>
      <c r="D42" s="126"/>
      <c r="E42" s="127"/>
      <c r="F42" s="123"/>
      <c r="G42" s="168"/>
      <c r="H42" s="41"/>
      <c r="I42" s="41"/>
      <c r="J42" s="124"/>
      <c r="K42" s="595"/>
      <c r="L42" s="596"/>
      <c r="M42" s="597"/>
    </row>
    <row r="43" spans="1:13">
      <c r="A43" s="41" t="str">
        <f t="shared" si="2"/>
        <v xml:space="preserve"> </v>
      </c>
      <c r="B43" s="134"/>
      <c r="C43" s="27"/>
      <c r="D43" s="126"/>
      <c r="E43" s="127"/>
      <c r="F43" s="123"/>
      <c r="G43" s="168"/>
      <c r="H43" s="41"/>
      <c r="I43" s="41"/>
      <c r="J43" s="124"/>
      <c r="K43" s="595"/>
      <c r="L43" s="596"/>
      <c r="M43" s="597"/>
    </row>
    <row r="44" spans="1:13">
      <c r="A44" s="41" t="str">
        <f t="shared" si="2"/>
        <v xml:space="preserve"> </v>
      </c>
      <c r="B44" s="134"/>
      <c r="C44" s="27"/>
      <c r="D44" s="126"/>
      <c r="E44" s="127"/>
      <c r="F44" s="123"/>
      <c r="G44" s="168"/>
      <c r="H44" s="41"/>
      <c r="I44" s="41"/>
      <c r="J44" s="124"/>
      <c r="K44" s="595"/>
      <c r="L44" s="596"/>
      <c r="M44" s="597"/>
    </row>
    <row r="45" spans="1:13">
      <c r="A45" s="41" t="str">
        <f t="shared" si="2"/>
        <v xml:space="preserve"> </v>
      </c>
      <c r="B45" s="134"/>
      <c r="C45" s="27"/>
      <c r="D45" s="126"/>
      <c r="E45" s="127"/>
      <c r="F45" s="123"/>
      <c r="G45" s="168"/>
      <c r="H45" s="41"/>
      <c r="I45" s="41"/>
      <c r="J45" s="124"/>
      <c r="K45" s="595"/>
      <c r="L45" s="596"/>
      <c r="M45" s="597"/>
    </row>
    <row r="46" spans="1:13">
      <c r="A46" s="41" t="str">
        <f t="shared" si="2"/>
        <v xml:space="preserve"> </v>
      </c>
      <c r="B46" s="134"/>
      <c r="C46" s="27"/>
      <c r="D46" s="126"/>
      <c r="E46" s="127"/>
      <c r="F46" s="123"/>
      <c r="G46" s="168"/>
      <c r="H46" s="41"/>
      <c r="I46" s="41"/>
      <c r="J46" s="124"/>
      <c r="K46" s="595"/>
      <c r="L46" s="596"/>
      <c r="M46" s="597"/>
    </row>
    <row r="47" spans="1:13">
      <c r="A47" s="41" t="str">
        <f t="shared" si="2"/>
        <v xml:space="preserve"> </v>
      </c>
      <c r="B47" s="134"/>
      <c r="C47" s="27"/>
      <c r="D47" s="126"/>
      <c r="E47" s="127"/>
      <c r="F47" s="123"/>
      <c r="G47" s="168"/>
      <c r="H47" s="41"/>
      <c r="I47" s="41"/>
      <c r="J47" s="124"/>
      <c r="K47" s="595"/>
      <c r="L47" s="596"/>
      <c r="M47" s="597"/>
    </row>
    <row r="48" spans="1:13">
      <c r="A48" s="41" t="str">
        <f t="shared" si="2"/>
        <v xml:space="preserve"> </v>
      </c>
      <c r="B48" s="134"/>
      <c r="C48" s="27"/>
      <c r="D48" s="126"/>
      <c r="E48" s="127"/>
      <c r="F48" s="123"/>
      <c r="G48" s="168"/>
      <c r="H48" s="41"/>
      <c r="I48" s="41"/>
      <c r="J48" s="124"/>
      <c r="K48" s="595"/>
      <c r="L48" s="596"/>
      <c r="M48" s="597"/>
    </row>
    <row r="49" spans="1:13">
      <c r="A49" s="89" t="str">
        <f t="shared" si="2"/>
        <v xml:space="preserve"> </v>
      </c>
      <c r="B49" s="66"/>
      <c r="C49" s="31"/>
      <c r="D49" s="97"/>
      <c r="E49" s="98"/>
      <c r="F49" s="99"/>
      <c r="G49" s="21"/>
      <c r="H49" s="89"/>
      <c r="I49" s="89"/>
      <c r="J49" s="92"/>
      <c r="K49" s="31"/>
      <c r="L49" s="32"/>
      <c r="M49" s="33"/>
    </row>
    <row r="50" spans="1:13">
      <c r="A50" s="89" t="str">
        <f>IF(B50=""," ",#REF!+1)</f>
        <v xml:space="preserve"> </v>
      </c>
      <c r="B50" s="96"/>
      <c r="C50" s="31"/>
      <c r="D50" s="97"/>
      <c r="E50" s="98"/>
      <c r="F50" s="99"/>
      <c r="G50" s="21"/>
      <c r="H50" s="89"/>
      <c r="I50" s="89"/>
      <c r="J50" s="92"/>
      <c r="K50" s="31"/>
      <c r="L50" s="32"/>
      <c r="M50" s="33"/>
    </row>
    <row r="51" spans="1:13">
      <c r="A51" s="89" t="str">
        <f>IF(B51=""," ",#REF!+1)</f>
        <v xml:space="preserve"> </v>
      </c>
      <c r="B51" s="96"/>
      <c r="C51" s="31"/>
      <c r="D51" s="97"/>
      <c r="E51" s="98"/>
      <c r="F51" s="99"/>
      <c r="G51" s="21"/>
      <c r="H51" s="89"/>
      <c r="I51" s="89"/>
      <c r="J51" s="92"/>
      <c r="K51" s="31"/>
      <c r="L51" s="32"/>
      <c r="M51" s="33"/>
    </row>
    <row r="52" spans="1:13">
      <c r="A52" s="89" t="str">
        <f t="shared" si="2"/>
        <v xml:space="preserve"> </v>
      </c>
      <c r="B52" s="96"/>
      <c r="C52" s="31"/>
      <c r="D52" s="97"/>
      <c r="E52" s="98"/>
      <c r="F52" s="99"/>
      <c r="G52" s="21"/>
      <c r="H52" s="89"/>
      <c r="I52" s="89"/>
      <c r="J52" s="92"/>
      <c r="K52" s="31"/>
      <c r="L52" s="32"/>
      <c r="M52" s="33"/>
    </row>
    <row r="53" spans="1:13">
      <c r="A53" s="89" t="str">
        <f t="shared" si="2"/>
        <v xml:space="preserve"> </v>
      </c>
      <c r="B53" s="96"/>
      <c r="C53" s="31"/>
      <c r="D53" s="97"/>
      <c r="E53" s="98"/>
      <c r="F53" s="99"/>
      <c r="G53" s="21"/>
      <c r="H53" s="89"/>
      <c r="I53" s="89"/>
      <c r="J53" s="92"/>
      <c r="K53" s="31"/>
      <c r="L53" s="32"/>
      <c r="M53" s="33"/>
    </row>
    <row r="54" spans="1:13">
      <c r="A54" s="89" t="str">
        <f t="shared" si="2"/>
        <v xml:space="preserve"> </v>
      </c>
      <c r="B54" s="96"/>
      <c r="C54" s="31"/>
      <c r="D54" s="97"/>
      <c r="E54" s="98"/>
      <c r="F54" s="99"/>
      <c r="G54" s="21"/>
      <c r="H54" s="89"/>
      <c r="I54" s="89"/>
      <c r="J54" s="92"/>
      <c r="K54" s="31"/>
      <c r="L54" s="32"/>
      <c r="M54" s="33"/>
    </row>
    <row r="55" spans="1:13">
      <c r="A55" s="89" t="str">
        <f>IF(B55=""," ",A54+1)</f>
        <v xml:space="preserve"> </v>
      </c>
      <c r="B55" s="96"/>
      <c r="C55" s="31"/>
      <c r="D55" s="97"/>
      <c r="E55" s="98"/>
      <c r="F55" s="99"/>
      <c r="G55" s="21"/>
      <c r="H55" s="89"/>
      <c r="I55" s="89"/>
      <c r="J55" s="92"/>
      <c r="K55" s="31"/>
      <c r="L55" s="32"/>
      <c r="M55" s="33"/>
    </row>
    <row r="56" spans="1:13">
      <c r="A56" s="89" t="str">
        <f t="shared" si="2"/>
        <v xml:space="preserve"> </v>
      </c>
      <c r="B56" s="96"/>
      <c r="C56" s="31"/>
      <c r="D56" s="97"/>
      <c r="E56" s="98"/>
      <c r="F56" s="99"/>
      <c r="G56" s="21"/>
      <c r="H56" s="89"/>
      <c r="I56" s="89"/>
      <c r="J56" s="92"/>
      <c r="K56" s="31"/>
      <c r="L56" s="32"/>
      <c r="M56" s="33"/>
    </row>
    <row r="57" spans="1:13">
      <c r="A57" s="89" t="str">
        <f t="shared" si="2"/>
        <v xml:space="preserve"> </v>
      </c>
      <c r="B57" s="96"/>
      <c r="C57" s="31"/>
      <c r="D57" s="97"/>
      <c r="E57" s="98"/>
      <c r="F57" s="99"/>
      <c r="G57" s="21"/>
      <c r="H57" s="89"/>
      <c r="I57" s="89"/>
      <c r="J57" s="92"/>
      <c r="K57" s="31"/>
      <c r="L57" s="32"/>
      <c r="M57" s="33"/>
    </row>
    <row r="58" spans="1:13">
      <c r="A58" s="89" t="str">
        <f t="shared" si="2"/>
        <v xml:space="preserve"> </v>
      </c>
      <c r="B58" s="96"/>
      <c r="C58" s="31"/>
      <c r="D58" s="97"/>
      <c r="E58" s="98"/>
      <c r="F58" s="99"/>
      <c r="G58" s="21"/>
      <c r="H58" s="89"/>
      <c r="I58" s="89"/>
      <c r="J58" s="92"/>
      <c r="K58" s="31"/>
      <c r="L58" s="32"/>
      <c r="M58" s="33"/>
    </row>
    <row r="59" spans="1:13">
      <c r="A59" s="89" t="str">
        <f t="shared" si="2"/>
        <v xml:space="preserve"> </v>
      </c>
      <c r="B59" s="96"/>
      <c r="C59" s="31"/>
      <c r="D59" s="97"/>
      <c r="E59" s="98"/>
      <c r="F59" s="99"/>
      <c r="G59" s="21"/>
      <c r="H59" s="89"/>
      <c r="I59" s="89"/>
      <c r="J59" s="92"/>
      <c r="K59" s="31"/>
      <c r="L59" s="32"/>
      <c r="M59" s="33"/>
    </row>
    <row r="60" spans="1:13">
      <c r="A60" s="89" t="str">
        <f t="shared" si="2"/>
        <v xml:space="preserve"> </v>
      </c>
      <c r="B60" s="96"/>
      <c r="C60" s="31"/>
      <c r="D60" s="97"/>
      <c r="E60" s="98"/>
      <c r="F60" s="99"/>
      <c r="G60" s="21"/>
      <c r="H60" s="89"/>
      <c r="I60" s="89"/>
      <c r="J60" s="92"/>
      <c r="K60" s="31"/>
      <c r="L60" s="32"/>
      <c r="M60" s="33"/>
    </row>
    <row r="61" spans="1:13">
      <c r="A61" s="42" t="str">
        <f>IF(B61=""," ",A60+1)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13"/>
      <c r="L99" s="14"/>
      <c r="M99" s="15"/>
    </row>
    <row r="100" spans="1:13">
      <c r="A100" s="42" t="str">
        <f>IF(B100=""," ",A99+1)</f>
        <v xml:space="preserve"> </v>
      </c>
      <c r="B100" s="71"/>
      <c r="C100" s="13"/>
      <c r="D100" s="72"/>
      <c r="E100" s="73"/>
      <c r="F100" s="74"/>
      <c r="G100" s="20"/>
      <c r="H100" s="42"/>
      <c r="I100" s="42"/>
      <c r="J100" s="59"/>
      <c r="K100" s="13"/>
      <c r="L100" s="14"/>
      <c r="M100" s="15"/>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c r="B110" s="354" t="s">
        <v>725</v>
      </c>
      <c r="C110" s="113" t="s">
        <v>726</v>
      </c>
    </row>
    <row r="111" spans="1:13">
      <c r="C111" s="16" t="s">
        <v>1720</v>
      </c>
      <c r="D111" s="16" t="s">
        <v>748</v>
      </c>
    </row>
  </sheetData>
  <mergeCells count="76">
    <mergeCell ref="K93:M93"/>
    <mergeCell ref="K94:M94"/>
    <mergeCell ref="K97:M97"/>
    <mergeCell ref="K98:M98"/>
    <mergeCell ref="K85:M85"/>
    <mergeCell ref="K86:M86"/>
    <mergeCell ref="K89:M89"/>
    <mergeCell ref="K90:M90"/>
    <mergeCell ref="K77:M77"/>
    <mergeCell ref="K78:M78"/>
    <mergeCell ref="K81:M81"/>
    <mergeCell ref="K82:M82"/>
    <mergeCell ref="K69:M69"/>
    <mergeCell ref="K70:M70"/>
    <mergeCell ref="K73:M73"/>
    <mergeCell ref="K74:M74"/>
    <mergeCell ref="K65:M65"/>
    <mergeCell ref="K66:M66"/>
    <mergeCell ref="K38:M38"/>
    <mergeCell ref="K39:M39"/>
    <mergeCell ref="K40:M40"/>
    <mergeCell ref="K42:M42"/>
    <mergeCell ref="K45:M45"/>
    <mergeCell ref="K46:M46"/>
    <mergeCell ref="K48:M48"/>
    <mergeCell ref="K43:M43"/>
    <mergeCell ref="K44:M44"/>
    <mergeCell ref="K47:M47"/>
    <mergeCell ref="K37:M37"/>
    <mergeCell ref="K23:M23"/>
    <mergeCell ref="K24:M24"/>
    <mergeCell ref="K61:M61"/>
    <mergeCell ref="K62:M62"/>
    <mergeCell ref="K19:M19"/>
    <mergeCell ref="K20:M20"/>
    <mergeCell ref="K21:M21"/>
    <mergeCell ref="H2:J2"/>
    <mergeCell ref="K41:M41"/>
    <mergeCell ref="K25:M25"/>
    <mergeCell ref="K26:M26"/>
    <mergeCell ref="K27:M27"/>
    <mergeCell ref="K28:M28"/>
    <mergeCell ref="K29:M29"/>
    <mergeCell ref="K30:M30"/>
    <mergeCell ref="K31:M31"/>
    <mergeCell ref="K32:M32"/>
    <mergeCell ref="K34:M34"/>
    <mergeCell ref="K35:M35"/>
    <mergeCell ref="K36:M36"/>
    <mergeCell ref="K22:M22"/>
    <mergeCell ref="K33:M33"/>
    <mergeCell ref="H4:I4"/>
    <mergeCell ref="H3:I3"/>
    <mergeCell ref="K15:M15"/>
    <mergeCell ref="K16:M16"/>
    <mergeCell ref="K12:M12"/>
    <mergeCell ref="K13:M13"/>
    <mergeCell ref="K14:M14"/>
    <mergeCell ref="K8:M8"/>
    <mergeCell ref="K9:M9"/>
    <mergeCell ref="K10:M10"/>
    <mergeCell ref="K11:M11"/>
    <mergeCell ref="K7:M7"/>
    <mergeCell ref="K17:M17"/>
    <mergeCell ref="K18:M18"/>
    <mergeCell ref="B5:C5"/>
    <mergeCell ref="K5:M6"/>
    <mergeCell ref="I5:J5"/>
    <mergeCell ref="D5:H5"/>
    <mergeCell ref="A5:A6"/>
    <mergeCell ref="A2:B2"/>
    <mergeCell ref="A3:B3"/>
    <mergeCell ref="A4:B4"/>
    <mergeCell ref="C2:G2"/>
    <mergeCell ref="C3:G3"/>
    <mergeCell ref="C4:G4"/>
  </mergeCells>
  <phoneticPr fontId="6"/>
  <dataValidations count="6">
    <dataValidation type="list" allowBlank="1" showInputMessage="1" showErrorMessage="1" sqref="H7:H11 I7:I10 I13:I48 H14:H48" xr:uid="{00000000-0002-0000-0300-000000000000}">
      <formula1>$O$4</formula1>
    </dataValidation>
    <dataValidation type="whole" imeMode="disabled" operator="greaterThan" allowBlank="1" showInputMessage="1" showErrorMessage="1" sqref="E7:E9 E14:E48" xr:uid="{00000000-0002-0000-0300-000001000000}">
      <formula1>0</formula1>
    </dataValidation>
    <dataValidation type="whole" imeMode="disabled" operator="greaterThanOrEqual" allowBlank="1" showInputMessage="1" showErrorMessage="1" sqref="F7:F9 F14:F48" xr:uid="{00000000-0002-0000-0300-000002000000}">
      <formula1>0</formula1>
    </dataValidation>
    <dataValidation type="textLength" imeMode="disabled" operator="lessThanOrEqual" allowBlank="1" showInputMessage="1" showErrorMessage="1" sqref="C4 E4:G4" xr:uid="{00000000-0002-0000-0300-000003000000}">
      <formula1>8</formula1>
    </dataValidation>
    <dataValidation imeMode="disabled" allowBlank="1" showInputMessage="1" showErrorMessage="1" sqref="J7:J9 J13:J48" xr:uid="{00000000-0002-0000-0300-000004000000}"/>
    <dataValidation type="textLength" imeMode="disabled" operator="lessThanOrEqual" allowBlank="1" showInputMessage="1" showErrorMessage="1" sqref="C7:C9 C14:C48" xr:uid="{00000000-0002-0000-0300-000005000000}">
      <formula1>12</formula1>
    </dataValidation>
  </dataValidations>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9">
    <pageSetUpPr fitToPage="1"/>
  </sheetPr>
  <dimension ref="A1:P122"/>
  <sheetViews>
    <sheetView showGridLines="0" zoomScaleNormal="100" zoomScaleSheetLayoutView="100" workbookViewId="0">
      <pane ySplit="6" topLeftCell="A10" activePane="bottomLeft" state="frozen"/>
      <selection activeCell="A7" sqref="A7"/>
      <selection pane="bottomLeft" activeCell="N11" sqref="N11"/>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ht="12" customHeight="1">
      <c r="B1" s="47"/>
    </row>
    <row r="2" spans="1:16" ht="12" customHeight="1">
      <c r="A2" s="643" t="s">
        <v>602</v>
      </c>
      <c r="B2" s="644"/>
      <c r="C2" s="643" t="s">
        <v>36</v>
      </c>
      <c r="D2" s="651"/>
      <c r="E2" s="651"/>
      <c r="F2" s="651"/>
      <c r="G2" s="644"/>
      <c r="H2" s="643"/>
      <c r="I2" s="651"/>
      <c r="J2" s="644"/>
      <c r="K2" s="37"/>
      <c r="L2" s="38" t="s">
        <v>37</v>
      </c>
      <c r="M2" s="38" t="s">
        <v>38</v>
      </c>
    </row>
    <row r="3" spans="1:16" ht="12" customHeight="1">
      <c r="A3" s="647"/>
      <c r="B3" s="648"/>
      <c r="C3" s="652" t="s">
        <v>846</v>
      </c>
      <c r="D3" s="653"/>
      <c r="E3" s="653"/>
      <c r="F3" s="653"/>
      <c r="G3" s="654"/>
      <c r="H3" s="643" t="s">
        <v>39</v>
      </c>
      <c r="I3" s="644"/>
      <c r="J3" s="39">
        <f>COUNT(A7:A100)</f>
        <v>9</v>
      </c>
      <c r="K3" s="38" t="s">
        <v>40</v>
      </c>
      <c r="L3" s="40">
        <v>38629</v>
      </c>
      <c r="M3" s="41" t="s">
        <v>56</v>
      </c>
      <c r="O3" s="16" t="s">
        <v>41</v>
      </c>
      <c r="P3" s="16" t="s">
        <v>42</v>
      </c>
    </row>
    <row r="4" spans="1:16" ht="12" customHeight="1">
      <c r="A4" s="649" t="s">
        <v>43</v>
      </c>
      <c r="B4" s="650"/>
      <c r="C4" s="649" t="s">
        <v>851</v>
      </c>
      <c r="D4" s="655"/>
      <c r="E4" s="655"/>
      <c r="F4" s="655"/>
      <c r="G4" s="650"/>
      <c r="H4" s="643" t="s">
        <v>44</v>
      </c>
      <c r="I4" s="644"/>
      <c r="J4" s="39">
        <f>SUM(G7:G100)</f>
        <v>80</v>
      </c>
      <c r="K4" s="38" t="s">
        <v>45</v>
      </c>
      <c r="L4" s="40">
        <v>38816</v>
      </c>
      <c r="M4" s="42" t="s">
        <v>532</v>
      </c>
      <c r="O4" s="16" t="s">
        <v>1358</v>
      </c>
      <c r="P4" s="16" t="s">
        <v>1359</v>
      </c>
    </row>
    <row r="5" spans="1:16" ht="12" customHeight="1">
      <c r="A5" s="645" t="s">
        <v>1360</v>
      </c>
      <c r="B5" s="643" t="s">
        <v>46</v>
      </c>
      <c r="C5" s="651"/>
      <c r="D5" s="662" t="s">
        <v>47</v>
      </c>
      <c r="E5" s="651"/>
      <c r="F5" s="651"/>
      <c r="G5" s="651"/>
      <c r="H5" s="651"/>
      <c r="I5" s="643" t="s">
        <v>604</v>
      </c>
      <c r="J5" s="644"/>
      <c r="K5" s="656" t="s">
        <v>48</v>
      </c>
      <c r="L5" s="657"/>
      <c r="M5" s="658"/>
      <c r="P5" s="16" t="s">
        <v>605</v>
      </c>
    </row>
    <row r="6" spans="1:16" ht="12" customHeight="1">
      <c r="A6" s="646"/>
      <c r="B6" s="38" t="s">
        <v>49</v>
      </c>
      <c r="C6" s="35" t="s">
        <v>50</v>
      </c>
      <c r="D6" s="43" t="s">
        <v>42</v>
      </c>
      <c r="E6" s="44" t="s">
        <v>51</v>
      </c>
      <c r="F6" s="45" t="s">
        <v>52</v>
      </c>
      <c r="G6" s="38" t="s">
        <v>606</v>
      </c>
      <c r="H6" s="36" t="s">
        <v>53</v>
      </c>
      <c r="I6" s="36" t="s">
        <v>607</v>
      </c>
      <c r="J6" s="36" t="s">
        <v>608</v>
      </c>
      <c r="K6" s="659"/>
      <c r="L6" s="660"/>
      <c r="M6" s="661"/>
      <c r="P6" s="16" t="s">
        <v>609</v>
      </c>
    </row>
    <row r="7" spans="1:16" ht="12" customHeight="1">
      <c r="A7" s="42">
        <v>1</v>
      </c>
      <c r="B7" s="48" t="s">
        <v>74</v>
      </c>
      <c r="C7" s="49" t="s">
        <v>1361</v>
      </c>
      <c r="D7" s="50" t="s">
        <v>1164</v>
      </c>
      <c r="E7" s="51">
        <v>16</v>
      </c>
      <c r="F7" s="52"/>
      <c r="G7" s="20">
        <f t="shared" ref="G7:G15" si="0">IF(D7="DATE",4,IF(D7="CHAR",E7,IF(D7="SMALLINT",2,IF(D7="INTEGER",4,IF(D7="TIMESTAMP",10,IF(D7="TIME",3,0))))))</f>
        <v>16</v>
      </c>
      <c r="H7" s="53" t="s">
        <v>1377</v>
      </c>
      <c r="I7" s="53" t="s">
        <v>1377</v>
      </c>
      <c r="J7" s="60"/>
      <c r="K7" s="599"/>
      <c r="L7" s="600"/>
      <c r="M7" s="601"/>
    </row>
    <row r="8" spans="1:16" ht="12" customHeight="1">
      <c r="A8" s="42">
        <f t="shared" ref="A8:A15" si="1">IF(B8=""," ",A7+1)</f>
        <v>2</v>
      </c>
      <c r="B8" s="48" t="s">
        <v>66</v>
      </c>
      <c r="C8" s="49" t="s">
        <v>1362</v>
      </c>
      <c r="D8" s="78" t="s">
        <v>506</v>
      </c>
      <c r="E8" s="98">
        <v>7</v>
      </c>
      <c r="F8" s="58"/>
      <c r="G8" s="20">
        <f t="shared" si="0"/>
        <v>7</v>
      </c>
      <c r="H8" s="53" t="s">
        <v>547</v>
      </c>
      <c r="I8" s="53" t="s">
        <v>1363</v>
      </c>
      <c r="J8" s="59"/>
      <c r="K8" s="599"/>
      <c r="L8" s="600"/>
      <c r="M8" s="601"/>
      <c r="P8" s="16" t="s">
        <v>839</v>
      </c>
    </row>
    <row r="9" spans="1:16" ht="27" customHeight="1">
      <c r="A9" s="42">
        <f t="shared" si="1"/>
        <v>3</v>
      </c>
      <c r="B9" s="48" t="s">
        <v>525</v>
      </c>
      <c r="C9" s="49" t="s">
        <v>292</v>
      </c>
      <c r="D9" s="78" t="s">
        <v>524</v>
      </c>
      <c r="E9" s="98">
        <v>7</v>
      </c>
      <c r="F9" s="58"/>
      <c r="G9" s="20">
        <f t="shared" si="0"/>
        <v>7</v>
      </c>
      <c r="H9" s="53" t="s">
        <v>574</v>
      </c>
      <c r="I9" s="53" t="s">
        <v>574</v>
      </c>
      <c r="J9" s="59"/>
      <c r="K9" s="599" t="s">
        <v>1202</v>
      </c>
      <c r="L9" s="600"/>
      <c r="M9" s="601"/>
    </row>
    <row r="10" spans="1:16" ht="58.5" customHeight="1">
      <c r="A10" s="42">
        <f t="shared" si="1"/>
        <v>4</v>
      </c>
      <c r="B10" s="48" t="s">
        <v>119</v>
      </c>
      <c r="C10" s="49" t="s">
        <v>1094</v>
      </c>
      <c r="D10" s="78" t="s">
        <v>1422</v>
      </c>
      <c r="E10" s="73">
        <v>4</v>
      </c>
      <c r="F10" s="74"/>
      <c r="G10" s="21">
        <f t="shared" si="0"/>
        <v>4</v>
      </c>
      <c r="H10" s="42" t="s">
        <v>576</v>
      </c>
      <c r="I10" s="42" t="s">
        <v>576</v>
      </c>
      <c r="J10" s="59"/>
      <c r="K10" s="599" t="s">
        <v>729</v>
      </c>
      <c r="L10" s="635"/>
      <c r="M10" s="636"/>
      <c r="P10" s="16" t="s">
        <v>577</v>
      </c>
    </row>
    <row r="11" spans="1:16" ht="170.1" customHeight="1">
      <c r="A11" s="42">
        <f t="shared" si="1"/>
        <v>5</v>
      </c>
      <c r="B11" s="48" t="s">
        <v>218</v>
      </c>
      <c r="C11" s="49" t="s">
        <v>847</v>
      </c>
      <c r="D11" s="50" t="s">
        <v>848</v>
      </c>
      <c r="E11" s="51">
        <v>128</v>
      </c>
      <c r="F11" s="58"/>
      <c r="G11" s="20">
        <v>20</v>
      </c>
      <c r="H11" s="53" t="s">
        <v>1377</v>
      </c>
      <c r="I11" s="53"/>
      <c r="J11" s="59"/>
      <c r="K11" s="599" t="s">
        <v>1454</v>
      </c>
      <c r="L11" s="600"/>
      <c r="M11" s="601"/>
      <c r="P11" s="164" t="s">
        <v>849</v>
      </c>
    </row>
    <row r="12" spans="1:16" s="22" customFormat="1">
      <c r="A12" s="42">
        <f t="shared" si="1"/>
        <v>6</v>
      </c>
      <c r="B12" s="64" t="s">
        <v>26</v>
      </c>
      <c r="C12" s="24" t="s">
        <v>1399</v>
      </c>
      <c r="D12" s="65" t="s">
        <v>519</v>
      </c>
      <c r="E12" s="51"/>
      <c r="F12" s="58"/>
      <c r="G12" s="20">
        <f t="shared" si="0"/>
        <v>4</v>
      </c>
      <c r="H12" s="53" t="s">
        <v>1400</v>
      </c>
      <c r="I12" s="42" t="s">
        <v>1400</v>
      </c>
      <c r="J12" s="59"/>
      <c r="K12" s="609" t="s">
        <v>1409</v>
      </c>
      <c r="L12" s="610"/>
      <c r="M12" s="611"/>
      <c r="P12" s="164" t="s">
        <v>850</v>
      </c>
    </row>
    <row r="13" spans="1:16" s="22" customFormat="1">
      <c r="A13" s="42">
        <f t="shared" si="1"/>
        <v>7</v>
      </c>
      <c r="B13" s="64" t="s">
        <v>27</v>
      </c>
      <c r="C13" s="24" t="s">
        <v>1401</v>
      </c>
      <c r="D13" s="65" t="s">
        <v>1402</v>
      </c>
      <c r="E13" s="51"/>
      <c r="F13" s="58"/>
      <c r="G13" s="20">
        <f t="shared" si="0"/>
        <v>4</v>
      </c>
      <c r="H13" s="53" t="s">
        <v>1403</v>
      </c>
      <c r="I13" s="53"/>
      <c r="J13" s="59"/>
      <c r="K13" s="609" t="s">
        <v>1410</v>
      </c>
      <c r="L13" s="610"/>
      <c r="M13" s="611"/>
    </row>
    <row r="14" spans="1:16" ht="12" customHeight="1">
      <c r="A14" s="42">
        <f t="shared" si="1"/>
        <v>8</v>
      </c>
      <c r="B14" s="64" t="s">
        <v>1083</v>
      </c>
      <c r="C14" s="24" t="s">
        <v>1111</v>
      </c>
      <c r="D14" s="72" t="s">
        <v>1431</v>
      </c>
      <c r="E14" s="51">
        <v>8</v>
      </c>
      <c r="F14" s="58"/>
      <c r="G14" s="20">
        <f t="shared" si="0"/>
        <v>8</v>
      </c>
      <c r="H14" s="53" t="s">
        <v>1432</v>
      </c>
      <c r="I14" s="53"/>
      <c r="J14" s="59"/>
      <c r="K14" s="609" t="s">
        <v>1112</v>
      </c>
      <c r="L14" s="610"/>
      <c r="M14" s="611"/>
    </row>
    <row r="15" spans="1:16" s="22" customFormat="1">
      <c r="A15" s="42">
        <f t="shared" si="1"/>
        <v>9</v>
      </c>
      <c r="B15" s="93" t="s">
        <v>1724</v>
      </c>
      <c r="C15" s="26" t="s">
        <v>1404</v>
      </c>
      <c r="D15" s="94" t="s">
        <v>1405</v>
      </c>
      <c r="E15" s="95"/>
      <c r="F15" s="90"/>
      <c r="G15" s="20">
        <f t="shared" si="0"/>
        <v>10</v>
      </c>
      <c r="H15" s="91" t="s">
        <v>1406</v>
      </c>
      <c r="I15" s="89"/>
      <c r="J15" s="92"/>
      <c r="K15" s="602"/>
      <c r="L15" s="603"/>
      <c r="M15" s="604"/>
    </row>
    <row r="16" spans="1:16" s="164" customFormat="1">
      <c r="A16" s="53" t="str">
        <f>IF(B16=""," ",A11+1)</f>
        <v xml:space="preserve"> </v>
      </c>
      <c r="B16" s="48"/>
      <c r="C16" s="49"/>
      <c r="D16" s="50"/>
      <c r="E16" s="51"/>
      <c r="F16" s="58"/>
      <c r="G16" s="20"/>
      <c r="H16" s="53"/>
      <c r="I16" s="53"/>
      <c r="J16" s="165"/>
      <c r="K16" s="637" t="s">
        <v>1621</v>
      </c>
      <c r="L16" s="638"/>
      <c r="M16" s="639"/>
    </row>
    <row r="17" spans="1:13" s="164" customFormat="1">
      <c r="A17" s="53"/>
      <c r="B17" s="48"/>
      <c r="C17" s="49"/>
      <c r="D17" s="50"/>
      <c r="E17" s="51"/>
      <c r="F17" s="58"/>
      <c r="G17" s="20"/>
      <c r="H17" s="53"/>
      <c r="I17" s="53"/>
      <c r="J17" s="165"/>
      <c r="K17" s="640"/>
      <c r="L17" s="641"/>
      <c r="M17" s="642"/>
    </row>
    <row r="18" spans="1:13" ht="11.25" customHeight="1">
      <c r="A18" s="42"/>
      <c r="B18" s="100"/>
      <c r="C18" s="137"/>
      <c r="D18" s="78"/>
      <c r="E18" s="73"/>
      <c r="F18" s="74"/>
      <c r="G18" s="20"/>
      <c r="H18" s="42"/>
      <c r="I18" s="42"/>
      <c r="J18" s="59"/>
      <c r="K18" s="640"/>
      <c r="L18" s="641"/>
      <c r="M18" s="642"/>
    </row>
    <row r="19" spans="1:13" ht="11.25" customHeight="1">
      <c r="A19" s="42"/>
      <c r="B19" s="100"/>
      <c r="C19" s="137"/>
      <c r="D19" s="78"/>
      <c r="E19" s="73"/>
      <c r="F19" s="74"/>
      <c r="G19" s="20"/>
      <c r="H19" s="42"/>
      <c r="I19" s="42"/>
      <c r="J19" s="59"/>
      <c r="K19" s="640"/>
      <c r="L19" s="641"/>
      <c r="M19" s="642"/>
    </row>
    <row r="20" spans="1:13" ht="11.25" customHeight="1">
      <c r="A20" s="42"/>
      <c r="B20" s="100"/>
      <c r="C20" s="137"/>
      <c r="D20" s="78"/>
      <c r="E20" s="73"/>
      <c r="F20" s="74"/>
      <c r="G20" s="20"/>
      <c r="H20" s="42"/>
      <c r="I20" s="42"/>
      <c r="J20" s="59"/>
      <c r="K20" s="640"/>
      <c r="L20" s="641"/>
      <c r="M20" s="642"/>
    </row>
    <row r="21" spans="1:13" ht="11.25" customHeight="1">
      <c r="A21" s="42"/>
      <c r="B21" s="100"/>
      <c r="C21" s="137"/>
      <c r="D21" s="78"/>
      <c r="E21" s="73"/>
      <c r="F21" s="74"/>
      <c r="G21" s="20"/>
      <c r="H21" s="42"/>
      <c r="I21" s="42"/>
      <c r="J21" s="59"/>
      <c r="K21" s="640"/>
      <c r="L21" s="641"/>
      <c r="M21" s="642"/>
    </row>
    <row r="22" spans="1:13" ht="11.25" customHeight="1">
      <c r="A22" s="42"/>
      <c r="B22" s="100"/>
      <c r="C22" s="137"/>
      <c r="D22" s="78"/>
      <c r="E22" s="73"/>
      <c r="F22" s="74"/>
      <c r="G22" s="20"/>
      <c r="H22" s="42"/>
      <c r="I22" s="42"/>
      <c r="J22" s="59"/>
      <c r="K22" s="640"/>
      <c r="L22" s="641"/>
      <c r="M22" s="642"/>
    </row>
    <row r="23" spans="1:13" ht="11.25" customHeight="1">
      <c r="A23" s="42"/>
      <c r="B23" s="100"/>
      <c r="C23" s="137"/>
      <c r="D23" s="129"/>
      <c r="E23" s="73"/>
      <c r="F23" s="74"/>
      <c r="G23" s="20"/>
      <c r="H23" s="42"/>
      <c r="I23" s="42"/>
      <c r="J23" s="59"/>
      <c r="K23" s="640"/>
      <c r="L23" s="641"/>
      <c r="M23" s="642"/>
    </row>
    <row r="24" spans="1:13">
      <c r="A24" s="42"/>
      <c r="B24" s="66"/>
      <c r="C24" s="13"/>
      <c r="D24" s="72"/>
      <c r="E24" s="73"/>
      <c r="F24" s="74"/>
      <c r="G24" s="20"/>
      <c r="H24" s="42"/>
      <c r="I24" s="42"/>
      <c r="J24" s="59"/>
      <c r="K24" s="640"/>
      <c r="L24" s="641"/>
      <c r="M24" s="642"/>
    </row>
    <row r="25" spans="1:13">
      <c r="A25" s="42" t="str">
        <f>IF(B25=""," ",#REF!+1)</f>
        <v xml:space="preserve"> </v>
      </c>
      <c r="B25" s="71"/>
      <c r="C25" s="13"/>
      <c r="D25" s="72"/>
      <c r="E25" s="73"/>
      <c r="F25" s="74"/>
      <c r="G25" s="20"/>
      <c r="H25" s="42"/>
      <c r="I25" s="42"/>
      <c r="J25" s="59"/>
      <c r="K25" s="640"/>
      <c r="L25" s="641"/>
      <c r="M25" s="642"/>
    </row>
    <row r="26" spans="1:13">
      <c r="A26" s="42" t="str">
        <f t="shared" ref="A26:A46" si="2">IF(B26=""," ",A25+1)</f>
        <v xml:space="preserve"> </v>
      </c>
      <c r="B26" s="71"/>
      <c r="C26" s="13"/>
      <c r="D26" s="72"/>
      <c r="E26" s="73"/>
      <c r="F26" s="74"/>
      <c r="G26" s="20"/>
      <c r="H26" s="42"/>
      <c r="I26" s="42"/>
      <c r="J26" s="59"/>
      <c r="K26" s="640"/>
      <c r="L26" s="641"/>
      <c r="M26" s="642"/>
    </row>
    <row r="27" spans="1:13">
      <c r="A27" s="42" t="str">
        <f t="shared" si="2"/>
        <v xml:space="preserve"> </v>
      </c>
      <c r="B27" s="71"/>
      <c r="C27" s="13"/>
      <c r="D27" s="72"/>
      <c r="E27" s="73"/>
      <c r="F27" s="74"/>
      <c r="G27" s="20"/>
      <c r="H27" s="42"/>
      <c r="I27" s="42"/>
      <c r="J27" s="59"/>
      <c r="K27" s="640"/>
      <c r="L27" s="641"/>
      <c r="M27" s="642"/>
    </row>
    <row r="28" spans="1:13">
      <c r="A28" s="42" t="str">
        <f t="shared" si="2"/>
        <v xml:space="preserve"> </v>
      </c>
      <c r="B28" s="71"/>
      <c r="C28" s="13"/>
      <c r="D28" s="72"/>
      <c r="E28" s="73"/>
      <c r="F28" s="74"/>
      <c r="G28" s="20"/>
      <c r="H28" s="42"/>
      <c r="I28" s="42"/>
      <c r="J28" s="59"/>
      <c r="K28" s="640"/>
      <c r="L28" s="641"/>
      <c r="M28" s="642"/>
    </row>
    <row r="29" spans="1:13">
      <c r="A29" s="42" t="str">
        <f t="shared" si="2"/>
        <v xml:space="preserve"> </v>
      </c>
      <c r="B29" s="71"/>
      <c r="C29" s="13"/>
      <c r="D29" s="72"/>
      <c r="E29" s="73"/>
      <c r="F29" s="74"/>
      <c r="G29" s="20"/>
      <c r="H29" s="42"/>
      <c r="I29" s="42"/>
      <c r="J29" s="59"/>
      <c r="K29" s="640"/>
      <c r="L29" s="641"/>
      <c r="M29" s="642"/>
    </row>
    <row r="30" spans="1:13">
      <c r="A30" s="42" t="str">
        <f t="shared" si="2"/>
        <v xml:space="preserve"> </v>
      </c>
      <c r="B30" s="71"/>
      <c r="C30" s="13"/>
      <c r="D30" s="72"/>
      <c r="E30" s="73"/>
      <c r="F30" s="74"/>
      <c r="G30" s="20"/>
      <c r="H30" s="42"/>
      <c r="I30" s="42"/>
      <c r="J30" s="59"/>
      <c r="K30" s="640"/>
      <c r="L30" s="641"/>
      <c r="M30" s="642"/>
    </row>
    <row r="31" spans="1:13">
      <c r="A31" s="42" t="str">
        <f t="shared" si="2"/>
        <v xml:space="preserve"> </v>
      </c>
      <c r="B31" s="71"/>
      <c r="C31" s="13"/>
      <c r="D31" s="72"/>
      <c r="E31" s="73"/>
      <c r="F31" s="74"/>
      <c r="G31" s="20"/>
      <c r="H31" s="42"/>
      <c r="I31" s="42"/>
      <c r="J31" s="59"/>
      <c r="K31" s="640"/>
      <c r="L31" s="641"/>
      <c r="M31" s="642"/>
    </row>
    <row r="32" spans="1:13">
      <c r="A32" s="42" t="str">
        <f t="shared" si="2"/>
        <v xml:space="preserve"> </v>
      </c>
      <c r="B32" s="71"/>
      <c r="C32" s="13"/>
      <c r="D32" s="72"/>
      <c r="E32" s="73"/>
      <c r="F32" s="74"/>
      <c r="G32" s="20"/>
      <c r="H32" s="42"/>
      <c r="I32" s="42"/>
      <c r="J32" s="59"/>
      <c r="K32" s="640"/>
      <c r="L32" s="641"/>
      <c r="M32" s="642"/>
    </row>
    <row r="33" spans="1:13">
      <c r="A33" s="42" t="str">
        <f t="shared" si="2"/>
        <v xml:space="preserve"> </v>
      </c>
      <c r="B33" s="71"/>
      <c r="C33" s="13"/>
      <c r="D33" s="72"/>
      <c r="E33" s="73"/>
      <c r="F33" s="74"/>
      <c r="G33" s="20"/>
      <c r="H33" s="42"/>
      <c r="I33" s="42"/>
      <c r="J33" s="59"/>
      <c r="K33" s="640"/>
      <c r="L33" s="641"/>
      <c r="M33" s="642"/>
    </row>
    <row r="34" spans="1:13">
      <c r="A34" s="42" t="str">
        <f>IF(B34=""," ",#REF!+1)</f>
        <v xml:space="preserve"> </v>
      </c>
      <c r="B34" s="71"/>
      <c r="C34" s="13"/>
      <c r="D34" s="72"/>
      <c r="E34" s="73"/>
      <c r="F34" s="74"/>
      <c r="G34" s="20"/>
      <c r="H34" s="42"/>
      <c r="I34" s="42"/>
      <c r="J34" s="59"/>
      <c r="K34" s="640"/>
      <c r="L34" s="641"/>
      <c r="M34" s="642"/>
    </row>
    <row r="35" spans="1:13">
      <c r="A35" s="42" t="str">
        <f>IF(B35=""," ",#REF!+1)</f>
        <v xml:space="preserve"> </v>
      </c>
      <c r="B35" s="71"/>
      <c r="C35" s="13"/>
      <c r="D35" s="72"/>
      <c r="E35" s="73"/>
      <c r="F35" s="74"/>
      <c r="G35" s="20"/>
      <c r="H35" s="42"/>
      <c r="I35" s="42"/>
      <c r="J35" s="59"/>
      <c r="K35" s="640"/>
      <c r="L35" s="641"/>
      <c r="M35" s="642"/>
    </row>
    <row r="36" spans="1:13">
      <c r="A36" s="42" t="str">
        <f>IF(B36=""," ",#REF!+1)</f>
        <v xml:space="preserve"> </v>
      </c>
      <c r="B36" s="71"/>
      <c r="C36" s="13"/>
      <c r="D36" s="72"/>
      <c r="E36" s="73"/>
      <c r="F36" s="74"/>
      <c r="G36" s="20"/>
      <c r="H36" s="42"/>
      <c r="I36" s="42"/>
      <c r="J36" s="59"/>
      <c r="K36" s="640"/>
      <c r="L36" s="641"/>
      <c r="M36" s="642"/>
    </row>
    <row r="37" spans="1:13">
      <c r="A37" s="42" t="str">
        <f>IF(B37=""," ",A36+1)</f>
        <v xml:space="preserve"> </v>
      </c>
      <c r="B37" s="71"/>
      <c r="C37" s="13"/>
      <c r="D37" s="72"/>
      <c r="E37" s="73"/>
      <c r="F37" s="74"/>
      <c r="G37" s="20"/>
      <c r="H37" s="42"/>
      <c r="I37" s="42"/>
      <c r="J37" s="59"/>
      <c r="K37" s="640"/>
      <c r="L37" s="641"/>
      <c r="M37" s="642"/>
    </row>
    <row r="38" spans="1:13">
      <c r="A38" s="42" t="str">
        <f t="shared" si="2"/>
        <v xml:space="preserve"> </v>
      </c>
      <c r="B38" s="71"/>
      <c r="C38" s="13"/>
      <c r="D38" s="72"/>
      <c r="E38" s="73"/>
      <c r="F38" s="74"/>
      <c r="G38" s="20"/>
      <c r="H38" s="42"/>
      <c r="I38" s="42"/>
      <c r="J38" s="59"/>
      <c r="K38" s="640"/>
      <c r="L38" s="641"/>
      <c r="M38" s="642"/>
    </row>
    <row r="39" spans="1:13">
      <c r="A39" s="42" t="str">
        <f>IF(B39=""," ",#REF!+1)</f>
        <v xml:space="preserve"> </v>
      </c>
      <c r="B39" s="71"/>
      <c r="C39" s="13"/>
      <c r="D39" s="72"/>
      <c r="E39" s="73"/>
      <c r="F39" s="74"/>
      <c r="G39" s="20"/>
      <c r="H39" s="42"/>
      <c r="I39" s="42"/>
      <c r="J39" s="59"/>
      <c r="K39" s="609"/>
      <c r="L39" s="610"/>
      <c r="M39" s="611"/>
    </row>
    <row r="40" spans="1:13">
      <c r="A40" s="42" t="str">
        <f t="shared" si="2"/>
        <v xml:space="preserve"> </v>
      </c>
      <c r="B40" s="71"/>
      <c r="C40" s="13"/>
      <c r="D40" s="72"/>
      <c r="E40" s="73"/>
      <c r="F40" s="74"/>
      <c r="G40" s="20"/>
      <c r="H40" s="42"/>
      <c r="I40" s="42"/>
      <c r="J40" s="59"/>
      <c r="K40" s="609"/>
      <c r="L40" s="610"/>
      <c r="M40" s="611"/>
    </row>
    <row r="41" spans="1:13">
      <c r="A41" s="42" t="str">
        <f t="shared" si="2"/>
        <v xml:space="preserve"> </v>
      </c>
      <c r="B41" s="71"/>
      <c r="C41" s="13"/>
      <c r="D41" s="72"/>
      <c r="E41" s="73"/>
      <c r="F41" s="74"/>
      <c r="G41" s="20"/>
      <c r="H41" s="42"/>
      <c r="I41" s="42"/>
      <c r="J41" s="59"/>
      <c r="K41" s="609"/>
      <c r="L41" s="610"/>
      <c r="M41" s="611"/>
    </row>
    <row r="42" spans="1:13">
      <c r="A42" s="42" t="str">
        <f t="shared" si="2"/>
        <v xml:space="preserve"> </v>
      </c>
      <c r="B42" s="71"/>
      <c r="C42" s="13"/>
      <c r="D42" s="72"/>
      <c r="E42" s="73"/>
      <c r="F42" s="74"/>
      <c r="G42" s="20"/>
      <c r="H42" s="42"/>
      <c r="I42" s="42"/>
      <c r="J42" s="59"/>
      <c r="K42" s="609"/>
      <c r="L42" s="610"/>
      <c r="M42" s="611"/>
    </row>
    <row r="43" spans="1:13">
      <c r="A43" s="42" t="str">
        <f t="shared" si="2"/>
        <v xml:space="preserve"> </v>
      </c>
      <c r="B43" s="71"/>
      <c r="C43" s="13"/>
      <c r="D43" s="72"/>
      <c r="E43" s="73"/>
      <c r="F43" s="74"/>
      <c r="G43" s="20"/>
      <c r="H43" s="42"/>
      <c r="I43" s="42"/>
      <c r="J43" s="59"/>
      <c r="K43" s="609"/>
      <c r="L43" s="610"/>
      <c r="M43" s="611"/>
    </row>
    <row r="44" spans="1:13">
      <c r="A44" s="42" t="str">
        <f t="shared" si="2"/>
        <v xml:space="preserve"> </v>
      </c>
      <c r="B44" s="71"/>
      <c r="C44" s="13"/>
      <c r="D44" s="72"/>
      <c r="E44" s="73"/>
      <c r="F44" s="74"/>
      <c r="G44" s="20"/>
      <c r="H44" s="42"/>
      <c r="I44" s="42"/>
      <c r="J44" s="59"/>
      <c r="K44" s="609"/>
      <c r="L44" s="610"/>
      <c r="M44" s="611"/>
    </row>
    <row r="45" spans="1:13">
      <c r="A45" s="42" t="str">
        <f t="shared" si="2"/>
        <v xml:space="preserve"> </v>
      </c>
      <c r="B45" s="71"/>
      <c r="C45" s="13"/>
      <c r="D45" s="72"/>
      <c r="E45" s="73"/>
      <c r="F45" s="74"/>
      <c r="G45" s="20"/>
      <c r="H45" s="42"/>
      <c r="I45" s="42"/>
      <c r="J45" s="59"/>
      <c r="K45" s="609"/>
      <c r="L45" s="610"/>
      <c r="M45" s="611"/>
    </row>
    <row r="46" spans="1:13">
      <c r="A46" s="42" t="str">
        <f t="shared" si="2"/>
        <v xml:space="preserve"> </v>
      </c>
      <c r="B46" s="71"/>
      <c r="C46" s="13"/>
      <c r="D46" s="72"/>
      <c r="E46" s="73"/>
      <c r="F46" s="74"/>
      <c r="G46" s="20"/>
      <c r="H46" s="42"/>
      <c r="I46" s="42"/>
      <c r="J46" s="59"/>
      <c r="K46" s="609"/>
      <c r="L46" s="610"/>
      <c r="M46" s="611"/>
    </row>
    <row r="47" spans="1:13">
      <c r="A47" s="42" t="str">
        <f t="shared" ref="A47:A65" si="3">IF(B47=""," ",A46+1)</f>
        <v xml:space="preserve"> </v>
      </c>
      <c r="B47" s="71"/>
      <c r="C47" s="13"/>
      <c r="D47" s="72"/>
      <c r="E47" s="73"/>
      <c r="F47" s="74"/>
      <c r="G47" s="20"/>
      <c r="H47" s="42"/>
      <c r="I47" s="42"/>
      <c r="J47" s="59"/>
      <c r="K47" s="609"/>
      <c r="L47" s="610"/>
      <c r="M47" s="611"/>
    </row>
    <row r="48" spans="1:13">
      <c r="A48" s="42" t="str">
        <f t="shared" si="3"/>
        <v xml:space="preserve"> </v>
      </c>
      <c r="B48" s="71"/>
      <c r="C48" s="13"/>
      <c r="D48" s="72"/>
      <c r="E48" s="73"/>
      <c r="F48" s="74"/>
      <c r="G48" s="20"/>
      <c r="H48" s="42"/>
      <c r="I48" s="42"/>
      <c r="J48" s="59"/>
      <c r="K48" s="609"/>
      <c r="L48" s="610"/>
      <c r="M48" s="611"/>
    </row>
    <row r="49" spans="1:13">
      <c r="A49" s="42" t="str">
        <f t="shared" si="3"/>
        <v xml:space="preserve"> </v>
      </c>
      <c r="B49" s="71"/>
      <c r="C49" s="13"/>
      <c r="D49" s="72"/>
      <c r="E49" s="73"/>
      <c r="F49" s="74"/>
      <c r="G49" s="20"/>
      <c r="H49" s="42"/>
      <c r="I49" s="42"/>
      <c r="J49" s="59"/>
      <c r="K49" s="609"/>
      <c r="L49" s="610"/>
      <c r="M49" s="611"/>
    </row>
    <row r="50" spans="1:13">
      <c r="A50" s="42" t="str">
        <f t="shared" si="3"/>
        <v xml:space="preserve"> </v>
      </c>
      <c r="B50" s="71"/>
      <c r="C50" s="13"/>
      <c r="D50" s="72"/>
      <c r="E50" s="73"/>
      <c r="F50" s="74"/>
      <c r="G50" s="20"/>
      <c r="H50" s="42"/>
      <c r="I50" s="42"/>
      <c r="J50" s="59"/>
      <c r="K50" s="609"/>
      <c r="L50" s="610"/>
      <c r="M50" s="611"/>
    </row>
    <row r="51" spans="1:13">
      <c r="A51" s="42" t="str">
        <f t="shared" si="3"/>
        <v xml:space="preserve"> </v>
      </c>
      <c r="B51" s="71"/>
      <c r="C51" s="13"/>
      <c r="D51" s="72"/>
      <c r="E51" s="73"/>
      <c r="F51" s="74"/>
      <c r="G51" s="20"/>
      <c r="H51" s="42"/>
      <c r="I51" s="42"/>
      <c r="J51" s="59"/>
      <c r="K51" s="609"/>
      <c r="L51" s="610"/>
      <c r="M51" s="611"/>
    </row>
    <row r="52" spans="1:13">
      <c r="A52" s="42" t="str">
        <f t="shared" si="3"/>
        <v xml:space="preserve"> </v>
      </c>
      <c r="B52" s="71"/>
      <c r="C52" s="13"/>
      <c r="D52" s="72"/>
      <c r="E52" s="73"/>
      <c r="F52" s="74"/>
      <c r="G52" s="20"/>
      <c r="H52" s="42"/>
      <c r="I52" s="42"/>
      <c r="J52" s="59"/>
      <c r="K52" s="609"/>
      <c r="L52" s="610"/>
      <c r="M52" s="611"/>
    </row>
    <row r="53" spans="1:13">
      <c r="A53" s="42" t="str">
        <f t="shared" si="3"/>
        <v xml:space="preserve"> </v>
      </c>
      <c r="B53" s="71"/>
      <c r="C53" s="13"/>
      <c r="D53" s="72"/>
      <c r="E53" s="73"/>
      <c r="F53" s="74"/>
      <c r="G53" s="20"/>
      <c r="H53" s="42"/>
      <c r="I53" s="42"/>
      <c r="J53" s="59"/>
      <c r="K53" s="609"/>
      <c r="L53" s="610"/>
      <c r="M53" s="611"/>
    </row>
    <row r="54" spans="1:13">
      <c r="A54" s="89" t="str">
        <f t="shared" si="3"/>
        <v xml:space="preserve"> </v>
      </c>
      <c r="B54" s="66"/>
      <c r="C54" s="31"/>
      <c r="D54" s="97"/>
      <c r="E54" s="98"/>
      <c r="F54" s="99"/>
      <c r="G54" s="21"/>
      <c r="H54" s="89"/>
      <c r="I54" s="89"/>
      <c r="J54" s="92"/>
      <c r="K54" s="31"/>
      <c r="L54" s="32"/>
      <c r="M54" s="33"/>
    </row>
    <row r="55" spans="1:13">
      <c r="A55" s="89" t="str">
        <f>IF(B55=""," ",#REF!+1)</f>
        <v xml:space="preserve"> </v>
      </c>
      <c r="B55" s="96"/>
      <c r="C55" s="31"/>
      <c r="D55" s="97"/>
      <c r="E55" s="98"/>
      <c r="F55" s="99"/>
      <c r="G55" s="21"/>
      <c r="H55" s="89"/>
      <c r="I55" s="89"/>
      <c r="J55" s="92"/>
      <c r="K55" s="31"/>
      <c r="L55" s="32"/>
      <c r="M55" s="33"/>
    </row>
    <row r="56" spans="1:13">
      <c r="A56" s="89" t="str">
        <f>IF(B56=""," ",#REF!+1)</f>
        <v xml:space="preserve"> </v>
      </c>
      <c r="B56" s="96"/>
      <c r="C56" s="31"/>
      <c r="D56" s="97"/>
      <c r="E56" s="98"/>
      <c r="F56" s="99"/>
      <c r="G56" s="21"/>
      <c r="H56" s="89"/>
      <c r="I56" s="89"/>
      <c r="J56" s="92"/>
      <c r="K56" s="31"/>
      <c r="L56" s="32"/>
      <c r="M56" s="33"/>
    </row>
    <row r="57" spans="1:13">
      <c r="A57" s="89" t="str">
        <f t="shared" si="3"/>
        <v xml:space="preserve"> </v>
      </c>
      <c r="B57" s="96"/>
      <c r="C57" s="31"/>
      <c r="D57" s="97"/>
      <c r="E57" s="98"/>
      <c r="F57" s="99"/>
      <c r="G57" s="21"/>
      <c r="H57" s="89"/>
      <c r="I57" s="89"/>
      <c r="J57" s="92"/>
      <c r="K57" s="31"/>
      <c r="L57" s="32"/>
      <c r="M57" s="33"/>
    </row>
    <row r="58" spans="1:13">
      <c r="A58" s="89" t="str">
        <f t="shared" si="3"/>
        <v xml:space="preserve"> </v>
      </c>
      <c r="B58" s="96"/>
      <c r="C58" s="31"/>
      <c r="D58" s="97"/>
      <c r="E58" s="98"/>
      <c r="F58" s="99"/>
      <c r="G58" s="21"/>
      <c r="H58" s="89"/>
      <c r="I58" s="89"/>
      <c r="J58" s="92"/>
      <c r="K58" s="31"/>
      <c r="L58" s="32"/>
      <c r="M58" s="33"/>
    </row>
    <row r="59" spans="1:13">
      <c r="A59" s="89" t="str">
        <f t="shared" si="3"/>
        <v xml:space="preserve"> </v>
      </c>
      <c r="B59" s="96"/>
      <c r="C59" s="31"/>
      <c r="D59" s="97"/>
      <c r="E59" s="98"/>
      <c r="F59" s="99"/>
      <c r="G59" s="21"/>
      <c r="H59" s="89"/>
      <c r="I59" s="89"/>
      <c r="J59" s="92"/>
      <c r="K59" s="31"/>
      <c r="L59" s="32"/>
      <c r="M59" s="33"/>
    </row>
    <row r="60" spans="1:13">
      <c r="A60" s="89" t="str">
        <f>IF(B60=""," ",A59+1)</f>
        <v xml:space="preserve"> </v>
      </c>
      <c r="B60" s="96"/>
      <c r="C60" s="31"/>
      <c r="D60" s="97"/>
      <c r="E60" s="98"/>
      <c r="F60" s="99"/>
      <c r="G60" s="21"/>
      <c r="H60" s="89"/>
      <c r="I60" s="89"/>
      <c r="J60" s="92"/>
      <c r="K60" s="31"/>
      <c r="L60" s="32"/>
      <c r="M60" s="33"/>
    </row>
    <row r="61" spans="1:13">
      <c r="A61" s="89" t="str">
        <f t="shared" si="3"/>
        <v xml:space="preserve"> </v>
      </c>
      <c r="B61" s="96"/>
      <c r="C61" s="31"/>
      <c r="D61" s="97"/>
      <c r="E61" s="98"/>
      <c r="F61" s="99"/>
      <c r="G61" s="21"/>
      <c r="H61" s="89"/>
      <c r="I61" s="89"/>
      <c r="J61" s="92"/>
      <c r="K61" s="31"/>
      <c r="L61" s="32"/>
      <c r="M61" s="33"/>
    </row>
    <row r="62" spans="1:13">
      <c r="A62" s="89" t="str">
        <f t="shared" si="3"/>
        <v xml:space="preserve"> </v>
      </c>
      <c r="B62" s="96"/>
      <c r="C62" s="31"/>
      <c r="D62" s="97"/>
      <c r="E62" s="98"/>
      <c r="F62" s="99"/>
      <c r="G62" s="21"/>
      <c r="H62" s="89"/>
      <c r="I62" s="89"/>
      <c r="J62" s="92"/>
      <c r="K62" s="31"/>
      <c r="L62" s="32"/>
      <c r="M62" s="33"/>
    </row>
    <row r="63" spans="1:13">
      <c r="A63" s="89" t="str">
        <f t="shared" si="3"/>
        <v xml:space="preserve"> </v>
      </c>
      <c r="B63" s="96"/>
      <c r="C63" s="31"/>
      <c r="D63" s="97"/>
      <c r="E63" s="98"/>
      <c r="F63" s="99"/>
      <c r="G63" s="21"/>
      <c r="H63" s="89"/>
      <c r="I63" s="89"/>
      <c r="J63" s="92"/>
      <c r="K63" s="31"/>
      <c r="L63" s="32"/>
      <c r="M63" s="33"/>
    </row>
    <row r="64" spans="1:13">
      <c r="A64" s="89" t="str">
        <f t="shared" si="3"/>
        <v xml:space="preserve"> </v>
      </c>
      <c r="B64" s="96"/>
      <c r="C64" s="31"/>
      <c r="D64" s="97"/>
      <c r="E64" s="98"/>
      <c r="F64" s="99"/>
      <c r="G64" s="21"/>
      <c r="H64" s="89"/>
      <c r="I64" s="89"/>
      <c r="J64" s="92"/>
      <c r="K64" s="31"/>
      <c r="L64" s="32"/>
      <c r="M64" s="33"/>
    </row>
    <row r="65" spans="1:13">
      <c r="A65" s="89" t="str">
        <f t="shared" si="3"/>
        <v xml:space="preserve"> </v>
      </c>
      <c r="B65" s="96"/>
      <c r="C65" s="31"/>
      <c r="D65" s="97"/>
      <c r="E65" s="98"/>
      <c r="F65" s="99"/>
      <c r="G65" s="21"/>
      <c r="H65" s="89"/>
      <c r="I65" s="89"/>
      <c r="J65" s="92"/>
      <c r="K65" s="31"/>
      <c r="L65" s="32"/>
      <c r="M65" s="33"/>
    </row>
    <row r="66" spans="1:13">
      <c r="A66" s="42" t="str">
        <f>IF(B66=""," ",A65+1)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13"/>
      <c r="L96" s="14"/>
      <c r="M96" s="15"/>
    </row>
    <row r="97" spans="1:13">
      <c r="A97" s="42" t="str">
        <f>IF(B97=""," ",A94+1)</f>
        <v xml:space="preserve"> </v>
      </c>
      <c r="B97" s="71"/>
      <c r="C97" s="13"/>
      <c r="D97" s="72"/>
      <c r="E97" s="73"/>
      <c r="F97" s="74"/>
      <c r="G97" s="20"/>
      <c r="H97" s="42"/>
      <c r="I97" s="42"/>
      <c r="J97" s="59"/>
      <c r="K97" s="13"/>
      <c r="L97" s="14"/>
      <c r="M97" s="15"/>
    </row>
    <row r="98" spans="1:13">
      <c r="A98" s="42" t="str">
        <f>IF(B98=""," ",A95+1)</f>
        <v xml:space="preserve"> </v>
      </c>
      <c r="B98" s="71"/>
      <c r="C98" s="13"/>
      <c r="D98" s="72"/>
      <c r="E98" s="73"/>
      <c r="F98" s="74"/>
      <c r="G98" s="20"/>
      <c r="H98" s="42"/>
      <c r="I98" s="42"/>
      <c r="J98" s="59"/>
      <c r="K98" s="13"/>
      <c r="L98" s="14"/>
      <c r="M98" s="15"/>
    </row>
    <row r="99" spans="1:13">
      <c r="A99" s="42" t="str">
        <f>IF(B99=""," ",A95+1)</f>
        <v xml:space="preserve"> </v>
      </c>
      <c r="B99" s="71"/>
      <c r="C99" s="13"/>
      <c r="D99" s="72"/>
      <c r="E99" s="73"/>
      <c r="F99" s="74"/>
      <c r="G99" s="20"/>
      <c r="H99" s="42"/>
      <c r="I99" s="42"/>
      <c r="J99" s="59"/>
      <c r="K99" s="13"/>
      <c r="L99" s="14"/>
      <c r="M99" s="15"/>
    </row>
    <row r="100" spans="1:13">
      <c r="A100" s="42" t="str">
        <f>IF(B100=""," ",A96+1)</f>
        <v xml:space="preserve"> </v>
      </c>
      <c r="B100" s="71"/>
      <c r="C100" s="13"/>
      <c r="D100" s="72"/>
      <c r="E100" s="73"/>
      <c r="F100" s="74"/>
      <c r="G100" s="20"/>
      <c r="H100" s="42"/>
      <c r="I100" s="42"/>
      <c r="J100" s="59"/>
      <c r="K100" s="13"/>
      <c r="L100" s="14"/>
      <c r="M100" s="15"/>
    </row>
    <row r="102" spans="1:13">
      <c r="B102" s="16" t="s">
        <v>1691</v>
      </c>
    </row>
    <row r="104" spans="1:13">
      <c r="B104" s="16" t="s">
        <v>1692</v>
      </c>
      <c r="C104" s="16" t="s">
        <v>1693</v>
      </c>
      <c r="D104" s="16" t="s">
        <v>1695</v>
      </c>
    </row>
    <row r="105" spans="1:13">
      <c r="D105" s="16" t="s">
        <v>1694</v>
      </c>
    </row>
    <row r="106" spans="1:13">
      <c r="D106" s="16" t="s">
        <v>1726</v>
      </c>
    </row>
    <row r="107" spans="1:13">
      <c r="C107" s="16" t="s">
        <v>1720</v>
      </c>
      <c r="D107" s="16" t="s">
        <v>1724</v>
      </c>
    </row>
    <row r="108" spans="1:13">
      <c r="C108" s="16" t="s">
        <v>1725</v>
      </c>
    </row>
    <row r="110" spans="1:13">
      <c r="B110" s="16" t="s">
        <v>800</v>
      </c>
      <c r="C110" s="16" t="s">
        <v>1720</v>
      </c>
      <c r="D110" s="16" t="s">
        <v>525</v>
      </c>
    </row>
    <row r="111" spans="1:13">
      <c r="C111" s="16" t="s">
        <v>1462</v>
      </c>
    </row>
    <row r="112" spans="1:13">
      <c r="C112" s="16" t="s">
        <v>1457</v>
      </c>
    </row>
    <row r="113" spans="2:11">
      <c r="C113" s="16" t="s">
        <v>1458</v>
      </c>
    </row>
    <row r="114" spans="2:11">
      <c r="C114" s="16" t="s">
        <v>1459</v>
      </c>
    </row>
    <row r="115" spans="2:11">
      <c r="C115" s="16" t="s">
        <v>1460</v>
      </c>
    </row>
    <row r="116" spans="2:11">
      <c r="C116" s="16" t="s">
        <v>1461</v>
      </c>
    </row>
    <row r="118" spans="2:11">
      <c r="B118" s="75" t="s">
        <v>273</v>
      </c>
      <c r="C118" s="16" t="s">
        <v>1411</v>
      </c>
    </row>
    <row r="120" spans="2:11">
      <c r="B120" s="16" t="s">
        <v>725</v>
      </c>
      <c r="C120" s="16" t="s">
        <v>1720</v>
      </c>
      <c r="D120" s="16" t="s">
        <v>749</v>
      </c>
    </row>
    <row r="122" spans="2:11">
      <c r="B122" s="386" t="s">
        <v>1715</v>
      </c>
      <c r="C122" s="386" t="s">
        <v>20</v>
      </c>
      <c r="D122" s="386" t="s">
        <v>1714</v>
      </c>
      <c r="E122" s="386"/>
      <c r="F122" s="386"/>
      <c r="G122" s="386"/>
      <c r="H122" s="386"/>
      <c r="I122" s="386"/>
      <c r="J122" s="386"/>
      <c r="K122" s="16" t="s">
        <v>294</v>
      </c>
    </row>
  </sheetData>
  <mergeCells count="55">
    <mergeCell ref="K90:M90"/>
    <mergeCell ref="K91:M91"/>
    <mergeCell ref="K94:M94"/>
    <mergeCell ref="K95:M95"/>
    <mergeCell ref="K82:M82"/>
    <mergeCell ref="K83:M83"/>
    <mergeCell ref="K86:M86"/>
    <mergeCell ref="K87:M87"/>
    <mergeCell ref="K74:M74"/>
    <mergeCell ref="K75:M75"/>
    <mergeCell ref="K78:M78"/>
    <mergeCell ref="K79:M79"/>
    <mergeCell ref="K66:M66"/>
    <mergeCell ref="K67:M67"/>
    <mergeCell ref="K70:M70"/>
    <mergeCell ref="K71:M71"/>
    <mergeCell ref="K7:M7"/>
    <mergeCell ref="B5:C5"/>
    <mergeCell ref="K5:M6"/>
    <mergeCell ref="I5:J5"/>
    <mergeCell ref="D5:H5"/>
    <mergeCell ref="H3:I3"/>
    <mergeCell ref="A5:A6"/>
    <mergeCell ref="A2:B2"/>
    <mergeCell ref="A3:B3"/>
    <mergeCell ref="A4:B4"/>
    <mergeCell ref="H2:J2"/>
    <mergeCell ref="C2:G2"/>
    <mergeCell ref="C3:G3"/>
    <mergeCell ref="C4:G4"/>
    <mergeCell ref="H4:I4"/>
    <mergeCell ref="K45:M45"/>
    <mergeCell ref="K8:M8"/>
    <mergeCell ref="K10:M10"/>
    <mergeCell ref="K11:M11"/>
    <mergeCell ref="K12:M12"/>
    <mergeCell ref="K39:M39"/>
    <mergeCell ref="K40:M40"/>
    <mergeCell ref="K16:M38"/>
    <mergeCell ref="K9:M9"/>
    <mergeCell ref="K13:M13"/>
    <mergeCell ref="K15:M15"/>
    <mergeCell ref="K14:M14"/>
    <mergeCell ref="K41:M41"/>
    <mergeCell ref="K42:M42"/>
    <mergeCell ref="K43:M43"/>
    <mergeCell ref="K44:M44"/>
    <mergeCell ref="K46:M46"/>
    <mergeCell ref="K47:M47"/>
    <mergeCell ref="K48:M48"/>
    <mergeCell ref="K53:M53"/>
    <mergeCell ref="K49:M49"/>
    <mergeCell ref="K50:M50"/>
    <mergeCell ref="K51:M51"/>
    <mergeCell ref="K52:M52"/>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9">
    <pageSetUpPr fitToPage="1"/>
  </sheetPr>
  <dimension ref="A1:P110"/>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customWidth="1"/>
    <col min="2" max="2" width="28.625" style="22" customWidth="1"/>
    <col min="3" max="3" width="13.375" style="22" customWidth="1"/>
    <col min="4" max="4" width="9.375" style="22" customWidth="1"/>
    <col min="5" max="5" width="4.875" style="22" bestFit="1" customWidth="1"/>
    <col min="6" max="6" width="4.75" style="22" bestFit="1" customWidth="1"/>
    <col min="7" max="7" width="6.125" style="22" bestFit="1" customWidth="1"/>
    <col min="8" max="8" width="4.75" style="22" bestFit="1" customWidth="1"/>
    <col min="9" max="9" width="4.75" style="22" customWidth="1"/>
    <col min="10" max="11" width="9.625" style="22" customWidth="1"/>
    <col min="12" max="12" width="10.25" style="22" customWidth="1"/>
    <col min="13" max="13" width="10.125" style="22" customWidth="1"/>
    <col min="14" max="14" width="9" style="22"/>
    <col min="15" max="16" width="0" style="22" hidden="1" customWidth="1"/>
    <col min="17" max="16384" width="9" style="22"/>
  </cols>
  <sheetData>
    <row r="1" spans="1:16" ht="12" customHeight="1">
      <c r="B1" s="243"/>
      <c r="C1" s="135" t="s">
        <v>390</v>
      </c>
    </row>
    <row r="2" spans="1:16" ht="12" customHeight="1">
      <c r="A2" s="670" t="s">
        <v>602</v>
      </c>
      <c r="B2" s="671"/>
      <c r="C2" s="670" t="s">
        <v>36</v>
      </c>
      <c r="D2" s="676"/>
      <c r="E2" s="676"/>
      <c r="F2" s="676"/>
      <c r="G2" s="671"/>
      <c r="H2" s="670"/>
      <c r="I2" s="676"/>
      <c r="J2" s="671"/>
      <c r="K2" s="81"/>
      <c r="L2" s="82" t="s">
        <v>37</v>
      </c>
      <c r="M2" s="82" t="s">
        <v>38</v>
      </c>
    </row>
    <row r="3" spans="1:16" ht="12" customHeight="1">
      <c r="A3" s="672"/>
      <c r="B3" s="673"/>
      <c r="C3" s="677" t="s">
        <v>326</v>
      </c>
      <c r="D3" s="678"/>
      <c r="E3" s="678"/>
      <c r="F3" s="678"/>
      <c r="G3" s="679"/>
      <c r="H3" s="670" t="s">
        <v>39</v>
      </c>
      <c r="I3" s="671"/>
      <c r="J3" s="83">
        <f>COUNT(A7:A100)</f>
        <v>6</v>
      </c>
      <c r="K3" s="82" t="s">
        <v>40</v>
      </c>
      <c r="L3" s="84">
        <v>38713</v>
      </c>
      <c r="M3" s="41" t="s">
        <v>532</v>
      </c>
      <c r="O3" s="22" t="s">
        <v>41</v>
      </c>
      <c r="P3" s="22" t="s">
        <v>42</v>
      </c>
    </row>
    <row r="4" spans="1:16" ht="12" customHeight="1">
      <c r="A4" s="674" t="s">
        <v>43</v>
      </c>
      <c r="B4" s="675"/>
      <c r="C4" s="680" t="s">
        <v>1483</v>
      </c>
      <c r="D4" s="681"/>
      <c r="E4" s="681"/>
      <c r="F4" s="681"/>
      <c r="G4" s="682"/>
      <c r="H4" s="670" t="s">
        <v>44</v>
      </c>
      <c r="I4" s="671"/>
      <c r="J4" s="83">
        <f>SUM(G7:G100)</f>
        <v>49</v>
      </c>
      <c r="K4" s="82" t="s">
        <v>45</v>
      </c>
      <c r="L4" s="84">
        <v>38803</v>
      </c>
      <c r="M4" s="89" t="s">
        <v>532</v>
      </c>
      <c r="O4" s="22" t="s">
        <v>574</v>
      </c>
      <c r="P4" s="22" t="s">
        <v>524</v>
      </c>
    </row>
    <row r="5" spans="1:16" ht="12" customHeight="1">
      <c r="A5" s="683" t="s">
        <v>603</v>
      </c>
      <c r="B5" s="670" t="s">
        <v>46</v>
      </c>
      <c r="C5" s="676"/>
      <c r="D5" s="691" t="s">
        <v>47</v>
      </c>
      <c r="E5" s="676"/>
      <c r="F5" s="676"/>
      <c r="G5" s="676"/>
      <c r="H5" s="676"/>
      <c r="I5" s="670" t="s">
        <v>604</v>
      </c>
      <c r="J5" s="671"/>
      <c r="K5" s="685" t="s">
        <v>48</v>
      </c>
      <c r="L5" s="686"/>
      <c r="M5" s="687"/>
      <c r="P5" s="22" t="s">
        <v>605</v>
      </c>
    </row>
    <row r="6" spans="1:16" ht="12" customHeight="1">
      <c r="A6" s="684"/>
      <c r="B6" s="82" t="s">
        <v>49</v>
      </c>
      <c r="C6" s="30" t="s">
        <v>50</v>
      </c>
      <c r="D6" s="85" t="s">
        <v>42</v>
      </c>
      <c r="E6" s="86" t="s">
        <v>51</v>
      </c>
      <c r="F6" s="87" t="s">
        <v>52</v>
      </c>
      <c r="G6" s="82" t="s">
        <v>606</v>
      </c>
      <c r="H6" s="29" t="s">
        <v>53</v>
      </c>
      <c r="I6" s="29" t="s">
        <v>607</v>
      </c>
      <c r="J6" s="29" t="s">
        <v>608</v>
      </c>
      <c r="K6" s="688"/>
      <c r="L6" s="689"/>
      <c r="M6" s="690"/>
      <c r="P6" s="22" t="s">
        <v>609</v>
      </c>
    </row>
    <row r="7" spans="1:16" ht="12" customHeight="1">
      <c r="A7" s="89">
        <v>1</v>
      </c>
      <c r="B7" s="48" t="s">
        <v>74</v>
      </c>
      <c r="C7" s="49" t="s">
        <v>1361</v>
      </c>
      <c r="D7" s="50" t="s">
        <v>1164</v>
      </c>
      <c r="E7" s="51">
        <v>16</v>
      </c>
      <c r="F7" s="99"/>
      <c r="G7" s="21">
        <f t="shared" ref="G7:G12" si="0">IF(D7="DATE",4,IF(D7="CHAR",E7,IF(D7="SMALLINT",2,IF(D7="INTEGER",4,IF(D7="TIMESTAMP",10,IF(D7="TIME",3,0))))))</f>
        <v>16</v>
      </c>
      <c r="H7" s="89" t="s">
        <v>1377</v>
      </c>
      <c r="I7" s="89" t="s">
        <v>1363</v>
      </c>
      <c r="J7" s="92"/>
      <c r="K7" s="602"/>
      <c r="L7" s="603"/>
      <c r="M7" s="604"/>
    </row>
    <row r="8" spans="1:16" ht="12" customHeight="1">
      <c r="A8" s="89">
        <v>2</v>
      </c>
      <c r="B8" s="48" t="s">
        <v>66</v>
      </c>
      <c r="C8" s="49" t="s">
        <v>1362</v>
      </c>
      <c r="D8" s="97" t="s">
        <v>548</v>
      </c>
      <c r="E8" s="98">
        <v>7</v>
      </c>
      <c r="F8" s="99"/>
      <c r="G8" s="21">
        <f t="shared" si="0"/>
        <v>7</v>
      </c>
      <c r="H8" s="89" t="s">
        <v>547</v>
      </c>
      <c r="I8" s="89" t="s">
        <v>547</v>
      </c>
      <c r="J8" s="92"/>
      <c r="K8" s="666"/>
      <c r="L8" s="667"/>
      <c r="M8" s="668"/>
    </row>
    <row r="9" spans="1:16" ht="12" customHeight="1">
      <c r="A9" s="89">
        <v>3</v>
      </c>
      <c r="B9" s="93" t="s">
        <v>26</v>
      </c>
      <c r="C9" s="26" t="s">
        <v>1399</v>
      </c>
      <c r="D9" s="65" t="s">
        <v>519</v>
      </c>
      <c r="E9" s="95"/>
      <c r="F9" s="90"/>
      <c r="G9" s="21">
        <f t="shared" si="0"/>
        <v>4</v>
      </c>
      <c r="H9" s="89" t="s">
        <v>1400</v>
      </c>
      <c r="I9" s="89" t="s">
        <v>1400</v>
      </c>
      <c r="J9" s="170"/>
      <c r="K9" s="26" t="s">
        <v>1659</v>
      </c>
      <c r="L9" s="153"/>
      <c r="M9" s="154"/>
    </row>
    <row r="10" spans="1:16" ht="12" customHeight="1">
      <c r="A10" s="89">
        <v>4</v>
      </c>
      <c r="B10" s="93" t="s">
        <v>27</v>
      </c>
      <c r="C10" s="26" t="s">
        <v>1401</v>
      </c>
      <c r="D10" s="65" t="s">
        <v>1402</v>
      </c>
      <c r="E10" s="95"/>
      <c r="F10" s="90"/>
      <c r="G10" s="21">
        <f t="shared" si="0"/>
        <v>4</v>
      </c>
      <c r="H10" s="89" t="s">
        <v>1403</v>
      </c>
      <c r="I10" s="91"/>
      <c r="J10" s="170"/>
      <c r="K10" s="26" t="s">
        <v>1660</v>
      </c>
      <c r="L10" s="153"/>
      <c r="M10" s="154"/>
    </row>
    <row r="11" spans="1:16" ht="12" customHeight="1">
      <c r="A11" s="89">
        <v>5</v>
      </c>
      <c r="B11" s="64" t="s">
        <v>1083</v>
      </c>
      <c r="C11" s="24" t="s">
        <v>1111</v>
      </c>
      <c r="D11" s="72" t="s">
        <v>1431</v>
      </c>
      <c r="E11" s="51">
        <v>8</v>
      </c>
      <c r="F11" s="58"/>
      <c r="G11" s="21">
        <f t="shared" si="0"/>
        <v>8</v>
      </c>
      <c r="H11" s="53" t="s">
        <v>1432</v>
      </c>
      <c r="I11" s="89"/>
      <c r="J11" s="92"/>
      <c r="K11" s="602"/>
      <c r="L11" s="603"/>
      <c r="M11" s="604"/>
    </row>
    <row r="12" spans="1:16">
      <c r="A12" s="89">
        <v>6</v>
      </c>
      <c r="B12" s="93" t="s">
        <v>1724</v>
      </c>
      <c r="C12" s="26" t="s">
        <v>1404</v>
      </c>
      <c r="D12" s="94" t="s">
        <v>1405</v>
      </c>
      <c r="E12" s="95"/>
      <c r="F12" s="90"/>
      <c r="G12" s="21">
        <f t="shared" si="0"/>
        <v>10</v>
      </c>
      <c r="H12" s="91" t="s">
        <v>1406</v>
      </c>
      <c r="I12" s="91"/>
      <c r="J12" s="170"/>
      <c r="K12" s="663"/>
      <c r="L12" s="664"/>
      <c r="M12" s="665"/>
    </row>
    <row r="13" spans="1:16">
      <c r="A13" s="89" t="str">
        <f>IF(B13=""," ",A12+1)</f>
        <v xml:space="preserve"> </v>
      </c>
      <c r="B13" s="96"/>
      <c r="C13" s="31"/>
      <c r="D13" s="97"/>
      <c r="E13" s="98"/>
      <c r="F13" s="99"/>
      <c r="G13" s="21"/>
      <c r="H13" s="89"/>
      <c r="I13" s="89"/>
      <c r="J13" s="92"/>
      <c r="K13" s="669"/>
      <c r="L13" s="603"/>
      <c r="M13" s="604"/>
    </row>
    <row r="14" spans="1:16">
      <c r="A14" s="89" t="str">
        <f>IF(B14=""," ",A13+1)</f>
        <v xml:space="preserve"> </v>
      </c>
      <c r="B14" s="96"/>
      <c r="C14" s="31"/>
      <c r="D14" s="97"/>
      <c r="E14" s="98"/>
      <c r="F14" s="99"/>
      <c r="G14" s="21"/>
      <c r="H14" s="89"/>
      <c r="I14" s="89"/>
      <c r="J14" s="92"/>
      <c r="K14" s="602"/>
      <c r="L14" s="603"/>
      <c r="M14" s="604"/>
    </row>
    <row r="15" spans="1:16">
      <c r="A15" s="89" t="str">
        <f>IF(B15=""," ",A14+1)</f>
        <v xml:space="preserve"> </v>
      </c>
      <c r="B15" s="100"/>
      <c r="C15" s="137"/>
      <c r="D15" s="78"/>
      <c r="E15" s="98"/>
      <c r="F15" s="99"/>
      <c r="G15" s="21"/>
      <c r="H15" s="89"/>
      <c r="I15" s="89"/>
      <c r="J15" s="92"/>
      <c r="K15" s="628"/>
      <c r="L15" s="629"/>
      <c r="M15" s="630"/>
    </row>
    <row r="16" spans="1:16">
      <c r="A16" s="89" t="str">
        <f>IF(B16=""," ",A15+1)</f>
        <v xml:space="preserve"> </v>
      </c>
      <c r="B16" s="96"/>
      <c r="C16" s="31"/>
      <c r="D16" s="97"/>
      <c r="E16" s="98"/>
      <c r="F16" s="99"/>
      <c r="G16" s="21"/>
      <c r="H16" s="89"/>
      <c r="I16" s="89"/>
      <c r="J16" s="92"/>
      <c r="K16" s="602"/>
      <c r="L16" s="603"/>
      <c r="M16" s="604"/>
    </row>
    <row r="17" spans="1:13">
      <c r="A17" s="89" t="str">
        <f>IF(B17=""," ",A16+1)</f>
        <v xml:space="preserve"> </v>
      </c>
      <c r="B17" s="48"/>
      <c r="C17" s="49"/>
      <c r="D17" s="50"/>
      <c r="E17" s="51"/>
      <c r="F17" s="99"/>
      <c r="G17" s="21"/>
      <c r="H17" s="89"/>
      <c r="I17" s="89"/>
      <c r="J17" s="92"/>
      <c r="K17" s="602"/>
      <c r="L17" s="692"/>
      <c r="M17" s="693"/>
    </row>
    <row r="18" spans="1:13">
      <c r="A18" s="89" t="str">
        <f>IF(B18=""," ",#REF!+1)</f>
        <v xml:space="preserve"> </v>
      </c>
      <c r="B18" s="96"/>
      <c r="C18" s="31"/>
      <c r="D18" s="97"/>
      <c r="E18" s="98"/>
      <c r="F18" s="99"/>
      <c r="G18" s="21"/>
      <c r="H18" s="89"/>
      <c r="I18" s="89"/>
      <c r="J18" s="92"/>
      <c r="K18" s="669"/>
      <c r="L18" s="603"/>
      <c r="M18" s="604"/>
    </row>
    <row r="19" spans="1:13">
      <c r="A19" s="89" t="str">
        <f>IF(B19=""," ",A18+1)</f>
        <v xml:space="preserve"> </v>
      </c>
      <c r="B19" s="96"/>
      <c r="C19" s="31"/>
      <c r="D19" s="97"/>
      <c r="E19" s="98"/>
      <c r="F19" s="99"/>
      <c r="G19" s="21"/>
      <c r="H19" s="89"/>
      <c r="I19" s="89"/>
      <c r="J19" s="92"/>
      <c r="K19" s="669"/>
      <c r="L19" s="603"/>
      <c r="M19" s="604"/>
    </row>
    <row r="20" spans="1:13">
      <c r="A20" s="89" t="str">
        <f>IF(B20=""," ",#REF!+1)</f>
        <v xml:space="preserve"> </v>
      </c>
      <c r="B20" s="96"/>
      <c r="C20" s="31"/>
      <c r="D20" s="97"/>
      <c r="E20" s="98"/>
      <c r="F20" s="99"/>
      <c r="G20" s="21"/>
      <c r="H20" s="89"/>
      <c r="I20" s="89"/>
      <c r="J20" s="92"/>
      <c r="K20" s="31"/>
      <c r="L20" s="32"/>
      <c r="M20" s="33"/>
    </row>
    <row r="21" spans="1:13">
      <c r="A21" s="89" t="str">
        <f>IF(B21=""," ",A20+1)</f>
        <v xml:space="preserve"> </v>
      </c>
      <c r="B21" s="96"/>
      <c r="C21" s="31"/>
      <c r="D21" s="97"/>
      <c r="E21" s="98"/>
      <c r="F21" s="99"/>
      <c r="G21" s="21"/>
      <c r="H21" s="89"/>
      <c r="I21" s="89"/>
      <c r="J21" s="92"/>
      <c r="K21" s="31"/>
      <c r="L21" s="32"/>
      <c r="M21" s="33"/>
    </row>
    <row r="22" spans="1:13">
      <c r="A22" s="89" t="str">
        <f t="shared" ref="A22:A33" si="1">IF(B22=""," ",A21+1)</f>
        <v xml:space="preserve"> </v>
      </c>
      <c r="B22" s="66"/>
      <c r="C22" s="31"/>
      <c r="D22" s="97"/>
      <c r="E22" s="98"/>
      <c r="F22" s="99"/>
      <c r="G22" s="21"/>
      <c r="H22" s="89"/>
      <c r="I22" s="89"/>
      <c r="J22" s="92"/>
      <c r="K22" s="31"/>
      <c r="L22" s="32"/>
      <c r="M22" s="33"/>
    </row>
    <row r="23" spans="1:13">
      <c r="A23" s="89" t="str">
        <f>IF(B23=""," ",#REF!+1)</f>
        <v xml:space="preserve"> </v>
      </c>
      <c r="B23" s="96"/>
      <c r="C23" s="31"/>
      <c r="D23" s="97"/>
      <c r="E23" s="98"/>
      <c r="F23" s="99"/>
      <c r="G23" s="21"/>
      <c r="H23" s="89"/>
      <c r="I23" s="89"/>
      <c r="J23" s="92"/>
      <c r="K23" s="31"/>
      <c r="L23" s="32"/>
      <c r="M23" s="33"/>
    </row>
    <row r="24" spans="1:13">
      <c r="A24" s="89" t="str">
        <f>IF(B24=""," ",#REF!+1)</f>
        <v xml:space="preserve"> </v>
      </c>
      <c r="B24" s="96"/>
      <c r="C24" s="31"/>
      <c r="D24" s="97"/>
      <c r="E24" s="98"/>
      <c r="F24" s="99"/>
      <c r="G24" s="21"/>
      <c r="H24" s="89"/>
      <c r="I24" s="89"/>
      <c r="J24" s="92"/>
      <c r="K24" s="31"/>
      <c r="L24" s="32"/>
      <c r="M24" s="33"/>
    </row>
    <row r="25" spans="1:13">
      <c r="A25" s="89" t="str">
        <f t="shared" si="1"/>
        <v xml:space="preserve"> </v>
      </c>
      <c r="B25" s="96"/>
      <c r="C25" s="31"/>
      <c r="D25" s="97"/>
      <c r="E25" s="98"/>
      <c r="F25" s="99"/>
      <c r="G25" s="21"/>
      <c r="H25" s="89"/>
      <c r="I25" s="89"/>
      <c r="J25" s="92"/>
      <c r="K25" s="31"/>
      <c r="L25" s="32"/>
      <c r="M25" s="33"/>
    </row>
    <row r="26" spans="1:13">
      <c r="A26" s="89" t="str">
        <f t="shared" si="1"/>
        <v xml:space="preserve"> </v>
      </c>
      <c r="B26" s="96"/>
      <c r="C26" s="31"/>
      <c r="D26" s="97"/>
      <c r="E26" s="98"/>
      <c r="F26" s="99"/>
      <c r="G26" s="21"/>
      <c r="H26" s="89"/>
      <c r="I26" s="89"/>
      <c r="J26" s="92"/>
      <c r="K26" s="31"/>
      <c r="L26" s="32"/>
      <c r="M26" s="33"/>
    </row>
    <row r="27" spans="1:13">
      <c r="A27" s="89" t="str">
        <f t="shared" si="1"/>
        <v xml:space="preserve"> </v>
      </c>
      <c r="B27" s="96"/>
      <c r="C27" s="31"/>
      <c r="D27" s="97"/>
      <c r="E27" s="98"/>
      <c r="F27" s="99"/>
      <c r="G27" s="21"/>
      <c r="H27" s="89"/>
      <c r="I27" s="89"/>
      <c r="J27" s="92"/>
      <c r="K27" s="31"/>
      <c r="L27" s="32"/>
      <c r="M27" s="33"/>
    </row>
    <row r="28" spans="1:13">
      <c r="A28" s="89" t="str">
        <f>IF(B28=""," ",A27+1)</f>
        <v xml:space="preserve"> </v>
      </c>
      <c r="B28" s="96"/>
      <c r="C28" s="31"/>
      <c r="D28" s="97"/>
      <c r="E28" s="98"/>
      <c r="F28" s="99"/>
      <c r="G28" s="21"/>
      <c r="H28" s="89"/>
      <c r="I28" s="89"/>
      <c r="J28" s="92"/>
      <c r="K28" s="31"/>
      <c r="L28" s="32"/>
      <c r="M28" s="33"/>
    </row>
    <row r="29" spans="1:13">
      <c r="A29" s="89" t="str">
        <f t="shared" si="1"/>
        <v xml:space="preserve"> </v>
      </c>
      <c r="B29" s="96"/>
      <c r="C29" s="31"/>
      <c r="D29" s="97"/>
      <c r="E29" s="98"/>
      <c r="F29" s="99"/>
      <c r="G29" s="21"/>
      <c r="H29" s="89"/>
      <c r="I29" s="89"/>
      <c r="J29" s="92"/>
      <c r="K29" s="31"/>
      <c r="L29" s="32"/>
      <c r="M29" s="33"/>
    </row>
    <row r="30" spans="1:13" ht="12" customHeight="1">
      <c r="A30" s="89" t="str">
        <f t="shared" si="1"/>
        <v xml:space="preserve"> </v>
      </c>
      <c r="B30" s="96"/>
      <c r="C30" s="31"/>
      <c r="D30" s="97"/>
      <c r="E30" s="98"/>
      <c r="F30" s="99"/>
      <c r="G30" s="21"/>
      <c r="H30" s="89"/>
      <c r="I30" s="89"/>
      <c r="J30" s="92"/>
      <c r="K30" s="31"/>
      <c r="L30" s="32"/>
      <c r="M30" s="33"/>
    </row>
    <row r="31" spans="1:13" ht="12" customHeight="1">
      <c r="A31" s="89" t="str">
        <f t="shared" si="1"/>
        <v xml:space="preserve"> </v>
      </c>
      <c r="B31" s="96"/>
      <c r="C31" s="31"/>
      <c r="D31" s="97"/>
      <c r="E31" s="98"/>
      <c r="F31" s="99"/>
      <c r="G31" s="21"/>
      <c r="H31" s="89"/>
      <c r="I31" s="89"/>
      <c r="J31" s="92"/>
      <c r="K31" s="31"/>
      <c r="L31" s="32"/>
      <c r="M31" s="33"/>
    </row>
    <row r="32" spans="1:13" ht="12" customHeight="1">
      <c r="A32" s="89" t="str">
        <f t="shared" si="1"/>
        <v xml:space="preserve"> </v>
      </c>
      <c r="B32" s="96"/>
      <c r="C32" s="31"/>
      <c r="D32" s="97"/>
      <c r="E32" s="98"/>
      <c r="F32" s="99"/>
      <c r="G32" s="21"/>
      <c r="H32" s="89"/>
      <c r="I32" s="89"/>
      <c r="J32" s="92"/>
      <c r="K32" s="31"/>
      <c r="L32" s="32"/>
      <c r="M32" s="33"/>
    </row>
    <row r="33" spans="1:13" ht="12" customHeight="1">
      <c r="A33" s="89" t="str">
        <f t="shared" si="1"/>
        <v xml:space="preserve"> </v>
      </c>
      <c r="B33" s="96"/>
      <c r="C33" s="31"/>
      <c r="D33" s="97"/>
      <c r="E33" s="98"/>
      <c r="F33" s="99"/>
      <c r="G33" s="21"/>
      <c r="H33" s="89"/>
      <c r="I33" s="89"/>
      <c r="J33" s="92"/>
      <c r="K33" s="31"/>
      <c r="L33" s="32"/>
      <c r="M33" s="33"/>
    </row>
    <row r="34" spans="1:13" ht="12" customHeight="1">
      <c r="A34" s="42" t="str">
        <f>IF(B34=""," ",A33+1)</f>
        <v xml:space="preserve"> </v>
      </c>
      <c r="B34" s="71"/>
      <c r="C34" s="13"/>
      <c r="D34" s="72"/>
      <c r="E34" s="73"/>
      <c r="F34" s="74"/>
      <c r="G34" s="20"/>
      <c r="H34" s="42"/>
      <c r="I34" s="42"/>
      <c r="J34" s="59"/>
      <c r="K34" s="609"/>
      <c r="L34" s="610"/>
      <c r="M34" s="611"/>
    </row>
    <row r="35" spans="1:13" ht="12" customHeight="1">
      <c r="A35" s="42" t="str">
        <f>IF(B35=""," ",#REF!+1)</f>
        <v xml:space="preserve"> </v>
      </c>
      <c r="B35" s="71"/>
      <c r="C35" s="13"/>
      <c r="D35" s="72"/>
      <c r="E35" s="73"/>
      <c r="F35" s="74"/>
      <c r="G35" s="20"/>
      <c r="H35" s="42"/>
      <c r="I35" s="42"/>
      <c r="J35" s="59"/>
      <c r="K35" s="609"/>
      <c r="L35" s="610"/>
      <c r="M35" s="611"/>
    </row>
    <row r="36" spans="1:13" ht="12" customHeight="1">
      <c r="A36" s="42" t="str">
        <f>IF(B36=""," ",#REF!+1)</f>
        <v xml:space="preserve"> </v>
      </c>
      <c r="B36" s="71"/>
      <c r="C36" s="13"/>
      <c r="D36" s="72"/>
      <c r="E36" s="73"/>
      <c r="F36" s="74"/>
      <c r="G36" s="20"/>
      <c r="H36" s="42"/>
      <c r="I36" s="42"/>
      <c r="J36" s="59"/>
      <c r="K36" s="13"/>
      <c r="L36" s="14"/>
      <c r="M36" s="15"/>
    </row>
    <row r="37" spans="1:13" ht="12" customHeight="1">
      <c r="A37" s="42" t="str">
        <f>IF(B37=""," ",A36+1)</f>
        <v xml:space="preserve"> </v>
      </c>
      <c r="B37" s="71"/>
      <c r="C37" s="13"/>
      <c r="D37" s="72"/>
      <c r="E37" s="73"/>
      <c r="F37" s="74"/>
      <c r="G37" s="20"/>
      <c r="H37" s="42"/>
      <c r="I37" s="42"/>
      <c r="J37" s="59"/>
      <c r="K37" s="13"/>
      <c r="L37" s="14"/>
      <c r="M37" s="15"/>
    </row>
    <row r="38" spans="1:13" ht="12" customHeight="1">
      <c r="A38" s="42" t="str">
        <f>IF(B38=""," ",A37+1)</f>
        <v xml:space="preserve"> </v>
      </c>
      <c r="B38" s="71"/>
      <c r="C38" s="13"/>
      <c r="D38" s="72"/>
      <c r="E38" s="73"/>
      <c r="F38" s="74"/>
      <c r="G38" s="20"/>
      <c r="H38" s="42"/>
      <c r="I38" s="42"/>
      <c r="J38" s="59"/>
      <c r="K38" s="609"/>
      <c r="L38" s="610"/>
      <c r="M38" s="611"/>
    </row>
    <row r="39" spans="1:13" ht="12" customHeight="1">
      <c r="A39" s="42" t="str">
        <f>IF(B39=""," ",#REF!+1)</f>
        <v xml:space="preserve"> </v>
      </c>
      <c r="B39" s="71"/>
      <c r="C39" s="13"/>
      <c r="D39" s="72"/>
      <c r="E39" s="73"/>
      <c r="F39" s="74"/>
      <c r="G39" s="20"/>
      <c r="H39" s="42"/>
      <c r="I39" s="42"/>
      <c r="J39" s="59"/>
      <c r="K39" s="609"/>
      <c r="L39" s="610"/>
      <c r="M39" s="611"/>
    </row>
    <row r="40" spans="1:13" ht="12" customHeight="1">
      <c r="A40" s="42" t="str">
        <f>IF(B40=""," ",#REF!+1)</f>
        <v xml:space="preserve"> </v>
      </c>
      <c r="B40" s="71"/>
      <c r="C40" s="13"/>
      <c r="D40" s="72"/>
      <c r="E40" s="73"/>
      <c r="F40" s="74"/>
      <c r="G40" s="20"/>
      <c r="H40" s="42"/>
      <c r="I40" s="42"/>
      <c r="J40" s="59"/>
      <c r="K40" s="13"/>
      <c r="L40" s="14"/>
      <c r="M40" s="15"/>
    </row>
    <row r="41" spans="1:13" ht="12" customHeight="1">
      <c r="A41" s="42" t="str">
        <f>IF(B41=""," ",A40+1)</f>
        <v xml:space="preserve"> </v>
      </c>
      <c r="B41" s="71"/>
      <c r="C41" s="13"/>
      <c r="D41" s="72"/>
      <c r="E41" s="73"/>
      <c r="F41" s="74"/>
      <c r="G41" s="20"/>
      <c r="H41" s="42"/>
      <c r="I41" s="42"/>
      <c r="J41" s="59"/>
      <c r="K41" s="13"/>
      <c r="L41" s="14"/>
      <c r="M41" s="15"/>
    </row>
    <row r="42" spans="1:13" ht="12" customHeight="1">
      <c r="A42" s="42" t="str">
        <f>IF(B42=""," ",A41+1)</f>
        <v xml:space="preserve"> </v>
      </c>
      <c r="B42" s="71"/>
      <c r="C42" s="13"/>
      <c r="D42" s="72"/>
      <c r="E42" s="73"/>
      <c r="F42" s="74"/>
      <c r="G42" s="20"/>
      <c r="H42" s="42"/>
      <c r="I42" s="42"/>
      <c r="J42" s="59"/>
      <c r="K42" s="609"/>
      <c r="L42" s="610"/>
      <c r="M42" s="611"/>
    </row>
    <row r="43" spans="1:13" ht="12" customHeight="1">
      <c r="A43" s="42" t="str">
        <f>IF(B43=""," ",#REF!+1)</f>
        <v xml:space="preserve"> </v>
      </c>
      <c r="B43" s="71"/>
      <c r="C43" s="13"/>
      <c r="D43" s="72"/>
      <c r="E43" s="73"/>
      <c r="F43" s="74"/>
      <c r="G43" s="20"/>
      <c r="H43" s="42"/>
      <c r="I43" s="42"/>
      <c r="J43" s="59"/>
      <c r="K43" s="609"/>
      <c r="L43" s="610"/>
      <c r="M43" s="611"/>
    </row>
    <row r="44" spans="1:13" ht="12" customHeight="1">
      <c r="A44" s="42" t="str">
        <f>IF(B44=""," ",#REF!+1)</f>
        <v xml:space="preserve"> </v>
      </c>
      <c r="B44" s="71"/>
      <c r="C44" s="13"/>
      <c r="D44" s="72"/>
      <c r="E44" s="73"/>
      <c r="F44" s="74"/>
      <c r="G44" s="20"/>
      <c r="H44" s="42"/>
      <c r="I44" s="42"/>
      <c r="J44" s="59"/>
      <c r="K44" s="13"/>
      <c r="L44" s="14"/>
      <c r="M44" s="15"/>
    </row>
    <row r="45" spans="1:13" ht="12" customHeight="1">
      <c r="A45" s="42" t="str">
        <f>IF(B45=""," ",A44+1)</f>
        <v xml:space="preserve"> </v>
      </c>
      <c r="B45" s="71"/>
      <c r="C45" s="13"/>
      <c r="D45" s="72"/>
      <c r="E45" s="73"/>
      <c r="F45" s="74"/>
      <c r="G45" s="20"/>
      <c r="H45" s="42"/>
      <c r="I45" s="42"/>
      <c r="J45" s="59"/>
      <c r="K45" s="13"/>
      <c r="L45" s="14"/>
      <c r="M45" s="15"/>
    </row>
    <row r="46" spans="1:13" ht="12" customHeight="1">
      <c r="A46" s="42" t="str">
        <f>IF(B46=""," ",A45+1)</f>
        <v xml:space="preserve"> </v>
      </c>
      <c r="B46" s="71"/>
      <c r="C46" s="13"/>
      <c r="D46" s="72"/>
      <c r="E46" s="73"/>
      <c r="F46" s="74"/>
      <c r="G46" s="20"/>
      <c r="H46" s="42"/>
      <c r="I46" s="42"/>
      <c r="J46" s="59"/>
      <c r="K46" s="609"/>
      <c r="L46" s="610"/>
      <c r="M46" s="611"/>
    </row>
    <row r="47" spans="1:13" ht="12" customHeight="1">
      <c r="A47" s="42" t="str">
        <f>IF(B47=""," ",#REF!+1)</f>
        <v xml:space="preserve"> </v>
      </c>
      <c r="B47" s="71"/>
      <c r="C47" s="13"/>
      <c r="D47" s="72"/>
      <c r="E47" s="73"/>
      <c r="F47" s="74"/>
      <c r="G47" s="20"/>
      <c r="H47" s="42"/>
      <c r="I47" s="42"/>
      <c r="J47" s="59"/>
      <c r="K47" s="609"/>
      <c r="L47" s="610"/>
      <c r="M47" s="611"/>
    </row>
    <row r="48" spans="1:13" ht="12" customHeight="1">
      <c r="A48" s="42" t="str">
        <f>IF(B48=""," ",#REF!+1)</f>
        <v xml:space="preserve"> </v>
      </c>
      <c r="B48" s="71"/>
      <c r="C48" s="13"/>
      <c r="D48" s="72"/>
      <c r="E48" s="73"/>
      <c r="F48" s="74"/>
      <c r="G48" s="20"/>
      <c r="H48" s="42"/>
      <c r="I48" s="42"/>
      <c r="J48" s="59"/>
      <c r="K48" s="13"/>
      <c r="L48" s="14"/>
      <c r="M48" s="15"/>
    </row>
    <row r="49" spans="1:13" ht="12" customHeight="1">
      <c r="A49" s="42" t="str">
        <f>IF(B49=""," ",A48+1)</f>
        <v xml:space="preserve"> </v>
      </c>
      <c r="B49" s="71"/>
      <c r="C49" s="13"/>
      <c r="D49" s="72"/>
      <c r="E49" s="73"/>
      <c r="F49" s="74"/>
      <c r="G49" s="20"/>
      <c r="H49" s="42"/>
      <c r="I49" s="42"/>
      <c r="J49" s="59"/>
      <c r="K49" s="13"/>
      <c r="L49" s="14"/>
      <c r="M49" s="15"/>
    </row>
    <row r="50" spans="1:13" ht="12" customHeight="1">
      <c r="A50" s="42" t="str">
        <f>IF(B50=""," ",A49+1)</f>
        <v xml:space="preserve"> </v>
      </c>
      <c r="B50" s="71"/>
      <c r="C50" s="13"/>
      <c r="D50" s="72"/>
      <c r="E50" s="73"/>
      <c r="F50" s="74"/>
      <c r="G50" s="20"/>
      <c r="H50" s="42"/>
      <c r="I50" s="42"/>
      <c r="J50" s="59"/>
      <c r="K50" s="609"/>
      <c r="L50" s="610"/>
      <c r="M50" s="611"/>
    </row>
    <row r="51" spans="1:13" ht="12" customHeight="1">
      <c r="A51" s="42" t="str">
        <f>IF(B51=""," ",#REF!+1)</f>
        <v xml:space="preserve"> </v>
      </c>
      <c r="B51" s="71"/>
      <c r="C51" s="13"/>
      <c r="D51" s="72"/>
      <c r="E51" s="73"/>
      <c r="F51" s="74"/>
      <c r="G51" s="20"/>
      <c r="H51" s="42"/>
      <c r="I51" s="42"/>
      <c r="J51" s="59"/>
      <c r="K51" s="609"/>
      <c r="L51" s="610"/>
      <c r="M51" s="611"/>
    </row>
    <row r="52" spans="1:13" ht="12" customHeight="1">
      <c r="A52" s="42" t="str">
        <f>IF(B52=""," ",#REF!+1)</f>
        <v xml:space="preserve"> </v>
      </c>
      <c r="B52" s="71"/>
      <c r="C52" s="13"/>
      <c r="D52" s="72"/>
      <c r="E52" s="73"/>
      <c r="F52" s="74"/>
      <c r="G52" s="20"/>
      <c r="H52" s="42"/>
      <c r="I52" s="42"/>
      <c r="J52" s="59"/>
      <c r="K52" s="13"/>
      <c r="L52" s="14"/>
      <c r="M52" s="15"/>
    </row>
    <row r="53" spans="1:13">
      <c r="A53" s="42" t="str">
        <f>IF(B53=""," ",A52+1)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609"/>
      <c r="L54" s="610"/>
      <c r="M54" s="611"/>
    </row>
    <row r="55" spans="1:13">
      <c r="A55" s="42" t="str">
        <f>IF(B55=""," ",#REF!+1)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13"/>
      <c r="L56" s="14"/>
      <c r="M56" s="15"/>
    </row>
    <row r="57" spans="1:13">
      <c r="A57" s="42" t="str">
        <f>IF(B57=""," ",A56+1)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609"/>
      <c r="L58" s="610"/>
      <c r="M58" s="611"/>
    </row>
    <row r="59" spans="1:13">
      <c r="A59" s="42" t="str">
        <f>IF(B59=""," ",#REF!+1)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13"/>
      <c r="L60" s="14"/>
      <c r="M60" s="15"/>
    </row>
    <row r="61" spans="1:13">
      <c r="A61" s="42" t="str">
        <f>IF(B61=""," ",A60+1)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c r="B110" s="22" t="s">
        <v>725</v>
      </c>
      <c r="C110" s="16" t="s">
        <v>1720</v>
      </c>
      <c r="D110" s="16" t="s">
        <v>749</v>
      </c>
    </row>
  </sheetData>
  <mergeCells count="59">
    <mergeCell ref="K99:M99"/>
    <mergeCell ref="K100:M100"/>
    <mergeCell ref="K90:M90"/>
    <mergeCell ref="K91:M91"/>
    <mergeCell ref="K94:M94"/>
    <mergeCell ref="K95:M95"/>
    <mergeCell ref="K82:M82"/>
    <mergeCell ref="K83:M83"/>
    <mergeCell ref="K86:M86"/>
    <mergeCell ref="K87:M87"/>
    <mergeCell ref="K74:M74"/>
    <mergeCell ref="K75:M75"/>
    <mergeCell ref="K78:M78"/>
    <mergeCell ref="K79:M79"/>
    <mergeCell ref="K66:M66"/>
    <mergeCell ref="K67:M67"/>
    <mergeCell ref="K70:M70"/>
    <mergeCell ref="K71:M71"/>
    <mergeCell ref="K58:M58"/>
    <mergeCell ref="K59:M59"/>
    <mergeCell ref="K62:M62"/>
    <mergeCell ref="K63:M63"/>
    <mergeCell ref="K50:M50"/>
    <mergeCell ref="K51:M51"/>
    <mergeCell ref="K54:M54"/>
    <mergeCell ref="K55:M55"/>
    <mergeCell ref="K42:M42"/>
    <mergeCell ref="K43:M43"/>
    <mergeCell ref="K46:M46"/>
    <mergeCell ref="K47:M47"/>
    <mergeCell ref="K34:M34"/>
    <mergeCell ref="K35:M35"/>
    <mergeCell ref="K38:M38"/>
    <mergeCell ref="K39:M39"/>
    <mergeCell ref="A5:A6"/>
    <mergeCell ref="B5:C5"/>
    <mergeCell ref="K5:M6"/>
    <mergeCell ref="I5:J5"/>
    <mergeCell ref="D5:H5"/>
    <mergeCell ref="K7:M7"/>
    <mergeCell ref="K19:M19"/>
    <mergeCell ref="K14:M14"/>
    <mergeCell ref="K15:M15"/>
    <mergeCell ref="K16:M16"/>
    <mergeCell ref="K17:M17"/>
    <mergeCell ref="K11:M11"/>
    <mergeCell ref="K12:M12"/>
    <mergeCell ref="K8:M8"/>
    <mergeCell ref="K13:M13"/>
    <mergeCell ref="K18:M18"/>
    <mergeCell ref="A2:B2"/>
    <mergeCell ref="A3:B3"/>
    <mergeCell ref="A4:B4"/>
    <mergeCell ref="H2:J2"/>
    <mergeCell ref="C2:G2"/>
    <mergeCell ref="C3:G3"/>
    <mergeCell ref="C4:G4"/>
    <mergeCell ref="H4:I4"/>
    <mergeCell ref="H3:I3"/>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5">
    <pageSetUpPr fitToPage="1"/>
  </sheetPr>
  <dimension ref="A1:P108"/>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customWidth="1"/>
    <col min="2" max="2" width="28.625" style="22" customWidth="1"/>
    <col min="3" max="3" width="13.375" style="22" customWidth="1"/>
    <col min="4" max="4" width="9.375" style="22" customWidth="1"/>
    <col min="5" max="5" width="4.875" style="22" bestFit="1" customWidth="1"/>
    <col min="6" max="6" width="4.75" style="22" bestFit="1" customWidth="1"/>
    <col min="7" max="7" width="6.125" style="22" bestFit="1" customWidth="1"/>
    <col min="8" max="8" width="4.75" style="22" bestFit="1" customWidth="1"/>
    <col min="9" max="9" width="4.75" style="22" customWidth="1"/>
    <col min="10" max="11" width="9.625" style="22" customWidth="1"/>
    <col min="12" max="12" width="10.25" style="22" customWidth="1"/>
    <col min="13" max="13" width="10.125" style="22" customWidth="1"/>
    <col min="14" max="14" width="9" style="22"/>
    <col min="15" max="16" width="0" style="22" hidden="1" customWidth="1"/>
    <col min="17" max="16384" width="9" style="22"/>
  </cols>
  <sheetData>
    <row r="1" spans="1:16">
      <c r="B1" s="243"/>
      <c r="C1" s="135" t="s">
        <v>390</v>
      </c>
    </row>
    <row r="2" spans="1:16">
      <c r="A2" s="670" t="s">
        <v>336</v>
      </c>
      <c r="B2" s="671"/>
      <c r="C2" s="670" t="s">
        <v>36</v>
      </c>
      <c r="D2" s="676"/>
      <c r="E2" s="676"/>
      <c r="F2" s="676"/>
      <c r="G2" s="671"/>
      <c r="H2" s="670"/>
      <c r="I2" s="676"/>
      <c r="J2" s="671"/>
      <c r="K2" s="81"/>
      <c r="L2" s="82" t="s">
        <v>37</v>
      </c>
      <c r="M2" s="82" t="s">
        <v>38</v>
      </c>
    </row>
    <row r="3" spans="1:16">
      <c r="A3" s="672"/>
      <c r="B3" s="673"/>
      <c r="C3" s="677" t="s">
        <v>1342</v>
      </c>
      <c r="D3" s="678"/>
      <c r="E3" s="678"/>
      <c r="F3" s="678"/>
      <c r="G3" s="679"/>
      <c r="H3" s="670" t="s">
        <v>39</v>
      </c>
      <c r="I3" s="671"/>
      <c r="J3" s="83">
        <f>COUNT(A7:A100)</f>
        <v>8</v>
      </c>
      <c r="K3" s="82" t="s">
        <v>40</v>
      </c>
      <c r="L3" s="84">
        <v>38629</v>
      </c>
      <c r="M3" s="41" t="s">
        <v>56</v>
      </c>
      <c r="O3" s="22" t="s">
        <v>41</v>
      </c>
      <c r="P3" s="22" t="s">
        <v>42</v>
      </c>
    </row>
    <row r="4" spans="1:16">
      <c r="A4" s="674" t="s">
        <v>43</v>
      </c>
      <c r="B4" s="675"/>
      <c r="C4" s="680" t="s">
        <v>1480</v>
      </c>
      <c r="D4" s="681"/>
      <c r="E4" s="681"/>
      <c r="F4" s="681"/>
      <c r="G4" s="682"/>
      <c r="H4" s="670" t="s">
        <v>44</v>
      </c>
      <c r="I4" s="671"/>
      <c r="J4" s="83">
        <f>SUM(G7:G100)</f>
        <v>52</v>
      </c>
      <c r="K4" s="82" t="s">
        <v>45</v>
      </c>
      <c r="L4" s="40">
        <v>38748</v>
      </c>
      <c r="M4" s="89" t="s">
        <v>675</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c r="A7" s="89">
        <v>1</v>
      </c>
      <c r="B7" s="48" t="s">
        <v>1343</v>
      </c>
      <c r="C7" s="49" t="s">
        <v>337</v>
      </c>
      <c r="D7" s="50" t="s">
        <v>524</v>
      </c>
      <c r="E7" s="95">
        <v>2</v>
      </c>
      <c r="F7" s="90"/>
      <c r="G7" s="21">
        <f t="shared" ref="G7:G13" si="0">IF(D7="DATE",4,IF(D7="CHAR",E7,IF(D7="SMALLINT",2,IF(D7="INTEGER",4,IF(D7="TIMESTAMP",10,IF(D7="TIME",3,0))))))</f>
        <v>2</v>
      </c>
      <c r="H7" s="91" t="s">
        <v>574</v>
      </c>
      <c r="I7" s="91" t="s">
        <v>574</v>
      </c>
      <c r="J7" s="92"/>
      <c r="K7" s="599" t="s">
        <v>1344</v>
      </c>
      <c r="L7" s="600"/>
      <c r="M7" s="601"/>
      <c r="P7" s="22" t="s">
        <v>55</v>
      </c>
    </row>
    <row r="8" spans="1:16" ht="12.75" customHeight="1">
      <c r="A8" s="89">
        <v>2</v>
      </c>
      <c r="B8" s="93" t="s">
        <v>1345</v>
      </c>
      <c r="C8" s="26" t="s">
        <v>338</v>
      </c>
      <c r="D8" s="94" t="s">
        <v>548</v>
      </c>
      <c r="E8" s="95">
        <v>20</v>
      </c>
      <c r="F8" s="90"/>
      <c r="G8" s="21">
        <f t="shared" si="0"/>
        <v>20</v>
      </c>
      <c r="H8" s="91" t="s">
        <v>547</v>
      </c>
      <c r="I8" s="91"/>
      <c r="J8" s="92"/>
      <c r="K8" s="602" t="s">
        <v>1345</v>
      </c>
      <c r="L8" s="603"/>
      <c r="M8" s="604"/>
    </row>
    <row r="9" spans="1:16" ht="36.75" customHeight="1">
      <c r="A9" s="89">
        <v>3</v>
      </c>
      <c r="B9" s="93" t="s">
        <v>1207</v>
      </c>
      <c r="C9" s="26" t="s">
        <v>339</v>
      </c>
      <c r="D9" s="94" t="s">
        <v>829</v>
      </c>
      <c r="E9" s="95"/>
      <c r="F9" s="90"/>
      <c r="G9" s="21">
        <f t="shared" si="0"/>
        <v>2</v>
      </c>
      <c r="H9" s="91" t="s">
        <v>1340</v>
      </c>
      <c r="I9" s="91"/>
      <c r="J9" s="92"/>
      <c r="K9" s="666" t="s">
        <v>1206</v>
      </c>
      <c r="L9" s="667"/>
      <c r="M9" s="668"/>
    </row>
    <row r="10" spans="1:16" ht="62.25" customHeight="1">
      <c r="A10" s="89">
        <v>4</v>
      </c>
      <c r="B10" s="93" t="s">
        <v>1205</v>
      </c>
      <c r="C10" s="26" t="s">
        <v>340</v>
      </c>
      <c r="D10" s="94" t="s">
        <v>341</v>
      </c>
      <c r="E10" s="95"/>
      <c r="F10" s="90"/>
      <c r="G10" s="21">
        <f t="shared" si="0"/>
        <v>2</v>
      </c>
      <c r="H10" s="91" t="s">
        <v>288</v>
      </c>
      <c r="I10" s="91"/>
      <c r="J10" s="92"/>
      <c r="K10" s="666" t="s">
        <v>754</v>
      </c>
      <c r="L10" s="667"/>
      <c r="M10" s="668"/>
    </row>
    <row r="11" spans="1:16">
      <c r="A11" s="89">
        <v>5</v>
      </c>
      <c r="B11" s="93" t="s">
        <v>26</v>
      </c>
      <c r="C11" s="26" t="s">
        <v>1399</v>
      </c>
      <c r="D11" s="65" t="s">
        <v>519</v>
      </c>
      <c r="E11" s="95"/>
      <c r="F11" s="90"/>
      <c r="G11" s="21">
        <f t="shared" si="0"/>
        <v>4</v>
      </c>
      <c r="H11" s="91" t="s">
        <v>1400</v>
      </c>
      <c r="I11" s="91" t="s">
        <v>1400</v>
      </c>
      <c r="J11" s="170"/>
      <c r="K11" s="694" t="s">
        <v>1659</v>
      </c>
      <c r="L11" s="664"/>
      <c r="M11" s="665"/>
    </row>
    <row r="12" spans="1:16">
      <c r="A12" s="89">
        <v>6</v>
      </c>
      <c r="B12" s="93" t="s">
        <v>27</v>
      </c>
      <c r="C12" s="26" t="s">
        <v>1401</v>
      </c>
      <c r="D12" s="65" t="s">
        <v>1402</v>
      </c>
      <c r="E12" s="95"/>
      <c r="F12" s="90"/>
      <c r="G12" s="21">
        <f t="shared" si="0"/>
        <v>4</v>
      </c>
      <c r="H12" s="91" t="s">
        <v>1403</v>
      </c>
      <c r="I12" s="91"/>
      <c r="J12" s="170"/>
      <c r="K12" s="694" t="s">
        <v>1660</v>
      </c>
      <c r="L12" s="664"/>
      <c r="M12" s="665"/>
    </row>
    <row r="13" spans="1:16">
      <c r="A13" s="89">
        <v>7</v>
      </c>
      <c r="B13" s="64" t="s">
        <v>1083</v>
      </c>
      <c r="C13" s="24" t="s">
        <v>1111</v>
      </c>
      <c r="D13" s="72" t="s">
        <v>1431</v>
      </c>
      <c r="E13" s="51">
        <v>8</v>
      </c>
      <c r="F13" s="58"/>
      <c r="G13" s="21">
        <f t="shared" si="0"/>
        <v>8</v>
      </c>
      <c r="H13" s="53" t="s">
        <v>1432</v>
      </c>
      <c r="I13" s="89"/>
      <c r="J13" s="92"/>
      <c r="K13" s="602"/>
      <c r="L13" s="603"/>
      <c r="M13" s="604"/>
    </row>
    <row r="14" spans="1:16">
      <c r="A14" s="89">
        <f>IF(B14=""," ",A13+1)</f>
        <v>8</v>
      </c>
      <c r="B14" s="93" t="s">
        <v>1724</v>
      </c>
      <c r="C14" s="26" t="s">
        <v>1404</v>
      </c>
      <c r="D14" s="94" t="s">
        <v>1405</v>
      </c>
      <c r="E14" s="95"/>
      <c r="F14" s="90"/>
      <c r="G14" s="21">
        <f>IF(D14="DATE",4,IF(D14="CHAR",E14,IF(D14="SMALLINT",2,IF(D14="INTEGER",4,IF(D14="TIMESTAMP",10,IF(D14="TIME",3,0))))))</f>
        <v>10</v>
      </c>
      <c r="H14" s="91" t="s">
        <v>1406</v>
      </c>
      <c r="I14" s="89"/>
      <c r="J14" s="92"/>
      <c r="K14" s="669"/>
      <c r="L14" s="603"/>
      <c r="M14" s="604"/>
    </row>
    <row r="15" spans="1:16">
      <c r="A15" s="89" t="str">
        <f>IF(B15=""," ",A14+1)</f>
        <v xml:space="preserve"> </v>
      </c>
      <c r="B15" s="96"/>
      <c r="C15" s="31"/>
      <c r="D15" s="97"/>
      <c r="E15" s="98"/>
      <c r="F15" s="99"/>
      <c r="G15" s="21"/>
      <c r="H15" s="89"/>
      <c r="I15" s="89"/>
      <c r="J15" s="92"/>
      <c r="K15" s="602"/>
      <c r="L15" s="603"/>
      <c r="M15" s="604"/>
    </row>
    <row r="16" spans="1:16">
      <c r="A16" s="89" t="str">
        <f>IF(B16=""," ",A15+1)</f>
        <v xml:space="preserve"> </v>
      </c>
      <c r="B16" s="100"/>
      <c r="C16" s="137"/>
      <c r="D16" s="78"/>
      <c r="E16" s="98"/>
      <c r="F16" s="99"/>
      <c r="G16" s="21"/>
      <c r="H16" s="89"/>
      <c r="I16" s="89"/>
      <c r="J16" s="92"/>
      <c r="K16" s="628"/>
      <c r="L16" s="629"/>
      <c r="M16" s="630"/>
    </row>
    <row r="17" spans="1:13">
      <c r="A17" s="89" t="str">
        <f>IF(B17=""," ",A16+1)</f>
        <v xml:space="preserve"> </v>
      </c>
      <c r="B17" s="96"/>
      <c r="C17" s="31"/>
      <c r="D17" s="97"/>
      <c r="E17" s="98"/>
      <c r="F17" s="99"/>
      <c r="G17" s="21"/>
      <c r="H17" s="89"/>
      <c r="I17" s="89"/>
      <c r="J17" s="92"/>
      <c r="K17" s="602"/>
      <c r="L17" s="603"/>
      <c r="M17" s="604"/>
    </row>
    <row r="18" spans="1:13">
      <c r="A18" s="89" t="str">
        <f>IF(B18=""," ",A17+1)</f>
        <v xml:space="preserve"> </v>
      </c>
      <c r="B18" s="96"/>
      <c r="C18" s="31"/>
      <c r="D18" s="97"/>
      <c r="E18" s="98"/>
      <c r="F18" s="99"/>
      <c r="G18" s="21"/>
      <c r="H18" s="89"/>
      <c r="I18" s="89"/>
      <c r="J18" s="92"/>
      <c r="K18" s="602"/>
      <c r="L18" s="692"/>
      <c r="M18" s="693"/>
    </row>
    <row r="19" spans="1:13">
      <c r="A19" s="89" t="str">
        <f>IF(B19=""," ",#REF!+1)</f>
        <v xml:space="preserve"> </v>
      </c>
      <c r="B19" s="96"/>
      <c r="C19" s="31"/>
      <c r="D19" s="97"/>
      <c r="E19" s="98"/>
      <c r="F19" s="99"/>
      <c r="G19" s="21"/>
      <c r="H19" s="89"/>
      <c r="I19" s="89"/>
      <c r="J19" s="92"/>
      <c r="K19" s="669"/>
      <c r="L19" s="603"/>
      <c r="M19" s="604"/>
    </row>
    <row r="20" spans="1:13">
      <c r="A20" s="89" t="str">
        <f>IF(B20=""," ",A19+1)</f>
        <v xml:space="preserve"> </v>
      </c>
      <c r="B20" s="96"/>
      <c r="C20" s="31"/>
      <c r="D20" s="97"/>
      <c r="E20" s="98"/>
      <c r="F20" s="99"/>
      <c r="G20" s="21"/>
      <c r="H20" s="89"/>
      <c r="I20" s="89"/>
      <c r="J20" s="92"/>
      <c r="K20" s="669"/>
      <c r="L20" s="603"/>
      <c r="M20" s="604"/>
    </row>
    <row r="21" spans="1:13">
      <c r="A21" s="89" t="str">
        <f>IF(B21=""," ",#REF!+1)</f>
        <v xml:space="preserve"> </v>
      </c>
      <c r="B21" s="96"/>
      <c r="C21" s="31"/>
      <c r="D21" s="97"/>
      <c r="E21" s="98"/>
      <c r="F21" s="99"/>
      <c r="G21" s="21"/>
      <c r="H21" s="89"/>
      <c r="I21" s="89"/>
      <c r="J21" s="92"/>
      <c r="K21" s="31"/>
      <c r="L21" s="32"/>
      <c r="M21" s="33"/>
    </row>
    <row r="22" spans="1:13">
      <c r="A22" s="89" t="str">
        <f>IF(B22=""," ",A21+1)</f>
        <v xml:space="preserve"> </v>
      </c>
      <c r="B22" s="96"/>
      <c r="C22" s="31"/>
      <c r="D22" s="97"/>
      <c r="E22" s="98"/>
      <c r="F22" s="99"/>
      <c r="G22" s="21"/>
      <c r="H22" s="89"/>
      <c r="I22" s="89"/>
      <c r="J22" s="92"/>
      <c r="K22" s="31"/>
      <c r="L22" s="32"/>
      <c r="M22" s="33"/>
    </row>
    <row r="23" spans="1:13">
      <c r="A23" s="89" t="str">
        <f t="shared" ref="A23:A34" si="1">IF(B23=""," ",A22+1)</f>
        <v xml:space="preserve"> </v>
      </c>
      <c r="B23" s="66"/>
      <c r="C23" s="31"/>
      <c r="D23" s="97"/>
      <c r="E23" s="98"/>
      <c r="F23" s="99"/>
      <c r="G23" s="21"/>
      <c r="H23" s="89"/>
      <c r="I23" s="89"/>
      <c r="J23" s="92"/>
      <c r="K23" s="31"/>
      <c r="L23" s="32"/>
      <c r="M23" s="33"/>
    </row>
    <row r="24" spans="1:13">
      <c r="A24" s="89" t="str">
        <f>IF(B24=""," ",#REF!+1)</f>
        <v xml:space="preserve"> </v>
      </c>
      <c r="B24" s="96"/>
      <c r="C24" s="31"/>
      <c r="D24" s="97"/>
      <c r="E24" s="98"/>
      <c r="F24" s="99"/>
      <c r="G24" s="21"/>
      <c r="H24" s="89"/>
      <c r="I24" s="89"/>
      <c r="J24" s="92"/>
      <c r="K24" s="31"/>
      <c r="L24" s="32"/>
      <c r="M24" s="33"/>
    </row>
    <row r="25" spans="1:13">
      <c r="A25" s="89" t="str">
        <f>IF(B25=""," ",#REF!+1)</f>
        <v xml:space="preserve"> </v>
      </c>
      <c r="B25" s="96"/>
      <c r="C25" s="31"/>
      <c r="D25" s="97"/>
      <c r="E25" s="98"/>
      <c r="F25" s="99"/>
      <c r="G25" s="21"/>
      <c r="H25" s="89"/>
      <c r="I25" s="89"/>
      <c r="J25" s="92"/>
      <c r="K25" s="31"/>
      <c r="L25" s="32"/>
      <c r="M25" s="33"/>
    </row>
    <row r="26" spans="1:13">
      <c r="A26" s="89" t="str">
        <f t="shared" si="1"/>
        <v xml:space="preserve"> </v>
      </c>
      <c r="B26" s="96"/>
      <c r="C26" s="31"/>
      <c r="D26" s="97"/>
      <c r="E26" s="98"/>
      <c r="F26" s="99"/>
      <c r="G26" s="21"/>
      <c r="H26" s="89"/>
      <c r="I26" s="89"/>
      <c r="J26" s="92"/>
      <c r="K26" s="31"/>
      <c r="L26" s="32"/>
      <c r="M26" s="33"/>
    </row>
    <row r="27" spans="1:13">
      <c r="A27" s="89" t="str">
        <f t="shared" si="1"/>
        <v xml:space="preserve"> </v>
      </c>
      <c r="B27" s="96"/>
      <c r="C27" s="31"/>
      <c r="D27" s="97"/>
      <c r="E27" s="98"/>
      <c r="F27" s="99"/>
      <c r="G27" s="21"/>
      <c r="H27" s="89"/>
      <c r="I27" s="89"/>
      <c r="J27" s="92"/>
      <c r="K27" s="31"/>
      <c r="L27" s="32"/>
      <c r="M27" s="33"/>
    </row>
    <row r="28" spans="1:13">
      <c r="A28" s="89" t="str">
        <f t="shared" si="1"/>
        <v xml:space="preserve"> </v>
      </c>
      <c r="B28" s="96"/>
      <c r="C28" s="31"/>
      <c r="D28" s="97"/>
      <c r="E28" s="98"/>
      <c r="F28" s="99"/>
      <c r="G28" s="21"/>
      <c r="H28" s="89"/>
      <c r="I28" s="89"/>
      <c r="J28" s="92"/>
      <c r="K28" s="31"/>
      <c r="L28" s="32"/>
      <c r="M28" s="33"/>
    </row>
    <row r="29" spans="1:13">
      <c r="A29" s="89" t="str">
        <f>IF(B29=""," ",A28+1)</f>
        <v xml:space="preserve"> </v>
      </c>
      <c r="B29" s="96"/>
      <c r="C29" s="31"/>
      <c r="D29" s="97"/>
      <c r="E29" s="98"/>
      <c r="F29" s="99"/>
      <c r="G29" s="21"/>
      <c r="H29" s="89"/>
      <c r="I29" s="89"/>
      <c r="J29" s="92"/>
      <c r="K29" s="31"/>
      <c r="L29" s="32"/>
      <c r="M29" s="33"/>
    </row>
    <row r="30" spans="1:13">
      <c r="A30" s="89" t="str">
        <f t="shared" si="1"/>
        <v xml:space="preserve"> </v>
      </c>
      <c r="B30" s="96"/>
      <c r="C30" s="31"/>
      <c r="D30" s="97"/>
      <c r="E30" s="98"/>
      <c r="F30" s="99"/>
      <c r="G30" s="21"/>
      <c r="H30" s="89"/>
      <c r="I30" s="89"/>
      <c r="J30" s="92"/>
      <c r="K30" s="31"/>
      <c r="L30" s="32"/>
      <c r="M30" s="33"/>
    </row>
    <row r="31" spans="1:13">
      <c r="A31" s="89" t="str">
        <f t="shared" si="1"/>
        <v xml:space="preserve"> </v>
      </c>
      <c r="B31" s="96"/>
      <c r="C31" s="31"/>
      <c r="D31" s="97"/>
      <c r="E31" s="98"/>
      <c r="F31" s="99"/>
      <c r="G31" s="21"/>
      <c r="H31" s="89"/>
      <c r="I31" s="89"/>
      <c r="J31" s="92"/>
      <c r="K31" s="31"/>
      <c r="L31" s="32"/>
      <c r="M31" s="33"/>
    </row>
    <row r="32" spans="1:13">
      <c r="A32" s="89" t="str">
        <f t="shared" si="1"/>
        <v xml:space="preserve"> </v>
      </c>
      <c r="B32" s="96"/>
      <c r="C32" s="31"/>
      <c r="D32" s="97"/>
      <c r="E32" s="98"/>
      <c r="F32" s="99"/>
      <c r="G32" s="21"/>
      <c r="H32" s="89"/>
      <c r="I32" s="89"/>
      <c r="J32" s="92"/>
      <c r="K32" s="31"/>
      <c r="L32" s="32"/>
      <c r="M32" s="33"/>
    </row>
    <row r="33" spans="1:13">
      <c r="A33" s="89" t="str">
        <f t="shared" si="1"/>
        <v xml:space="preserve"> </v>
      </c>
      <c r="B33" s="96"/>
      <c r="C33" s="31"/>
      <c r="D33" s="97"/>
      <c r="E33" s="98"/>
      <c r="F33" s="99"/>
      <c r="G33" s="21"/>
      <c r="H33" s="89"/>
      <c r="I33" s="89"/>
      <c r="J33" s="92"/>
      <c r="K33" s="31"/>
      <c r="L33" s="32"/>
      <c r="M33" s="33"/>
    </row>
    <row r="34" spans="1:13">
      <c r="A34" s="89" t="str">
        <f t="shared" si="1"/>
        <v xml:space="preserve"> </v>
      </c>
      <c r="B34" s="96"/>
      <c r="C34" s="31"/>
      <c r="D34" s="97"/>
      <c r="E34" s="98"/>
      <c r="F34" s="99"/>
      <c r="G34" s="21"/>
      <c r="H34" s="89"/>
      <c r="I34" s="89"/>
      <c r="J34" s="92"/>
      <c r="K34" s="31"/>
      <c r="L34" s="32"/>
      <c r="M34" s="33"/>
    </row>
    <row r="35" spans="1:13">
      <c r="A35" s="42" t="str">
        <f>IF(B35=""," ",A34+1)</f>
        <v xml:space="preserve"> </v>
      </c>
      <c r="B35" s="71"/>
      <c r="C35" s="13"/>
      <c r="D35" s="72"/>
      <c r="E35" s="73"/>
      <c r="F35" s="74"/>
      <c r="G35" s="20"/>
      <c r="H35" s="42"/>
      <c r="I35" s="42"/>
      <c r="J35" s="59"/>
      <c r="K35" s="609"/>
      <c r="L35" s="610"/>
      <c r="M35" s="611"/>
    </row>
    <row r="36" spans="1:13">
      <c r="A36" s="42" t="str">
        <f>IF(B36=""," ",#REF!+1)</f>
        <v xml:space="preserve"> </v>
      </c>
      <c r="B36" s="71"/>
      <c r="C36" s="13"/>
      <c r="D36" s="72"/>
      <c r="E36" s="73"/>
      <c r="F36" s="74"/>
      <c r="G36" s="20"/>
      <c r="H36" s="42"/>
      <c r="I36" s="42"/>
      <c r="J36" s="59"/>
      <c r="K36" s="609"/>
      <c r="L36" s="610"/>
      <c r="M36" s="611"/>
    </row>
    <row r="37" spans="1:13">
      <c r="A37" s="42" t="str">
        <f>IF(B37=""," ",#REF!+1)</f>
        <v xml:space="preserve"> </v>
      </c>
      <c r="B37" s="71"/>
      <c r="C37" s="13"/>
      <c r="D37" s="72"/>
      <c r="E37" s="73"/>
      <c r="F37" s="74"/>
      <c r="G37" s="20"/>
      <c r="H37" s="42"/>
      <c r="I37" s="42"/>
      <c r="J37" s="59"/>
      <c r="K37" s="13"/>
      <c r="L37" s="14"/>
      <c r="M37" s="15"/>
    </row>
    <row r="38" spans="1:13">
      <c r="A38" s="42" t="str">
        <f>IF(B38=""," ",A37+1)</f>
        <v xml:space="preserve"> </v>
      </c>
      <c r="B38" s="71"/>
      <c r="C38" s="13"/>
      <c r="D38" s="72"/>
      <c r="E38" s="73"/>
      <c r="F38" s="74"/>
      <c r="G38" s="20"/>
      <c r="H38" s="42"/>
      <c r="I38" s="42"/>
      <c r="J38" s="59"/>
      <c r="K38" s="13"/>
      <c r="L38" s="14"/>
      <c r="M38" s="15"/>
    </row>
    <row r="39" spans="1:13">
      <c r="A39" s="42" t="str">
        <f>IF(B39=""," ",A38+1)</f>
        <v xml:space="preserve"> </v>
      </c>
      <c r="B39" s="71"/>
      <c r="C39" s="13"/>
      <c r="D39" s="72"/>
      <c r="E39" s="73"/>
      <c r="F39" s="74"/>
      <c r="G39" s="20"/>
      <c r="H39" s="42"/>
      <c r="I39" s="42"/>
      <c r="J39" s="59"/>
      <c r="K39" s="609"/>
      <c r="L39" s="610"/>
      <c r="M39" s="611"/>
    </row>
    <row r="40" spans="1:13">
      <c r="A40" s="42" t="str">
        <f>IF(B40=""," ",#REF!+1)</f>
        <v xml:space="preserve"> </v>
      </c>
      <c r="B40" s="71"/>
      <c r="C40" s="13"/>
      <c r="D40" s="72"/>
      <c r="E40" s="73"/>
      <c r="F40" s="74"/>
      <c r="G40" s="20"/>
      <c r="H40" s="42"/>
      <c r="I40" s="42"/>
      <c r="J40" s="59"/>
      <c r="K40" s="609"/>
      <c r="L40" s="610"/>
      <c r="M40" s="611"/>
    </row>
    <row r="41" spans="1:13">
      <c r="A41" s="42" t="str">
        <f>IF(B41=""," ",#REF!+1)</f>
        <v xml:space="preserve"> </v>
      </c>
      <c r="B41" s="71"/>
      <c r="C41" s="13"/>
      <c r="D41" s="72"/>
      <c r="E41" s="73"/>
      <c r="F41" s="74"/>
      <c r="G41" s="20"/>
      <c r="H41" s="42"/>
      <c r="I41" s="42"/>
      <c r="J41" s="59"/>
      <c r="K41" s="13"/>
      <c r="L41" s="14"/>
      <c r="M41" s="15"/>
    </row>
    <row r="42" spans="1:13">
      <c r="A42" s="42" t="str">
        <f>IF(B42=""," ",A41+1)</f>
        <v xml:space="preserve"> </v>
      </c>
      <c r="B42" s="71"/>
      <c r="C42" s="13"/>
      <c r="D42" s="72"/>
      <c r="E42" s="73"/>
      <c r="F42" s="74"/>
      <c r="G42" s="20"/>
      <c r="H42" s="42"/>
      <c r="I42" s="42"/>
      <c r="J42" s="59"/>
      <c r="K42" s="13"/>
      <c r="L42" s="14"/>
      <c r="M42" s="15"/>
    </row>
    <row r="43" spans="1:13">
      <c r="A43" s="42" t="str">
        <f>IF(B43=""," ",A42+1)</f>
        <v xml:space="preserve"> </v>
      </c>
      <c r="B43" s="71"/>
      <c r="C43" s="13"/>
      <c r="D43" s="72"/>
      <c r="E43" s="73"/>
      <c r="F43" s="74"/>
      <c r="G43" s="20"/>
      <c r="H43" s="42"/>
      <c r="I43" s="42"/>
      <c r="J43" s="59"/>
      <c r="K43" s="609"/>
      <c r="L43" s="610"/>
      <c r="M43" s="611"/>
    </row>
    <row r="44" spans="1:13">
      <c r="A44" s="42" t="str">
        <f>IF(B44=""," ",#REF!+1)</f>
        <v xml:space="preserve"> </v>
      </c>
      <c r="B44" s="71"/>
      <c r="C44" s="13"/>
      <c r="D44" s="72"/>
      <c r="E44" s="73"/>
      <c r="F44" s="74"/>
      <c r="G44" s="20"/>
      <c r="H44" s="42"/>
      <c r="I44" s="42"/>
      <c r="J44" s="59"/>
      <c r="K44" s="609"/>
      <c r="L44" s="610"/>
      <c r="M44" s="611"/>
    </row>
    <row r="45" spans="1:13">
      <c r="A45" s="42" t="str">
        <f>IF(B45=""," ",#REF!+1)</f>
        <v xml:space="preserve"> </v>
      </c>
      <c r="B45" s="71"/>
      <c r="C45" s="13"/>
      <c r="D45" s="72"/>
      <c r="E45" s="73"/>
      <c r="F45" s="74"/>
      <c r="G45" s="20"/>
      <c r="H45" s="42"/>
      <c r="I45" s="42"/>
      <c r="J45" s="59"/>
      <c r="K45" s="13"/>
      <c r="L45" s="14"/>
      <c r="M45" s="15"/>
    </row>
    <row r="46" spans="1:13">
      <c r="A46" s="42" t="str">
        <f>IF(B46=""," ",A45+1)</f>
        <v xml:space="preserve"> </v>
      </c>
      <c r="B46" s="71"/>
      <c r="C46" s="13"/>
      <c r="D46" s="72"/>
      <c r="E46" s="73"/>
      <c r="F46" s="74"/>
      <c r="G46" s="20"/>
      <c r="H46" s="42"/>
      <c r="I46" s="42"/>
      <c r="J46" s="59"/>
      <c r="K46" s="13"/>
      <c r="L46" s="14"/>
      <c r="M46" s="15"/>
    </row>
    <row r="47" spans="1:13">
      <c r="A47" s="42" t="str">
        <f>IF(B47=""," ",A46+1)</f>
        <v xml:space="preserve"> </v>
      </c>
      <c r="B47" s="71"/>
      <c r="C47" s="13"/>
      <c r="D47" s="72"/>
      <c r="E47" s="73"/>
      <c r="F47" s="74"/>
      <c r="G47" s="20"/>
      <c r="H47" s="42"/>
      <c r="I47" s="42"/>
      <c r="J47" s="59"/>
      <c r="K47" s="609"/>
      <c r="L47" s="610"/>
      <c r="M47" s="611"/>
    </row>
    <row r="48" spans="1:13">
      <c r="A48" s="42" t="str">
        <f>IF(B48=""," ",#REF!+1)</f>
        <v xml:space="preserve"> </v>
      </c>
      <c r="B48" s="71"/>
      <c r="C48" s="13"/>
      <c r="D48" s="72"/>
      <c r="E48" s="73"/>
      <c r="F48" s="74"/>
      <c r="G48" s="20"/>
      <c r="H48" s="42"/>
      <c r="I48" s="42"/>
      <c r="J48" s="59"/>
      <c r="K48" s="609"/>
      <c r="L48" s="610"/>
      <c r="M48" s="611"/>
    </row>
    <row r="49" spans="1:13">
      <c r="A49" s="42" t="str">
        <f>IF(B49=""," ",#REF!+1)</f>
        <v xml:space="preserve"> </v>
      </c>
      <c r="B49" s="71"/>
      <c r="C49" s="13"/>
      <c r="D49" s="72"/>
      <c r="E49" s="73"/>
      <c r="F49" s="74"/>
      <c r="G49" s="20"/>
      <c r="H49" s="42"/>
      <c r="I49" s="42"/>
      <c r="J49" s="59"/>
      <c r="K49" s="13"/>
      <c r="L49" s="14"/>
      <c r="M49" s="15"/>
    </row>
    <row r="50" spans="1:13">
      <c r="A50" s="42" t="str">
        <f>IF(B50=""," ",A49+1)</f>
        <v xml:space="preserve"> </v>
      </c>
      <c r="B50" s="71"/>
      <c r="C50" s="13"/>
      <c r="D50" s="72"/>
      <c r="E50" s="73"/>
      <c r="F50" s="74"/>
      <c r="G50" s="20"/>
      <c r="H50" s="42"/>
      <c r="I50" s="42"/>
      <c r="J50" s="59"/>
      <c r="K50" s="13"/>
      <c r="L50" s="14"/>
      <c r="M50" s="15"/>
    </row>
    <row r="51" spans="1:13">
      <c r="A51" s="42" t="str">
        <f>IF(B51=""," ",A50+1)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13"/>
      <c r="L99" s="14"/>
      <c r="M99" s="15"/>
    </row>
    <row r="100" spans="1:13">
      <c r="A100" s="42" t="str">
        <f>IF(B100=""," ",A99+1)</f>
        <v xml:space="preserve"> </v>
      </c>
      <c r="B100" s="71"/>
      <c r="C100" s="13"/>
      <c r="D100" s="72"/>
      <c r="E100" s="73"/>
      <c r="F100" s="74"/>
      <c r="G100" s="20"/>
      <c r="H100" s="42"/>
      <c r="I100" s="42"/>
      <c r="J100" s="59"/>
      <c r="K100" s="609"/>
      <c r="L100" s="610"/>
      <c r="M100" s="611"/>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sheetData>
  <mergeCells count="61">
    <mergeCell ref="K83:M83"/>
    <mergeCell ref="K84:M84"/>
    <mergeCell ref="K87:M87"/>
    <mergeCell ref="K88:M88"/>
    <mergeCell ref="K100:M100"/>
    <mergeCell ref="K91:M91"/>
    <mergeCell ref="K92:M92"/>
    <mergeCell ref="K95:M95"/>
    <mergeCell ref="K96:M96"/>
    <mergeCell ref="K75:M75"/>
    <mergeCell ref="K76:M76"/>
    <mergeCell ref="K79:M79"/>
    <mergeCell ref="K80:M80"/>
    <mergeCell ref="K67:M67"/>
    <mergeCell ref="K68:M68"/>
    <mergeCell ref="K71:M71"/>
    <mergeCell ref="K72:M72"/>
    <mergeCell ref="K59:M59"/>
    <mergeCell ref="K60:M60"/>
    <mergeCell ref="K63:M63"/>
    <mergeCell ref="K64:M64"/>
    <mergeCell ref="K51:M51"/>
    <mergeCell ref="K52:M52"/>
    <mergeCell ref="K55:M55"/>
    <mergeCell ref="K56:M56"/>
    <mergeCell ref="K7:M7"/>
    <mergeCell ref="K43:M43"/>
    <mergeCell ref="K44:M44"/>
    <mergeCell ref="K47:M47"/>
    <mergeCell ref="K48:M48"/>
    <mergeCell ref="K35:M35"/>
    <mergeCell ref="K36:M36"/>
    <mergeCell ref="K39:M39"/>
    <mergeCell ref="K40:M40"/>
    <mergeCell ref="K8:M8"/>
    <mergeCell ref="K11:M11"/>
    <mergeCell ref="K12:M12"/>
    <mergeCell ref="K13:M13"/>
    <mergeCell ref="K9:M9"/>
    <mergeCell ref="K10:M10"/>
    <mergeCell ref="K14:M14"/>
    <mergeCell ref="A5:A6"/>
    <mergeCell ref="B5:C5"/>
    <mergeCell ref="K5:M6"/>
    <mergeCell ref="I5:J5"/>
    <mergeCell ref="D5:H5"/>
    <mergeCell ref="A2:B2"/>
    <mergeCell ref="A3:B3"/>
    <mergeCell ref="A4:B4"/>
    <mergeCell ref="H2:J2"/>
    <mergeCell ref="C2:G2"/>
    <mergeCell ref="C3:G3"/>
    <mergeCell ref="C4:G4"/>
    <mergeCell ref="H4:I4"/>
    <mergeCell ref="H3:I3"/>
    <mergeCell ref="K19:M19"/>
    <mergeCell ref="K20:M20"/>
    <mergeCell ref="K15:M15"/>
    <mergeCell ref="K16:M16"/>
    <mergeCell ref="K17:M17"/>
    <mergeCell ref="K18:M18"/>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5">
    <pageSetUpPr fitToPage="1"/>
  </sheetPr>
  <dimension ref="A1:R111"/>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8" ht="12" customHeight="1">
      <c r="B1" s="47"/>
    </row>
    <row r="2" spans="1:18" ht="12" customHeight="1">
      <c r="A2" s="643" t="s">
        <v>602</v>
      </c>
      <c r="B2" s="644"/>
      <c r="C2" s="643" t="s">
        <v>36</v>
      </c>
      <c r="D2" s="651"/>
      <c r="E2" s="651"/>
      <c r="F2" s="651"/>
      <c r="G2" s="644"/>
      <c r="H2" s="643"/>
      <c r="I2" s="651"/>
      <c r="J2" s="644"/>
      <c r="K2" s="37"/>
      <c r="L2" s="38" t="s">
        <v>37</v>
      </c>
      <c r="M2" s="38" t="s">
        <v>38</v>
      </c>
    </row>
    <row r="3" spans="1:18" ht="12" customHeight="1">
      <c r="A3" s="647"/>
      <c r="B3" s="648"/>
      <c r="C3" s="652" t="s">
        <v>1148</v>
      </c>
      <c r="D3" s="653"/>
      <c r="E3" s="653"/>
      <c r="F3" s="653"/>
      <c r="G3" s="654"/>
      <c r="H3" s="643" t="s">
        <v>39</v>
      </c>
      <c r="I3" s="644"/>
      <c r="J3" s="39">
        <f>COUNT(A7:A100)</f>
        <v>12</v>
      </c>
      <c r="K3" s="38" t="s">
        <v>40</v>
      </c>
      <c r="L3" s="40">
        <v>38629</v>
      </c>
      <c r="M3" s="41" t="s">
        <v>56</v>
      </c>
      <c r="O3" s="16" t="s">
        <v>41</v>
      </c>
      <c r="P3" s="16" t="s">
        <v>42</v>
      </c>
    </row>
    <row r="4" spans="1:18" ht="12" customHeight="1">
      <c r="A4" s="649" t="s">
        <v>43</v>
      </c>
      <c r="B4" s="650"/>
      <c r="C4" s="649" t="s">
        <v>1003</v>
      </c>
      <c r="D4" s="655"/>
      <c r="E4" s="655"/>
      <c r="F4" s="655"/>
      <c r="G4" s="650"/>
      <c r="H4" s="643" t="s">
        <v>44</v>
      </c>
      <c r="I4" s="644"/>
      <c r="J4" s="39">
        <f>SUM(G7:G100)</f>
        <v>211</v>
      </c>
      <c r="K4" s="38" t="s">
        <v>45</v>
      </c>
      <c r="L4" s="40">
        <v>38763</v>
      </c>
      <c r="M4" s="42" t="s">
        <v>1407</v>
      </c>
      <c r="O4" s="16" t="s">
        <v>1400</v>
      </c>
      <c r="P4" s="16" t="s">
        <v>569</v>
      </c>
    </row>
    <row r="5" spans="1:18" ht="12" customHeight="1">
      <c r="A5" s="645" t="s">
        <v>1442</v>
      </c>
      <c r="B5" s="643" t="s">
        <v>46</v>
      </c>
      <c r="C5" s="651"/>
      <c r="D5" s="662" t="s">
        <v>47</v>
      </c>
      <c r="E5" s="651"/>
      <c r="F5" s="651"/>
      <c r="G5" s="651"/>
      <c r="H5" s="651"/>
      <c r="I5" s="643" t="s">
        <v>604</v>
      </c>
      <c r="J5" s="644"/>
      <c r="K5" s="656" t="s">
        <v>48</v>
      </c>
      <c r="L5" s="657"/>
      <c r="M5" s="658"/>
      <c r="P5" s="16" t="s">
        <v>605</v>
      </c>
    </row>
    <row r="6" spans="1:18" ht="12" customHeight="1">
      <c r="A6" s="646"/>
      <c r="B6" s="38" t="s">
        <v>49</v>
      </c>
      <c r="C6" s="35" t="s">
        <v>50</v>
      </c>
      <c r="D6" s="43" t="s">
        <v>42</v>
      </c>
      <c r="E6" s="44" t="s">
        <v>51</v>
      </c>
      <c r="F6" s="45" t="s">
        <v>52</v>
      </c>
      <c r="G6" s="38" t="s">
        <v>606</v>
      </c>
      <c r="H6" s="36" t="s">
        <v>53</v>
      </c>
      <c r="I6" s="36" t="s">
        <v>607</v>
      </c>
      <c r="J6" s="36" t="s">
        <v>608</v>
      </c>
      <c r="K6" s="659"/>
      <c r="L6" s="660"/>
      <c r="M6" s="661"/>
      <c r="P6" s="16" t="s">
        <v>609</v>
      </c>
    </row>
    <row r="7" spans="1:18" ht="12" customHeight="1">
      <c r="A7" s="42">
        <v>1</v>
      </c>
      <c r="B7" s="48" t="s">
        <v>235</v>
      </c>
      <c r="C7" s="49" t="s">
        <v>1149</v>
      </c>
      <c r="D7" s="78" t="s">
        <v>1164</v>
      </c>
      <c r="E7" s="73">
        <v>5</v>
      </c>
      <c r="F7" s="74"/>
      <c r="G7" s="20">
        <v>5</v>
      </c>
      <c r="H7" s="42" t="s">
        <v>1377</v>
      </c>
      <c r="I7" s="42" t="s">
        <v>1363</v>
      </c>
      <c r="J7" s="59"/>
      <c r="K7" s="599"/>
      <c r="L7" s="600"/>
      <c r="M7" s="601"/>
      <c r="P7" s="16" t="s">
        <v>1150</v>
      </c>
    </row>
    <row r="8" spans="1:18" ht="12" customHeight="1">
      <c r="A8" s="42">
        <f t="shared" ref="A8:A18" si="0">IF(B8=""," ",A7+1)</f>
        <v>2</v>
      </c>
      <c r="B8" s="48" t="s">
        <v>1152</v>
      </c>
      <c r="C8" s="49" t="s">
        <v>1153</v>
      </c>
      <c r="D8" s="78" t="s">
        <v>1434</v>
      </c>
      <c r="E8" s="73">
        <v>1</v>
      </c>
      <c r="F8" s="74"/>
      <c r="G8" s="20">
        <f t="shared" ref="G8:G18" si="1">IF(D8="DATE",4,IF(D8="CHAR",E8,IF(D8="SMALLINT",2,IF(D8="INTEGER",4,IF(D8="TIMESTAMP",10,IF(D8="TIME",3,0))))))</f>
        <v>1</v>
      </c>
      <c r="H8" s="42" t="s">
        <v>1435</v>
      </c>
      <c r="I8" s="42"/>
      <c r="J8" s="59"/>
      <c r="K8" s="599" t="s">
        <v>1154</v>
      </c>
      <c r="L8" s="600"/>
      <c r="M8" s="601"/>
      <c r="P8" s="16" t="s">
        <v>578</v>
      </c>
    </row>
    <row r="9" spans="1:18" ht="12" customHeight="1">
      <c r="A9" s="42">
        <f t="shared" si="0"/>
        <v>3</v>
      </c>
      <c r="B9" s="48" t="s">
        <v>1156</v>
      </c>
      <c r="C9" s="49" t="s">
        <v>1157</v>
      </c>
      <c r="D9" s="78" t="s">
        <v>1161</v>
      </c>
      <c r="E9" s="73">
        <v>82</v>
      </c>
      <c r="F9" s="74"/>
      <c r="G9" s="20">
        <f>IF(D9="DATE",4,IF(D9="CHAR",E9,IF(D9="SMALLINT",2,IF(D9="INTEGER",4,IF(D9="TIMESTAMP",10,IF(D9="TIME",3,0))))))</f>
        <v>82</v>
      </c>
      <c r="H9" s="42" t="s">
        <v>1358</v>
      </c>
      <c r="I9" s="42"/>
      <c r="J9" s="59"/>
      <c r="K9" s="599" t="s">
        <v>1159</v>
      </c>
      <c r="L9" s="600"/>
      <c r="M9" s="601"/>
    </row>
    <row r="10" spans="1:18" ht="12" customHeight="1">
      <c r="A10" s="42">
        <f t="shared" si="0"/>
        <v>4</v>
      </c>
      <c r="B10" s="48" t="s">
        <v>1155</v>
      </c>
      <c r="C10" s="49" t="s">
        <v>1158</v>
      </c>
      <c r="D10" s="78" t="s">
        <v>1359</v>
      </c>
      <c r="E10" s="73">
        <v>80</v>
      </c>
      <c r="F10" s="74"/>
      <c r="G10" s="20">
        <f t="shared" si="1"/>
        <v>80</v>
      </c>
      <c r="H10" s="42" t="s">
        <v>1358</v>
      </c>
      <c r="I10" s="42"/>
      <c r="J10" s="59"/>
      <c r="K10" s="55" t="s">
        <v>1160</v>
      </c>
      <c r="L10" s="56"/>
      <c r="M10" s="57"/>
    </row>
    <row r="11" spans="1:18" ht="27" customHeight="1">
      <c r="A11" s="42">
        <f t="shared" si="0"/>
        <v>5</v>
      </c>
      <c r="B11" s="100" t="s">
        <v>1167</v>
      </c>
      <c r="C11" s="139" t="s">
        <v>1169</v>
      </c>
      <c r="D11" s="140" t="s">
        <v>533</v>
      </c>
      <c r="E11" s="141">
        <v>12</v>
      </c>
      <c r="F11" s="142"/>
      <c r="G11" s="143">
        <v>12</v>
      </c>
      <c r="H11" s="138" t="s">
        <v>528</v>
      </c>
      <c r="I11" s="144"/>
      <c r="J11" s="145"/>
      <c r="K11" s="698" t="s">
        <v>1168</v>
      </c>
      <c r="L11" s="699"/>
      <c r="M11" s="700"/>
      <c r="N11" s="146"/>
      <c r="O11" s="146"/>
      <c r="P11" s="146"/>
      <c r="Q11" s="146"/>
      <c r="R11" s="146"/>
    </row>
    <row r="12" spans="1:18" ht="12" customHeight="1">
      <c r="A12" s="42">
        <f t="shared" si="0"/>
        <v>6</v>
      </c>
      <c r="B12" s="100" t="s">
        <v>1451</v>
      </c>
      <c r="C12" s="147" t="s">
        <v>1450</v>
      </c>
      <c r="D12" s="148" t="s">
        <v>533</v>
      </c>
      <c r="E12" s="149">
        <v>3</v>
      </c>
      <c r="F12" s="150"/>
      <c r="G12" s="143">
        <v>3</v>
      </c>
      <c r="H12" s="138" t="s">
        <v>1379</v>
      </c>
      <c r="I12" s="138"/>
      <c r="J12" s="151"/>
      <c r="K12" s="695"/>
      <c r="L12" s="696"/>
      <c r="M12" s="697"/>
      <c r="N12" s="146"/>
      <c r="O12" s="146"/>
      <c r="P12" s="146" t="s">
        <v>1378</v>
      </c>
      <c r="Q12" s="146"/>
      <c r="R12" s="146"/>
    </row>
    <row r="13" spans="1:18" ht="25.5" customHeight="1">
      <c r="A13" s="42">
        <f t="shared" si="0"/>
        <v>7</v>
      </c>
      <c r="B13" s="48" t="s">
        <v>231</v>
      </c>
      <c r="C13" s="49" t="s">
        <v>232</v>
      </c>
      <c r="D13" s="78" t="s">
        <v>523</v>
      </c>
      <c r="E13" s="73">
        <v>1</v>
      </c>
      <c r="F13" s="74"/>
      <c r="G13" s="20">
        <f t="shared" si="1"/>
        <v>1</v>
      </c>
      <c r="H13" s="42" t="s">
        <v>1151</v>
      </c>
      <c r="I13" s="42"/>
      <c r="J13" s="59"/>
      <c r="K13" s="599" t="s">
        <v>852</v>
      </c>
      <c r="L13" s="600"/>
      <c r="M13" s="601"/>
      <c r="P13" s="16" t="s">
        <v>579</v>
      </c>
    </row>
    <row r="14" spans="1:18">
      <c r="A14" s="42">
        <f t="shared" si="0"/>
        <v>8</v>
      </c>
      <c r="B14" s="48" t="s">
        <v>233</v>
      </c>
      <c r="C14" s="49" t="s">
        <v>234</v>
      </c>
      <c r="D14" s="78" t="s">
        <v>1449</v>
      </c>
      <c r="E14" s="73">
        <v>1</v>
      </c>
      <c r="F14" s="74"/>
      <c r="G14" s="20">
        <f t="shared" si="1"/>
        <v>1</v>
      </c>
      <c r="H14" s="42" t="s">
        <v>1340</v>
      </c>
      <c r="I14" s="42"/>
      <c r="J14" s="59"/>
      <c r="K14" s="632" t="s">
        <v>1749</v>
      </c>
      <c r="L14" s="633"/>
      <c r="M14" s="634"/>
      <c r="P14" s="16" t="s">
        <v>520</v>
      </c>
    </row>
    <row r="15" spans="1:18" s="113" customFormat="1" ht="13.5" customHeight="1">
      <c r="A15" s="42">
        <f t="shared" si="0"/>
        <v>9</v>
      </c>
      <c r="B15" s="64" t="s">
        <v>26</v>
      </c>
      <c r="C15" s="24" t="s">
        <v>1399</v>
      </c>
      <c r="D15" s="72" t="s">
        <v>519</v>
      </c>
      <c r="E15" s="73"/>
      <c r="F15" s="74"/>
      <c r="G15" s="20">
        <f t="shared" si="1"/>
        <v>4</v>
      </c>
      <c r="H15" s="42" t="s">
        <v>1400</v>
      </c>
      <c r="I15" s="42" t="s">
        <v>1400</v>
      </c>
      <c r="J15" s="59"/>
      <c r="K15" s="609" t="s">
        <v>1409</v>
      </c>
      <c r="L15" s="610"/>
      <c r="M15" s="611"/>
    </row>
    <row r="16" spans="1:18" s="113" customFormat="1">
      <c r="A16" s="42">
        <f t="shared" si="0"/>
        <v>10</v>
      </c>
      <c r="B16" s="64" t="s">
        <v>27</v>
      </c>
      <c r="C16" s="24" t="s">
        <v>1401</v>
      </c>
      <c r="D16" s="72" t="s">
        <v>1402</v>
      </c>
      <c r="E16" s="73"/>
      <c r="F16" s="74"/>
      <c r="G16" s="20">
        <f t="shared" si="1"/>
        <v>4</v>
      </c>
      <c r="H16" s="42" t="s">
        <v>1403</v>
      </c>
      <c r="I16" s="42"/>
      <c r="J16" s="59"/>
      <c r="K16" s="609" t="s">
        <v>1410</v>
      </c>
      <c r="L16" s="610"/>
      <c r="M16" s="611"/>
    </row>
    <row r="17" spans="1:13" ht="12" customHeight="1">
      <c r="A17" s="42">
        <f t="shared" si="0"/>
        <v>11</v>
      </c>
      <c r="B17" s="64" t="s">
        <v>1083</v>
      </c>
      <c r="C17" s="24" t="s">
        <v>1111</v>
      </c>
      <c r="D17" s="72" t="s">
        <v>1431</v>
      </c>
      <c r="E17" s="51">
        <v>8</v>
      </c>
      <c r="F17" s="58"/>
      <c r="G17" s="20">
        <f t="shared" si="1"/>
        <v>8</v>
      </c>
      <c r="H17" s="53" t="s">
        <v>1432</v>
      </c>
      <c r="I17" s="53"/>
      <c r="J17" s="59"/>
      <c r="K17" s="609" t="s">
        <v>1112</v>
      </c>
      <c r="L17" s="610"/>
      <c r="M17" s="611"/>
    </row>
    <row r="18" spans="1:13" s="22" customFormat="1">
      <c r="A18" s="42">
        <f t="shared" si="0"/>
        <v>12</v>
      </c>
      <c r="B18" s="93" t="s">
        <v>1724</v>
      </c>
      <c r="C18" s="26" t="s">
        <v>1404</v>
      </c>
      <c r="D18" s="94" t="s">
        <v>1405</v>
      </c>
      <c r="E18" s="95"/>
      <c r="F18" s="90"/>
      <c r="G18" s="21">
        <f t="shared" si="1"/>
        <v>10</v>
      </c>
      <c r="H18" s="91" t="s">
        <v>1406</v>
      </c>
      <c r="I18" s="89"/>
      <c r="J18" s="92"/>
      <c r="K18" s="602"/>
      <c r="L18" s="603"/>
      <c r="M18" s="604"/>
    </row>
    <row r="19" spans="1:13">
      <c r="A19" s="42" t="str">
        <f t="shared" ref="A19:A42" si="2">IF(B19=""," ",A18+1)</f>
        <v xml:space="preserve"> </v>
      </c>
      <c r="B19" s="100"/>
      <c r="C19" s="137"/>
      <c r="D19" s="78"/>
      <c r="E19" s="73"/>
      <c r="F19" s="74"/>
      <c r="G19" s="20"/>
      <c r="H19" s="42"/>
      <c r="I19" s="42"/>
      <c r="J19" s="59"/>
      <c r="K19" s="599"/>
      <c r="L19" s="600"/>
      <c r="M19" s="601"/>
    </row>
    <row r="20" spans="1:13">
      <c r="A20" s="42" t="str">
        <f>IF(B20=""," ",#REF!+1)</f>
        <v xml:space="preserve"> </v>
      </c>
      <c r="B20" s="71"/>
      <c r="C20" s="13"/>
      <c r="D20" s="72"/>
      <c r="E20" s="73"/>
      <c r="F20" s="74"/>
      <c r="G20" s="20"/>
      <c r="H20" s="42"/>
      <c r="I20" s="42"/>
      <c r="J20" s="59"/>
      <c r="K20" s="13"/>
      <c r="L20" s="14"/>
      <c r="M20" s="15"/>
    </row>
    <row r="21" spans="1:13">
      <c r="A21" s="42" t="str">
        <f t="shared" si="2"/>
        <v xml:space="preserve"> </v>
      </c>
      <c r="B21" s="71"/>
      <c r="C21" s="13"/>
      <c r="D21" s="72"/>
      <c r="E21" s="73"/>
      <c r="F21" s="74"/>
      <c r="G21" s="20"/>
      <c r="H21" s="42"/>
      <c r="I21" s="42"/>
      <c r="J21" s="59"/>
      <c r="K21" s="13"/>
      <c r="L21" s="14"/>
      <c r="M21" s="15"/>
    </row>
    <row r="22" spans="1:13">
      <c r="A22" s="42" t="str">
        <f t="shared" si="2"/>
        <v xml:space="preserve"> </v>
      </c>
      <c r="B22" s="71"/>
      <c r="C22" s="13"/>
      <c r="D22" s="72"/>
      <c r="E22" s="73"/>
      <c r="F22" s="74"/>
      <c r="G22" s="20"/>
      <c r="H22" s="42"/>
      <c r="I22" s="42"/>
      <c r="J22" s="59"/>
      <c r="K22" s="13"/>
      <c r="L22" s="14"/>
      <c r="M22" s="15"/>
    </row>
    <row r="23" spans="1:13">
      <c r="A23" s="42" t="str">
        <f>IF(B23=""," ",A22+1)</f>
        <v xml:space="preserve"> </v>
      </c>
      <c r="B23" s="71"/>
      <c r="C23" s="13"/>
      <c r="D23" s="72"/>
      <c r="E23" s="73"/>
      <c r="F23" s="74"/>
      <c r="G23" s="20"/>
      <c r="H23" s="42"/>
      <c r="I23" s="42"/>
      <c r="J23" s="59"/>
      <c r="K23" s="13"/>
      <c r="L23" s="14"/>
      <c r="M23" s="15"/>
    </row>
    <row r="24" spans="1:13">
      <c r="A24" s="42" t="str">
        <f t="shared" si="2"/>
        <v xml:space="preserve"> </v>
      </c>
      <c r="B24" s="71"/>
      <c r="C24" s="13"/>
      <c r="D24" s="72"/>
      <c r="E24" s="73"/>
      <c r="F24" s="74"/>
      <c r="G24" s="20"/>
      <c r="H24" s="42"/>
      <c r="I24" s="42"/>
      <c r="J24" s="59"/>
      <c r="K24" s="13"/>
      <c r="L24" s="14"/>
      <c r="M24" s="15"/>
    </row>
    <row r="25" spans="1:13">
      <c r="A25" s="42" t="str">
        <f t="shared" si="2"/>
        <v xml:space="preserve"> </v>
      </c>
      <c r="B25" s="71"/>
      <c r="C25" s="13"/>
      <c r="D25" s="72"/>
      <c r="E25" s="73"/>
      <c r="F25" s="74"/>
      <c r="G25" s="20"/>
      <c r="H25" s="42"/>
      <c r="I25" s="42"/>
      <c r="J25" s="59"/>
      <c r="K25" s="13"/>
      <c r="L25" s="14"/>
      <c r="M25" s="15"/>
    </row>
    <row r="26" spans="1:13">
      <c r="A26" s="42" t="str">
        <f t="shared" si="2"/>
        <v xml:space="preserve"> </v>
      </c>
      <c r="B26" s="71"/>
      <c r="C26" s="13"/>
      <c r="D26" s="72"/>
      <c r="E26" s="73"/>
      <c r="F26" s="74"/>
      <c r="G26" s="20"/>
      <c r="H26" s="42"/>
      <c r="I26" s="42"/>
      <c r="J26" s="59"/>
      <c r="K26" s="13"/>
      <c r="L26" s="14"/>
      <c r="M26" s="15"/>
    </row>
    <row r="27" spans="1:13">
      <c r="A27" s="42" t="str">
        <f t="shared" si="2"/>
        <v xml:space="preserve"> </v>
      </c>
      <c r="B27" s="71"/>
      <c r="C27" s="13"/>
      <c r="D27" s="72"/>
      <c r="E27" s="73"/>
      <c r="F27" s="74"/>
      <c r="G27" s="20"/>
      <c r="H27" s="42"/>
      <c r="I27" s="42"/>
      <c r="J27" s="59"/>
      <c r="K27" s="13"/>
      <c r="L27" s="14"/>
      <c r="M27" s="15"/>
    </row>
    <row r="28" spans="1:13">
      <c r="A28" s="42" t="str">
        <f t="shared" si="2"/>
        <v xml:space="preserve"> </v>
      </c>
      <c r="B28" s="71"/>
      <c r="C28" s="13"/>
      <c r="D28" s="72"/>
      <c r="E28" s="73"/>
      <c r="F28" s="74"/>
      <c r="G28" s="20"/>
      <c r="H28" s="42"/>
      <c r="I28" s="42"/>
      <c r="J28" s="59"/>
      <c r="K28" s="13"/>
      <c r="L28" s="14"/>
      <c r="M28" s="15"/>
    </row>
    <row r="29" spans="1:13">
      <c r="A29" s="42" t="str">
        <f t="shared" si="2"/>
        <v xml:space="preserve"> </v>
      </c>
      <c r="B29" s="71"/>
      <c r="C29" s="13"/>
      <c r="D29" s="72"/>
      <c r="E29" s="73"/>
      <c r="F29" s="74"/>
      <c r="G29" s="20"/>
      <c r="H29" s="42"/>
      <c r="I29" s="42"/>
      <c r="J29" s="59"/>
      <c r="K29" s="13"/>
      <c r="L29" s="14"/>
      <c r="M29" s="15"/>
    </row>
    <row r="30" spans="1:13">
      <c r="A30" s="42" t="str">
        <f t="shared" si="2"/>
        <v xml:space="preserve"> </v>
      </c>
      <c r="B30" s="71"/>
      <c r="C30" s="13"/>
      <c r="D30" s="72"/>
      <c r="E30" s="73"/>
      <c r="F30" s="74"/>
      <c r="G30" s="20"/>
      <c r="H30" s="42"/>
      <c r="I30" s="42"/>
      <c r="J30" s="59"/>
      <c r="K30" s="13"/>
      <c r="L30" s="14"/>
      <c r="M30" s="15"/>
    </row>
    <row r="31" spans="1:13">
      <c r="A31" s="89" t="str">
        <f t="shared" si="2"/>
        <v xml:space="preserve"> </v>
      </c>
      <c r="B31" s="66"/>
      <c r="C31" s="31"/>
      <c r="D31" s="97"/>
      <c r="E31" s="98"/>
      <c r="F31" s="99"/>
      <c r="G31" s="20"/>
      <c r="H31" s="89"/>
      <c r="I31" s="89"/>
      <c r="J31" s="92"/>
      <c r="K31" s="31"/>
      <c r="L31" s="32"/>
      <c r="M31" s="33"/>
    </row>
    <row r="32" spans="1:13">
      <c r="A32" s="89" t="str">
        <f>IF(B32=""," ",#REF!+1)</f>
        <v xml:space="preserve"> </v>
      </c>
      <c r="B32" s="96"/>
      <c r="C32" s="31"/>
      <c r="D32" s="97"/>
      <c r="E32" s="98"/>
      <c r="F32" s="99"/>
      <c r="G32" s="20"/>
      <c r="H32" s="89"/>
      <c r="I32" s="89"/>
      <c r="J32" s="92"/>
      <c r="K32" s="31"/>
      <c r="L32" s="32"/>
      <c r="M32" s="33"/>
    </row>
    <row r="33" spans="1:13">
      <c r="A33" s="89" t="str">
        <f>IF(B33=""," ",#REF!+1)</f>
        <v xml:space="preserve"> </v>
      </c>
      <c r="B33" s="96"/>
      <c r="C33" s="31"/>
      <c r="D33" s="97"/>
      <c r="E33" s="98"/>
      <c r="F33" s="99"/>
      <c r="G33" s="20"/>
      <c r="H33" s="89"/>
      <c r="I33" s="89"/>
      <c r="J33" s="92"/>
      <c r="K33" s="31"/>
      <c r="L33" s="32"/>
      <c r="M33" s="33"/>
    </row>
    <row r="34" spans="1:13">
      <c r="A34" s="89" t="str">
        <f t="shared" si="2"/>
        <v xml:space="preserve"> </v>
      </c>
      <c r="B34" s="96"/>
      <c r="C34" s="31"/>
      <c r="D34" s="97"/>
      <c r="E34" s="98"/>
      <c r="F34" s="99"/>
      <c r="G34" s="20"/>
      <c r="H34" s="89"/>
      <c r="I34" s="89"/>
      <c r="J34" s="92"/>
      <c r="K34" s="31"/>
      <c r="L34" s="32"/>
      <c r="M34" s="33"/>
    </row>
    <row r="35" spans="1:13">
      <c r="A35" s="89" t="str">
        <f t="shared" si="2"/>
        <v xml:space="preserve"> </v>
      </c>
      <c r="B35" s="96"/>
      <c r="C35" s="31"/>
      <c r="D35" s="97"/>
      <c r="E35" s="98"/>
      <c r="F35" s="99"/>
      <c r="G35" s="20"/>
      <c r="H35" s="89"/>
      <c r="I35" s="89"/>
      <c r="J35" s="92"/>
      <c r="K35" s="31"/>
      <c r="L35" s="32"/>
      <c r="M35" s="33"/>
    </row>
    <row r="36" spans="1:13">
      <c r="A36" s="89" t="str">
        <f t="shared" si="2"/>
        <v xml:space="preserve"> </v>
      </c>
      <c r="B36" s="96"/>
      <c r="C36" s="31"/>
      <c r="D36" s="97"/>
      <c r="E36" s="98"/>
      <c r="F36" s="99"/>
      <c r="G36" s="21"/>
      <c r="H36" s="89"/>
      <c r="I36" s="89"/>
      <c r="J36" s="92"/>
      <c r="K36" s="31"/>
      <c r="L36" s="32"/>
      <c r="M36" s="33"/>
    </row>
    <row r="37" spans="1:13">
      <c r="A37" s="89" t="str">
        <f>IF(B37=""," ",A36+1)</f>
        <v xml:space="preserve"> </v>
      </c>
      <c r="B37" s="96"/>
      <c r="C37" s="31"/>
      <c r="D37" s="97"/>
      <c r="E37" s="98"/>
      <c r="F37" s="99"/>
      <c r="G37" s="21"/>
      <c r="H37" s="89"/>
      <c r="I37" s="89"/>
      <c r="J37" s="92"/>
      <c r="K37" s="31"/>
      <c r="L37" s="32"/>
      <c r="M37" s="33"/>
    </row>
    <row r="38" spans="1:13">
      <c r="A38" s="89" t="str">
        <f t="shared" si="2"/>
        <v xml:space="preserve"> </v>
      </c>
      <c r="B38" s="96"/>
      <c r="C38" s="31"/>
      <c r="D38" s="97"/>
      <c r="E38" s="98"/>
      <c r="F38" s="99"/>
      <c r="G38" s="21"/>
      <c r="H38" s="89"/>
      <c r="I38" s="89"/>
      <c r="J38" s="92"/>
      <c r="K38" s="31"/>
      <c r="L38" s="32"/>
      <c r="M38" s="33"/>
    </row>
    <row r="39" spans="1:13">
      <c r="A39" s="89" t="str">
        <f t="shared" si="2"/>
        <v xml:space="preserve"> </v>
      </c>
      <c r="B39" s="96"/>
      <c r="C39" s="31"/>
      <c r="D39" s="97"/>
      <c r="E39" s="98"/>
      <c r="F39" s="99"/>
      <c r="G39" s="21"/>
      <c r="H39" s="89"/>
      <c r="I39" s="89"/>
      <c r="J39" s="92"/>
      <c r="K39" s="31"/>
      <c r="L39" s="32"/>
      <c r="M39" s="33"/>
    </row>
    <row r="40" spans="1:13">
      <c r="A40" s="89" t="str">
        <f t="shared" si="2"/>
        <v xml:space="preserve"> </v>
      </c>
      <c r="B40" s="96"/>
      <c r="C40" s="31"/>
      <c r="D40" s="97"/>
      <c r="E40" s="98"/>
      <c r="F40" s="99"/>
      <c r="G40" s="21"/>
      <c r="H40" s="89"/>
      <c r="I40" s="89"/>
      <c r="J40" s="92"/>
      <c r="K40" s="31"/>
      <c r="L40" s="32"/>
      <c r="M40" s="33"/>
    </row>
    <row r="41" spans="1:13">
      <c r="A41" s="89" t="str">
        <f t="shared" si="2"/>
        <v xml:space="preserve"> </v>
      </c>
      <c r="B41" s="96"/>
      <c r="C41" s="31"/>
      <c r="D41" s="97"/>
      <c r="E41" s="98"/>
      <c r="F41" s="99"/>
      <c r="G41" s="21"/>
      <c r="H41" s="89"/>
      <c r="I41" s="89"/>
      <c r="J41" s="92"/>
      <c r="K41" s="31"/>
      <c r="L41" s="32"/>
      <c r="M41" s="33"/>
    </row>
    <row r="42" spans="1:13">
      <c r="A42" s="89" t="str">
        <f t="shared" si="2"/>
        <v xml:space="preserve"> </v>
      </c>
      <c r="B42" s="96"/>
      <c r="C42" s="31"/>
      <c r="D42" s="97"/>
      <c r="E42" s="98"/>
      <c r="F42" s="99"/>
      <c r="G42" s="21"/>
      <c r="H42" s="89"/>
      <c r="I42" s="89"/>
      <c r="J42" s="92"/>
      <c r="K42" s="31"/>
      <c r="L42" s="32"/>
      <c r="M42" s="33"/>
    </row>
    <row r="43" spans="1:13">
      <c r="A43" s="42" t="str">
        <f>IF(B43=""," ",A42+1)</f>
        <v xml:space="preserve"> </v>
      </c>
      <c r="B43" s="71"/>
      <c r="C43" s="13"/>
      <c r="D43" s="72"/>
      <c r="E43" s="73"/>
      <c r="F43" s="74"/>
      <c r="G43" s="20"/>
      <c r="H43" s="42"/>
      <c r="I43" s="42"/>
      <c r="J43" s="59"/>
      <c r="K43" s="609"/>
      <c r="L43" s="610"/>
      <c r="M43" s="611"/>
    </row>
    <row r="44" spans="1:13">
      <c r="A44" s="42" t="str">
        <f>IF(B44=""," ",#REF!+1)</f>
        <v xml:space="preserve"> </v>
      </c>
      <c r="B44" s="71"/>
      <c r="C44" s="13"/>
      <c r="D44" s="72"/>
      <c r="E44" s="73"/>
      <c r="F44" s="74"/>
      <c r="G44" s="20"/>
      <c r="H44" s="42"/>
      <c r="I44" s="42"/>
      <c r="J44" s="59"/>
      <c r="K44" s="609"/>
      <c r="L44" s="610"/>
      <c r="M44" s="611"/>
    </row>
    <row r="45" spans="1:13">
      <c r="A45" s="42" t="str">
        <f>IF(B45=""," ",#REF!+1)</f>
        <v xml:space="preserve"> </v>
      </c>
      <c r="B45" s="71"/>
      <c r="C45" s="13"/>
      <c r="D45" s="72"/>
      <c r="E45" s="73"/>
      <c r="F45" s="74"/>
      <c r="G45" s="20"/>
      <c r="H45" s="42"/>
      <c r="I45" s="42"/>
      <c r="J45" s="59"/>
      <c r="K45" s="13"/>
      <c r="L45" s="14"/>
      <c r="M45" s="15"/>
    </row>
    <row r="46" spans="1:13">
      <c r="A46" s="42" t="str">
        <f>IF(B46=""," ",A45+1)</f>
        <v xml:space="preserve"> </v>
      </c>
      <c r="B46" s="71"/>
      <c r="C46" s="13"/>
      <c r="D46" s="72"/>
      <c r="E46" s="73"/>
      <c r="F46" s="74"/>
      <c r="G46" s="20"/>
      <c r="H46" s="42"/>
      <c r="I46" s="42"/>
      <c r="J46" s="59"/>
      <c r="K46" s="13"/>
      <c r="L46" s="14"/>
      <c r="M46" s="15"/>
    </row>
    <row r="47" spans="1:13">
      <c r="A47" s="42" t="str">
        <f>IF(B47=""," ",A46+1)</f>
        <v xml:space="preserve"> </v>
      </c>
      <c r="B47" s="71"/>
      <c r="C47" s="13"/>
      <c r="D47" s="72"/>
      <c r="E47" s="73"/>
      <c r="F47" s="74"/>
      <c r="G47" s="20"/>
      <c r="H47" s="42"/>
      <c r="I47" s="42"/>
      <c r="J47" s="59"/>
      <c r="K47" s="609"/>
      <c r="L47" s="610"/>
      <c r="M47" s="611"/>
    </row>
    <row r="48" spans="1:13">
      <c r="A48" s="42" t="str">
        <f>IF(B48=""," ",#REF!+1)</f>
        <v xml:space="preserve"> </v>
      </c>
      <c r="B48" s="71"/>
      <c r="C48" s="13"/>
      <c r="D48" s="72"/>
      <c r="E48" s="73"/>
      <c r="F48" s="74"/>
      <c r="G48" s="20"/>
      <c r="H48" s="42"/>
      <c r="I48" s="42"/>
      <c r="J48" s="59"/>
      <c r="K48" s="609"/>
      <c r="L48" s="610"/>
      <c r="M48" s="611"/>
    </row>
    <row r="49" spans="1:13">
      <c r="A49" s="42" t="str">
        <f>IF(B49=""," ",#REF!+1)</f>
        <v xml:space="preserve"> </v>
      </c>
      <c r="B49" s="71"/>
      <c r="C49" s="13"/>
      <c r="D49" s="72"/>
      <c r="E49" s="73"/>
      <c r="F49" s="74"/>
      <c r="G49" s="20"/>
      <c r="H49" s="42"/>
      <c r="I49" s="42"/>
      <c r="J49" s="59"/>
      <c r="K49" s="13"/>
      <c r="L49" s="14"/>
      <c r="M49" s="15"/>
    </row>
    <row r="50" spans="1:13">
      <c r="A50" s="42" t="str">
        <f>IF(B50=""," ",A49+1)</f>
        <v xml:space="preserve"> </v>
      </c>
      <c r="B50" s="71"/>
      <c r="C50" s="13"/>
      <c r="D50" s="72"/>
      <c r="E50" s="73"/>
      <c r="F50" s="74"/>
      <c r="G50" s="20"/>
      <c r="H50" s="42"/>
      <c r="I50" s="42"/>
      <c r="J50" s="59"/>
      <c r="K50" s="13"/>
      <c r="L50" s="14"/>
      <c r="M50" s="15"/>
    </row>
    <row r="51" spans="1:13">
      <c r="A51" s="42" t="str">
        <f>IF(B51=""," ",A50+1)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13"/>
      <c r="L97" s="14"/>
      <c r="M97" s="15"/>
    </row>
    <row r="98" spans="1:13">
      <c r="A98" s="42" t="str">
        <f>IF(B98=""," ",A96+1)</f>
        <v xml:space="preserve"> </v>
      </c>
      <c r="B98" s="71"/>
      <c r="C98" s="13"/>
      <c r="D98" s="72"/>
      <c r="E98" s="73"/>
      <c r="F98" s="74"/>
      <c r="G98" s="20"/>
      <c r="H98" s="42"/>
      <c r="I98" s="42"/>
      <c r="J98" s="59"/>
      <c r="K98" s="13"/>
      <c r="L98" s="14"/>
      <c r="M98" s="15"/>
    </row>
    <row r="99" spans="1:13">
      <c r="A99" s="42" t="str">
        <f>IF(B99=""," ",A96+1)</f>
        <v xml:space="preserve"> </v>
      </c>
      <c r="B99" s="71"/>
      <c r="C99" s="13"/>
      <c r="D99" s="72"/>
      <c r="E99" s="73"/>
      <c r="F99" s="74"/>
      <c r="G99" s="20"/>
      <c r="H99" s="42"/>
      <c r="I99" s="42"/>
      <c r="J99" s="59"/>
      <c r="K99" s="13"/>
      <c r="L99" s="14"/>
      <c r="M99" s="15"/>
    </row>
    <row r="100" spans="1:13">
      <c r="A100" s="42" t="str">
        <f>IF(B100=""," ",A97+1)</f>
        <v xml:space="preserve"> </v>
      </c>
      <c r="B100" s="71"/>
      <c r="C100" s="13"/>
      <c r="D100" s="72"/>
      <c r="E100" s="73"/>
      <c r="F100" s="74"/>
      <c r="G100" s="20"/>
      <c r="H100" s="42"/>
      <c r="I100" s="42"/>
      <c r="J100" s="59"/>
      <c r="K100" s="13"/>
      <c r="L100" s="14"/>
      <c r="M100" s="15"/>
    </row>
    <row r="102" spans="1:13">
      <c r="B102" s="16" t="s">
        <v>1691</v>
      </c>
    </row>
    <row r="104" spans="1:13">
      <c r="B104" s="16" t="s">
        <v>1692</v>
      </c>
      <c r="C104" s="16" t="s">
        <v>1693</v>
      </c>
      <c r="D104" s="16" t="s">
        <v>1695</v>
      </c>
    </row>
    <row r="105" spans="1:13">
      <c r="D105" s="16" t="s">
        <v>1694</v>
      </c>
    </row>
    <row r="106" spans="1:13">
      <c r="D106" s="16" t="s">
        <v>1726</v>
      </c>
    </row>
    <row r="108" spans="1:13">
      <c r="B108" s="16" t="s">
        <v>798</v>
      </c>
      <c r="C108" s="16" t="s">
        <v>1720</v>
      </c>
      <c r="D108" s="16" t="s">
        <v>1724</v>
      </c>
    </row>
    <row r="109" spans="1:13">
      <c r="C109" s="16" t="s">
        <v>1725</v>
      </c>
    </row>
    <row r="111" spans="1:13">
      <c r="B111" s="75" t="s">
        <v>273</v>
      </c>
      <c r="C111" s="16" t="s">
        <v>1411</v>
      </c>
    </row>
  </sheetData>
  <mergeCells count="54">
    <mergeCell ref="K95:M95"/>
    <mergeCell ref="K96:M96"/>
    <mergeCell ref="K83:M83"/>
    <mergeCell ref="K84:M84"/>
    <mergeCell ref="K87:M87"/>
    <mergeCell ref="K88:M88"/>
    <mergeCell ref="K91:M91"/>
    <mergeCell ref="K92:M92"/>
    <mergeCell ref="K80:M80"/>
    <mergeCell ref="K55:M55"/>
    <mergeCell ref="K56:M56"/>
    <mergeCell ref="K71:M71"/>
    <mergeCell ref="K72:M72"/>
    <mergeCell ref="K59:M59"/>
    <mergeCell ref="K60:M60"/>
    <mergeCell ref="K63:M63"/>
    <mergeCell ref="K64:M64"/>
    <mergeCell ref="K67:M67"/>
    <mergeCell ref="K68:M68"/>
    <mergeCell ref="K13:M13"/>
    <mergeCell ref="K14:M14"/>
    <mergeCell ref="K75:M75"/>
    <mergeCell ref="K76:M76"/>
    <mergeCell ref="K79:M79"/>
    <mergeCell ref="K51:M51"/>
    <mergeCell ref="K52:M52"/>
    <mergeCell ref="K15:M15"/>
    <mergeCell ref="K16:M16"/>
    <mergeCell ref="K18:M18"/>
    <mergeCell ref="K19:M19"/>
    <mergeCell ref="K17:M17"/>
    <mergeCell ref="K43:M43"/>
    <mergeCell ref="K44:M44"/>
    <mergeCell ref="K47:M47"/>
    <mergeCell ref="K48:M48"/>
    <mergeCell ref="D5:H5"/>
    <mergeCell ref="K12:M12"/>
    <mergeCell ref="H2:J2"/>
    <mergeCell ref="C2:G2"/>
    <mergeCell ref="C3:G3"/>
    <mergeCell ref="C4:G4"/>
    <mergeCell ref="H3:I3"/>
    <mergeCell ref="H4:I4"/>
    <mergeCell ref="K7:M7"/>
    <mergeCell ref="K5:M6"/>
    <mergeCell ref="I5:J5"/>
    <mergeCell ref="K8:M8"/>
    <mergeCell ref="K9:M9"/>
    <mergeCell ref="K11:M11"/>
    <mergeCell ref="A5:A6"/>
    <mergeCell ref="A2:B2"/>
    <mergeCell ref="A3:B3"/>
    <mergeCell ref="A4:B4"/>
    <mergeCell ref="B5:C5"/>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1">
    <pageSetUpPr fitToPage="1"/>
  </sheetPr>
  <dimension ref="A1:P107"/>
  <sheetViews>
    <sheetView showGridLines="0" zoomScaleNormal="100" zoomScaleSheetLayoutView="100" workbookViewId="0">
      <pane ySplit="6" topLeftCell="A40" activePane="bottomLeft" state="frozen"/>
      <selection activeCell="A7" sqref="A7"/>
      <selection pane="bottomLeft" activeCell="A7" sqref="A7"/>
    </sheetView>
  </sheetViews>
  <sheetFormatPr defaultRowHeight="12"/>
  <cols>
    <col min="1" max="1" width="3.875" style="196" customWidth="1"/>
    <col min="2" max="2" width="28.625" style="198" customWidth="1"/>
    <col min="3" max="3" width="13.375" style="198" customWidth="1"/>
    <col min="4" max="4" width="10.125" style="198" customWidth="1"/>
    <col min="5" max="5" width="4.875" style="198" bestFit="1" customWidth="1"/>
    <col min="6" max="6" width="4.75" style="198" bestFit="1" customWidth="1"/>
    <col min="7" max="7" width="6.125" style="198" bestFit="1" customWidth="1"/>
    <col min="8" max="8" width="4.75" style="198" bestFit="1" customWidth="1"/>
    <col min="9" max="9" width="4.75" style="198" customWidth="1"/>
    <col min="10" max="11" width="9.625" style="198" customWidth="1"/>
    <col min="12" max="13" width="10.25" style="198" customWidth="1"/>
    <col min="14" max="14" width="9" style="198"/>
    <col min="15" max="16" width="9" style="198" hidden="1" customWidth="1"/>
    <col min="17" max="16384" width="9" style="198"/>
  </cols>
  <sheetData>
    <row r="1" spans="1:16">
      <c r="B1" s="197"/>
    </row>
    <row r="2" spans="1:16">
      <c r="A2" s="701" t="s">
        <v>602</v>
      </c>
      <c r="B2" s="702"/>
      <c r="C2" s="701" t="s">
        <v>36</v>
      </c>
      <c r="D2" s="707"/>
      <c r="E2" s="707"/>
      <c r="F2" s="707"/>
      <c r="G2" s="702"/>
      <c r="H2" s="701"/>
      <c r="I2" s="707"/>
      <c r="J2" s="702"/>
      <c r="K2" s="200"/>
      <c r="L2" s="201" t="s">
        <v>37</v>
      </c>
      <c r="M2" s="201" t="s">
        <v>38</v>
      </c>
    </row>
    <row r="3" spans="1:16">
      <c r="A3" s="703"/>
      <c r="B3" s="704"/>
      <c r="C3" s="708" t="s">
        <v>1637</v>
      </c>
      <c r="D3" s="709"/>
      <c r="E3" s="709"/>
      <c r="F3" s="709"/>
      <c r="G3" s="710"/>
      <c r="H3" s="701" t="s">
        <v>39</v>
      </c>
      <c r="I3" s="702"/>
      <c r="J3" s="202">
        <f>COUNT(A7:A100)</f>
        <v>9</v>
      </c>
      <c r="K3" s="201" t="s">
        <v>40</v>
      </c>
      <c r="L3" s="203">
        <v>38751</v>
      </c>
      <c r="M3" s="41" t="s">
        <v>675</v>
      </c>
      <c r="O3" s="198" t="s">
        <v>41</v>
      </c>
      <c r="P3" s="198" t="s">
        <v>42</v>
      </c>
    </row>
    <row r="4" spans="1:16">
      <c r="A4" s="705" t="s">
        <v>43</v>
      </c>
      <c r="B4" s="706"/>
      <c r="C4" s="705" t="s">
        <v>967</v>
      </c>
      <c r="D4" s="711"/>
      <c r="E4" s="711"/>
      <c r="F4" s="711"/>
      <c r="G4" s="706"/>
      <c r="H4" s="701" t="s">
        <v>44</v>
      </c>
      <c r="I4" s="702"/>
      <c r="J4" s="202">
        <f>SUM(G7:G100)</f>
        <v>42</v>
      </c>
      <c r="K4" s="201" t="s">
        <v>45</v>
      </c>
      <c r="L4" s="84">
        <v>38762</v>
      </c>
      <c r="M4" s="89" t="s">
        <v>1407</v>
      </c>
      <c r="O4" s="198" t="s">
        <v>574</v>
      </c>
      <c r="P4" s="198" t="s">
        <v>524</v>
      </c>
    </row>
    <row r="5" spans="1:16">
      <c r="A5" s="712" t="s">
        <v>603</v>
      </c>
      <c r="B5" s="701" t="s">
        <v>46</v>
      </c>
      <c r="C5" s="707"/>
      <c r="D5" s="723" t="s">
        <v>47</v>
      </c>
      <c r="E5" s="707"/>
      <c r="F5" s="707"/>
      <c r="G5" s="707"/>
      <c r="H5" s="707"/>
      <c r="I5" s="701" t="s">
        <v>604</v>
      </c>
      <c r="J5" s="702"/>
      <c r="K5" s="717" t="s">
        <v>48</v>
      </c>
      <c r="L5" s="718"/>
      <c r="M5" s="719"/>
      <c r="P5" s="198" t="s">
        <v>605</v>
      </c>
    </row>
    <row r="6" spans="1:16">
      <c r="A6" s="713"/>
      <c r="B6" s="201" t="s">
        <v>49</v>
      </c>
      <c r="C6" s="204" t="s">
        <v>50</v>
      </c>
      <c r="D6" s="205" t="s">
        <v>42</v>
      </c>
      <c r="E6" s="206" t="s">
        <v>51</v>
      </c>
      <c r="F6" s="207" t="s">
        <v>52</v>
      </c>
      <c r="G6" s="201" t="s">
        <v>606</v>
      </c>
      <c r="H6" s="199" t="s">
        <v>53</v>
      </c>
      <c r="I6" s="199" t="s">
        <v>607</v>
      </c>
      <c r="J6" s="199" t="s">
        <v>608</v>
      </c>
      <c r="K6" s="720"/>
      <c r="L6" s="721"/>
      <c r="M6" s="722"/>
      <c r="P6" s="198" t="s">
        <v>609</v>
      </c>
    </row>
    <row r="7" spans="1:16">
      <c r="A7" s="208">
        <v>1</v>
      </c>
      <c r="B7" s="209" t="s">
        <v>766</v>
      </c>
      <c r="C7" s="210" t="s">
        <v>880</v>
      </c>
      <c r="D7" s="211" t="s">
        <v>1434</v>
      </c>
      <c r="E7" s="212">
        <v>4</v>
      </c>
      <c r="F7" s="213"/>
      <c r="G7" s="21">
        <f t="shared" ref="G7:G14" si="0">IF(D7="DATE",4,IF(D7="CHAR",E7,IF(D7="SMALLINT",2,IF(D7="INTEGER",4,IF(D7="TIMESTAMP",10,IF(D7="TIME",3,0))))))</f>
        <v>4</v>
      </c>
      <c r="H7" s="208" t="s">
        <v>1435</v>
      </c>
      <c r="I7" s="208" t="s">
        <v>1435</v>
      </c>
      <c r="J7" s="214"/>
      <c r="K7" s="714"/>
      <c r="L7" s="715"/>
      <c r="M7" s="716"/>
      <c r="P7" s="219" t="s">
        <v>920</v>
      </c>
    </row>
    <row r="8" spans="1:16">
      <c r="A8" s="42">
        <f t="shared" ref="A8:A15" si="1">IF(B8=""," ",A7+1)</f>
        <v>2</v>
      </c>
      <c r="B8" s="66" t="s">
        <v>1346</v>
      </c>
      <c r="C8" s="210" t="s">
        <v>949</v>
      </c>
      <c r="D8" s="211" t="s">
        <v>1434</v>
      </c>
      <c r="E8" s="212">
        <v>7</v>
      </c>
      <c r="F8" s="213"/>
      <c r="G8" s="21">
        <f t="shared" si="0"/>
        <v>7</v>
      </c>
      <c r="H8" s="208" t="s">
        <v>1435</v>
      </c>
      <c r="I8" s="208" t="s">
        <v>1363</v>
      </c>
      <c r="J8" s="214"/>
      <c r="K8" s="724" t="s">
        <v>1348</v>
      </c>
      <c r="L8" s="715"/>
      <c r="M8" s="716"/>
    </row>
    <row r="9" spans="1:16">
      <c r="A9" s="42">
        <f t="shared" si="1"/>
        <v>3</v>
      </c>
      <c r="B9" s="216" t="s">
        <v>1638</v>
      </c>
      <c r="C9" s="217" t="s">
        <v>950</v>
      </c>
      <c r="D9" s="218" t="s">
        <v>1378</v>
      </c>
      <c r="E9" s="212"/>
      <c r="F9" s="213"/>
      <c r="G9" s="21">
        <f t="shared" si="0"/>
        <v>2</v>
      </c>
      <c r="H9" s="208" t="s">
        <v>1379</v>
      </c>
      <c r="I9" s="208" t="s">
        <v>1379</v>
      </c>
      <c r="J9" s="214"/>
      <c r="K9" s="725" t="s">
        <v>1639</v>
      </c>
      <c r="L9" s="726"/>
      <c r="M9" s="727"/>
    </row>
    <row r="10" spans="1:16">
      <c r="A10" s="42">
        <f t="shared" si="1"/>
        <v>4</v>
      </c>
      <c r="B10" s="93" t="s">
        <v>1640</v>
      </c>
      <c r="C10" s="26" t="s">
        <v>968</v>
      </c>
      <c r="D10" s="94" t="s">
        <v>523</v>
      </c>
      <c r="E10" s="95">
        <v>1</v>
      </c>
      <c r="F10" s="90"/>
      <c r="G10" s="21">
        <f t="shared" si="0"/>
        <v>1</v>
      </c>
      <c r="H10" s="208" t="s">
        <v>1379</v>
      </c>
      <c r="I10" s="208"/>
      <c r="J10" s="170"/>
      <c r="K10" s="663" t="s">
        <v>969</v>
      </c>
      <c r="L10" s="664"/>
      <c r="M10" s="665"/>
    </row>
    <row r="11" spans="1:16">
      <c r="A11" s="42">
        <f t="shared" si="1"/>
        <v>5</v>
      </c>
      <c r="B11" s="93" t="s">
        <v>1641</v>
      </c>
      <c r="C11" s="26" t="s">
        <v>951</v>
      </c>
      <c r="D11" s="94" t="s">
        <v>1378</v>
      </c>
      <c r="E11" s="95"/>
      <c r="F11" s="90"/>
      <c r="G11" s="21">
        <f t="shared" si="0"/>
        <v>2</v>
      </c>
      <c r="H11" s="208" t="s">
        <v>1379</v>
      </c>
      <c r="I11" s="91"/>
      <c r="J11" s="170"/>
      <c r="K11" s="663"/>
      <c r="L11" s="664"/>
      <c r="M11" s="665"/>
    </row>
    <row r="12" spans="1:16">
      <c r="A12" s="42">
        <f t="shared" si="1"/>
        <v>6</v>
      </c>
      <c r="B12" s="93" t="s">
        <v>26</v>
      </c>
      <c r="C12" s="26" t="s">
        <v>952</v>
      </c>
      <c r="D12" s="94" t="s">
        <v>953</v>
      </c>
      <c r="E12" s="95"/>
      <c r="F12" s="90"/>
      <c r="G12" s="21">
        <f t="shared" si="0"/>
        <v>4</v>
      </c>
      <c r="H12" s="208" t="s">
        <v>1379</v>
      </c>
      <c r="I12" s="208" t="s">
        <v>1379</v>
      </c>
      <c r="J12" s="170"/>
      <c r="K12" s="694" t="s">
        <v>1409</v>
      </c>
      <c r="L12" s="664"/>
      <c r="M12" s="665"/>
    </row>
    <row r="13" spans="1:16">
      <c r="A13" s="42">
        <f t="shared" si="1"/>
        <v>7</v>
      </c>
      <c r="B13" s="93" t="s">
        <v>27</v>
      </c>
      <c r="C13" s="26" t="s">
        <v>954</v>
      </c>
      <c r="D13" s="94" t="s">
        <v>953</v>
      </c>
      <c r="E13" s="95"/>
      <c r="F13" s="90"/>
      <c r="G13" s="21">
        <f t="shared" si="0"/>
        <v>4</v>
      </c>
      <c r="H13" s="208" t="s">
        <v>1379</v>
      </c>
      <c r="I13" s="91"/>
      <c r="J13" s="170"/>
      <c r="K13" s="694" t="s">
        <v>1410</v>
      </c>
      <c r="L13" s="664"/>
      <c r="M13" s="665"/>
    </row>
    <row r="14" spans="1:16" s="16" customFormat="1" ht="12" customHeight="1">
      <c r="A14" s="42">
        <f>IF(B14=""," ",A13+1)</f>
        <v>8</v>
      </c>
      <c r="B14" s="64" t="s">
        <v>1083</v>
      </c>
      <c r="C14" s="24" t="s">
        <v>1111</v>
      </c>
      <c r="D14" s="72" t="s">
        <v>1431</v>
      </c>
      <c r="E14" s="51">
        <v>8</v>
      </c>
      <c r="F14" s="58"/>
      <c r="G14" s="20">
        <f t="shared" si="0"/>
        <v>8</v>
      </c>
      <c r="H14" s="53" t="s">
        <v>1432</v>
      </c>
      <c r="I14" s="53"/>
      <c r="J14" s="59"/>
      <c r="K14" s="609" t="s">
        <v>1112</v>
      </c>
      <c r="L14" s="610"/>
      <c r="M14" s="611"/>
    </row>
    <row r="15" spans="1:16">
      <c r="A15" s="42">
        <f t="shared" si="1"/>
        <v>9</v>
      </c>
      <c r="B15" s="93" t="s">
        <v>1724</v>
      </c>
      <c r="C15" s="26" t="s">
        <v>955</v>
      </c>
      <c r="D15" s="94" t="s">
        <v>956</v>
      </c>
      <c r="E15" s="95"/>
      <c r="F15" s="90"/>
      <c r="G15" s="21">
        <f>IF(D15="DATE",4,IF(D15="CHAR",E15,IF(D15="SMALLINT",2,IF(D15="INTEGER",4,IF(D15="TIMESTAMP",10,IF(D15="TIME",3,0))))))</f>
        <v>10</v>
      </c>
      <c r="H15" s="91" t="s">
        <v>1379</v>
      </c>
      <c r="I15" s="89"/>
      <c r="J15" s="92"/>
      <c r="K15" s="602"/>
      <c r="L15" s="603"/>
      <c r="M15" s="604"/>
    </row>
    <row r="16" spans="1:16" ht="12" customHeight="1">
      <c r="A16" s="208"/>
      <c r="B16" s="209"/>
      <c r="C16" s="210"/>
      <c r="D16" s="211"/>
      <c r="E16" s="212"/>
      <c r="F16" s="213"/>
      <c r="G16" s="21"/>
      <c r="H16" s="208"/>
      <c r="I16" s="208"/>
      <c r="J16" s="214"/>
      <c r="K16" s="728" t="s">
        <v>970</v>
      </c>
      <c r="L16" s="729"/>
      <c r="M16" s="730"/>
    </row>
    <row r="17" spans="1:16">
      <c r="A17" s="208"/>
      <c r="B17" s="216"/>
      <c r="C17" s="217"/>
      <c r="D17" s="218"/>
      <c r="E17" s="212"/>
      <c r="F17" s="213"/>
      <c r="G17" s="21"/>
      <c r="H17" s="208"/>
      <c r="I17" s="208"/>
      <c r="J17" s="214"/>
      <c r="K17" s="731"/>
      <c r="L17" s="732"/>
      <c r="M17" s="733"/>
      <c r="P17" s="198" t="s">
        <v>1380</v>
      </c>
    </row>
    <row r="18" spans="1:16">
      <c r="A18" s="208"/>
      <c r="B18" s="93"/>
      <c r="C18" s="26"/>
      <c r="D18" s="94"/>
      <c r="E18" s="95"/>
      <c r="F18" s="90"/>
      <c r="G18" s="21"/>
      <c r="H18" s="208"/>
      <c r="I18" s="208"/>
      <c r="J18" s="170"/>
      <c r="K18" s="731"/>
      <c r="L18" s="732"/>
      <c r="M18" s="733"/>
      <c r="P18" s="198" t="s">
        <v>953</v>
      </c>
    </row>
    <row r="19" spans="1:16">
      <c r="A19" s="208"/>
      <c r="B19" s="93"/>
      <c r="C19" s="26"/>
      <c r="D19" s="94"/>
      <c r="E19" s="95"/>
      <c r="F19" s="90"/>
      <c r="G19" s="21"/>
      <c r="H19" s="208"/>
      <c r="I19" s="91"/>
      <c r="J19" s="170"/>
      <c r="K19" s="731"/>
      <c r="L19" s="732"/>
      <c r="M19" s="733"/>
    </row>
    <row r="20" spans="1:16" s="220" customFormat="1">
      <c r="A20" s="208"/>
      <c r="B20" s="93"/>
      <c r="C20" s="26"/>
      <c r="D20" s="94"/>
      <c r="E20" s="95"/>
      <c r="F20" s="90"/>
      <c r="G20" s="21"/>
      <c r="H20" s="91"/>
      <c r="I20" s="89"/>
      <c r="J20" s="92"/>
      <c r="K20" s="731"/>
      <c r="L20" s="732"/>
      <c r="M20" s="733"/>
    </row>
    <row r="21" spans="1:16">
      <c r="A21" s="208"/>
      <c r="B21" s="66"/>
      <c r="C21" s="210"/>
      <c r="D21" s="211"/>
      <c r="E21" s="212"/>
      <c r="F21" s="213"/>
      <c r="G21" s="21"/>
      <c r="H21" s="208"/>
      <c r="I21" s="208"/>
      <c r="J21" s="214"/>
      <c r="K21" s="731"/>
      <c r="L21" s="732"/>
      <c r="M21" s="733"/>
    </row>
    <row r="22" spans="1:16">
      <c r="A22" s="208"/>
      <c r="B22" s="209"/>
      <c r="C22" s="210"/>
      <c r="D22" s="211"/>
      <c r="E22" s="221"/>
      <c r="F22" s="222"/>
      <c r="G22" s="21"/>
      <c r="H22" s="208"/>
      <c r="I22" s="223"/>
      <c r="J22" s="224"/>
      <c r="K22" s="731"/>
      <c r="L22" s="732"/>
      <c r="M22" s="733"/>
    </row>
    <row r="23" spans="1:16" s="219" customFormat="1">
      <c r="A23" s="208"/>
      <c r="B23" s="209"/>
      <c r="C23" s="210"/>
      <c r="D23" s="225"/>
      <c r="E23" s="221"/>
      <c r="F23" s="222"/>
      <c r="G23" s="21"/>
      <c r="H23" s="208"/>
      <c r="I23" s="223"/>
      <c r="J23" s="224"/>
      <c r="K23" s="731"/>
      <c r="L23" s="732"/>
      <c r="M23" s="733"/>
    </row>
    <row r="24" spans="1:16" s="219" customFormat="1">
      <c r="A24" s="208"/>
      <c r="B24" s="209"/>
      <c r="C24" s="210"/>
      <c r="D24" s="225"/>
      <c r="E24" s="221"/>
      <c r="F24" s="222"/>
      <c r="G24" s="21"/>
      <c r="H24" s="208"/>
      <c r="I24" s="223"/>
      <c r="J24" s="224"/>
      <c r="K24" s="731"/>
      <c r="L24" s="732"/>
      <c r="M24" s="733"/>
    </row>
    <row r="25" spans="1:16" s="219" customFormat="1">
      <c r="A25" s="208"/>
      <c r="B25" s="209"/>
      <c r="C25" s="210"/>
      <c r="D25" s="225"/>
      <c r="E25" s="221"/>
      <c r="F25" s="222"/>
      <c r="G25" s="21"/>
      <c r="H25" s="208"/>
      <c r="I25" s="223"/>
      <c r="J25" s="224"/>
      <c r="K25" s="731"/>
      <c r="L25" s="732"/>
      <c r="M25" s="733"/>
    </row>
    <row r="26" spans="1:16" s="219" customFormat="1">
      <c r="A26" s="208"/>
      <c r="B26" s="209"/>
      <c r="C26" s="210"/>
      <c r="D26" s="225"/>
      <c r="E26" s="221"/>
      <c r="F26" s="222"/>
      <c r="G26" s="21"/>
      <c r="H26" s="208"/>
      <c r="I26" s="223"/>
      <c r="J26" s="224"/>
      <c r="K26" s="731"/>
      <c r="L26" s="732"/>
      <c r="M26" s="733"/>
    </row>
    <row r="27" spans="1:16" s="219" customFormat="1">
      <c r="A27" s="208"/>
      <c r="B27" s="209"/>
      <c r="C27" s="210"/>
      <c r="D27" s="225"/>
      <c r="E27" s="221"/>
      <c r="F27" s="222"/>
      <c r="G27" s="21"/>
      <c r="H27" s="208"/>
      <c r="I27" s="223"/>
      <c r="J27" s="224"/>
      <c r="K27" s="731"/>
      <c r="L27" s="732"/>
      <c r="M27" s="733"/>
    </row>
    <row r="28" spans="1:16" s="113" customFormat="1">
      <c r="A28" s="208"/>
      <c r="B28" s="48"/>
      <c r="C28" s="49"/>
      <c r="D28" s="78"/>
      <c r="E28" s="127"/>
      <c r="F28" s="123"/>
      <c r="G28" s="21"/>
      <c r="H28" s="208"/>
      <c r="I28" s="41"/>
      <c r="J28" s="226"/>
      <c r="K28" s="731"/>
      <c r="L28" s="732"/>
      <c r="M28" s="733"/>
    </row>
    <row r="29" spans="1:16" s="113" customFormat="1">
      <c r="A29" s="208"/>
      <c r="B29" s="48"/>
      <c r="C29" s="49"/>
      <c r="D29" s="78"/>
      <c r="E29" s="127"/>
      <c r="F29" s="123"/>
      <c r="G29" s="21"/>
      <c r="H29" s="208"/>
      <c r="I29" s="41"/>
      <c r="J29" s="226"/>
      <c r="K29" s="731"/>
      <c r="L29" s="732"/>
      <c r="M29" s="733"/>
    </row>
    <row r="30" spans="1:16" s="113" customFormat="1">
      <c r="A30" s="208"/>
      <c r="B30" s="48"/>
      <c r="C30" s="49"/>
      <c r="D30" s="78"/>
      <c r="E30" s="127"/>
      <c r="F30" s="123"/>
      <c r="G30" s="21"/>
      <c r="H30" s="208"/>
      <c r="I30" s="41"/>
      <c r="J30" s="226"/>
      <c r="K30" s="731"/>
      <c r="L30" s="732"/>
      <c r="M30" s="733"/>
    </row>
    <row r="31" spans="1:16" s="113" customFormat="1">
      <c r="A31" s="208"/>
      <c r="B31" s="48"/>
      <c r="C31" s="49"/>
      <c r="D31" s="78"/>
      <c r="E31" s="127"/>
      <c r="F31" s="123"/>
      <c r="G31" s="21"/>
      <c r="H31" s="208"/>
      <c r="I31" s="41"/>
      <c r="J31" s="226"/>
      <c r="K31" s="731"/>
      <c r="L31" s="732"/>
      <c r="M31" s="733"/>
    </row>
    <row r="32" spans="1:16" ht="12" customHeight="1">
      <c r="A32" s="208"/>
      <c r="B32" s="209"/>
      <c r="C32" s="210"/>
      <c r="D32" s="211"/>
      <c r="E32" s="212"/>
      <c r="F32" s="213"/>
      <c r="G32" s="21"/>
      <c r="H32" s="208"/>
      <c r="I32" s="208"/>
      <c r="J32" s="214"/>
      <c r="K32" s="731"/>
      <c r="L32" s="732"/>
      <c r="M32" s="733"/>
    </row>
    <row r="33" spans="1:13" s="22" customFormat="1">
      <c r="A33" s="208"/>
      <c r="B33" s="93"/>
      <c r="C33" s="26"/>
      <c r="D33" s="94"/>
      <c r="E33" s="95"/>
      <c r="F33" s="90"/>
      <c r="G33" s="21"/>
      <c r="H33" s="208"/>
      <c r="I33" s="208"/>
      <c r="J33" s="170"/>
      <c r="K33" s="731"/>
      <c r="L33" s="732"/>
      <c r="M33" s="733"/>
    </row>
    <row r="34" spans="1:13" s="22" customFormat="1">
      <c r="A34" s="208"/>
      <c r="B34" s="93"/>
      <c r="C34" s="26"/>
      <c r="D34" s="94"/>
      <c r="E34" s="95"/>
      <c r="F34" s="90"/>
      <c r="G34" s="21"/>
      <c r="H34" s="208"/>
      <c r="I34" s="91"/>
      <c r="J34" s="170"/>
      <c r="K34" s="731"/>
      <c r="L34" s="734"/>
      <c r="M34" s="733"/>
    </row>
    <row r="35" spans="1:13" s="22" customFormat="1">
      <c r="A35" s="208"/>
      <c r="B35" s="93"/>
      <c r="C35" s="26"/>
      <c r="D35" s="94"/>
      <c r="E35" s="95"/>
      <c r="F35" s="90"/>
      <c r="G35" s="21"/>
      <c r="H35" s="91"/>
      <c r="I35" s="89"/>
      <c r="J35" s="92"/>
      <c r="K35" s="731"/>
      <c r="L35" s="732"/>
      <c r="M35" s="733"/>
    </row>
    <row r="36" spans="1:13" s="219" customFormat="1">
      <c r="A36" s="223" t="str">
        <f>IF(B36=""," ",#REF!+1)</f>
        <v xml:space="preserve"> </v>
      </c>
      <c r="B36" s="227"/>
      <c r="C36" s="215"/>
      <c r="D36" s="211"/>
      <c r="E36" s="212"/>
      <c r="F36" s="213"/>
      <c r="G36" s="228"/>
      <c r="H36" s="208"/>
      <c r="I36" s="208"/>
      <c r="J36" s="214"/>
      <c r="K36" s="731"/>
      <c r="L36" s="732"/>
      <c r="M36" s="733"/>
    </row>
    <row r="37" spans="1:13" s="219" customFormat="1">
      <c r="A37" s="223" t="str">
        <f>IF(B37=""," ",A36+1)</f>
        <v xml:space="preserve"> </v>
      </c>
      <c r="B37" s="66"/>
      <c r="C37" s="229"/>
      <c r="D37" s="225"/>
      <c r="E37" s="221"/>
      <c r="F37" s="222"/>
      <c r="G37" s="230"/>
      <c r="H37" s="223"/>
      <c r="I37" s="223"/>
      <c r="J37" s="224"/>
      <c r="K37" s="731"/>
      <c r="L37" s="732"/>
      <c r="M37" s="733"/>
    </row>
    <row r="38" spans="1:13">
      <c r="A38" s="89" t="str">
        <f>IF(B38=""," ",A37+1)</f>
        <v xml:space="preserve"> </v>
      </c>
      <c r="B38" s="66"/>
      <c r="C38" s="31"/>
      <c r="D38" s="97"/>
      <c r="E38" s="98"/>
      <c r="F38" s="99"/>
      <c r="G38" s="21"/>
      <c r="H38" s="89"/>
      <c r="I38" s="89"/>
      <c r="J38" s="92"/>
      <c r="K38" s="735"/>
      <c r="L38" s="736"/>
      <c r="M38" s="737"/>
    </row>
    <row r="39" spans="1:13">
      <c r="A39" s="89" t="str">
        <f>IF(B39=""," ",#REF!+1)</f>
        <v xml:space="preserve"> </v>
      </c>
      <c r="B39" s="96"/>
      <c r="C39" s="31"/>
      <c r="D39" s="97"/>
      <c r="E39" s="98"/>
      <c r="F39" s="99"/>
      <c r="G39" s="21"/>
      <c r="H39" s="89"/>
      <c r="I39" s="89"/>
      <c r="J39" s="92"/>
      <c r="K39" s="31"/>
      <c r="L39" s="32"/>
      <c r="M39" s="33"/>
    </row>
    <row r="40" spans="1:13">
      <c r="A40" s="89" t="str">
        <f>IF(B40=""," ",#REF!+1)</f>
        <v xml:space="preserve"> </v>
      </c>
      <c r="B40" s="96"/>
      <c r="C40" s="31"/>
      <c r="D40" s="97"/>
      <c r="E40" s="98"/>
      <c r="F40" s="99"/>
      <c r="G40" s="21"/>
      <c r="H40" s="89"/>
      <c r="I40" s="89"/>
      <c r="J40" s="92"/>
      <c r="K40" s="31"/>
      <c r="L40" s="32"/>
      <c r="M40" s="33"/>
    </row>
    <row r="41" spans="1:13">
      <c r="A41" s="89" t="str">
        <f t="shared" ref="A41:A50" si="2">IF(B41=""," ",A40+1)</f>
        <v xml:space="preserve"> </v>
      </c>
      <c r="B41" s="96"/>
      <c r="C41" s="31"/>
      <c r="D41" s="97"/>
      <c r="E41" s="98"/>
      <c r="F41" s="99"/>
      <c r="G41" s="21"/>
      <c r="H41" s="89"/>
      <c r="I41" s="89"/>
      <c r="J41" s="92"/>
      <c r="K41" s="31"/>
      <c r="L41" s="32"/>
      <c r="M41" s="33"/>
    </row>
    <row r="42" spans="1:13">
      <c r="A42" s="89" t="str">
        <f t="shared" si="2"/>
        <v xml:space="preserve"> </v>
      </c>
      <c r="B42" s="96"/>
      <c r="C42" s="31"/>
      <c r="D42" s="97"/>
      <c r="E42" s="98"/>
      <c r="F42" s="99"/>
      <c r="G42" s="21"/>
      <c r="H42" s="89"/>
      <c r="I42" s="89"/>
      <c r="J42" s="92"/>
      <c r="K42" s="31"/>
      <c r="L42" s="32"/>
      <c r="M42" s="33"/>
    </row>
    <row r="43" spans="1:13">
      <c r="A43" s="89" t="str">
        <f t="shared" si="2"/>
        <v xml:space="preserve"> </v>
      </c>
      <c r="B43" s="96"/>
      <c r="C43" s="31"/>
      <c r="D43" s="97"/>
      <c r="E43" s="98"/>
      <c r="F43" s="99"/>
      <c r="G43" s="21"/>
      <c r="H43" s="89"/>
      <c r="I43" s="89"/>
      <c r="J43" s="92"/>
      <c r="K43" s="31"/>
      <c r="L43" s="32"/>
      <c r="M43" s="33"/>
    </row>
    <row r="44" spans="1:13">
      <c r="A44" s="89" t="str">
        <f t="shared" si="2"/>
        <v xml:space="preserve"> </v>
      </c>
      <c r="B44" s="96"/>
      <c r="C44" s="31"/>
      <c r="D44" s="97"/>
      <c r="E44" s="98"/>
      <c r="F44" s="99"/>
      <c r="G44" s="21"/>
      <c r="H44" s="89"/>
      <c r="I44" s="89"/>
      <c r="J44" s="92"/>
      <c r="K44" s="31"/>
      <c r="L44" s="32"/>
      <c r="M44" s="33"/>
    </row>
    <row r="45" spans="1:13">
      <c r="A45" s="89" t="str">
        <f t="shared" si="2"/>
        <v xml:space="preserve"> </v>
      </c>
      <c r="B45" s="96"/>
      <c r="C45" s="31"/>
      <c r="D45" s="97"/>
      <c r="E45" s="98"/>
      <c r="F45" s="99"/>
      <c r="G45" s="21"/>
      <c r="H45" s="89"/>
      <c r="I45" s="89"/>
      <c r="J45" s="92"/>
      <c r="K45" s="31"/>
      <c r="L45" s="32"/>
      <c r="M45" s="33"/>
    </row>
    <row r="46" spans="1:13">
      <c r="A46" s="89" t="str">
        <f t="shared" si="2"/>
        <v xml:space="preserve"> </v>
      </c>
      <c r="B46" s="96"/>
      <c r="C46" s="31"/>
      <c r="D46" s="97"/>
      <c r="E46" s="98"/>
      <c r="F46" s="99"/>
      <c r="G46" s="21"/>
      <c r="H46" s="89"/>
      <c r="I46" s="89"/>
      <c r="J46" s="92"/>
      <c r="K46" s="31"/>
      <c r="L46" s="32"/>
      <c r="M46" s="33"/>
    </row>
    <row r="47" spans="1:13">
      <c r="A47" s="89" t="str">
        <f t="shared" si="2"/>
        <v xml:space="preserve"> </v>
      </c>
      <c r="B47" s="96"/>
      <c r="C47" s="31"/>
      <c r="D47" s="97"/>
      <c r="E47" s="98"/>
      <c r="F47" s="99"/>
      <c r="G47" s="21"/>
      <c r="H47" s="89"/>
      <c r="I47" s="89"/>
      <c r="J47" s="92"/>
      <c r="K47" s="31"/>
      <c r="L47" s="32"/>
      <c r="M47" s="33"/>
    </row>
    <row r="48" spans="1:13">
      <c r="A48" s="89" t="str">
        <f t="shared" si="2"/>
        <v xml:space="preserve"> </v>
      </c>
      <c r="B48" s="96"/>
      <c r="C48" s="31"/>
      <c r="D48" s="97"/>
      <c r="E48" s="98"/>
      <c r="F48" s="99"/>
      <c r="G48" s="21"/>
      <c r="H48" s="89"/>
      <c r="I48" s="89"/>
      <c r="J48" s="92"/>
      <c r="K48" s="31"/>
      <c r="L48" s="32"/>
      <c r="M48" s="33"/>
    </row>
    <row r="49" spans="1:13">
      <c r="A49" s="89" t="str">
        <f t="shared" si="2"/>
        <v xml:space="preserve"> </v>
      </c>
      <c r="B49" s="96"/>
      <c r="C49" s="31"/>
      <c r="D49" s="97"/>
      <c r="E49" s="98"/>
      <c r="F49" s="99"/>
      <c r="G49" s="21"/>
      <c r="H49" s="89"/>
      <c r="I49" s="89"/>
      <c r="J49" s="92"/>
      <c r="K49" s="31"/>
      <c r="L49" s="32"/>
      <c r="M49" s="33"/>
    </row>
    <row r="50" spans="1:13">
      <c r="A50" s="89" t="str">
        <f t="shared" si="2"/>
        <v xml:space="preserve"> </v>
      </c>
      <c r="B50" s="96"/>
      <c r="C50" s="31"/>
      <c r="D50" s="97"/>
      <c r="E50" s="98"/>
      <c r="F50" s="99"/>
      <c r="G50" s="21"/>
      <c r="H50" s="89"/>
      <c r="I50" s="89"/>
      <c r="J50" s="92"/>
      <c r="K50" s="669"/>
      <c r="L50" s="603"/>
      <c r="M50" s="604"/>
    </row>
    <row r="51" spans="1:13">
      <c r="A51" s="89" t="str">
        <f>IF(B51=""," ",#REF!+1)</f>
        <v xml:space="preserve"> </v>
      </c>
      <c r="B51" s="96"/>
      <c r="C51" s="31"/>
      <c r="D51" s="97"/>
      <c r="E51" s="98"/>
      <c r="F51" s="99"/>
      <c r="G51" s="21"/>
      <c r="H51" s="89"/>
      <c r="I51" s="89"/>
      <c r="J51" s="92"/>
      <c r="K51" s="669"/>
      <c r="L51" s="603"/>
      <c r="M51" s="604"/>
    </row>
    <row r="52" spans="1:13">
      <c r="A52" s="89" t="str">
        <f>IF(B52=""," ",#REF!+1)</f>
        <v xml:space="preserve"> </v>
      </c>
      <c r="B52" s="96"/>
      <c r="C52" s="31"/>
      <c r="D52" s="97"/>
      <c r="E52" s="98"/>
      <c r="F52" s="99"/>
      <c r="G52" s="21"/>
      <c r="H52" s="89"/>
      <c r="I52" s="89"/>
      <c r="J52" s="92"/>
      <c r="K52" s="31"/>
      <c r="L52" s="32"/>
      <c r="M52" s="33"/>
    </row>
    <row r="53" spans="1:13">
      <c r="A53" s="89" t="str">
        <f>IF(B53=""," ",A52+1)</f>
        <v xml:space="preserve"> </v>
      </c>
      <c r="B53" s="96"/>
      <c r="C53" s="31"/>
      <c r="D53" s="97"/>
      <c r="E53" s="98"/>
      <c r="F53" s="99"/>
      <c r="G53" s="21"/>
      <c r="H53" s="89"/>
      <c r="I53" s="89"/>
      <c r="J53" s="92"/>
      <c r="K53" s="31"/>
      <c r="L53" s="32"/>
      <c r="M53" s="33"/>
    </row>
    <row r="54" spans="1:13">
      <c r="A54" s="89" t="str">
        <f>IF(B54=""," ",A53+1)</f>
        <v xml:space="preserve"> </v>
      </c>
      <c r="B54" s="96"/>
      <c r="C54" s="31"/>
      <c r="D54" s="97"/>
      <c r="E54" s="98"/>
      <c r="F54" s="99"/>
      <c r="G54" s="21"/>
      <c r="H54" s="89"/>
      <c r="I54" s="89"/>
      <c r="J54" s="92"/>
      <c r="K54" s="669"/>
      <c r="L54" s="603"/>
      <c r="M54" s="604"/>
    </row>
    <row r="55" spans="1:13">
      <c r="A55" s="89" t="str">
        <f>IF(B55=""," ",#REF!+1)</f>
        <v xml:space="preserve"> </v>
      </c>
      <c r="B55" s="96"/>
      <c r="C55" s="31"/>
      <c r="D55" s="97"/>
      <c r="E55" s="98"/>
      <c r="F55" s="99"/>
      <c r="G55" s="21"/>
      <c r="H55" s="89"/>
      <c r="I55" s="89"/>
      <c r="J55" s="92"/>
      <c r="K55" s="669"/>
      <c r="L55" s="603"/>
      <c r="M55" s="604"/>
    </row>
    <row r="56" spans="1:13">
      <c r="A56" s="89" t="str">
        <f>IF(B56=""," ",#REF!+1)</f>
        <v xml:space="preserve"> </v>
      </c>
      <c r="B56" s="96"/>
      <c r="C56" s="31"/>
      <c r="D56" s="97"/>
      <c r="E56" s="98"/>
      <c r="F56" s="99"/>
      <c r="G56" s="21"/>
      <c r="H56" s="89"/>
      <c r="I56" s="89"/>
      <c r="J56" s="92"/>
      <c r="K56" s="31"/>
      <c r="L56" s="32"/>
      <c r="M56" s="33"/>
    </row>
    <row r="57" spans="1:13">
      <c r="A57" s="89" t="str">
        <f>IF(B57=""," ",A56+1)</f>
        <v xml:space="preserve"> </v>
      </c>
      <c r="B57" s="96"/>
      <c r="C57" s="31"/>
      <c r="D57" s="97"/>
      <c r="E57" s="98"/>
      <c r="F57" s="99"/>
      <c r="G57" s="21"/>
      <c r="H57" s="89"/>
      <c r="I57" s="89"/>
      <c r="J57" s="92"/>
      <c r="K57" s="31"/>
      <c r="L57" s="32"/>
      <c r="M57" s="33"/>
    </row>
    <row r="58" spans="1:13">
      <c r="A58" s="89" t="str">
        <f>IF(B58=""," ",A57+1)</f>
        <v xml:space="preserve"> </v>
      </c>
      <c r="B58" s="96"/>
      <c r="C58" s="31"/>
      <c r="D58" s="97"/>
      <c r="E58" s="98"/>
      <c r="F58" s="99"/>
      <c r="G58" s="21"/>
      <c r="H58" s="89"/>
      <c r="I58" s="89"/>
      <c r="J58" s="92"/>
      <c r="K58" s="669"/>
      <c r="L58" s="603"/>
      <c r="M58" s="604"/>
    </row>
    <row r="59" spans="1:13">
      <c r="A59" s="89" t="str">
        <f>IF(B59=""," ",#REF!+1)</f>
        <v xml:space="preserve"> </v>
      </c>
      <c r="B59" s="96"/>
      <c r="C59" s="31"/>
      <c r="D59" s="97"/>
      <c r="E59" s="98"/>
      <c r="F59" s="99"/>
      <c r="G59" s="21"/>
      <c r="H59" s="89"/>
      <c r="I59" s="89"/>
      <c r="J59" s="92"/>
      <c r="K59" s="669"/>
      <c r="L59" s="603"/>
      <c r="M59" s="604"/>
    </row>
    <row r="60" spans="1:13">
      <c r="A60" s="89" t="str">
        <f>IF(B60=""," ",#REF!+1)</f>
        <v xml:space="preserve"> </v>
      </c>
      <c r="B60" s="96"/>
      <c r="C60" s="31"/>
      <c r="D60" s="97"/>
      <c r="E60" s="98"/>
      <c r="F60" s="99"/>
      <c r="G60" s="21"/>
      <c r="H60" s="89"/>
      <c r="I60" s="89"/>
      <c r="J60" s="92"/>
      <c r="K60" s="31"/>
      <c r="L60" s="32"/>
      <c r="M60" s="33"/>
    </row>
    <row r="61" spans="1:13">
      <c r="A61" s="89" t="str">
        <f>IF(B61=""," ",A60+1)</f>
        <v xml:space="preserve"> </v>
      </c>
      <c r="B61" s="96"/>
      <c r="C61" s="31"/>
      <c r="D61" s="97"/>
      <c r="E61" s="98"/>
      <c r="F61" s="99"/>
      <c r="G61" s="21"/>
      <c r="H61" s="89"/>
      <c r="I61" s="89"/>
      <c r="J61" s="92"/>
      <c r="K61" s="31"/>
      <c r="L61" s="32"/>
      <c r="M61" s="33"/>
    </row>
    <row r="62" spans="1:13">
      <c r="A62" s="89" t="str">
        <f>IF(B62=""," ",A61+1)</f>
        <v xml:space="preserve"> </v>
      </c>
      <c r="B62" s="96"/>
      <c r="C62" s="31"/>
      <c r="D62" s="97"/>
      <c r="E62" s="98"/>
      <c r="F62" s="99"/>
      <c r="G62" s="21"/>
      <c r="H62" s="89"/>
      <c r="I62" s="89"/>
      <c r="J62" s="92"/>
      <c r="K62" s="669"/>
      <c r="L62" s="603"/>
      <c r="M62" s="604"/>
    </row>
    <row r="63" spans="1:13">
      <c r="A63" s="89" t="str">
        <f>IF(B63=""," ",#REF!+1)</f>
        <v xml:space="preserve"> </v>
      </c>
      <c r="B63" s="96"/>
      <c r="C63" s="31"/>
      <c r="D63" s="97"/>
      <c r="E63" s="98"/>
      <c r="F63" s="99"/>
      <c r="G63" s="21"/>
      <c r="H63" s="89"/>
      <c r="I63" s="89"/>
      <c r="J63" s="92"/>
      <c r="K63" s="669"/>
      <c r="L63" s="603"/>
      <c r="M63" s="604"/>
    </row>
    <row r="64" spans="1:13">
      <c r="A64" s="89" t="str">
        <f>IF(B64=""," ",#REF!+1)</f>
        <v xml:space="preserve"> </v>
      </c>
      <c r="B64" s="96"/>
      <c r="C64" s="31"/>
      <c r="D64" s="97"/>
      <c r="E64" s="98"/>
      <c r="F64" s="99"/>
      <c r="G64" s="21"/>
      <c r="H64" s="89"/>
      <c r="I64" s="89"/>
      <c r="J64" s="92"/>
      <c r="K64" s="31"/>
      <c r="L64" s="32"/>
      <c r="M64" s="33"/>
    </row>
    <row r="65" spans="1:13">
      <c r="A65" s="89" t="str">
        <f>IF(B65=""," ",A64+1)</f>
        <v xml:space="preserve"> </v>
      </c>
      <c r="B65" s="96"/>
      <c r="C65" s="31"/>
      <c r="D65" s="97"/>
      <c r="E65" s="98"/>
      <c r="F65" s="99"/>
      <c r="G65" s="21"/>
      <c r="H65" s="89"/>
      <c r="I65" s="89"/>
      <c r="J65" s="92"/>
      <c r="K65" s="31"/>
      <c r="L65" s="32"/>
      <c r="M65" s="33"/>
    </row>
    <row r="66" spans="1:13">
      <c r="A66" s="89" t="str">
        <f>IF(B66=""," ",A65+1)</f>
        <v xml:space="preserve"> </v>
      </c>
      <c r="B66" s="96"/>
      <c r="C66" s="31"/>
      <c r="D66" s="97"/>
      <c r="E66" s="98"/>
      <c r="F66" s="99"/>
      <c r="G66" s="21"/>
      <c r="H66" s="89"/>
      <c r="I66" s="89"/>
      <c r="J66" s="92"/>
      <c r="K66" s="669"/>
      <c r="L66" s="603"/>
      <c r="M66" s="604"/>
    </row>
    <row r="67" spans="1:13">
      <c r="A67" s="89" t="str">
        <f>IF(B67=""," ",#REF!+1)</f>
        <v xml:space="preserve"> </v>
      </c>
      <c r="B67" s="96"/>
      <c r="C67" s="31"/>
      <c r="D67" s="97"/>
      <c r="E67" s="98"/>
      <c r="F67" s="99"/>
      <c r="G67" s="21"/>
      <c r="H67" s="89"/>
      <c r="I67" s="89"/>
      <c r="J67" s="92"/>
      <c r="K67" s="669"/>
      <c r="L67" s="603"/>
      <c r="M67" s="604"/>
    </row>
    <row r="68" spans="1:13">
      <c r="A68" s="89" t="str">
        <f>IF(B68=""," ",#REF!+1)</f>
        <v xml:space="preserve"> </v>
      </c>
      <c r="B68" s="96"/>
      <c r="C68" s="31"/>
      <c r="D68" s="97"/>
      <c r="E68" s="98"/>
      <c r="F68" s="99"/>
      <c r="G68" s="21"/>
      <c r="H68" s="89"/>
      <c r="I68" s="89"/>
      <c r="J68" s="92"/>
      <c r="K68" s="31"/>
      <c r="L68" s="32"/>
      <c r="M68" s="33"/>
    </row>
    <row r="69" spans="1:13">
      <c r="A69" s="89" t="str">
        <f>IF(B69=""," ",A68+1)</f>
        <v xml:space="preserve"> </v>
      </c>
      <c r="B69" s="96"/>
      <c r="C69" s="31"/>
      <c r="D69" s="97"/>
      <c r="E69" s="98"/>
      <c r="F69" s="99"/>
      <c r="G69" s="21"/>
      <c r="H69" s="89"/>
      <c r="I69" s="89"/>
      <c r="J69" s="92"/>
      <c r="K69" s="31"/>
      <c r="L69" s="32"/>
      <c r="M69" s="33"/>
    </row>
    <row r="70" spans="1:13">
      <c r="A70" s="89" t="str">
        <f>IF(B70=""," ",A69+1)</f>
        <v xml:space="preserve"> </v>
      </c>
      <c r="B70" s="96"/>
      <c r="C70" s="31"/>
      <c r="D70" s="97"/>
      <c r="E70" s="98"/>
      <c r="F70" s="99"/>
      <c r="G70" s="21"/>
      <c r="H70" s="89"/>
      <c r="I70" s="89"/>
      <c r="J70" s="92"/>
      <c r="K70" s="669"/>
      <c r="L70" s="603"/>
      <c r="M70" s="604"/>
    </row>
    <row r="71" spans="1:13">
      <c r="A71" s="89" t="str">
        <f>IF(B71=""," ",#REF!+1)</f>
        <v xml:space="preserve"> </v>
      </c>
      <c r="B71" s="96"/>
      <c r="C71" s="31"/>
      <c r="D71" s="97"/>
      <c r="E71" s="98"/>
      <c r="F71" s="99"/>
      <c r="G71" s="21"/>
      <c r="H71" s="89"/>
      <c r="I71" s="89"/>
      <c r="J71" s="92"/>
      <c r="K71" s="669"/>
      <c r="L71" s="603"/>
      <c r="M71" s="604"/>
    </row>
    <row r="72" spans="1:13">
      <c r="A72" s="89" t="str">
        <f>IF(B72=""," ",#REF!+1)</f>
        <v xml:space="preserve"> </v>
      </c>
      <c r="B72" s="96"/>
      <c r="C72" s="31"/>
      <c r="D72" s="97"/>
      <c r="E72" s="98"/>
      <c r="F72" s="99"/>
      <c r="G72" s="21"/>
      <c r="H72" s="89"/>
      <c r="I72" s="89"/>
      <c r="J72" s="92"/>
      <c r="K72" s="31"/>
      <c r="L72" s="32"/>
      <c r="M72" s="33"/>
    </row>
    <row r="73" spans="1:13">
      <c r="A73" s="89" t="str">
        <f>IF(B73=""," ",A72+1)</f>
        <v xml:space="preserve"> </v>
      </c>
      <c r="B73" s="96"/>
      <c r="C73" s="31"/>
      <c r="D73" s="97"/>
      <c r="E73" s="98"/>
      <c r="F73" s="99"/>
      <c r="G73" s="21"/>
      <c r="H73" s="89"/>
      <c r="I73" s="89"/>
      <c r="J73" s="92"/>
      <c r="K73" s="31"/>
      <c r="L73" s="32"/>
      <c r="M73" s="33"/>
    </row>
    <row r="74" spans="1:13">
      <c r="A74" s="89" t="str">
        <f>IF(B74=""," ",A73+1)</f>
        <v xml:space="preserve"> </v>
      </c>
      <c r="B74" s="96"/>
      <c r="C74" s="31"/>
      <c r="D74" s="97"/>
      <c r="E74" s="98"/>
      <c r="F74" s="99"/>
      <c r="G74" s="21"/>
      <c r="H74" s="89"/>
      <c r="I74" s="89"/>
      <c r="J74" s="92"/>
      <c r="K74" s="669"/>
      <c r="L74" s="603"/>
      <c r="M74" s="604"/>
    </row>
    <row r="75" spans="1:13">
      <c r="A75" s="89" t="str">
        <f>IF(B75=""," ",#REF!+1)</f>
        <v xml:space="preserve"> </v>
      </c>
      <c r="B75" s="96"/>
      <c r="C75" s="31"/>
      <c r="D75" s="97"/>
      <c r="E75" s="98"/>
      <c r="F75" s="99"/>
      <c r="G75" s="21"/>
      <c r="H75" s="89"/>
      <c r="I75" s="89"/>
      <c r="J75" s="92"/>
      <c r="K75" s="669"/>
      <c r="L75" s="603"/>
      <c r="M75" s="604"/>
    </row>
    <row r="76" spans="1:13">
      <c r="A76" s="89" t="str">
        <f>IF(B76=""," ",#REF!+1)</f>
        <v xml:space="preserve"> </v>
      </c>
      <c r="B76" s="96"/>
      <c r="C76" s="31"/>
      <c r="D76" s="97"/>
      <c r="E76" s="98"/>
      <c r="F76" s="99"/>
      <c r="G76" s="21"/>
      <c r="H76" s="89"/>
      <c r="I76" s="89"/>
      <c r="J76" s="92"/>
      <c r="K76" s="31"/>
      <c r="L76" s="32"/>
      <c r="M76" s="33"/>
    </row>
    <row r="77" spans="1:13">
      <c r="A77" s="89" t="str">
        <f>IF(B77=""," ",A76+1)</f>
        <v xml:space="preserve"> </v>
      </c>
      <c r="B77" s="96"/>
      <c r="C77" s="31"/>
      <c r="D77" s="97"/>
      <c r="E77" s="98"/>
      <c r="F77" s="99"/>
      <c r="G77" s="21"/>
      <c r="H77" s="89"/>
      <c r="I77" s="89"/>
      <c r="J77" s="92"/>
      <c r="K77" s="31"/>
      <c r="L77" s="32"/>
      <c r="M77" s="33"/>
    </row>
    <row r="78" spans="1:13">
      <c r="A78" s="89" t="str">
        <f>IF(B78=""," ",A77+1)</f>
        <v xml:space="preserve"> </v>
      </c>
      <c r="B78" s="96"/>
      <c r="C78" s="31"/>
      <c r="D78" s="97"/>
      <c r="E78" s="98"/>
      <c r="F78" s="99"/>
      <c r="G78" s="21"/>
      <c r="H78" s="89"/>
      <c r="I78" s="89"/>
      <c r="J78" s="92"/>
      <c r="K78" s="669"/>
      <c r="L78" s="603"/>
      <c r="M78" s="604"/>
    </row>
    <row r="79" spans="1:13">
      <c r="A79" s="89" t="str">
        <f>IF(B79=""," ",#REF!+1)</f>
        <v xml:space="preserve"> </v>
      </c>
      <c r="B79" s="96"/>
      <c r="C79" s="31"/>
      <c r="D79" s="97"/>
      <c r="E79" s="98"/>
      <c r="F79" s="99"/>
      <c r="G79" s="21"/>
      <c r="H79" s="89"/>
      <c r="I79" s="89"/>
      <c r="J79" s="92"/>
      <c r="K79" s="669"/>
      <c r="L79" s="603"/>
      <c r="M79" s="604"/>
    </row>
    <row r="80" spans="1:13">
      <c r="A80" s="89" t="str">
        <f>IF(B80=""," ",#REF!+1)</f>
        <v xml:space="preserve"> </v>
      </c>
      <c r="B80" s="96"/>
      <c r="C80" s="31"/>
      <c r="D80" s="97"/>
      <c r="E80" s="98"/>
      <c r="F80" s="99"/>
      <c r="G80" s="21"/>
      <c r="H80" s="89"/>
      <c r="I80" s="89"/>
      <c r="J80" s="92"/>
      <c r="K80" s="31"/>
      <c r="L80" s="32"/>
      <c r="M80" s="33"/>
    </row>
    <row r="81" spans="1:13">
      <c r="A81" s="89" t="str">
        <f>IF(B81=""," ",A80+1)</f>
        <v xml:space="preserve"> </v>
      </c>
      <c r="B81" s="96"/>
      <c r="C81" s="31"/>
      <c r="D81" s="97"/>
      <c r="E81" s="98"/>
      <c r="F81" s="99"/>
      <c r="G81" s="21"/>
      <c r="H81" s="89"/>
      <c r="I81" s="89"/>
      <c r="J81" s="92"/>
      <c r="K81" s="31"/>
      <c r="L81" s="32"/>
      <c r="M81" s="33"/>
    </row>
    <row r="82" spans="1:13">
      <c r="A82" s="89" t="str">
        <f>IF(B82=""," ",A81+1)</f>
        <v xml:space="preserve"> </v>
      </c>
      <c r="B82" s="96"/>
      <c r="C82" s="31"/>
      <c r="D82" s="97"/>
      <c r="E82" s="98"/>
      <c r="F82" s="99"/>
      <c r="G82" s="21"/>
      <c r="H82" s="89"/>
      <c r="I82" s="89"/>
      <c r="J82" s="92"/>
      <c r="K82" s="669"/>
      <c r="L82" s="603"/>
      <c r="M82" s="604"/>
    </row>
    <row r="83" spans="1:13">
      <c r="A83" s="89" t="str">
        <f>IF(B83=""," ",#REF!+1)</f>
        <v xml:space="preserve"> </v>
      </c>
      <c r="B83" s="96"/>
      <c r="C83" s="31"/>
      <c r="D83" s="97"/>
      <c r="E83" s="98"/>
      <c r="F83" s="99"/>
      <c r="G83" s="21"/>
      <c r="H83" s="89"/>
      <c r="I83" s="89"/>
      <c r="J83" s="92"/>
      <c r="K83" s="669"/>
      <c r="L83" s="603"/>
      <c r="M83" s="604"/>
    </row>
    <row r="84" spans="1:13">
      <c r="A84" s="89" t="str">
        <f>IF(B84=""," ",#REF!+1)</f>
        <v xml:space="preserve"> </v>
      </c>
      <c r="B84" s="96"/>
      <c r="C84" s="31"/>
      <c r="D84" s="97"/>
      <c r="E84" s="98"/>
      <c r="F84" s="99"/>
      <c r="G84" s="21"/>
      <c r="H84" s="89"/>
      <c r="I84" s="89"/>
      <c r="J84" s="92"/>
      <c r="K84" s="31"/>
      <c r="L84" s="32"/>
      <c r="M84" s="33"/>
    </row>
    <row r="85" spans="1:13">
      <c r="A85" s="89" t="str">
        <f>IF(B85=""," ",A84+1)</f>
        <v xml:space="preserve"> </v>
      </c>
      <c r="B85" s="96"/>
      <c r="C85" s="31"/>
      <c r="D85" s="97"/>
      <c r="E85" s="98"/>
      <c r="F85" s="99"/>
      <c r="G85" s="21"/>
      <c r="H85" s="89"/>
      <c r="I85" s="89"/>
      <c r="J85" s="92"/>
      <c r="K85" s="31"/>
      <c r="L85" s="32"/>
      <c r="M85" s="33"/>
    </row>
    <row r="86" spans="1:13">
      <c r="A86" s="89" t="str">
        <f>IF(B86=""," ",A85+1)</f>
        <v xml:space="preserve"> </v>
      </c>
      <c r="B86" s="96"/>
      <c r="C86" s="31"/>
      <c r="D86" s="97"/>
      <c r="E86" s="98"/>
      <c r="F86" s="99"/>
      <c r="G86" s="21"/>
      <c r="H86" s="89"/>
      <c r="I86" s="89"/>
      <c r="J86" s="92"/>
      <c r="K86" s="669"/>
      <c r="L86" s="603"/>
      <c r="M86" s="604"/>
    </row>
    <row r="87" spans="1:13">
      <c r="A87" s="89" t="str">
        <f>IF(B87=""," ",#REF!+1)</f>
        <v xml:space="preserve"> </v>
      </c>
      <c r="B87" s="96"/>
      <c r="C87" s="31"/>
      <c r="D87" s="97"/>
      <c r="E87" s="98"/>
      <c r="F87" s="99"/>
      <c r="G87" s="21"/>
      <c r="H87" s="89"/>
      <c r="I87" s="89"/>
      <c r="J87" s="92"/>
      <c r="K87" s="669"/>
      <c r="L87" s="603"/>
      <c r="M87" s="604"/>
    </row>
    <row r="88" spans="1:13">
      <c r="A88" s="89" t="str">
        <f>IF(B88=""," ",#REF!+1)</f>
        <v xml:space="preserve"> </v>
      </c>
      <c r="B88" s="96"/>
      <c r="C88" s="31"/>
      <c r="D88" s="97"/>
      <c r="E88" s="98"/>
      <c r="F88" s="99"/>
      <c r="G88" s="21"/>
      <c r="H88" s="89"/>
      <c r="I88" s="89"/>
      <c r="J88" s="92"/>
      <c r="K88" s="31"/>
      <c r="L88" s="32"/>
      <c r="M88" s="33"/>
    </row>
    <row r="89" spans="1:13">
      <c r="A89" s="89" t="str">
        <f>IF(B89=""," ",A88+1)</f>
        <v xml:space="preserve"> </v>
      </c>
      <c r="B89" s="96"/>
      <c r="C89" s="31"/>
      <c r="D89" s="97"/>
      <c r="E89" s="98"/>
      <c r="F89" s="99"/>
      <c r="G89" s="21"/>
      <c r="H89" s="89"/>
      <c r="I89" s="89"/>
      <c r="J89" s="92"/>
      <c r="K89" s="31"/>
      <c r="L89" s="32"/>
      <c r="M89" s="33"/>
    </row>
    <row r="90" spans="1:13">
      <c r="A90" s="89" t="str">
        <f>IF(B90=""," ",A89+1)</f>
        <v xml:space="preserve"> </v>
      </c>
      <c r="B90" s="96"/>
      <c r="C90" s="31"/>
      <c r="D90" s="97"/>
      <c r="E90" s="98"/>
      <c r="F90" s="99"/>
      <c r="G90" s="21"/>
      <c r="H90" s="89"/>
      <c r="I90" s="89"/>
      <c r="J90" s="92"/>
      <c r="K90" s="669"/>
      <c r="L90" s="603"/>
      <c r="M90" s="604"/>
    </row>
    <row r="91" spans="1:13">
      <c r="A91" s="89" t="str">
        <f>IF(B91=""," ",#REF!+1)</f>
        <v xml:space="preserve"> </v>
      </c>
      <c r="B91" s="96"/>
      <c r="C91" s="31"/>
      <c r="D91" s="97"/>
      <c r="E91" s="98"/>
      <c r="F91" s="99"/>
      <c r="G91" s="21"/>
      <c r="H91" s="89"/>
      <c r="I91" s="89"/>
      <c r="J91" s="92"/>
      <c r="K91" s="669"/>
      <c r="L91" s="603"/>
      <c r="M91" s="604"/>
    </row>
    <row r="92" spans="1:13">
      <c r="A92" s="89" t="str">
        <f>IF(B92=""," ",#REF!+1)</f>
        <v xml:space="preserve"> </v>
      </c>
      <c r="B92" s="96"/>
      <c r="C92" s="31"/>
      <c r="D92" s="97"/>
      <c r="E92" s="98"/>
      <c r="F92" s="99"/>
      <c r="G92" s="21"/>
      <c r="H92" s="89"/>
      <c r="I92" s="89"/>
      <c r="J92" s="92"/>
      <c r="K92" s="31"/>
      <c r="L92" s="32"/>
      <c r="M92" s="33"/>
    </row>
    <row r="93" spans="1:13">
      <c r="A93" s="89" t="str">
        <f>IF(B93=""," ",A92+1)</f>
        <v xml:space="preserve"> </v>
      </c>
      <c r="B93" s="96"/>
      <c r="C93" s="31"/>
      <c r="D93" s="97"/>
      <c r="E93" s="98"/>
      <c r="F93" s="99"/>
      <c r="G93" s="21"/>
      <c r="H93" s="89"/>
      <c r="I93" s="89"/>
      <c r="J93" s="92"/>
      <c r="K93" s="31"/>
      <c r="L93" s="32"/>
      <c r="M93" s="33"/>
    </row>
    <row r="94" spans="1:13">
      <c r="A94" s="89" t="str">
        <f>IF(B94=""," ",A93+1)</f>
        <v xml:space="preserve"> </v>
      </c>
      <c r="B94" s="96"/>
      <c r="C94" s="31"/>
      <c r="D94" s="97"/>
      <c r="E94" s="98"/>
      <c r="F94" s="99"/>
      <c r="G94" s="21"/>
      <c r="H94" s="89"/>
      <c r="I94" s="89"/>
      <c r="J94" s="92"/>
      <c r="K94" s="669"/>
      <c r="L94" s="603"/>
      <c r="M94" s="604"/>
    </row>
    <row r="95" spans="1:13">
      <c r="A95" s="89" t="str">
        <f>IF(B95=""," ",#REF!+1)</f>
        <v xml:space="preserve"> </v>
      </c>
      <c r="B95" s="96"/>
      <c r="C95" s="31"/>
      <c r="D95" s="97"/>
      <c r="E95" s="98"/>
      <c r="F95" s="99"/>
      <c r="G95" s="21"/>
      <c r="H95" s="89"/>
      <c r="I95" s="89"/>
      <c r="J95" s="92"/>
      <c r="K95" s="669"/>
      <c r="L95" s="603"/>
      <c r="M95" s="604"/>
    </row>
    <row r="96" spans="1:13">
      <c r="A96" s="89" t="str">
        <f>IF(B96=""," ",#REF!+1)</f>
        <v xml:space="preserve"> </v>
      </c>
      <c r="B96" s="96"/>
      <c r="C96" s="31"/>
      <c r="D96" s="97"/>
      <c r="E96" s="98"/>
      <c r="F96" s="99"/>
      <c r="G96" s="21"/>
      <c r="H96" s="89"/>
      <c r="I96" s="89"/>
      <c r="J96" s="92"/>
      <c r="K96" s="31"/>
      <c r="L96" s="32"/>
      <c r="M96" s="33"/>
    </row>
    <row r="97" spans="1:13">
      <c r="A97" s="89" t="str">
        <f>IF(B97=""," ",A96+1)</f>
        <v xml:space="preserve"> </v>
      </c>
      <c r="B97" s="96"/>
      <c r="C97" s="31"/>
      <c r="D97" s="97"/>
      <c r="E97" s="98"/>
      <c r="F97" s="99"/>
      <c r="G97" s="21"/>
      <c r="H97" s="89"/>
      <c r="I97" s="89"/>
      <c r="J97" s="92"/>
      <c r="K97" s="31"/>
      <c r="L97" s="32"/>
      <c r="M97" s="33"/>
    </row>
    <row r="98" spans="1:13">
      <c r="A98" s="89" t="str">
        <f>IF(B98=""," ",A97+1)</f>
        <v xml:space="preserve"> </v>
      </c>
      <c r="B98" s="96"/>
      <c r="C98" s="31"/>
      <c r="D98" s="97"/>
      <c r="E98" s="98"/>
      <c r="F98" s="99"/>
      <c r="G98" s="21"/>
      <c r="H98" s="89"/>
      <c r="I98" s="89"/>
      <c r="J98" s="92"/>
      <c r="K98" s="669"/>
      <c r="L98" s="603"/>
      <c r="M98" s="604"/>
    </row>
    <row r="99" spans="1:13">
      <c r="A99" s="89" t="str">
        <f>IF(B99=""," ",#REF!+1)</f>
        <v xml:space="preserve"> </v>
      </c>
      <c r="B99" s="96"/>
      <c r="C99" s="31"/>
      <c r="D99" s="97"/>
      <c r="E99" s="98"/>
      <c r="F99" s="99"/>
      <c r="G99" s="21"/>
      <c r="H99" s="89"/>
      <c r="I99" s="89"/>
      <c r="J99" s="92"/>
      <c r="K99" s="669"/>
      <c r="L99" s="603"/>
      <c r="M99" s="604"/>
    </row>
    <row r="100" spans="1:13">
      <c r="A100" s="89" t="str">
        <f>IF(B100=""," ",#REF!+1)</f>
        <v xml:space="preserve"> </v>
      </c>
      <c r="B100" s="96"/>
      <c r="C100" s="31"/>
      <c r="D100" s="97"/>
      <c r="E100" s="98"/>
      <c r="F100" s="99"/>
      <c r="G100" s="21"/>
      <c r="H100" s="89"/>
      <c r="I100" s="89"/>
      <c r="J100" s="92"/>
      <c r="K100" s="31"/>
      <c r="L100" s="32"/>
      <c r="M100" s="33"/>
    </row>
    <row r="101" spans="1:13">
      <c r="A101" s="89" t="str">
        <f>IF(B101=""," ",A100+1)</f>
        <v xml:space="preserve"> </v>
      </c>
      <c r="B101" s="96"/>
      <c r="C101" s="31"/>
      <c r="D101" s="97"/>
      <c r="E101" s="98"/>
      <c r="F101" s="99"/>
      <c r="G101" s="21"/>
      <c r="H101" s="89"/>
      <c r="I101" s="89"/>
      <c r="J101" s="92"/>
      <c r="K101" s="31"/>
      <c r="L101" s="32"/>
      <c r="M101" s="33"/>
    </row>
    <row r="103" spans="1:13">
      <c r="B103" s="22" t="s">
        <v>1691</v>
      </c>
      <c r="C103" s="22"/>
      <c r="D103" s="22"/>
      <c r="E103" s="22"/>
      <c r="F103" s="22"/>
      <c r="G103" s="22"/>
      <c r="H103" s="22"/>
      <c r="I103" s="22"/>
      <c r="J103" s="22"/>
      <c r="K103" s="22"/>
    </row>
    <row r="104" spans="1:13">
      <c r="B104" s="22"/>
      <c r="C104" s="22"/>
      <c r="D104" s="22"/>
      <c r="E104" s="22"/>
      <c r="F104" s="22"/>
      <c r="G104" s="22"/>
      <c r="H104" s="22"/>
      <c r="I104" s="22"/>
      <c r="J104" s="22"/>
      <c r="K104" s="22"/>
    </row>
    <row r="105" spans="1:13">
      <c r="B105" s="231" t="s">
        <v>948</v>
      </c>
      <c r="C105" s="198" t="s">
        <v>1648</v>
      </c>
    </row>
    <row r="107" spans="1:13" s="16" customFormat="1">
      <c r="A107" s="46"/>
      <c r="B107" s="75" t="s">
        <v>799</v>
      </c>
      <c r="C107" s="16" t="s">
        <v>1411</v>
      </c>
    </row>
  </sheetData>
  <mergeCells count="50">
    <mergeCell ref="K15:M15"/>
    <mergeCell ref="K10:M10"/>
    <mergeCell ref="K13:M13"/>
    <mergeCell ref="K16:M38"/>
    <mergeCell ref="K12:M12"/>
    <mergeCell ref="K14:M14"/>
    <mergeCell ref="A5:A6"/>
    <mergeCell ref="B5:C5"/>
    <mergeCell ref="K7:M7"/>
    <mergeCell ref="K11:M11"/>
    <mergeCell ref="K5:M6"/>
    <mergeCell ref="I5:J5"/>
    <mergeCell ref="D5:H5"/>
    <mergeCell ref="K8:M8"/>
    <mergeCell ref="K9:M9"/>
    <mergeCell ref="A2:B2"/>
    <mergeCell ref="A3:B3"/>
    <mergeCell ref="A4:B4"/>
    <mergeCell ref="H2:J2"/>
    <mergeCell ref="C2:G2"/>
    <mergeCell ref="C3:G3"/>
    <mergeCell ref="C4:G4"/>
    <mergeCell ref="H4:I4"/>
    <mergeCell ref="H3:I3"/>
    <mergeCell ref="K71:M71"/>
    <mergeCell ref="K50:M50"/>
    <mergeCell ref="K51:M51"/>
    <mergeCell ref="K54:M54"/>
    <mergeCell ref="K55:M55"/>
    <mergeCell ref="K58:M58"/>
    <mergeCell ref="K59:M59"/>
    <mergeCell ref="K62:M62"/>
    <mergeCell ref="K63:M63"/>
    <mergeCell ref="K66:M66"/>
    <mergeCell ref="K67:M67"/>
    <mergeCell ref="K70:M70"/>
    <mergeCell ref="K87:M87"/>
    <mergeCell ref="K74:M74"/>
    <mergeCell ref="K75:M75"/>
    <mergeCell ref="K78:M78"/>
    <mergeCell ref="K79:M79"/>
    <mergeCell ref="K82:M82"/>
    <mergeCell ref="K83:M83"/>
    <mergeCell ref="K86:M86"/>
    <mergeCell ref="K98:M98"/>
    <mergeCell ref="K99:M99"/>
    <mergeCell ref="K90:M90"/>
    <mergeCell ref="K91:M91"/>
    <mergeCell ref="K94:M94"/>
    <mergeCell ref="K95:M95"/>
  </mergeCells>
  <phoneticPr fontId="6"/>
  <pageMargins left="0.78740157480314965" right="0.19685039370078741" top="0.59055118110236227" bottom="0.59055118110236227" header="0.51181102362204722" footer="0.39370078740157483"/>
  <pageSetup paperSize="9" scale="72" fitToHeight="0" orientation="portrait" r:id="rId1"/>
  <headerFooter alignWithMargins="0">
    <oddFooter>&amp;C&amp;10&amp;P/&amp;N&amp;R&amp;10&amp;A</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6">
    <pageSetUpPr fitToPage="1"/>
  </sheetPr>
  <dimension ref="A1:P124"/>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196" customWidth="1"/>
    <col min="2" max="2" width="28.625" style="198" customWidth="1"/>
    <col min="3" max="3" width="13.375" style="198" customWidth="1"/>
    <col min="4" max="4" width="10.125" style="198" customWidth="1"/>
    <col min="5" max="5" width="4.875" style="198" bestFit="1" customWidth="1"/>
    <col min="6" max="6" width="4.75" style="198" bestFit="1" customWidth="1"/>
    <col min="7" max="7" width="6.125" style="198" bestFit="1" customWidth="1"/>
    <col min="8" max="8" width="4.75" style="198" bestFit="1" customWidth="1"/>
    <col min="9" max="9" width="4.75" style="198" customWidth="1"/>
    <col min="10" max="11" width="9.625" style="198" customWidth="1"/>
    <col min="12" max="13" width="10.25" style="198" customWidth="1"/>
    <col min="14" max="14" width="9" style="198"/>
    <col min="15" max="16" width="9" style="198" hidden="1" customWidth="1"/>
    <col min="17" max="16384" width="9" style="198"/>
  </cols>
  <sheetData>
    <row r="1" spans="1:16" ht="12" customHeight="1">
      <c r="B1" s="197"/>
    </row>
    <row r="2" spans="1:16" ht="12" customHeight="1">
      <c r="A2" s="701" t="s">
        <v>602</v>
      </c>
      <c r="B2" s="702"/>
      <c r="C2" s="701" t="s">
        <v>36</v>
      </c>
      <c r="D2" s="707"/>
      <c r="E2" s="707"/>
      <c r="F2" s="707"/>
      <c r="G2" s="702"/>
      <c r="H2" s="701"/>
      <c r="I2" s="707"/>
      <c r="J2" s="702"/>
      <c r="K2" s="200"/>
      <c r="L2" s="201" t="s">
        <v>37</v>
      </c>
      <c r="M2" s="201" t="s">
        <v>38</v>
      </c>
    </row>
    <row r="3" spans="1:16" ht="12" customHeight="1">
      <c r="A3" s="703"/>
      <c r="B3" s="704"/>
      <c r="C3" s="708" t="s">
        <v>919</v>
      </c>
      <c r="D3" s="709"/>
      <c r="E3" s="709"/>
      <c r="F3" s="709"/>
      <c r="G3" s="710"/>
      <c r="H3" s="701" t="s">
        <v>39</v>
      </c>
      <c r="I3" s="702"/>
      <c r="J3" s="202">
        <f>COUNT(A7:A100)</f>
        <v>38</v>
      </c>
      <c r="K3" s="201" t="s">
        <v>40</v>
      </c>
      <c r="L3" s="203">
        <v>38629</v>
      </c>
      <c r="M3" s="41" t="s">
        <v>56</v>
      </c>
      <c r="O3" s="198" t="s">
        <v>41</v>
      </c>
      <c r="P3" s="198" t="s">
        <v>42</v>
      </c>
    </row>
    <row r="4" spans="1:16" ht="12" customHeight="1">
      <c r="A4" s="705" t="s">
        <v>43</v>
      </c>
      <c r="B4" s="706"/>
      <c r="C4" s="705" t="s">
        <v>1010</v>
      </c>
      <c r="D4" s="711"/>
      <c r="E4" s="711"/>
      <c r="F4" s="711"/>
      <c r="G4" s="706"/>
      <c r="H4" s="701" t="s">
        <v>44</v>
      </c>
      <c r="I4" s="702"/>
      <c r="J4" s="202">
        <f>SUM(G7:G100)</f>
        <v>413</v>
      </c>
      <c r="K4" s="201" t="s">
        <v>45</v>
      </c>
      <c r="L4" s="40">
        <v>38764</v>
      </c>
      <c r="M4" s="42" t="s">
        <v>1407</v>
      </c>
      <c r="O4" s="198" t="s">
        <v>1358</v>
      </c>
      <c r="P4" s="198" t="s">
        <v>1359</v>
      </c>
    </row>
    <row r="5" spans="1:16" ht="12" customHeight="1">
      <c r="A5" s="712" t="s">
        <v>1360</v>
      </c>
      <c r="B5" s="701" t="s">
        <v>46</v>
      </c>
      <c r="C5" s="707"/>
      <c r="D5" s="723" t="s">
        <v>47</v>
      </c>
      <c r="E5" s="707"/>
      <c r="F5" s="707"/>
      <c r="G5" s="707"/>
      <c r="H5" s="707"/>
      <c r="I5" s="701" t="s">
        <v>604</v>
      </c>
      <c r="J5" s="702"/>
      <c r="K5" s="717" t="s">
        <v>48</v>
      </c>
      <c r="L5" s="718"/>
      <c r="M5" s="719"/>
      <c r="P5" s="198" t="s">
        <v>605</v>
      </c>
    </row>
    <row r="6" spans="1:16" ht="12" customHeight="1">
      <c r="A6" s="713"/>
      <c r="B6" s="201" t="s">
        <v>49</v>
      </c>
      <c r="C6" s="204" t="s">
        <v>50</v>
      </c>
      <c r="D6" s="205" t="s">
        <v>42</v>
      </c>
      <c r="E6" s="206" t="s">
        <v>51</v>
      </c>
      <c r="F6" s="207" t="s">
        <v>52</v>
      </c>
      <c r="G6" s="201" t="s">
        <v>606</v>
      </c>
      <c r="H6" s="199" t="s">
        <v>53</v>
      </c>
      <c r="I6" s="199" t="s">
        <v>607</v>
      </c>
      <c r="J6" s="199" t="s">
        <v>608</v>
      </c>
      <c r="K6" s="720"/>
      <c r="L6" s="721"/>
      <c r="M6" s="722"/>
      <c r="P6" s="198" t="s">
        <v>609</v>
      </c>
    </row>
    <row r="7" spans="1:16" ht="12" customHeight="1">
      <c r="A7" s="208">
        <v>1</v>
      </c>
      <c r="B7" s="209" t="s">
        <v>766</v>
      </c>
      <c r="C7" s="210" t="s">
        <v>880</v>
      </c>
      <c r="D7" s="211" t="s">
        <v>1434</v>
      </c>
      <c r="E7" s="212">
        <v>4</v>
      </c>
      <c r="F7" s="213"/>
      <c r="G7" s="20">
        <f>IF(D7="DATE",4,IF(D7="CHAR",E7,IF(D7="SMALLINT",2,IF(D7="INTEGER",4,IF(D7="TIMESTAMP",10,IF(D7="TIME",3,0))))))</f>
        <v>4</v>
      </c>
      <c r="H7" s="208" t="s">
        <v>1435</v>
      </c>
      <c r="I7" s="208" t="s">
        <v>1435</v>
      </c>
      <c r="J7" s="214"/>
      <c r="K7" s="714"/>
      <c r="L7" s="715"/>
      <c r="M7" s="716"/>
      <c r="P7" s="219" t="s">
        <v>920</v>
      </c>
    </row>
    <row r="8" spans="1:16" ht="12" customHeight="1">
      <c r="A8" s="42">
        <f t="shared" ref="A8:A44" si="0">IF(B8=""," ",A7+1)</f>
        <v>2</v>
      </c>
      <c r="B8" s="66" t="s">
        <v>1346</v>
      </c>
      <c r="C8" s="210" t="s">
        <v>881</v>
      </c>
      <c r="D8" s="211" t="s">
        <v>1359</v>
      </c>
      <c r="E8" s="212">
        <v>7</v>
      </c>
      <c r="F8" s="213"/>
      <c r="G8" s="20">
        <f t="shared" ref="G8:G44" si="1">IF(D8="DATE",4,IF(D8="CHAR",E8,IF(D8="SMALLINT",2,IF(D8="INTEGER",4,IF(D8="TIMESTAMP",10,IF(D8="TIME",3,0))))))</f>
        <v>7</v>
      </c>
      <c r="H8" s="208" t="s">
        <v>1358</v>
      </c>
      <c r="I8" s="208" t="s">
        <v>1363</v>
      </c>
      <c r="J8" s="214"/>
      <c r="K8" s="724" t="s">
        <v>1348</v>
      </c>
      <c r="L8" s="715"/>
      <c r="M8" s="716"/>
    </row>
    <row r="9" spans="1:16" ht="12" customHeight="1">
      <c r="A9" s="42">
        <f t="shared" si="0"/>
        <v>3</v>
      </c>
      <c r="B9" s="216" t="s">
        <v>671</v>
      </c>
      <c r="C9" s="217" t="s">
        <v>921</v>
      </c>
      <c r="D9" s="218" t="s">
        <v>524</v>
      </c>
      <c r="E9" s="212">
        <v>20</v>
      </c>
      <c r="F9" s="213"/>
      <c r="G9" s="20">
        <f t="shared" si="1"/>
        <v>20</v>
      </c>
      <c r="H9" s="208" t="s">
        <v>574</v>
      </c>
      <c r="I9" s="208" t="s">
        <v>574</v>
      </c>
      <c r="J9" s="214"/>
      <c r="K9" s="725" t="s">
        <v>1624</v>
      </c>
      <c r="L9" s="726"/>
      <c r="M9" s="727"/>
    </row>
    <row r="10" spans="1:16" ht="12" customHeight="1">
      <c r="A10" s="42">
        <f t="shared" si="0"/>
        <v>4</v>
      </c>
      <c r="B10" s="216" t="s">
        <v>239</v>
      </c>
      <c r="C10" s="217" t="s">
        <v>922</v>
      </c>
      <c r="D10" s="218" t="s">
        <v>553</v>
      </c>
      <c r="E10" s="212">
        <v>40</v>
      </c>
      <c r="F10" s="213"/>
      <c r="G10" s="20">
        <f t="shared" si="1"/>
        <v>40</v>
      </c>
      <c r="H10" s="208" t="s">
        <v>884</v>
      </c>
      <c r="I10" s="208"/>
      <c r="J10" s="214"/>
      <c r="K10" s="725" t="s">
        <v>1625</v>
      </c>
      <c r="L10" s="726"/>
      <c r="M10" s="727"/>
    </row>
    <row r="11" spans="1:16" ht="12" customHeight="1">
      <c r="A11" s="42">
        <f t="shared" si="0"/>
        <v>5</v>
      </c>
      <c r="B11" s="216" t="s">
        <v>672</v>
      </c>
      <c r="C11" s="217" t="s">
        <v>941</v>
      </c>
      <c r="D11" s="218" t="s">
        <v>533</v>
      </c>
      <c r="E11" s="212">
        <v>20</v>
      </c>
      <c r="F11" s="213"/>
      <c r="G11" s="20">
        <f t="shared" si="1"/>
        <v>20</v>
      </c>
      <c r="H11" s="208" t="s">
        <v>1384</v>
      </c>
      <c r="I11" s="208"/>
      <c r="J11" s="214"/>
      <c r="K11" s="632" t="s">
        <v>1626</v>
      </c>
      <c r="L11" s="633"/>
      <c r="M11" s="634"/>
    </row>
    <row r="12" spans="1:16" ht="12" customHeight="1">
      <c r="A12" s="42">
        <f t="shared" si="0"/>
        <v>6</v>
      </c>
      <c r="B12" s="216" t="s">
        <v>1632</v>
      </c>
      <c r="C12" s="217" t="s">
        <v>923</v>
      </c>
      <c r="D12" s="218" t="s">
        <v>533</v>
      </c>
      <c r="E12" s="212">
        <v>20</v>
      </c>
      <c r="F12" s="213"/>
      <c r="G12" s="20">
        <f t="shared" si="1"/>
        <v>20</v>
      </c>
      <c r="H12" s="208" t="s">
        <v>574</v>
      </c>
      <c r="I12" s="208"/>
      <c r="J12" s="214"/>
      <c r="K12" s="632" t="s">
        <v>1631</v>
      </c>
      <c r="L12" s="633"/>
      <c r="M12" s="634"/>
    </row>
    <row r="13" spans="1:16" ht="12" customHeight="1">
      <c r="A13" s="42">
        <f t="shared" si="0"/>
        <v>7</v>
      </c>
      <c r="B13" s="216" t="s">
        <v>924</v>
      </c>
      <c r="C13" s="217" t="s">
        <v>925</v>
      </c>
      <c r="D13" s="218" t="s">
        <v>533</v>
      </c>
      <c r="E13" s="212">
        <v>2</v>
      </c>
      <c r="F13" s="213"/>
      <c r="G13" s="20">
        <f t="shared" si="1"/>
        <v>2</v>
      </c>
      <c r="H13" s="208" t="s">
        <v>574</v>
      </c>
      <c r="I13" s="208"/>
      <c r="J13" s="214"/>
      <c r="K13" s="632" t="s">
        <v>1635</v>
      </c>
      <c r="L13" s="633"/>
      <c r="M13" s="634"/>
    </row>
    <row r="14" spans="1:16" ht="65.099999999999994" customHeight="1">
      <c r="A14" s="42">
        <f t="shared" si="0"/>
        <v>8</v>
      </c>
      <c r="B14" s="209" t="s">
        <v>768</v>
      </c>
      <c r="C14" s="210" t="s">
        <v>926</v>
      </c>
      <c r="D14" s="211" t="s">
        <v>533</v>
      </c>
      <c r="E14" s="212">
        <v>12</v>
      </c>
      <c r="F14" s="213"/>
      <c r="G14" s="20">
        <f t="shared" si="1"/>
        <v>12</v>
      </c>
      <c r="H14" s="208" t="s">
        <v>1432</v>
      </c>
      <c r="I14" s="208"/>
      <c r="J14" s="214"/>
      <c r="K14" s="714" t="s">
        <v>942</v>
      </c>
      <c r="L14" s="715"/>
      <c r="M14" s="716"/>
    </row>
    <row r="15" spans="1:16" ht="50.1" customHeight="1">
      <c r="A15" s="42">
        <f t="shared" si="0"/>
        <v>9</v>
      </c>
      <c r="B15" s="66" t="s">
        <v>673</v>
      </c>
      <c r="C15" s="210" t="s">
        <v>927</v>
      </c>
      <c r="D15" s="211" t="s">
        <v>533</v>
      </c>
      <c r="E15" s="212">
        <v>12</v>
      </c>
      <c r="F15" s="213"/>
      <c r="G15" s="20">
        <f t="shared" si="1"/>
        <v>12</v>
      </c>
      <c r="H15" s="208" t="s">
        <v>1432</v>
      </c>
      <c r="I15" s="208"/>
      <c r="J15" s="214"/>
      <c r="K15" s="714" t="s">
        <v>1653</v>
      </c>
      <c r="L15" s="741"/>
      <c r="M15" s="742"/>
    </row>
    <row r="16" spans="1:16" ht="13.5" customHeight="1">
      <c r="A16" s="42">
        <f t="shared" si="0"/>
        <v>10</v>
      </c>
      <c r="B16" s="209" t="s">
        <v>674</v>
      </c>
      <c r="C16" s="210" t="s">
        <v>928</v>
      </c>
      <c r="D16" s="211" t="s">
        <v>533</v>
      </c>
      <c r="E16" s="212">
        <v>12</v>
      </c>
      <c r="F16" s="213"/>
      <c r="G16" s="20">
        <f t="shared" si="1"/>
        <v>12</v>
      </c>
      <c r="H16" s="208" t="s">
        <v>1432</v>
      </c>
      <c r="I16" s="208"/>
      <c r="J16" s="214"/>
      <c r="K16" s="743" t="s">
        <v>945</v>
      </c>
      <c r="L16" s="744"/>
      <c r="M16" s="745"/>
    </row>
    <row r="17" spans="1:16">
      <c r="A17" s="42">
        <f t="shared" si="0"/>
        <v>11</v>
      </c>
      <c r="B17" s="216" t="s">
        <v>943</v>
      </c>
      <c r="C17" s="217" t="s">
        <v>889</v>
      </c>
      <c r="D17" s="218" t="s">
        <v>533</v>
      </c>
      <c r="E17" s="212">
        <v>12</v>
      </c>
      <c r="F17" s="213"/>
      <c r="G17" s="20">
        <f t="shared" si="1"/>
        <v>12</v>
      </c>
      <c r="H17" s="208" t="s">
        <v>1432</v>
      </c>
      <c r="I17" s="208"/>
      <c r="J17" s="214"/>
      <c r="K17" s="743" t="s">
        <v>945</v>
      </c>
      <c r="L17" s="744"/>
      <c r="M17" s="745"/>
      <c r="P17" s="198" t="s">
        <v>575</v>
      </c>
    </row>
    <row r="18" spans="1:16">
      <c r="A18" s="42">
        <f t="shared" si="0"/>
        <v>12</v>
      </c>
      <c r="B18" s="216" t="s">
        <v>944</v>
      </c>
      <c r="C18" s="217" t="s">
        <v>890</v>
      </c>
      <c r="D18" s="218" t="s">
        <v>533</v>
      </c>
      <c r="E18" s="212">
        <v>12</v>
      </c>
      <c r="F18" s="213"/>
      <c r="G18" s="20">
        <f t="shared" si="1"/>
        <v>12</v>
      </c>
      <c r="H18" s="208" t="s">
        <v>891</v>
      </c>
      <c r="I18" s="208"/>
      <c r="J18" s="214"/>
      <c r="K18" s="743" t="s">
        <v>945</v>
      </c>
      <c r="L18" s="744"/>
      <c r="M18" s="745"/>
      <c r="P18" s="198" t="s">
        <v>892</v>
      </c>
    </row>
    <row r="19" spans="1:16" s="16" customFormat="1" ht="12" customHeight="1">
      <c r="A19" s="42">
        <f t="shared" si="0"/>
        <v>13</v>
      </c>
      <c r="B19" s="64" t="s">
        <v>229</v>
      </c>
      <c r="C19" s="24" t="s">
        <v>816</v>
      </c>
      <c r="D19" s="65" t="s">
        <v>55</v>
      </c>
      <c r="E19" s="51" t="s">
        <v>65</v>
      </c>
      <c r="F19" s="58"/>
      <c r="G19" s="20">
        <f t="shared" si="1"/>
        <v>2</v>
      </c>
      <c r="H19" s="53" t="s">
        <v>574</v>
      </c>
      <c r="I19" s="42"/>
      <c r="J19" s="59"/>
      <c r="K19" s="743" t="s">
        <v>945</v>
      </c>
      <c r="L19" s="744"/>
      <c r="M19" s="745"/>
    </row>
    <row r="20" spans="1:16" s="16" customFormat="1" ht="12" customHeight="1">
      <c r="A20" s="42">
        <f t="shared" si="0"/>
        <v>14</v>
      </c>
      <c r="B20" s="64" t="s">
        <v>146</v>
      </c>
      <c r="C20" s="24" t="s">
        <v>147</v>
      </c>
      <c r="D20" s="72" t="s">
        <v>533</v>
      </c>
      <c r="E20" s="51">
        <v>16</v>
      </c>
      <c r="F20" s="58"/>
      <c r="G20" s="20">
        <f t="shared" si="1"/>
        <v>16</v>
      </c>
      <c r="H20" s="53" t="s">
        <v>583</v>
      </c>
      <c r="I20" s="53"/>
      <c r="J20" s="59"/>
      <c r="K20" s="743" t="s">
        <v>945</v>
      </c>
      <c r="L20" s="744"/>
      <c r="M20" s="745"/>
    </row>
    <row r="21" spans="1:16">
      <c r="A21" s="42">
        <f t="shared" si="0"/>
        <v>15</v>
      </c>
      <c r="B21" s="66" t="s">
        <v>1045</v>
      </c>
      <c r="C21" s="210" t="s">
        <v>1057</v>
      </c>
      <c r="D21" s="211" t="s">
        <v>929</v>
      </c>
      <c r="E21" s="212">
        <v>12</v>
      </c>
      <c r="F21" s="213"/>
      <c r="G21" s="20">
        <f t="shared" si="1"/>
        <v>12</v>
      </c>
      <c r="H21" s="208" t="s">
        <v>583</v>
      </c>
      <c r="I21" s="208"/>
      <c r="J21" s="214"/>
      <c r="K21" s="724" t="s">
        <v>1053</v>
      </c>
      <c r="L21" s="715"/>
      <c r="M21" s="716"/>
    </row>
    <row r="22" spans="1:16">
      <c r="A22" s="42">
        <f t="shared" si="0"/>
        <v>16</v>
      </c>
      <c r="B22" s="209" t="s">
        <v>1046</v>
      </c>
      <c r="C22" s="210" t="s">
        <v>1058</v>
      </c>
      <c r="D22" s="211" t="s">
        <v>929</v>
      </c>
      <c r="E22" s="221">
        <v>12</v>
      </c>
      <c r="F22" s="222"/>
      <c r="G22" s="20">
        <f t="shared" si="1"/>
        <v>12</v>
      </c>
      <c r="H22" s="208" t="s">
        <v>583</v>
      </c>
      <c r="I22" s="223"/>
      <c r="J22" s="224"/>
      <c r="K22" s="738" t="s">
        <v>1054</v>
      </c>
      <c r="L22" s="739"/>
      <c r="M22" s="740"/>
    </row>
    <row r="23" spans="1:16">
      <c r="A23" s="42">
        <f t="shared" si="0"/>
        <v>17</v>
      </c>
      <c r="B23" s="66" t="s">
        <v>1047</v>
      </c>
      <c r="C23" s="210" t="s">
        <v>1059</v>
      </c>
      <c r="D23" s="211" t="s">
        <v>929</v>
      </c>
      <c r="E23" s="212">
        <v>12</v>
      </c>
      <c r="F23" s="213"/>
      <c r="G23" s="20">
        <f>IF(D23="DATE",4,IF(D23="CHAR",E23,IF(D23="SMALLINT",2,IF(D23="INTEGER",4,IF(D23="TIMESTAMP",10,IF(D23="TIME",3,0))))))</f>
        <v>12</v>
      </c>
      <c r="H23" s="208" t="s">
        <v>583</v>
      </c>
      <c r="I23" s="208"/>
      <c r="J23" s="214"/>
      <c r="K23" s="724" t="s">
        <v>1658</v>
      </c>
      <c r="L23" s="715"/>
      <c r="M23" s="716"/>
    </row>
    <row r="24" spans="1:16">
      <c r="A24" s="42">
        <f t="shared" si="0"/>
        <v>18</v>
      </c>
      <c r="B24" s="209" t="s">
        <v>1048</v>
      </c>
      <c r="C24" s="210" t="s">
        <v>1060</v>
      </c>
      <c r="D24" s="211" t="s">
        <v>929</v>
      </c>
      <c r="E24" s="221">
        <v>12</v>
      </c>
      <c r="F24" s="222"/>
      <c r="G24" s="20">
        <f>IF(D24="DATE",4,IF(D24="CHAR",E24,IF(D24="SMALLINT",2,IF(D24="INTEGER",4,IF(D24="TIMESTAMP",10,IF(D24="TIME",3,0))))))</f>
        <v>12</v>
      </c>
      <c r="H24" s="208" t="s">
        <v>583</v>
      </c>
      <c r="I24" s="223"/>
      <c r="J24" s="224"/>
      <c r="K24" s="738" t="s">
        <v>930</v>
      </c>
      <c r="L24" s="739"/>
      <c r="M24" s="740"/>
    </row>
    <row r="25" spans="1:16" s="219" customFormat="1">
      <c r="A25" s="42">
        <f t="shared" si="0"/>
        <v>19</v>
      </c>
      <c r="B25" s="209" t="s">
        <v>1049</v>
      </c>
      <c r="C25" s="210" t="s">
        <v>1061</v>
      </c>
      <c r="D25" s="225" t="s">
        <v>533</v>
      </c>
      <c r="E25" s="221">
        <v>12</v>
      </c>
      <c r="F25" s="222"/>
      <c r="G25" s="20">
        <f t="shared" si="1"/>
        <v>12</v>
      </c>
      <c r="H25" s="208" t="s">
        <v>583</v>
      </c>
      <c r="I25" s="223"/>
      <c r="J25" s="224"/>
      <c r="K25" s="738" t="s">
        <v>1055</v>
      </c>
      <c r="L25" s="739"/>
      <c r="M25" s="740"/>
    </row>
    <row r="26" spans="1:16" s="219" customFormat="1">
      <c r="A26" s="42">
        <f t="shared" si="0"/>
        <v>20</v>
      </c>
      <c r="B26" s="209" t="s">
        <v>1050</v>
      </c>
      <c r="C26" s="210" t="s">
        <v>1062</v>
      </c>
      <c r="D26" s="225" t="s">
        <v>533</v>
      </c>
      <c r="E26" s="221">
        <v>12</v>
      </c>
      <c r="F26" s="222"/>
      <c r="G26" s="20">
        <f t="shared" si="1"/>
        <v>12</v>
      </c>
      <c r="H26" s="208" t="s">
        <v>583</v>
      </c>
      <c r="I26" s="223"/>
      <c r="J26" s="224"/>
      <c r="K26" s="738" t="s">
        <v>1056</v>
      </c>
      <c r="L26" s="739"/>
      <c r="M26" s="740"/>
    </row>
    <row r="27" spans="1:16" s="219" customFormat="1">
      <c r="A27" s="42">
        <f t="shared" si="0"/>
        <v>21</v>
      </c>
      <c r="B27" s="209" t="s">
        <v>1051</v>
      </c>
      <c r="C27" s="210" t="s">
        <v>1063</v>
      </c>
      <c r="D27" s="225" t="s">
        <v>533</v>
      </c>
      <c r="E27" s="221">
        <v>12</v>
      </c>
      <c r="F27" s="222"/>
      <c r="G27" s="20">
        <f>IF(D27="DATE",4,IF(D27="CHAR",E27,IF(D27="SMALLINT",2,IF(D27="INTEGER",4,IF(D27="TIMESTAMP",10,IF(D27="TIME",3,0))))))</f>
        <v>12</v>
      </c>
      <c r="H27" s="208" t="s">
        <v>583</v>
      </c>
      <c r="I27" s="223"/>
      <c r="J27" s="224"/>
      <c r="K27" s="738" t="s">
        <v>931</v>
      </c>
      <c r="L27" s="739"/>
      <c r="M27" s="740"/>
    </row>
    <row r="28" spans="1:16" s="219" customFormat="1">
      <c r="A28" s="42">
        <f t="shared" si="0"/>
        <v>22</v>
      </c>
      <c r="B28" s="209" t="s">
        <v>1052</v>
      </c>
      <c r="C28" s="210" t="s">
        <v>1064</v>
      </c>
      <c r="D28" s="225" t="s">
        <v>533</v>
      </c>
      <c r="E28" s="221">
        <v>12</v>
      </c>
      <c r="F28" s="222"/>
      <c r="G28" s="20">
        <f t="shared" ref="G28:G35" si="2">IF(D28="DATE",4,IF(D28="CHAR",E28,IF(D28="SMALLINT",2,IF(D28="INTEGER",4,IF(D28="TIMESTAMP",10,IF(D28="TIME",3,0))))))</f>
        <v>12</v>
      </c>
      <c r="H28" s="208" t="s">
        <v>583</v>
      </c>
      <c r="I28" s="223"/>
      <c r="J28" s="224"/>
      <c r="K28" s="738" t="s">
        <v>932</v>
      </c>
      <c r="L28" s="739"/>
      <c r="M28" s="740"/>
    </row>
    <row r="29" spans="1:16" s="219" customFormat="1">
      <c r="A29" s="42">
        <f t="shared" si="0"/>
        <v>23</v>
      </c>
      <c r="B29" s="209" t="s">
        <v>1069</v>
      </c>
      <c r="C29" s="210" t="s">
        <v>1070</v>
      </c>
      <c r="D29" s="225" t="s">
        <v>684</v>
      </c>
      <c r="E29" s="221"/>
      <c r="F29" s="222"/>
      <c r="G29" s="20">
        <f t="shared" si="2"/>
        <v>4</v>
      </c>
      <c r="H29" s="208" t="s">
        <v>583</v>
      </c>
      <c r="I29" s="223"/>
      <c r="J29" s="224"/>
      <c r="K29" s="738"/>
      <c r="L29" s="739"/>
      <c r="M29" s="740"/>
    </row>
    <row r="30" spans="1:16" s="219" customFormat="1">
      <c r="A30" s="42">
        <f t="shared" si="0"/>
        <v>24</v>
      </c>
      <c r="B30" s="209" t="s">
        <v>1065</v>
      </c>
      <c r="C30" s="210" t="s">
        <v>1071</v>
      </c>
      <c r="D30" s="225" t="s">
        <v>533</v>
      </c>
      <c r="E30" s="221">
        <v>12</v>
      </c>
      <c r="F30" s="222"/>
      <c r="G30" s="20">
        <f>IF(D30="DATE",4,IF(D30="CHAR",E30,IF(D30="SMALLINT",2,IF(D30="INTEGER",4,IF(D30="TIMESTAMP",10,IF(D30="TIME",3,0))))))</f>
        <v>12</v>
      </c>
      <c r="H30" s="208" t="s">
        <v>583</v>
      </c>
      <c r="I30" s="223"/>
      <c r="J30" s="224"/>
      <c r="K30" s="738"/>
      <c r="L30" s="739"/>
      <c r="M30" s="740"/>
    </row>
    <row r="31" spans="1:16" s="219" customFormat="1">
      <c r="A31" s="42">
        <f t="shared" si="0"/>
        <v>25</v>
      </c>
      <c r="B31" s="209" t="s">
        <v>1066</v>
      </c>
      <c r="C31" s="210" t="s">
        <v>1072</v>
      </c>
      <c r="D31" s="225" t="s">
        <v>533</v>
      </c>
      <c r="E31" s="221">
        <v>12</v>
      </c>
      <c r="F31" s="222"/>
      <c r="G31" s="20">
        <f t="shared" si="2"/>
        <v>12</v>
      </c>
      <c r="H31" s="208" t="s">
        <v>583</v>
      </c>
      <c r="I31" s="223"/>
      <c r="J31" s="224"/>
      <c r="K31" s="738"/>
      <c r="L31" s="739"/>
      <c r="M31" s="740"/>
    </row>
    <row r="32" spans="1:16" s="219" customFormat="1">
      <c r="A32" s="42">
        <f t="shared" si="0"/>
        <v>26</v>
      </c>
      <c r="B32" s="209" t="s">
        <v>1067</v>
      </c>
      <c r="C32" s="210" t="s">
        <v>1073</v>
      </c>
      <c r="D32" s="225" t="s">
        <v>533</v>
      </c>
      <c r="E32" s="221">
        <v>12</v>
      </c>
      <c r="F32" s="222"/>
      <c r="G32" s="20">
        <f t="shared" si="2"/>
        <v>12</v>
      </c>
      <c r="H32" s="208" t="s">
        <v>583</v>
      </c>
      <c r="I32" s="223"/>
      <c r="J32" s="224"/>
      <c r="K32" s="738"/>
      <c r="L32" s="739"/>
      <c r="M32" s="740"/>
    </row>
    <row r="33" spans="1:13" s="219" customFormat="1">
      <c r="A33" s="42">
        <f t="shared" si="0"/>
        <v>27</v>
      </c>
      <c r="B33" s="209" t="s">
        <v>1068</v>
      </c>
      <c r="C33" s="210" t="s">
        <v>1074</v>
      </c>
      <c r="D33" s="225" t="s">
        <v>533</v>
      </c>
      <c r="E33" s="221">
        <v>12</v>
      </c>
      <c r="F33" s="222"/>
      <c r="G33" s="20">
        <f t="shared" si="2"/>
        <v>12</v>
      </c>
      <c r="H33" s="208" t="s">
        <v>583</v>
      </c>
      <c r="I33" s="223"/>
      <c r="J33" s="224"/>
      <c r="K33" s="738"/>
      <c r="L33" s="739"/>
      <c r="M33" s="740"/>
    </row>
    <row r="34" spans="1:13" s="219" customFormat="1">
      <c r="A34" s="42">
        <f t="shared" si="0"/>
        <v>28</v>
      </c>
      <c r="B34" s="209" t="s">
        <v>1075</v>
      </c>
      <c r="C34" s="210" t="s">
        <v>1078</v>
      </c>
      <c r="D34" s="225" t="s">
        <v>506</v>
      </c>
      <c r="E34" s="221">
        <v>12</v>
      </c>
      <c r="F34" s="222"/>
      <c r="G34" s="20">
        <f>IF(D34="DATE",4,IF(D34="CHAR",E34,IF(D34="SMALLINT",2,IF(D34="INTEGER",4,IF(D34="TIMESTAMP",10,IF(D34="TIME",3,0))))))</f>
        <v>12</v>
      </c>
      <c r="H34" s="208" t="s">
        <v>583</v>
      </c>
      <c r="I34" s="223"/>
      <c r="J34" s="224"/>
      <c r="K34" s="738"/>
      <c r="L34" s="739"/>
      <c r="M34" s="740"/>
    </row>
    <row r="35" spans="1:13" s="219" customFormat="1">
      <c r="A35" s="42">
        <f t="shared" si="0"/>
        <v>29</v>
      </c>
      <c r="B35" s="209" t="s">
        <v>1076</v>
      </c>
      <c r="C35" s="210" t="s">
        <v>1079</v>
      </c>
      <c r="D35" s="225" t="s">
        <v>506</v>
      </c>
      <c r="E35" s="221">
        <v>12</v>
      </c>
      <c r="F35" s="222"/>
      <c r="G35" s="20">
        <f t="shared" si="2"/>
        <v>12</v>
      </c>
      <c r="H35" s="208" t="s">
        <v>583</v>
      </c>
      <c r="I35" s="223"/>
      <c r="J35" s="224"/>
      <c r="K35" s="738"/>
      <c r="L35" s="739"/>
      <c r="M35" s="740"/>
    </row>
    <row r="36" spans="1:13" s="219" customFormat="1">
      <c r="A36" s="42">
        <f t="shared" si="0"/>
        <v>30</v>
      </c>
      <c r="B36" s="209" t="s">
        <v>1077</v>
      </c>
      <c r="C36" s="210" t="s">
        <v>1080</v>
      </c>
      <c r="D36" s="225" t="s">
        <v>394</v>
      </c>
      <c r="E36" s="221"/>
      <c r="F36" s="222"/>
      <c r="G36" s="20">
        <f>IF(D36="DATE",4,IF(D36="CHAR",E36,IF(D36="SMALLINT",2,IF(D36="INTEGER",4,IF(D36="TIMESTAMP",10,IF(D36="TIME",3,0))))))</f>
        <v>2</v>
      </c>
      <c r="H36" s="208" t="s">
        <v>583</v>
      </c>
      <c r="I36" s="223"/>
      <c r="J36" s="224"/>
      <c r="K36" s="738"/>
      <c r="L36" s="739"/>
      <c r="M36" s="740"/>
    </row>
    <row r="37" spans="1:13" s="219" customFormat="1">
      <c r="A37" s="42">
        <f t="shared" si="0"/>
        <v>31</v>
      </c>
      <c r="B37" s="209" t="s">
        <v>905</v>
      </c>
      <c r="C37" s="210" t="s">
        <v>906</v>
      </c>
      <c r="D37" s="225" t="s">
        <v>907</v>
      </c>
      <c r="E37" s="221"/>
      <c r="F37" s="222"/>
      <c r="G37" s="20">
        <f t="shared" si="1"/>
        <v>4</v>
      </c>
      <c r="H37" s="208" t="s">
        <v>583</v>
      </c>
      <c r="I37" s="223"/>
      <c r="J37" s="224"/>
      <c r="K37" s="746" t="s">
        <v>1627</v>
      </c>
      <c r="L37" s="747"/>
      <c r="M37" s="748"/>
    </row>
    <row r="38" spans="1:13" s="219" customFormat="1">
      <c r="A38" s="42">
        <f t="shared" si="0"/>
        <v>32</v>
      </c>
      <c r="B38" s="209" t="s">
        <v>487</v>
      </c>
      <c r="C38" s="210" t="s">
        <v>946</v>
      </c>
      <c r="D38" s="225" t="s">
        <v>63</v>
      </c>
      <c r="E38" s="221" t="s">
        <v>65</v>
      </c>
      <c r="F38" s="222"/>
      <c r="G38" s="20">
        <f t="shared" si="1"/>
        <v>4</v>
      </c>
      <c r="H38" s="208" t="s">
        <v>910</v>
      </c>
      <c r="I38" s="223"/>
      <c r="J38" s="224"/>
      <c r="K38" s="738" t="s">
        <v>1627</v>
      </c>
      <c r="L38" s="739"/>
      <c r="M38" s="740"/>
    </row>
    <row r="39" spans="1:13" s="219" customFormat="1">
      <c r="A39" s="42">
        <f t="shared" si="0"/>
        <v>33</v>
      </c>
      <c r="B39" s="209" t="s">
        <v>1628</v>
      </c>
      <c r="C39" s="210" t="s">
        <v>933</v>
      </c>
      <c r="D39" s="225" t="s">
        <v>984</v>
      </c>
      <c r="E39" s="221">
        <v>12</v>
      </c>
      <c r="F39" s="222"/>
      <c r="G39" s="20">
        <f t="shared" si="1"/>
        <v>12</v>
      </c>
      <c r="H39" s="208" t="s">
        <v>1440</v>
      </c>
      <c r="I39" s="223"/>
      <c r="J39" s="224"/>
      <c r="K39" s="738" t="s">
        <v>1629</v>
      </c>
      <c r="L39" s="739"/>
      <c r="M39" s="740"/>
    </row>
    <row r="40" spans="1:13" ht="12" customHeight="1">
      <c r="A40" s="42">
        <f t="shared" si="0"/>
        <v>34</v>
      </c>
      <c r="B40" s="209" t="s">
        <v>769</v>
      </c>
      <c r="C40" s="210" t="s">
        <v>947</v>
      </c>
      <c r="D40" s="211" t="s">
        <v>934</v>
      </c>
      <c r="E40" s="212"/>
      <c r="F40" s="213"/>
      <c r="G40" s="20">
        <f t="shared" si="1"/>
        <v>2</v>
      </c>
      <c r="H40" s="208" t="s">
        <v>1440</v>
      </c>
      <c r="I40" s="208"/>
      <c r="J40" s="214"/>
      <c r="K40" s="714" t="s">
        <v>770</v>
      </c>
      <c r="L40" s="741"/>
      <c r="M40" s="742"/>
    </row>
    <row r="41" spans="1:13" s="22" customFormat="1">
      <c r="A41" s="42">
        <f t="shared" si="0"/>
        <v>35</v>
      </c>
      <c r="B41" s="64" t="s">
        <v>26</v>
      </c>
      <c r="C41" s="24" t="s">
        <v>935</v>
      </c>
      <c r="D41" s="65" t="s">
        <v>936</v>
      </c>
      <c r="E41" s="51">
        <v>10</v>
      </c>
      <c r="F41" s="58"/>
      <c r="G41" s="20">
        <f t="shared" si="1"/>
        <v>4</v>
      </c>
      <c r="H41" s="208" t="s">
        <v>1440</v>
      </c>
      <c r="I41" s="208" t="s">
        <v>1440</v>
      </c>
      <c r="J41" s="165"/>
      <c r="K41" s="632" t="s">
        <v>1409</v>
      </c>
      <c r="L41" s="633"/>
      <c r="M41" s="634"/>
    </row>
    <row r="42" spans="1:13" s="22" customFormat="1">
      <c r="A42" s="42">
        <f t="shared" si="0"/>
        <v>36</v>
      </c>
      <c r="B42" s="64" t="s">
        <v>27</v>
      </c>
      <c r="C42" s="24" t="s">
        <v>937</v>
      </c>
      <c r="D42" s="65" t="s">
        <v>936</v>
      </c>
      <c r="E42" s="51">
        <v>10</v>
      </c>
      <c r="F42" s="58"/>
      <c r="G42" s="20">
        <f t="shared" si="1"/>
        <v>4</v>
      </c>
      <c r="H42" s="208" t="s">
        <v>1440</v>
      </c>
      <c r="I42" s="53"/>
      <c r="J42" s="165"/>
      <c r="K42" s="632" t="s">
        <v>1410</v>
      </c>
      <c r="L42" s="633"/>
      <c r="M42" s="634"/>
    </row>
    <row r="43" spans="1:13" s="16" customFormat="1" ht="12" customHeight="1">
      <c r="A43" s="42">
        <f t="shared" si="0"/>
        <v>37</v>
      </c>
      <c r="B43" s="64" t="s">
        <v>1083</v>
      </c>
      <c r="C43" s="24" t="s">
        <v>1111</v>
      </c>
      <c r="D43" s="72" t="s">
        <v>1431</v>
      </c>
      <c r="E43" s="51">
        <v>8</v>
      </c>
      <c r="F43" s="58"/>
      <c r="G43" s="20">
        <f t="shared" si="1"/>
        <v>8</v>
      </c>
      <c r="H43" s="53" t="s">
        <v>1432</v>
      </c>
      <c r="I43" s="53"/>
      <c r="J43" s="59"/>
      <c r="K43" s="609" t="s">
        <v>1112</v>
      </c>
      <c r="L43" s="610"/>
      <c r="M43" s="611"/>
    </row>
    <row r="44" spans="1:13" s="22" customFormat="1">
      <c r="A44" s="42">
        <f t="shared" si="0"/>
        <v>38</v>
      </c>
      <c r="B44" s="93" t="s">
        <v>1724</v>
      </c>
      <c r="C44" s="26" t="s">
        <v>938</v>
      </c>
      <c r="D44" s="94" t="s">
        <v>939</v>
      </c>
      <c r="E44" s="95"/>
      <c r="F44" s="90"/>
      <c r="G44" s="20">
        <f t="shared" si="1"/>
        <v>10</v>
      </c>
      <c r="H44" s="91" t="s">
        <v>1440</v>
      </c>
      <c r="I44" s="89"/>
      <c r="J44" s="92"/>
      <c r="K44" s="602"/>
      <c r="L44" s="603"/>
      <c r="M44" s="604"/>
    </row>
    <row r="45" spans="1:13" s="219" customFormat="1">
      <c r="A45" s="223" t="str">
        <f>IF(B45=""," ",#REF!+1)</f>
        <v xml:space="preserve"> </v>
      </c>
      <c r="B45" s="227"/>
      <c r="C45" s="215"/>
      <c r="D45" s="211"/>
      <c r="E45" s="212"/>
      <c r="F45" s="213"/>
      <c r="G45" s="228"/>
      <c r="H45" s="208"/>
      <c r="I45" s="208"/>
      <c r="J45" s="214"/>
      <c r="K45" s="714"/>
      <c r="L45" s="741"/>
      <c r="M45" s="742"/>
    </row>
    <row r="46" spans="1:13" s="219" customFormat="1">
      <c r="A46" s="223" t="str">
        <f>IF(B46=""," ",A45+1)</f>
        <v xml:space="preserve"> </v>
      </c>
      <c r="B46" s="66"/>
      <c r="C46" s="229"/>
      <c r="D46" s="225"/>
      <c r="E46" s="221"/>
      <c r="F46" s="222"/>
      <c r="G46" s="230"/>
      <c r="H46" s="223"/>
      <c r="I46" s="223"/>
      <c r="J46" s="224"/>
      <c r="K46" s="738"/>
      <c r="L46" s="739"/>
      <c r="M46" s="740"/>
    </row>
    <row r="47" spans="1:13">
      <c r="A47" s="89" t="str">
        <f t="shared" ref="A47:A58" si="3">IF(B47=""," ",A46+1)</f>
        <v xml:space="preserve"> </v>
      </c>
      <c r="B47" s="66"/>
      <c r="C47" s="31"/>
      <c r="D47" s="97"/>
      <c r="E47" s="98"/>
      <c r="F47" s="99"/>
      <c r="G47" s="21"/>
      <c r="H47" s="89"/>
      <c r="I47" s="89"/>
      <c r="J47" s="92"/>
      <c r="K47" s="31"/>
      <c r="L47" s="32"/>
      <c r="M47" s="33"/>
    </row>
    <row r="48" spans="1:13">
      <c r="A48" s="89" t="str">
        <f>IF(B48=""," ",#REF!+1)</f>
        <v xml:space="preserve"> </v>
      </c>
      <c r="B48" s="96"/>
      <c r="C48" s="31"/>
      <c r="D48" s="97"/>
      <c r="E48" s="98"/>
      <c r="F48" s="99"/>
      <c r="G48" s="21"/>
      <c r="H48" s="89"/>
      <c r="I48" s="89"/>
      <c r="J48" s="92"/>
      <c r="K48" s="31"/>
      <c r="L48" s="32"/>
      <c r="M48" s="33"/>
    </row>
    <row r="49" spans="1:13">
      <c r="A49" s="89" t="str">
        <f>IF(B49=""," ",#REF!+1)</f>
        <v xml:space="preserve"> </v>
      </c>
      <c r="B49" s="96"/>
      <c r="C49" s="31"/>
      <c r="D49" s="97"/>
      <c r="E49" s="98"/>
      <c r="F49" s="99"/>
      <c r="G49" s="21"/>
      <c r="H49" s="89"/>
      <c r="I49" s="89"/>
      <c r="J49" s="92"/>
      <c r="K49" s="31"/>
      <c r="L49" s="32"/>
      <c r="M49" s="33"/>
    </row>
    <row r="50" spans="1:13">
      <c r="A50" s="89" t="str">
        <f t="shared" si="3"/>
        <v xml:space="preserve"> </v>
      </c>
      <c r="B50" s="96"/>
      <c r="C50" s="31"/>
      <c r="D50" s="97"/>
      <c r="E50" s="98"/>
      <c r="F50" s="99"/>
      <c r="G50" s="21"/>
      <c r="H50" s="89"/>
      <c r="I50" s="89"/>
      <c r="J50" s="92"/>
      <c r="K50" s="31"/>
      <c r="L50" s="32"/>
      <c r="M50" s="33"/>
    </row>
    <row r="51" spans="1:13">
      <c r="A51" s="89" t="str">
        <f t="shared" si="3"/>
        <v xml:space="preserve"> </v>
      </c>
      <c r="B51" s="96"/>
      <c r="C51" s="31"/>
      <c r="D51" s="97"/>
      <c r="E51" s="98"/>
      <c r="F51" s="99"/>
      <c r="G51" s="21"/>
      <c r="H51" s="89"/>
      <c r="I51" s="89"/>
      <c r="J51" s="92"/>
      <c r="K51" s="31"/>
      <c r="L51" s="32"/>
      <c r="M51" s="33"/>
    </row>
    <row r="52" spans="1:13">
      <c r="A52" s="89" t="str">
        <f t="shared" si="3"/>
        <v xml:space="preserve"> </v>
      </c>
      <c r="B52" s="96"/>
      <c r="C52" s="31"/>
      <c r="D52" s="97"/>
      <c r="E52" s="98"/>
      <c r="F52" s="99"/>
      <c r="G52" s="21"/>
      <c r="H52" s="89"/>
      <c r="I52" s="89"/>
      <c r="J52" s="92"/>
      <c r="K52" s="31"/>
      <c r="L52" s="32"/>
      <c r="M52" s="33"/>
    </row>
    <row r="53" spans="1:13">
      <c r="A53" s="89" t="str">
        <f>IF(B53=""," ",A52+1)</f>
        <v xml:space="preserve"> </v>
      </c>
      <c r="B53" s="96"/>
      <c r="C53" s="31"/>
      <c r="D53" s="97"/>
      <c r="E53" s="98"/>
      <c r="F53" s="99"/>
      <c r="G53" s="21"/>
      <c r="H53" s="89"/>
      <c r="I53" s="89"/>
      <c r="J53" s="92"/>
      <c r="K53" s="31"/>
      <c r="L53" s="32"/>
      <c r="M53" s="33"/>
    </row>
    <row r="54" spans="1:13">
      <c r="A54" s="89" t="str">
        <f t="shared" si="3"/>
        <v xml:space="preserve"> </v>
      </c>
      <c r="B54" s="96"/>
      <c r="C54" s="31"/>
      <c r="D54" s="97"/>
      <c r="E54" s="98"/>
      <c r="F54" s="99"/>
      <c r="G54" s="21"/>
      <c r="H54" s="89"/>
      <c r="I54" s="89"/>
      <c r="J54" s="92"/>
      <c r="K54" s="31"/>
      <c r="L54" s="32"/>
      <c r="M54" s="33"/>
    </row>
    <row r="55" spans="1:13">
      <c r="A55" s="89" t="str">
        <f t="shared" si="3"/>
        <v xml:space="preserve"> </v>
      </c>
      <c r="B55" s="96"/>
      <c r="C55" s="31"/>
      <c r="D55" s="97"/>
      <c r="E55" s="98"/>
      <c r="F55" s="99"/>
      <c r="G55" s="21"/>
      <c r="H55" s="89"/>
      <c r="I55" s="89"/>
      <c r="J55" s="92"/>
      <c r="K55" s="31"/>
      <c r="L55" s="32"/>
      <c r="M55" s="33"/>
    </row>
    <row r="56" spans="1:13">
      <c r="A56" s="89" t="str">
        <f t="shared" si="3"/>
        <v xml:space="preserve"> </v>
      </c>
      <c r="B56" s="96"/>
      <c r="C56" s="31"/>
      <c r="D56" s="97"/>
      <c r="E56" s="98"/>
      <c r="F56" s="99"/>
      <c r="G56" s="21"/>
      <c r="H56" s="89"/>
      <c r="I56" s="89"/>
      <c r="J56" s="92"/>
      <c r="K56" s="31"/>
      <c r="L56" s="32"/>
      <c r="M56" s="33"/>
    </row>
    <row r="57" spans="1:13">
      <c r="A57" s="89" t="str">
        <f t="shared" si="3"/>
        <v xml:space="preserve"> </v>
      </c>
      <c r="B57" s="96"/>
      <c r="C57" s="31"/>
      <c r="D57" s="97"/>
      <c r="E57" s="98"/>
      <c r="F57" s="99"/>
      <c r="G57" s="21"/>
      <c r="H57" s="89"/>
      <c r="I57" s="89"/>
      <c r="J57" s="92"/>
      <c r="K57" s="31"/>
      <c r="L57" s="32"/>
      <c r="M57" s="33"/>
    </row>
    <row r="58" spans="1:13">
      <c r="A58" s="89" t="str">
        <f t="shared" si="3"/>
        <v xml:space="preserve"> </v>
      </c>
      <c r="B58" s="96"/>
      <c r="C58" s="31"/>
      <c r="D58" s="97"/>
      <c r="E58" s="98"/>
      <c r="F58" s="99"/>
      <c r="G58" s="21"/>
      <c r="H58" s="89"/>
      <c r="I58" s="89"/>
      <c r="J58" s="92"/>
      <c r="K58" s="31"/>
      <c r="L58" s="32"/>
      <c r="M58" s="33"/>
    </row>
    <row r="59" spans="1:13">
      <c r="A59" s="42" t="str">
        <f>IF(B59=""," ",A58+1)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09" spans="1:13">
      <c r="C109" s="198" t="s">
        <v>1720</v>
      </c>
      <c r="D109" s="198" t="s">
        <v>1721</v>
      </c>
    </row>
    <row r="110" spans="1:13">
      <c r="C110" s="198" t="s">
        <v>1720</v>
      </c>
      <c r="D110" s="198" t="s">
        <v>1722</v>
      </c>
    </row>
    <row r="111" spans="1:13">
      <c r="C111" s="198" t="s">
        <v>1720</v>
      </c>
      <c r="D111" s="198" t="s">
        <v>1723</v>
      </c>
    </row>
    <row r="113" spans="1:4">
      <c r="B113" s="231" t="s">
        <v>800</v>
      </c>
      <c r="C113" s="198" t="s">
        <v>1693</v>
      </c>
      <c r="D113" s="198" t="s">
        <v>680</v>
      </c>
    </row>
    <row r="114" spans="1:4">
      <c r="C114" s="198" t="s">
        <v>1720</v>
      </c>
      <c r="D114" s="198" t="s">
        <v>1630</v>
      </c>
    </row>
    <row r="115" spans="1:4">
      <c r="C115" s="198" t="s">
        <v>1720</v>
      </c>
      <c r="D115" s="198" t="s">
        <v>940</v>
      </c>
    </row>
    <row r="117" spans="1:4">
      <c r="B117" s="198" t="s">
        <v>948</v>
      </c>
      <c r="C117" s="198" t="s">
        <v>1655</v>
      </c>
      <c r="D117" s="198" t="s">
        <v>1656</v>
      </c>
    </row>
    <row r="118" spans="1:4">
      <c r="C118" s="198" t="s">
        <v>541</v>
      </c>
      <c r="D118" s="198" t="s">
        <v>1657</v>
      </c>
    </row>
    <row r="119" spans="1:4">
      <c r="C119" s="198" t="s">
        <v>1721</v>
      </c>
      <c r="D119" s="198" t="s">
        <v>1657</v>
      </c>
    </row>
    <row r="120" spans="1:4">
      <c r="C120" s="198" t="s">
        <v>1722</v>
      </c>
      <c r="D120" s="198" t="s">
        <v>1657</v>
      </c>
    </row>
    <row r="121" spans="1:4" ht="12" customHeight="1">
      <c r="A121" s="198"/>
    </row>
    <row r="122" spans="1:4" s="16" customFormat="1">
      <c r="A122" s="46"/>
      <c r="B122" s="75" t="s">
        <v>1463</v>
      </c>
      <c r="C122" s="16" t="s">
        <v>1411</v>
      </c>
    </row>
    <row r="123" spans="1:4" ht="12" customHeight="1">
      <c r="A123" s="198"/>
    </row>
    <row r="124" spans="1:4" ht="12" customHeight="1">
      <c r="A124" s="198"/>
    </row>
  </sheetData>
  <mergeCells count="76">
    <mergeCell ref="K35:M35"/>
    <mergeCell ref="K34:M34"/>
    <mergeCell ref="K31:M31"/>
    <mergeCell ref="K30:M30"/>
    <mergeCell ref="K29:M29"/>
    <mergeCell ref="K32:M32"/>
    <mergeCell ref="K33:M33"/>
    <mergeCell ref="K99:M99"/>
    <mergeCell ref="K100:M100"/>
    <mergeCell ref="K91:M91"/>
    <mergeCell ref="K92:M92"/>
    <mergeCell ref="K95:M95"/>
    <mergeCell ref="K96:M96"/>
    <mergeCell ref="K83:M83"/>
    <mergeCell ref="K84:M84"/>
    <mergeCell ref="K87:M87"/>
    <mergeCell ref="K88:M88"/>
    <mergeCell ref="K75:M75"/>
    <mergeCell ref="K76:M76"/>
    <mergeCell ref="K79:M79"/>
    <mergeCell ref="K80:M80"/>
    <mergeCell ref="K67:M67"/>
    <mergeCell ref="K68:M68"/>
    <mergeCell ref="K71:M71"/>
    <mergeCell ref="K72:M72"/>
    <mergeCell ref="K59:M59"/>
    <mergeCell ref="K60:M60"/>
    <mergeCell ref="K63:M63"/>
    <mergeCell ref="K64:M64"/>
    <mergeCell ref="A2:B2"/>
    <mergeCell ref="A3:B3"/>
    <mergeCell ref="A4:B4"/>
    <mergeCell ref="H2:J2"/>
    <mergeCell ref="C2:G2"/>
    <mergeCell ref="C3:G3"/>
    <mergeCell ref="C4:G4"/>
    <mergeCell ref="H4:I4"/>
    <mergeCell ref="H3:I3"/>
    <mergeCell ref="A5:A6"/>
    <mergeCell ref="B5:C5"/>
    <mergeCell ref="K7:M7"/>
    <mergeCell ref="K11:M11"/>
    <mergeCell ref="K5:M6"/>
    <mergeCell ref="I5:J5"/>
    <mergeCell ref="D5:H5"/>
    <mergeCell ref="K8:M8"/>
    <mergeCell ref="K9:M9"/>
    <mergeCell ref="K10:M10"/>
    <mergeCell ref="K12:M12"/>
    <mergeCell ref="K15:M15"/>
    <mergeCell ref="K13:M13"/>
    <mergeCell ref="K26:M26"/>
    <mergeCell ref="K22:M22"/>
    <mergeCell ref="K25:M25"/>
    <mergeCell ref="K19:M19"/>
    <mergeCell ref="K20:M20"/>
    <mergeCell ref="K17:M17"/>
    <mergeCell ref="K21:M21"/>
    <mergeCell ref="K23:M23"/>
    <mergeCell ref="K24:M24"/>
    <mergeCell ref="K46:M46"/>
    <mergeCell ref="K14:M14"/>
    <mergeCell ref="K45:M45"/>
    <mergeCell ref="K42:M42"/>
    <mergeCell ref="K41:M41"/>
    <mergeCell ref="K16:M16"/>
    <mergeCell ref="K38:M38"/>
    <mergeCell ref="K18:M18"/>
    <mergeCell ref="K40:M40"/>
    <mergeCell ref="K44:M44"/>
    <mergeCell ref="K37:M37"/>
    <mergeCell ref="K39:M39"/>
    <mergeCell ref="K43:M43"/>
    <mergeCell ref="K27:M27"/>
    <mergeCell ref="K36:M36"/>
    <mergeCell ref="K28:M28"/>
  </mergeCells>
  <phoneticPr fontId="6"/>
  <pageMargins left="0.78740157480314965" right="0.19685039370078741" top="0.59055118110236227" bottom="0.59055118110236227" header="0.51181102362204722" footer="0.39370078740157483"/>
  <pageSetup paperSize="9" scale="72" fitToHeight="0" orientation="portrait" r:id="rId1"/>
  <headerFooter alignWithMargins="0">
    <oddFooter>&amp;C&amp;10&amp;P/&amp;N&amp;R&amp;10&amp;A</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pageSetUpPr fitToPage="1"/>
  </sheetPr>
  <dimension ref="A1:P108"/>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196" customWidth="1"/>
    <col min="2" max="2" width="28.625" style="198" customWidth="1"/>
    <col min="3" max="3" width="13.375" style="198" customWidth="1"/>
    <col min="4" max="4" width="10.125" style="198" customWidth="1"/>
    <col min="5" max="5" width="4.875" style="198" bestFit="1" customWidth="1"/>
    <col min="6" max="6" width="4.75" style="198" bestFit="1" customWidth="1"/>
    <col min="7" max="7" width="6.125" style="198" bestFit="1" customWidth="1"/>
    <col min="8" max="8" width="4.75" style="198" bestFit="1" customWidth="1"/>
    <col min="9" max="9" width="4.75" style="198" customWidth="1"/>
    <col min="10" max="11" width="9.625" style="198" customWidth="1"/>
    <col min="12" max="13" width="10.25" style="198" customWidth="1"/>
    <col min="14" max="14" width="9" style="198"/>
    <col min="15" max="16" width="9" style="198" hidden="1" customWidth="1"/>
    <col min="17" max="16384" width="9" style="198"/>
  </cols>
  <sheetData>
    <row r="1" spans="1:16">
      <c r="B1" s="197"/>
    </row>
    <row r="2" spans="1:16">
      <c r="A2" s="701" t="s">
        <v>602</v>
      </c>
      <c r="B2" s="702"/>
      <c r="C2" s="701" t="s">
        <v>36</v>
      </c>
      <c r="D2" s="707"/>
      <c r="E2" s="707"/>
      <c r="F2" s="707"/>
      <c r="G2" s="702"/>
      <c r="H2" s="701"/>
      <c r="I2" s="707"/>
      <c r="J2" s="702"/>
      <c r="K2" s="200"/>
      <c r="L2" s="201" t="s">
        <v>37</v>
      </c>
      <c r="M2" s="201" t="s">
        <v>38</v>
      </c>
    </row>
    <row r="3" spans="1:16">
      <c r="A3" s="703"/>
      <c r="B3" s="704"/>
      <c r="C3" s="708" t="s">
        <v>960</v>
      </c>
      <c r="D3" s="709"/>
      <c r="E3" s="709"/>
      <c r="F3" s="709"/>
      <c r="G3" s="710"/>
      <c r="H3" s="701" t="s">
        <v>39</v>
      </c>
      <c r="I3" s="702"/>
      <c r="J3" s="202">
        <f>COUNT(A7:A100)</f>
        <v>12</v>
      </c>
      <c r="K3" s="201" t="s">
        <v>40</v>
      </c>
      <c r="L3" s="203">
        <v>38751</v>
      </c>
      <c r="M3" s="41" t="s">
        <v>675</v>
      </c>
      <c r="O3" s="198" t="s">
        <v>41</v>
      </c>
      <c r="P3" s="198" t="s">
        <v>42</v>
      </c>
    </row>
    <row r="4" spans="1:16">
      <c r="A4" s="705" t="s">
        <v>43</v>
      </c>
      <c r="B4" s="706"/>
      <c r="C4" s="705" t="s">
        <v>959</v>
      </c>
      <c r="D4" s="711"/>
      <c r="E4" s="711"/>
      <c r="F4" s="711"/>
      <c r="G4" s="706"/>
      <c r="H4" s="701" t="s">
        <v>44</v>
      </c>
      <c r="I4" s="702"/>
      <c r="J4" s="202">
        <f>SUM(G7:G100)</f>
        <v>69</v>
      </c>
      <c r="K4" s="201" t="s">
        <v>45</v>
      </c>
      <c r="L4" s="84">
        <v>38762</v>
      </c>
      <c r="M4" s="89" t="s">
        <v>1407</v>
      </c>
      <c r="O4" s="198" t="s">
        <v>1358</v>
      </c>
      <c r="P4" s="198" t="s">
        <v>1359</v>
      </c>
    </row>
    <row r="5" spans="1:16">
      <c r="A5" s="712" t="s">
        <v>1360</v>
      </c>
      <c r="B5" s="701" t="s">
        <v>46</v>
      </c>
      <c r="C5" s="707"/>
      <c r="D5" s="723" t="s">
        <v>47</v>
      </c>
      <c r="E5" s="707"/>
      <c r="F5" s="707"/>
      <c r="G5" s="707"/>
      <c r="H5" s="707"/>
      <c r="I5" s="701" t="s">
        <v>604</v>
      </c>
      <c r="J5" s="702"/>
      <c r="K5" s="717" t="s">
        <v>48</v>
      </c>
      <c r="L5" s="718"/>
      <c r="M5" s="719"/>
      <c r="P5" s="198" t="s">
        <v>605</v>
      </c>
    </row>
    <row r="6" spans="1:16">
      <c r="A6" s="713"/>
      <c r="B6" s="201" t="s">
        <v>49</v>
      </c>
      <c r="C6" s="204" t="s">
        <v>50</v>
      </c>
      <c r="D6" s="205" t="s">
        <v>42</v>
      </c>
      <c r="E6" s="206" t="s">
        <v>51</v>
      </c>
      <c r="F6" s="207" t="s">
        <v>52</v>
      </c>
      <c r="G6" s="201" t="s">
        <v>606</v>
      </c>
      <c r="H6" s="199" t="s">
        <v>53</v>
      </c>
      <c r="I6" s="199" t="s">
        <v>607</v>
      </c>
      <c r="J6" s="199" t="s">
        <v>608</v>
      </c>
      <c r="K6" s="720"/>
      <c r="L6" s="721"/>
      <c r="M6" s="722"/>
      <c r="P6" s="198" t="s">
        <v>609</v>
      </c>
    </row>
    <row r="7" spans="1:16">
      <c r="A7" s="208">
        <v>1</v>
      </c>
      <c r="B7" s="209" t="s">
        <v>766</v>
      </c>
      <c r="C7" s="210" t="s">
        <v>880</v>
      </c>
      <c r="D7" s="211" t="s">
        <v>1434</v>
      </c>
      <c r="E7" s="212">
        <v>4</v>
      </c>
      <c r="F7" s="213"/>
      <c r="G7" s="21">
        <f t="shared" ref="G7:G17" si="0">IF(D7="DATE",4,IF(D7="CHAR",E7,IF(D7="SMALLINT",2,IF(D7="INTEGER",4,IF(D7="TIMESTAMP",10,IF(D7="TIME",3,0))))))</f>
        <v>4</v>
      </c>
      <c r="H7" s="208" t="s">
        <v>1435</v>
      </c>
      <c r="I7" s="208" t="s">
        <v>1435</v>
      </c>
      <c r="J7" s="214"/>
      <c r="K7" s="714"/>
      <c r="L7" s="715"/>
      <c r="M7" s="716"/>
      <c r="P7" s="219" t="s">
        <v>920</v>
      </c>
    </row>
    <row r="8" spans="1:16" ht="12.75" customHeight="1">
      <c r="A8" s="42">
        <f t="shared" ref="A8:A18" si="1">IF(B8=""," ",A7+1)</f>
        <v>2</v>
      </c>
      <c r="B8" s="216" t="s">
        <v>671</v>
      </c>
      <c r="C8" s="217" t="s">
        <v>921</v>
      </c>
      <c r="D8" s="218" t="s">
        <v>524</v>
      </c>
      <c r="E8" s="212">
        <v>20</v>
      </c>
      <c r="F8" s="213"/>
      <c r="G8" s="21">
        <f t="shared" si="0"/>
        <v>20</v>
      </c>
      <c r="H8" s="208" t="s">
        <v>574</v>
      </c>
      <c r="I8" s="208" t="s">
        <v>1363</v>
      </c>
      <c r="J8" s="214"/>
      <c r="K8" s="725" t="s">
        <v>1624</v>
      </c>
      <c r="L8" s="726"/>
      <c r="M8" s="727"/>
    </row>
    <row r="9" spans="1:16">
      <c r="A9" s="42">
        <f t="shared" si="1"/>
        <v>3</v>
      </c>
      <c r="B9" s="216" t="s">
        <v>1646</v>
      </c>
      <c r="C9" s="217" t="s">
        <v>961</v>
      </c>
      <c r="D9" s="218" t="s">
        <v>533</v>
      </c>
      <c r="E9" s="212">
        <v>10</v>
      </c>
      <c r="F9" s="213"/>
      <c r="G9" s="21">
        <f t="shared" si="0"/>
        <v>10</v>
      </c>
      <c r="H9" s="208" t="s">
        <v>581</v>
      </c>
      <c r="I9" s="208"/>
      <c r="J9" s="214"/>
      <c r="K9" s="694" t="s">
        <v>1651</v>
      </c>
      <c r="L9" s="664"/>
      <c r="M9" s="665"/>
    </row>
    <row r="10" spans="1:16">
      <c r="A10" s="42">
        <f t="shared" si="1"/>
        <v>4</v>
      </c>
      <c r="B10" s="216" t="s">
        <v>1647</v>
      </c>
      <c r="C10" s="217" t="s">
        <v>962</v>
      </c>
      <c r="D10" s="218" t="s">
        <v>219</v>
      </c>
      <c r="E10" s="212"/>
      <c r="F10" s="213"/>
      <c r="G10" s="21">
        <f t="shared" si="0"/>
        <v>2</v>
      </c>
      <c r="H10" s="208" t="s">
        <v>581</v>
      </c>
      <c r="I10" s="208"/>
      <c r="J10" s="214"/>
      <c r="K10" s="694" t="s">
        <v>1652</v>
      </c>
      <c r="L10" s="664"/>
      <c r="M10" s="665"/>
    </row>
    <row r="11" spans="1:16" s="113" customFormat="1" ht="61.5" customHeight="1">
      <c r="A11" s="42">
        <f t="shared" si="1"/>
        <v>5</v>
      </c>
      <c r="B11" s="48" t="s">
        <v>957</v>
      </c>
      <c r="C11" s="49" t="s">
        <v>963</v>
      </c>
      <c r="D11" s="78" t="s">
        <v>523</v>
      </c>
      <c r="E11" s="127">
        <v>1</v>
      </c>
      <c r="F11" s="123"/>
      <c r="G11" s="21">
        <f t="shared" si="0"/>
        <v>1</v>
      </c>
      <c r="H11" s="208" t="s">
        <v>581</v>
      </c>
      <c r="I11" s="41"/>
      <c r="J11" s="226"/>
      <c r="K11" s="599" t="s">
        <v>1634</v>
      </c>
      <c r="L11" s="600"/>
      <c r="M11" s="601"/>
    </row>
    <row r="12" spans="1:16" s="113" customFormat="1" ht="24.75" customHeight="1">
      <c r="A12" s="42">
        <f t="shared" si="1"/>
        <v>6</v>
      </c>
      <c r="B12" s="48" t="s">
        <v>541</v>
      </c>
      <c r="C12" s="49" t="s">
        <v>964</v>
      </c>
      <c r="D12" s="78" t="s">
        <v>958</v>
      </c>
      <c r="E12" s="127"/>
      <c r="F12" s="123"/>
      <c r="G12" s="21">
        <f t="shared" si="0"/>
        <v>2</v>
      </c>
      <c r="H12" s="208" t="s">
        <v>581</v>
      </c>
      <c r="I12" s="41"/>
      <c r="J12" s="226"/>
      <c r="K12" s="599" t="s">
        <v>1633</v>
      </c>
      <c r="L12" s="600"/>
      <c r="M12" s="601"/>
    </row>
    <row r="13" spans="1:16" s="113" customFormat="1" ht="25.5" customHeight="1">
      <c r="A13" s="42">
        <f t="shared" si="1"/>
        <v>7</v>
      </c>
      <c r="B13" s="48" t="s">
        <v>771</v>
      </c>
      <c r="C13" s="49" t="s">
        <v>965</v>
      </c>
      <c r="D13" s="78" t="s">
        <v>517</v>
      </c>
      <c r="E13" s="127"/>
      <c r="F13" s="123"/>
      <c r="G13" s="21">
        <f t="shared" si="0"/>
        <v>2</v>
      </c>
      <c r="H13" s="208" t="s">
        <v>1400</v>
      </c>
      <c r="I13" s="41"/>
      <c r="J13" s="226"/>
      <c r="K13" s="599" t="s">
        <v>1633</v>
      </c>
      <c r="L13" s="600"/>
      <c r="M13" s="601"/>
    </row>
    <row r="14" spans="1:16" s="113" customFormat="1" ht="24.75" customHeight="1">
      <c r="A14" s="42">
        <f t="shared" si="1"/>
        <v>8</v>
      </c>
      <c r="B14" s="48" t="s">
        <v>772</v>
      </c>
      <c r="C14" s="49" t="s">
        <v>966</v>
      </c>
      <c r="D14" s="78" t="s">
        <v>517</v>
      </c>
      <c r="E14" s="127"/>
      <c r="F14" s="123"/>
      <c r="G14" s="21">
        <f t="shared" si="0"/>
        <v>2</v>
      </c>
      <c r="H14" s="208" t="s">
        <v>1400</v>
      </c>
      <c r="I14" s="41"/>
      <c r="J14" s="226"/>
      <c r="K14" s="599" t="s">
        <v>1633</v>
      </c>
      <c r="L14" s="600"/>
      <c r="M14" s="601"/>
    </row>
    <row r="15" spans="1:16" s="22" customFormat="1">
      <c r="A15" s="42">
        <f t="shared" si="1"/>
        <v>9</v>
      </c>
      <c r="B15" s="93" t="s">
        <v>26</v>
      </c>
      <c r="C15" s="26" t="s">
        <v>1399</v>
      </c>
      <c r="D15" s="94" t="s">
        <v>519</v>
      </c>
      <c r="E15" s="95"/>
      <c r="F15" s="90"/>
      <c r="G15" s="21">
        <f t="shared" si="0"/>
        <v>4</v>
      </c>
      <c r="H15" s="208" t="s">
        <v>1400</v>
      </c>
      <c r="I15" s="208" t="s">
        <v>1400</v>
      </c>
      <c r="J15" s="170"/>
      <c r="K15" s="694" t="s">
        <v>1409</v>
      </c>
      <c r="L15" s="664"/>
      <c r="M15" s="665"/>
    </row>
    <row r="16" spans="1:16" s="22" customFormat="1" ht="12.75" customHeight="1">
      <c r="A16" s="42">
        <f t="shared" si="1"/>
        <v>10</v>
      </c>
      <c r="B16" s="93" t="s">
        <v>27</v>
      </c>
      <c r="C16" s="26" t="s">
        <v>864</v>
      </c>
      <c r="D16" s="94" t="s">
        <v>519</v>
      </c>
      <c r="E16" s="95"/>
      <c r="F16" s="90"/>
      <c r="G16" s="21">
        <f t="shared" si="0"/>
        <v>4</v>
      </c>
      <c r="H16" s="208" t="s">
        <v>1400</v>
      </c>
      <c r="I16" s="91"/>
      <c r="J16" s="170"/>
      <c r="K16" s="694" t="s">
        <v>1410</v>
      </c>
      <c r="L16" s="664"/>
      <c r="M16" s="665"/>
    </row>
    <row r="17" spans="1:13" s="16" customFormat="1" ht="12" customHeight="1">
      <c r="A17" s="42">
        <f>IF(B17=""," ",A16+1)</f>
        <v>11</v>
      </c>
      <c r="B17" s="64" t="s">
        <v>1083</v>
      </c>
      <c r="C17" s="24" t="s">
        <v>1111</v>
      </c>
      <c r="D17" s="72" t="s">
        <v>1431</v>
      </c>
      <c r="E17" s="51">
        <v>8</v>
      </c>
      <c r="F17" s="58"/>
      <c r="G17" s="20">
        <f t="shared" si="0"/>
        <v>8</v>
      </c>
      <c r="H17" s="53" t="s">
        <v>1432</v>
      </c>
      <c r="I17" s="53"/>
      <c r="J17" s="59"/>
      <c r="K17" s="609" t="s">
        <v>1112</v>
      </c>
      <c r="L17" s="610"/>
      <c r="M17" s="611"/>
    </row>
    <row r="18" spans="1:13" s="22" customFormat="1">
      <c r="A18" s="42">
        <f t="shared" si="1"/>
        <v>12</v>
      </c>
      <c r="B18" s="93" t="s">
        <v>1724</v>
      </c>
      <c r="C18" s="26" t="s">
        <v>865</v>
      </c>
      <c r="D18" s="94" t="s">
        <v>866</v>
      </c>
      <c r="E18" s="95"/>
      <c r="F18" s="90"/>
      <c r="G18" s="21">
        <f>IF(D18="DATE",4,IF(D18="CHAR",E18,IF(D18="SMALLINT",2,IF(D18="INTEGER",4,IF(D18="TIMESTAMP",10,IF(D18="TIME",3,0))))))</f>
        <v>10</v>
      </c>
      <c r="H18" s="91" t="s">
        <v>1400</v>
      </c>
      <c r="I18" s="89"/>
      <c r="J18" s="92"/>
      <c r="K18" s="602"/>
      <c r="L18" s="603"/>
      <c r="M18" s="604"/>
    </row>
    <row r="19" spans="1:13" s="219" customFormat="1">
      <c r="A19" s="223" t="str">
        <f>IF(B19=""," ",#REF!+1)</f>
        <v xml:space="preserve"> </v>
      </c>
      <c r="B19" s="227"/>
      <c r="C19" s="215"/>
      <c r="D19" s="211"/>
      <c r="E19" s="212"/>
      <c r="F19" s="213"/>
      <c r="G19" s="228"/>
      <c r="H19" s="208"/>
      <c r="I19" s="208"/>
      <c r="J19" s="214"/>
      <c r="K19" s="714"/>
      <c r="L19" s="741"/>
      <c r="M19" s="742"/>
    </row>
    <row r="20" spans="1:13" s="219" customFormat="1">
      <c r="A20" s="223" t="str">
        <f>IF(B20=""," ",A19+1)</f>
        <v xml:space="preserve"> </v>
      </c>
      <c r="B20" s="66"/>
      <c r="C20" s="229"/>
      <c r="D20" s="225"/>
      <c r="E20" s="221"/>
      <c r="F20" s="222"/>
      <c r="G20" s="230"/>
      <c r="H20" s="223"/>
      <c r="I20" s="223"/>
      <c r="J20" s="224"/>
      <c r="K20" s="738"/>
      <c r="L20" s="739"/>
      <c r="M20" s="740"/>
    </row>
    <row r="21" spans="1:13">
      <c r="A21" s="89" t="str">
        <f>IF(B21=""," ",A20+1)</f>
        <v xml:space="preserve"> </v>
      </c>
      <c r="B21" s="66"/>
      <c r="C21" s="31"/>
      <c r="D21" s="97"/>
      <c r="E21" s="98"/>
      <c r="F21" s="99"/>
      <c r="G21" s="21"/>
      <c r="H21" s="89"/>
      <c r="I21" s="89"/>
      <c r="J21" s="92"/>
      <c r="K21" s="31"/>
      <c r="L21" s="32"/>
      <c r="M21" s="33"/>
    </row>
    <row r="22" spans="1:13">
      <c r="A22" s="89" t="str">
        <f>IF(B22=""," ",#REF!+1)</f>
        <v xml:space="preserve"> </v>
      </c>
      <c r="B22" s="96"/>
      <c r="C22" s="31"/>
      <c r="D22" s="97"/>
      <c r="E22" s="98"/>
      <c r="F22" s="99"/>
      <c r="G22" s="21"/>
      <c r="H22" s="89"/>
      <c r="I22" s="89"/>
      <c r="J22" s="92"/>
      <c r="K22" s="31"/>
      <c r="L22" s="32"/>
      <c r="M22" s="33"/>
    </row>
    <row r="23" spans="1:13">
      <c r="A23" s="89" t="str">
        <f>IF(B23=""," ",#REF!+1)</f>
        <v xml:space="preserve"> </v>
      </c>
      <c r="B23" s="96"/>
      <c r="C23" s="31"/>
      <c r="D23" s="97"/>
      <c r="E23" s="98"/>
      <c r="F23" s="99"/>
      <c r="G23" s="21"/>
      <c r="H23" s="89"/>
      <c r="I23" s="89"/>
      <c r="J23" s="92"/>
      <c r="K23" s="31"/>
      <c r="L23" s="32"/>
      <c r="M23" s="33"/>
    </row>
    <row r="24" spans="1:13">
      <c r="A24" s="89" t="str">
        <f t="shared" ref="A24:A33" si="2">IF(B24=""," ",A23+1)</f>
        <v xml:space="preserve"> </v>
      </c>
      <c r="B24" s="96"/>
      <c r="C24" s="31"/>
      <c r="D24" s="97"/>
      <c r="E24" s="98"/>
      <c r="F24" s="99"/>
      <c r="G24" s="21"/>
      <c r="H24" s="89"/>
      <c r="I24" s="89"/>
      <c r="J24" s="92"/>
      <c r="K24" s="31"/>
      <c r="L24" s="32"/>
      <c r="M24" s="33"/>
    </row>
    <row r="25" spans="1:13">
      <c r="A25" s="89" t="str">
        <f t="shared" si="2"/>
        <v xml:space="preserve"> </v>
      </c>
      <c r="B25" s="96"/>
      <c r="C25" s="31"/>
      <c r="D25" s="97"/>
      <c r="E25" s="98"/>
      <c r="F25" s="99"/>
      <c r="G25" s="21"/>
      <c r="H25" s="89"/>
      <c r="I25" s="89"/>
      <c r="J25" s="92"/>
      <c r="K25" s="31"/>
      <c r="L25" s="32"/>
      <c r="M25" s="33"/>
    </row>
    <row r="26" spans="1:13">
      <c r="A26" s="89" t="str">
        <f t="shared" si="2"/>
        <v xml:space="preserve"> </v>
      </c>
      <c r="B26" s="96"/>
      <c r="C26" s="31"/>
      <c r="D26" s="97"/>
      <c r="E26" s="98"/>
      <c r="F26" s="99"/>
      <c r="G26" s="21"/>
      <c r="H26" s="89"/>
      <c r="I26" s="89"/>
      <c r="J26" s="92"/>
      <c r="K26" s="31"/>
      <c r="L26" s="32"/>
      <c r="M26" s="33"/>
    </row>
    <row r="27" spans="1:13">
      <c r="A27" s="89" t="str">
        <f t="shared" si="2"/>
        <v xml:space="preserve"> </v>
      </c>
      <c r="B27" s="96"/>
      <c r="C27" s="31"/>
      <c r="D27" s="97"/>
      <c r="E27" s="98"/>
      <c r="F27" s="99"/>
      <c r="G27" s="21"/>
      <c r="H27" s="89"/>
      <c r="I27" s="89"/>
      <c r="J27" s="92"/>
      <c r="K27" s="31"/>
      <c r="L27" s="32"/>
      <c r="M27" s="33"/>
    </row>
    <row r="28" spans="1:13">
      <c r="A28" s="89" t="str">
        <f t="shared" si="2"/>
        <v xml:space="preserve"> </v>
      </c>
      <c r="B28" s="96"/>
      <c r="C28" s="31"/>
      <c r="D28" s="97"/>
      <c r="E28" s="98"/>
      <c r="F28" s="99"/>
      <c r="G28" s="21"/>
      <c r="H28" s="89"/>
      <c r="I28" s="89"/>
      <c r="J28" s="92"/>
      <c r="K28" s="31"/>
      <c r="L28" s="32"/>
      <c r="M28" s="33"/>
    </row>
    <row r="29" spans="1:13">
      <c r="A29" s="89" t="str">
        <f t="shared" si="2"/>
        <v xml:space="preserve"> </v>
      </c>
      <c r="B29" s="96"/>
      <c r="C29" s="31"/>
      <c r="D29" s="97"/>
      <c r="E29" s="98"/>
      <c r="F29" s="99"/>
      <c r="G29" s="21"/>
      <c r="H29" s="89"/>
      <c r="I29" s="89"/>
      <c r="J29" s="92"/>
      <c r="K29" s="31"/>
      <c r="L29" s="32"/>
      <c r="M29" s="33"/>
    </row>
    <row r="30" spans="1:13">
      <c r="A30" s="89" t="str">
        <f t="shared" si="2"/>
        <v xml:space="preserve"> </v>
      </c>
      <c r="B30" s="96"/>
      <c r="C30" s="31"/>
      <c r="D30" s="97"/>
      <c r="E30" s="98"/>
      <c r="F30" s="99"/>
      <c r="G30" s="21"/>
      <c r="H30" s="89"/>
      <c r="I30" s="89"/>
      <c r="J30" s="92"/>
      <c r="K30" s="31"/>
      <c r="L30" s="32"/>
      <c r="M30" s="33"/>
    </row>
    <row r="31" spans="1:13">
      <c r="A31" s="89" t="str">
        <f t="shared" si="2"/>
        <v xml:space="preserve"> </v>
      </c>
      <c r="B31" s="96"/>
      <c r="C31" s="31"/>
      <c r="D31" s="97"/>
      <c r="E31" s="98"/>
      <c r="F31" s="99"/>
      <c r="G31" s="21"/>
      <c r="H31" s="89"/>
      <c r="I31" s="89"/>
      <c r="J31" s="92"/>
      <c r="K31" s="31"/>
      <c r="L31" s="32"/>
      <c r="M31" s="33"/>
    </row>
    <row r="32" spans="1:13">
      <c r="A32" s="89" t="str">
        <f t="shared" si="2"/>
        <v xml:space="preserve"> </v>
      </c>
      <c r="B32" s="96"/>
      <c r="C32" s="31"/>
      <c r="D32" s="97"/>
      <c r="E32" s="98"/>
      <c r="F32" s="99"/>
      <c r="G32" s="21"/>
      <c r="H32" s="89"/>
      <c r="I32" s="89"/>
      <c r="J32" s="92"/>
      <c r="K32" s="31"/>
      <c r="L32" s="32"/>
      <c r="M32" s="33"/>
    </row>
    <row r="33" spans="1:13">
      <c r="A33" s="89" t="str">
        <f t="shared" si="2"/>
        <v xml:space="preserve"> </v>
      </c>
      <c r="B33" s="96"/>
      <c r="C33" s="31"/>
      <c r="D33" s="97"/>
      <c r="E33" s="98"/>
      <c r="F33" s="99"/>
      <c r="G33" s="21"/>
      <c r="H33" s="89"/>
      <c r="I33" s="89"/>
      <c r="J33" s="92"/>
      <c r="K33" s="669"/>
      <c r="L33" s="603"/>
      <c r="M33" s="604"/>
    </row>
    <row r="34" spans="1:13">
      <c r="A34" s="89" t="str">
        <f>IF(B34=""," ",#REF!+1)</f>
        <v xml:space="preserve"> </v>
      </c>
      <c r="B34" s="96"/>
      <c r="C34" s="31"/>
      <c r="D34" s="97"/>
      <c r="E34" s="98"/>
      <c r="F34" s="99"/>
      <c r="G34" s="21"/>
      <c r="H34" s="89"/>
      <c r="I34" s="89"/>
      <c r="J34" s="92"/>
      <c r="K34" s="669"/>
      <c r="L34" s="603"/>
      <c r="M34" s="604"/>
    </row>
    <row r="35" spans="1:13">
      <c r="A35" s="89" t="str">
        <f>IF(B35=""," ",#REF!+1)</f>
        <v xml:space="preserve"> </v>
      </c>
      <c r="B35" s="96"/>
      <c r="C35" s="31"/>
      <c r="D35" s="97"/>
      <c r="E35" s="98"/>
      <c r="F35" s="99"/>
      <c r="G35" s="21"/>
      <c r="H35" s="89"/>
      <c r="I35" s="89"/>
      <c r="J35" s="92"/>
      <c r="K35" s="31"/>
      <c r="L35" s="32"/>
      <c r="M35" s="33"/>
    </row>
    <row r="36" spans="1:13">
      <c r="A36" s="89" t="str">
        <f>IF(B36=""," ",A35+1)</f>
        <v xml:space="preserve"> </v>
      </c>
      <c r="B36" s="96"/>
      <c r="C36" s="31"/>
      <c r="D36" s="97"/>
      <c r="E36" s="98"/>
      <c r="F36" s="99"/>
      <c r="G36" s="21"/>
      <c r="H36" s="89"/>
      <c r="I36" s="89"/>
      <c r="J36" s="92"/>
      <c r="K36" s="31"/>
      <c r="L36" s="32"/>
      <c r="M36" s="33"/>
    </row>
    <row r="37" spans="1:13">
      <c r="A37" s="89" t="str">
        <f>IF(B37=""," ",A36+1)</f>
        <v xml:space="preserve"> </v>
      </c>
      <c r="B37" s="96"/>
      <c r="C37" s="31"/>
      <c r="D37" s="97"/>
      <c r="E37" s="98"/>
      <c r="F37" s="99"/>
      <c r="G37" s="21"/>
      <c r="H37" s="89"/>
      <c r="I37" s="89"/>
      <c r="J37" s="92"/>
      <c r="K37" s="669"/>
      <c r="L37" s="603"/>
      <c r="M37" s="604"/>
    </row>
    <row r="38" spans="1:13">
      <c r="A38" s="89" t="str">
        <f>IF(B38=""," ",#REF!+1)</f>
        <v xml:space="preserve"> </v>
      </c>
      <c r="B38" s="96"/>
      <c r="C38" s="31"/>
      <c r="D38" s="97"/>
      <c r="E38" s="98"/>
      <c r="F38" s="99"/>
      <c r="G38" s="21"/>
      <c r="H38" s="89"/>
      <c r="I38" s="89"/>
      <c r="J38" s="92"/>
      <c r="K38" s="669"/>
      <c r="L38" s="603"/>
      <c r="M38" s="604"/>
    </row>
    <row r="39" spans="1:13">
      <c r="A39" s="89" t="str">
        <f>IF(B39=""," ",#REF!+1)</f>
        <v xml:space="preserve"> </v>
      </c>
      <c r="B39" s="96"/>
      <c r="C39" s="31"/>
      <c r="D39" s="97"/>
      <c r="E39" s="98"/>
      <c r="F39" s="99"/>
      <c r="G39" s="21"/>
      <c r="H39" s="89"/>
      <c r="I39" s="89"/>
      <c r="J39" s="92"/>
      <c r="K39" s="31"/>
      <c r="L39" s="32"/>
      <c r="M39" s="33"/>
    </row>
    <row r="40" spans="1:13">
      <c r="A40" s="89" t="str">
        <f>IF(B40=""," ",A39+1)</f>
        <v xml:space="preserve"> </v>
      </c>
      <c r="B40" s="96"/>
      <c r="C40" s="31"/>
      <c r="D40" s="97"/>
      <c r="E40" s="98"/>
      <c r="F40" s="99"/>
      <c r="G40" s="21"/>
      <c r="H40" s="89"/>
      <c r="I40" s="89"/>
      <c r="J40" s="92"/>
      <c r="K40" s="31"/>
      <c r="L40" s="32"/>
      <c r="M40" s="33"/>
    </row>
    <row r="41" spans="1:13">
      <c r="A41" s="89" t="str">
        <f>IF(B41=""," ",A40+1)</f>
        <v xml:space="preserve"> </v>
      </c>
      <c r="B41" s="96"/>
      <c r="C41" s="31"/>
      <c r="D41" s="97"/>
      <c r="E41" s="98"/>
      <c r="F41" s="99"/>
      <c r="G41" s="21"/>
      <c r="H41" s="89"/>
      <c r="I41" s="89"/>
      <c r="J41" s="92"/>
      <c r="K41" s="669"/>
      <c r="L41" s="603"/>
      <c r="M41" s="604"/>
    </row>
    <row r="42" spans="1:13">
      <c r="A42" s="89" t="str">
        <f>IF(B42=""," ",#REF!+1)</f>
        <v xml:space="preserve"> </v>
      </c>
      <c r="B42" s="96"/>
      <c r="C42" s="31"/>
      <c r="D42" s="97"/>
      <c r="E42" s="98"/>
      <c r="F42" s="99"/>
      <c r="G42" s="21"/>
      <c r="H42" s="89"/>
      <c r="I42" s="89"/>
      <c r="J42" s="92"/>
      <c r="K42" s="669"/>
      <c r="L42" s="603"/>
      <c r="M42" s="604"/>
    </row>
    <row r="43" spans="1:13">
      <c r="A43" s="89" t="str">
        <f>IF(B43=""," ",#REF!+1)</f>
        <v xml:space="preserve"> </v>
      </c>
      <c r="B43" s="96"/>
      <c r="C43" s="31"/>
      <c r="D43" s="97"/>
      <c r="E43" s="98"/>
      <c r="F43" s="99"/>
      <c r="G43" s="21"/>
      <c r="H43" s="89"/>
      <c r="I43" s="89"/>
      <c r="J43" s="92"/>
      <c r="K43" s="31"/>
      <c r="L43" s="32"/>
      <c r="M43" s="33"/>
    </row>
    <row r="44" spans="1:13">
      <c r="A44" s="89" t="str">
        <f>IF(B44=""," ",A43+1)</f>
        <v xml:space="preserve"> </v>
      </c>
      <c r="B44" s="96"/>
      <c r="C44" s="31"/>
      <c r="D44" s="97"/>
      <c r="E44" s="98"/>
      <c r="F44" s="99"/>
      <c r="G44" s="21"/>
      <c r="H44" s="89"/>
      <c r="I44" s="89"/>
      <c r="J44" s="92"/>
      <c r="K44" s="31"/>
      <c r="L44" s="32"/>
      <c r="M44" s="33"/>
    </row>
    <row r="45" spans="1:13">
      <c r="A45" s="89" t="str">
        <f>IF(B45=""," ",A44+1)</f>
        <v xml:space="preserve"> </v>
      </c>
      <c r="B45" s="96"/>
      <c r="C45" s="31"/>
      <c r="D45" s="97"/>
      <c r="E45" s="98"/>
      <c r="F45" s="99"/>
      <c r="G45" s="21"/>
      <c r="H45" s="89"/>
      <c r="I45" s="89"/>
      <c r="J45" s="92"/>
      <c r="K45" s="669"/>
      <c r="L45" s="603"/>
      <c r="M45" s="604"/>
    </row>
    <row r="46" spans="1:13">
      <c r="A46" s="89" t="str">
        <f>IF(B46=""," ",#REF!+1)</f>
        <v xml:space="preserve"> </v>
      </c>
      <c r="B46" s="96"/>
      <c r="C46" s="31"/>
      <c r="D46" s="97"/>
      <c r="E46" s="98"/>
      <c r="F46" s="99"/>
      <c r="G46" s="21"/>
      <c r="H46" s="89"/>
      <c r="I46" s="89"/>
      <c r="J46" s="92"/>
      <c r="K46" s="669"/>
      <c r="L46" s="603"/>
      <c r="M46" s="604"/>
    </row>
    <row r="47" spans="1:13">
      <c r="A47" s="89" t="str">
        <f>IF(B47=""," ",#REF!+1)</f>
        <v xml:space="preserve"> </v>
      </c>
      <c r="B47" s="96"/>
      <c r="C47" s="31"/>
      <c r="D47" s="97"/>
      <c r="E47" s="98"/>
      <c r="F47" s="99"/>
      <c r="G47" s="21"/>
      <c r="H47" s="89"/>
      <c r="I47" s="89"/>
      <c r="J47" s="92"/>
      <c r="K47" s="31"/>
      <c r="L47" s="32"/>
      <c r="M47" s="33"/>
    </row>
    <row r="48" spans="1:13">
      <c r="A48" s="89" t="str">
        <f>IF(B48=""," ",A47+1)</f>
        <v xml:space="preserve"> </v>
      </c>
      <c r="B48" s="96"/>
      <c r="C48" s="31"/>
      <c r="D48" s="97"/>
      <c r="E48" s="98"/>
      <c r="F48" s="99"/>
      <c r="G48" s="21"/>
      <c r="H48" s="89"/>
      <c r="I48" s="89"/>
      <c r="J48" s="92"/>
      <c r="K48" s="31"/>
      <c r="L48" s="32"/>
      <c r="M48" s="33"/>
    </row>
    <row r="49" spans="1:13">
      <c r="A49" s="89" t="str">
        <f>IF(B49=""," ",A48+1)</f>
        <v xml:space="preserve"> </v>
      </c>
      <c r="B49" s="96"/>
      <c r="C49" s="31"/>
      <c r="D49" s="97"/>
      <c r="E49" s="98"/>
      <c r="F49" s="99"/>
      <c r="G49" s="21"/>
      <c r="H49" s="89"/>
      <c r="I49" s="89"/>
      <c r="J49" s="92"/>
      <c r="K49" s="669"/>
      <c r="L49" s="603"/>
      <c r="M49" s="604"/>
    </row>
    <row r="50" spans="1:13">
      <c r="A50" s="89" t="str">
        <f>IF(B50=""," ",#REF!+1)</f>
        <v xml:space="preserve"> </v>
      </c>
      <c r="B50" s="96"/>
      <c r="C50" s="31"/>
      <c r="D50" s="97"/>
      <c r="E50" s="98"/>
      <c r="F50" s="99"/>
      <c r="G50" s="21"/>
      <c r="H50" s="89"/>
      <c r="I50" s="89"/>
      <c r="J50" s="92"/>
      <c r="K50" s="669"/>
      <c r="L50" s="603"/>
      <c r="M50" s="604"/>
    </row>
    <row r="51" spans="1:13">
      <c r="A51" s="89" t="str">
        <f>IF(B51=""," ",#REF!+1)</f>
        <v xml:space="preserve"> </v>
      </c>
      <c r="B51" s="96"/>
      <c r="C51" s="31"/>
      <c r="D51" s="97"/>
      <c r="E51" s="98"/>
      <c r="F51" s="99"/>
      <c r="G51" s="21"/>
      <c r="H51" s="89"/>
      <c r="I51" s="89"/>
      <c r="J51" s="92"/>
      <c r="K51" s="31"/>
      <c r="L51" s="32"/>
      <c r="M51" s="33"/>
    </row>
    <row r="52" spans="1:13">
      <c r="A52" s="89" t="str">
        <f>IF(B52=""," ",A51+1)</f>
        <v xml:space="preserve"> </v>
      </c>
      <c r="B52" s="96"/>
      <c r="C52" s="31"/>
      <c r="D52" s="97"/>
      <c r="E52" s="98"/>
      <c r="F52" s="99"/>
      <c r="G52" s="21"/>
      <c r="H52" s="89"/>
      <c r="I52" s="89"/>
      <c r="J52" s="92"/>
      <c r="K52" s="31"/>
      <c r="L52" s="32"/>
      <c r="M52" s="33"/>
    </row>
    <row r="53" spans="1:13">
      <c r="A53" s="89" t="str">
        <f>IF(B53=""," ",A52+1)</f>
        <v xml:space="preserve"> </v>
      </c>
      <c r="B53" s="96"/>
      <c r="C53" s="31"/>
      <c r="D53" s="97"/>
      <c r="E53" s="98"/>
      <c r="F53" s="99"/>
      <c r="G53" s="21"/>
      <c r="H53" s="89"/>
      <c r="I53" s="89"/>
      <c r="J53" s="92"/>
      <c r="K53" s="669"/>
      <c r="L53" s="603"/>
      <c r="M53" s="604"/>
    </row>
    <row r="54" spans="1:13">
      <c r="A54" s="89" t="str">
        <f>IF(B54=""," ",#REF!+1)</f>
        <v xml:space="preserve"> </v>
      </c>
      <c r="B54" s="96"/>
      <c r="C54" s="31"/>
      <c r="D54" s="97"/>
      <c r="E54" s="98"/>
      <c r="F54" s="99"/>
      <c r="G54" s="21"/>
      <c r="H54" s="89"/>
      <c r="I54" s="89"/>
      <c r="J54" s="92"/>
      <c r="K54" s="669"/>
      <c r="L54" s="603"/>
      <c r="M54" s="604"/>
    </row>
    <row r="55" spans="1:13">
      <c r="A55" s="89" t="str">
        <f>IF(B55=""," ",#REF!+1)</f>
        <v xml:space="preserve"> </v>
      </c>
      <c r="B55" s="96"/>
      <c r="C55" s="31"/>
      <c r="D55" s="97"/>
      <c r="E55" s="98"/>
      <c r="F55" s="99"/>
      <c r="G55" s="21"/>
      <c r="H55" s="89"/>
      <c r="I55" s="89"/>
      <c r="J55" s="92"/>
      <c r="K55" s="31"/>
      <c r="L55" s="32"/>
      <c r="M55" s="33"/>
    </row>
    <row r="56" spans="1:13">
      <c r="A56" s="89" t="str">
        <f>IF(B56=""," ",A55+1)</f>
        <v xml:space="preserve"> </v>
      </c>
      <c r="B56" s="96"/>
      <c r="C56" s="31"/>
      <c r="D56" s="97"/>
      <c r="E56" s="98"/>
      <c r="F56" s="99"/>
      <c r="G56" s="21"/>
      <c r="H56" s="89"/>
      <c r="I56" s="89"/>
      <c r="J56" s="92"/>
      <c r="K56" s="31"/>
      <c r="L56" s="32"/>
      <c r="M56" s="33"/>
    </row>
    <row r="57" spans="1:13">
      <c r="A57" s="89" t="str">
        <f>IF(B57=""," ",A56+1)</f>
        <v xml:space="preserve"> </v>
      </c>
      <c r="B57" s="96"/>
      <c r="C57" s="31"/>
      <c r="D57" s="97"/>
      <c r="E57" s="98"/>
      <c r="F57" s="99"/>
      <c r="G57" s="21"/>
      <c r="H57" s="89"/>
      <c r="I57" s="89"/>
      <c r="J57" s="92"/>
      <c r="K57" s="669"/>
      <c r="L57" s="603"/>
      <c r="M57" s="604"/>
    </row>
    <row r="58" spans="1:13">
      <c r="A58" s="89" t="str">
        <f>IF(B58=""," ",#REF!+1)</f>
        <v xml:space="preserve"> </v>
      </c>
      <c r="B58" s="96"/>
      <c r="C58" s="31"/>
      <c r="D58" s="97"/>
      <c r="E58" s="98"/>
      <c r="F58" s="99"/>
      <c r="G58" s="21"/>
      <c r="H58" s="89"/>
      <c r="I58" s="89"/>
      <c r="J58" s="92"/>
      <c r="K58" s="669"/>
      <c r="L58" s="603"/>
      <c r="M58" s="604"/>
    </row>
    <row r="59" spans="1:13">
      <c r="A59" s="89" t="str">
        <f>IF(B59=""," ",#REF!+1)</f>
        <v xml:space="preserve"> </v>
      </c>
      <c r="B59" s="96"/>
      <c r="C59" s="31"/>
      <c r="D59" s="97"/>
      <c r="E59" s="98"/>
      <c r="F59" s="99"/>
      <c r="G59" s="21"/>
      <c r="H59" s="89"/>
      <c r="I59" s="89"/>
      <c r="J59" s="92"/>
      <c r="K59" s="31"/>
      <c r="L59" s="32"/>
      <c r="M59" s="33"/>
    </row>
    <row r="60" spans="1:13">
      <c r="A60" s="89" t="str">
        <f>IF(B60=""," ",A59+1)</f>
        <v xml:space="preserve"> </v>
      </c>
      <c r="B60" s="96"/>
      <c r="C60" s="31"/>
      <c r="D60" s="97"/>
      <c r="E60" s="98"/>
      <c r="F60" s="99"/>
      <c r="G60" s="21"/>
      <c r="H60" s="89"/>
      <c r="I60" s="89"/>
      <c r="J60" s="92"/>
      <c r="K60" s="31"/>
      <c r="L60" s="32"/>
      <c r="M60" s="33"/>
    </row>
    <row r="61" spans="1:13">
      <c r="A61" s="89" t="str">
        <f>IF(B61=""," ",A60+1)</f>
        <v xml:space="preserve"> </v>
      </c>
      <c r="B61" s="96"/>
      <c r="C61" s="31"/>
      <c r="D61" s="97"/>
      <c r="E61" s="98"/>
      <c r="F61" s="99"/>
      <c r="G61" s="21"/>
      <c r="H61" s="89"/>
      <c r="I61" s="89"/>
      <c r="J61" s="92"/>
      <c r="K61" s="669"/>
      <c r="L61" s="603"/>
      <c r="M61" s="604"/>
    </row>
    <row r="62" spans="1:13">
      <c r="A62" s="89" t="str">
        <f>IF(B62=""," ",#REF!+1)</f>
        <v xml:space="preserve"> </v>
      </c>
      <c r="B62" s="96"/>
      <c r="C62" s="31"/>
      <c r="D62" s="97"/>
      <c r="E62" s="98"/>
      <c r="F62" s="99"/>
      <c r="G62" s="21"/>
      <c r="H62" s="89"/>
      <c r="I62" s="89"/>
      <c r="J62" s="92"/>
      <c r="K62" s="669"/>
      <c r="L62" s="603"/>
      <c r="M62" s="604"/>
    </row>
    <row r="63" spans="1:13">
      <c r="A63" s="89" t="str">
        <f>IF(B63=""," ",#REF!+1)</f>
        <v xml:space="preserve"> </v>
      </c>
      <c r="B63" s="96"/>
      <c r="C63" s="31"/>
      <c r="D63" s="97"/>
      <c r="E63" s="98"/>
      <c r="F63" s="99"/>
      <c r="G63" s="21"/>
      <c r="H63" s="89"/>
      <c r="I63" s="89"/>
      <c r="J63" s="92"/>
      <c r="K63" s="31"/>
      <c r="L63" s="32"/>
      <c r="M63" s="33"/>
    </row>
    <row r="64" spans="1:13">
      <c r="A64" s="89" t="str">
        <f>IF(B64=""," ",A63+1)</f>
        <v xml:space="preserve"> </v>
      </c>
      <c r="B64" s="96"/>
      <c r="C64" s="31"/>
      <c r="D64" s="97"/>
      <c r="E64" s="98"/>
      <c r="F64" s="99"/>
      <c r="G64" s="21"/>
      <c r="H64" s="89"/>
      <c r="I64" s="89"/>
      <c r="J64" s="92"/>
      <c r="K64" s="31"/>
      <c r="L64" s="32"/>
      <c r="M64" s="33"/>
    </row>
    <row r="65" spans="1:13">
      <c r="A65" s="89" t="str">
        <f>IF(B65=""," ",A64+1)</f>
        <v xml:space="preserve"> </v>
      </c>
      <c r="B65" s="96"/>
      <c r="C65" s="31"/>
      <c r="D65" s="97"/>
      <c r="E65" s="98"/>
      <c r="F65" s="99"/>
      <c r="G65" s="21"/>
      <c r="H65" s="89"/>
      <c r="I65" s="89"/>
      <c r="J65" s="92"/>
      <c r="K65" s="669"/>
      <c r="L65" s="603"/>
      <c r="M65" s="604"/>
    </row>
    <row r="66" spans="1:13">
      <c r="A66" s="89" t="str">
        <f>IF(B66=""," ",#REF!+1)</f>
        <v xml:space="preserve"> </v>
      </c>
      <c r="B66" s="96"/>
      <c r="C66" s="31"/>
      <c r="D66" s="97"/>
      <c r="E66" s="98"/>
      <c r="F66" s="99"/>
      <c r="G66" s="21"/>
      <c r="H66" s="89"/>
      <c r="I66" s="89"/>
      <c r="J66" s="92"/>
      <c r="K66" s="669"/>
      <c r="L66" s="603"/>
      <c r="M66" s="604"/>
    </row>
    <row r="67" spans="1:13">
      <c r="A67" s="89" t="str">
        <f>IF(B67=""," ",#REF!+1)</f>
        <v xml:space="preserve"> </v>
      </c>
      <c r="B67" s="96"/>
      <c r="C67" s="31"/>
      <c r="D67" s="97"/>
      <c r="E67" s="98"/>
      <c r="F67" s="99"/>
      <c r="G67" s="21"/>
      <c r="H67" s="89"/>
      <c r="I67" s="89"/>
      <c r="J67" s="92"/>
      <c r="K67" s="31"/>
      <c r="L67" s="32"/>
      <c r="M67" s="33"/>
    </row>
    <row r="68" spans="1:13">
      <c r="A68" s="89" t="str">
        <f>IF(B68=""," ",A67+1)</f>
        <v xml:space="preserve"> </v>
      </c>
      <c r="B68" s="96"/>
      <c r="C68" s="31"/>
      <c r="D68" s="97"/>
      <c r="E68" s="98"/>
      <c r="F68" s="99"/>
      <c r="G68" s="21"/>
      <c r="H68" s="89"/>
      <c r="I68" s="89"/>
      <c r="J68" s="92"/>
      <c r="K68" s="31"/>
      <c r="L68" s="32"/>
      <c r="M68" s="33"/>
    </row>
    <row r="69" spans="1:13">
      <c r="A69" s="89" t="str">
        <f>IF(B69=""," ",A68+1)</f>
        <v xml:space="preserve"> </v>
      </c>
      <c r="B69" s="96"/>
      <c r="C69" s="31"/>
      <c r="D69" s="97"/>
      <c r="E69" s="98"/>
      <c r="F69" s="99"/>
      <c r="G69" s="21"/>
      <c r="H69" s="89"/>
      <c r="I69" s="89"/>
      <c r="J69" s="92"/>
      <c r="K69" s="669"/>
      <c r="L69" s="603"/>
      <c r="M69" s="604"/>
    </row>
    <row r="70" spans="1:13">
      <c r="A70" s="89" t="str">
        <f>IF(B70=""," ",#REF!+1)</f>
        <v xml:space="preserve"> </v>
      </c>
      <c r="B70" s="96"/>
      <c r="C70" s="31"/>
      <c r="D70" s="97"/>
      <c r="E70" s="98"/>
      <c r="F70" s="99"/>
      <c r="G70" s="21"/>
      <c r="H70" s="89"/>
      <c r="I70" s="89"/>
      <c r="J70" s="92"/>
      <c r="K70" s="669"/>
      <c r="L70" s="603"/>
      <c r="M70" s="604"/>
    </row>
    <row r="71" spans="1:13">
      <c r="A71" s="89" t="str">
        <f>IF(B71=""," ",#REF!+1)</f>
        <v xml:space="preserve"> </v>
      </c>
      <c r="B71" s="96"/>
      <c r="C71" s="31"/>
      <c r="D71" s="97"/>
      <c r="E71" s="98"/>
      <c r="F71" s="99"/>
      <c r="G71" s="21"/>
      <c r="H71" s="89"/>
      <c r="I71" s="89"/>
      <c r="J71" s="92"/>
      <c r="K71" s="31"/>
      <c r="L71" s="32"/>
      <c r="M71" s="33"/>
    </row>
    <row r="72" spans="1:13">
      <c r="A72" s="89" t="str">
        <f>IF(B72=""," ",A71+1)</f>
        <v xml:space="preserve"> </v>
      </c>
      <c r="B72" s="96"/>
      <c r="C72" s="31"/>
      <c r="D72" s="97"/>
      <c r="E72" s="98"/>
      <c r="F72" s="99"/>
      <c r="G72" s="21"/>
      <c r="H72" s="89"/>
      <c r="I72" s="89"/>
      <c r="J72" s="92"/>
      <c r="K72" s="31"/>
      <c r="L72" s="32"/>
      <c r="M72" s="33"/>
    </row>
    <row r="73" spans="1:13">
      <c r="A73" s="89" t="str">
        <f>IF(B73=""," ",A72+1)</f>
        <v xml:space="preserve"> </v>
      </c>
      <c r="B73" s="96"/>
      <c r="C73" s="31"/>
      <c r="D73" s="97"/>
      <c r="E73" s="98"/>
      <c r="F73" s="99"/>
      <c r="G73" s="21"/>
      <c r="H73" s="89"/>
      <c r="I73" s="89"/>
      <c r="J73" s="92"/>
      <c r="K73" s="669"/>
      <c r="L73" s="603"/>
      <c r="M73" s="604"/>
    </row>
    <row r="74" spans="1:13">
      <c r="A74" s="89" t="str">
        <f>IF(B74=""," ",#REF!+1)</f>
        <v xml:space="preserve"> </v>
      </c>
      <c r="B74" s="96"/>
      <c r="C74" s="31"/>
      <c r="D74" s="97"/>
      <c r="E74" s="98"/>
      <c r="F74" s="99"/>
      <c r="G74" s="21"/>
      <c r="H74" s="89"/>
      <c r="I74" s="89"/>
      <c r="J74" s="92"/>
      <c r="K74" s="669"/>
      <c r="L74" s="603"/>
      <c r="M74" s="604"/>
    </row>
    <row r="75" spans="1:13">
      <c r="A75" s="89" t="str">
        <f>IF(B75=""," ",#REF!+1)</f>
        <v xml:space="preserve"> </v>
      </c>
      <c r="B75" s="96"/>
      <c r="C75" s="31"/>
      <c r="D75" s="97"/>
      <c r="E75" s="98"/>
      <c r="F75" s="99"/>
      <c r="G75" s="21"/>
      <c r="H75" s="89"/>
      <c r="I75" s="89"/>
      <c r="J75" s="92"/>
      <c r="K75" s="31"/>
      <c r="L75" s="32"/>
      <c r="M75" s="33"/>
    </row>
    <row r="76" spans="1:13">
      <c r="A76" s="89" t="str">
        <f>IF(B76=""," ",A75+1)</f>
        <v xml:space="preserve"> </v>
      </c>
      <c r="B76" s="96"/>
      <c r="C76" s="31"/>
      <c r="D76" s="97"/>
      <c r="E76" s="98"/>
      <c r="F76" s="99"/>
      <c r="G76" s="21"/>
      <c r="H76" s="89"/>
      <c r="I76" s="89"/>
      <c r="J76" s="92"/>
      <c r="K76" s="31"/>
      <c r="L76" s="32"/>
      <c r="M76" s="33"/>
    </row>
    <row r="77" spans="1:13">
      <c r="A77" s="89" t="str">
        <f>IF(B77=""," ",A76+1)</f>
        <v xml:space="preserve"> </v>
      </c>
      <c r="B77" s="96"/>
      <c r="C77" s="31"/>
      <c r="D77" s="97"/>
      <c r="E77" s="98"/>
      <c r="F77" s="99"/>
      <c r="G77" s="21"/>
      <c r="H77" s="89"/>
      <c r="I77" s="89"/>
      <c r="J77" s="92"/>
      <c r="K77" s="669"/>
      <c r="L77" s="603"/>
      <c r="M77" s="604"/>
    </row>
    <row r="78" spans="1:13">
      <c r="A78" s="89" t="str">
        <f>IF(B78=""," ",#REF!+1)</f>
        <v xml:space="preserve"> </v>
      </c>
      <c r="B78" s="96"/>
      <c r="C78" s="31"/>
      <c r="D78" s="97"/>
      <c r="E78" s="98"/>
      <c r="F78" s="99"/>
      <c r="G78" s="21"/>
      <c r="H78" s="89"/>
      <c r="I78" s="89"/>
      <c r="J78" s="92"/>
      <c r="K78" s="669"/>
      <c r="L78" s="603"/>
      <c r="M78" s="604"/>
    </row>
    <row r="79" spans="1:13">
      <c r="A79" s="89" t="str">
        <f>IF(B79=""," ",#REF!+1)</f>
        <v xml:space="preserve"> </v>
      </c>
      <c r="B79" s="96"/>
      <c r="C79" s="31"/>
      <c r="D79" s="97"/>
      <c r="E79" s="98"/>
      <c r="F79" s="99"/>
      <c r="G79" s="21"/>
      <c r="H79" s="89"/>
      <c r="I79" s="89"/>
      <c r="J79" s="92"/>
      <c r="K79" s="31"/>
      <c r="L79" s="32"/>
      <c r="M79" s="33"/>
    </row>
    <row r="80" spans="1:13">
      <c r="A80" s="89" t="str">
        <f>IF(B80=""," ",A79+1)</f>
        <v xml:space="preserve"> </v>
      </c>
      <c r="B80" s="96"/>
      <c r="C80" s="31"/>
      <c r="D80" s="97"/>
      <c r="E80" s="98"/>
      <c r="F80" s="99"/>
      <c r="G80" s="21"/>
      <c r="H80" s="89"/>
      <c r="I80" s="89"/>
      <c r="J80" s="92"/>
      <c r="K80" s="31"/>
      <c r="L80" s="32"/>
      <c r="M80" s="33"/>
    </row>
    <row r="81" spans="1:13">
      <c r="A81" s="89" t="str">
        <f>IF(B81=""," ",A80+1)</f>
        <v xml:space="preserve"> </v>
      </c>
      <c r="B81" s="96"/>
      <c r="C81" s="31"/>
      <c r="D81" s="97"/>
      <c r="E81" s="98"/>
      <c r="F81" s="99"/>
      <c r="G81" s="21"/>
      <c r="H81" s="89"/>
      <c r="I81" s="89"/>
      <c r="J81" s="92"/>
      <c r="K81" s="669"/>
      <c r="L81" s="603"/>
      <c r="M81" s="604"/>
    </row>
    <row r="82" spans="1:13">
      <c r="A82" s="89" t="str">
        <f>IF(B82=""," ",#REF!+1)</f>
        <v xml:space="preserve"> </v>
      </c>
      <c r="B82" s="96"/>
      <c r="C82" s="31"/>
      <c r="D82" s="97"/>
      <c r="E82" s="98"/>
      <c r="F82" s="99"/>
      <c r="G82" s="21"/>
      <c r="H82" s="89"/>
      <c r="I82" s="89"/>
      <c r="J82" s="92"/>
      <c r="K82" s="669"/>
      <c r="L82" s="603"/>
      <c r="M82" s="604"/>
    </row>
    <row r="83" spans="1:13">
      <c r="A83" s="89" t="str">
        <f>IF(B83=""," ",#REF!+1)</f>
        <v xml:space="preserve"> </v>
      </c>
      <c r="B83" s="96"/>
      <c r="C83" s="31"/>
      <c r="D83" s="97"/>
      <c r="E83" s="98"/>
      <c r="F83" s="99"/>
      <c r="G83" s="21"/>
      <c r="H83" s="89"/>
      <c r="I83" s="89"/>
      <c r="J83" s="92"/>
      <c r="K83" s="31"/>
      <c r="L83" s="32"/>
      <c r="M83" s="33"/>
    </row>
    <row r="84" spans="1:13">
      <c r="A84" s="89" t="str">
        <f>IF(B84=""," ",A83+1)</f>
        <v xml:space="preserve"> </v>
      </c>
      <c r="B84" s="96"/>
      <c r="C84" s="31"/>
      <c r="D84" s="97"/>
      <c r="E84" s="98"/>
      <c r="F84" s="99"/>
      <c r="G84" s="21"/>
      <c r="H84" s="89"/>
      <c r="I84" s="89"/>
      <c r="J84" s="92"/>
      <c r="K84" s="31"/>
      <c r="L84" s="32"/>
      <c r="M84" s="33"/>
    </row>
    <row r="85" spans="1:13">
      <c r="A85" s="89" t="str">
        <f>IF(B85=""," ",A84+1)</f>
        <v xml:space="preserve"> </v>
      </c>
      <c r="B85" s="96"/>
      <c r="C85" s="31"/>
      <c r="D85" s="97"/>
      <c r="E85" s="98"/>
      <c r="F85" s="99"/>
      <c r="G85" s="21"/>
      <c r="H85" s="89"/>
      <c r="I85" s="89"/>
      <c r="J85" s="92"/>
      <c r="K85" s="669"/>
      <c r="L85" s="603"/>
      <c r="M85" s="604"/>
    </row>
    <row r="86" spans="1:13">
      <c r="A86" s="89" t="str">
        <f>IF(B86=""," ",A85+1)</f>
        <v xml:space="preserve"> </v>
      </c>
      <c r="B86" s="96"/>
      <c r="C86" s="31"/>
      <c r="D86" s="97"/>
      <c r="E86" s="98"/>
      <c r="F86" s="99"/>
      <c r="G86" s="21"/>
      <c r="H86" s="89"/>
      <c r="I86" s="89"/>
      <c r="J86" s="92"/>
      <c r="K86" s="669"/>
      <c r="L86" s="603"/>
      <c r="M86" s="604"/>
    </row>
    <row r="87" spans="1:13">
      <c r="A87" s="89" t="str">
        <f>IF(B87=""," ",#REF!+1)</f>
        <v xml:space="preserve"> </v>
      </c>
      <c r="B87" s="96"/>
      <c r="C87" s="31"/>
      <c r="D87" s="97"/>
      <c r="E87" s="98"/>
      <c r="F87" s="99"/>
      <c r="G87" s="21"/>
      <c r="H87" s="89"/>
      <c r="I87" s="89"/>
      <c r="J87" s="92"/>
      <c r="K87" s="669"/>
      <c r="L87" s="603"/>
      <c r="M87" s="604"/>
    </row>
    <row r="88" spans="1:13">
      <c r="A88" s="89" t="str">
        <f>IF(B88=""," ",#REF!+1)</f>
        <v xml:space="preserve"> </v>
      </c>
      <c r="B88" s="96"/>
      <c r="C88" s="31"/>
      <c r="D88" s="97"/>
      <c r="E88" s="98"/>
      <c r="F88" s="99"/>
      <c r="G88" s="21"/>
      <c r="H88" s="89"/>
      <c r="I88" s="89"/>
      <c r="J88" s="92"/>
      <c r="K88" s="31"/>
      <c r="L88" s="32"/>
      <c r="M88" s="33"/>
    </row>
    <row r="89" spans="1:13">
      <c r="A89" s="89" t="str">
        <f>IF(B89=""," ",A88+1)</f>
        <v xml:space="preserve"> </v>
      </c>
      <c r="B89" s="96"/>
      <c r="C89" s="31"/>
      <c r="D89" s="97"/>
      <c r="E89" s="98"/>
      <c r="F89" s="99"/>
      <c r="G89" s="21"/>
      <c r="H89" s="89"/>
      <c r="I89" s="89"/>
      <c r="J89" s="92"/>
      <c r="K89" s="31"/>
      <c r="L89" s="32"/>
      <c r="M89" s="33"/>
    </row>
    <row r="90" spans="1:13">
      <c r="A90" s="89" t="str">
        <f>IF(B90=""," ",A89+1)</f>
        <v xml:space="preserve"> </v>
      </c>
      <c r="B90" s="96"/>
      <c r="C90" s="31"/>
      <c r="D90" s="97"/>
      <c r="E90" s="98"/>
      <c r="F90" s="99"/>
      <c r="G90" s="21"/>
      <c r="H90" s="89"/>
      <c r="I90" s="89"/>
      <c r="J90" s="92"/>
      <c r="K90" s="669"/>
      <c r="L90" s="603"/>
      <c r="M90" s="604"/>
    </row>
    <row r="91" spans="1:13">
      <c r="A91" s="89" t="str">
        <f>IF(B91=""," ",#REF!+1)</f>
        <v xml:space="preserve"> </v>
      </c>
      <c r="B91" s="96"/>
      <c r="C91" s="31"/>
      <c r="D91" s="97"/>
      <c r="E91" s="98"/>
      <c r="F91" s="99"/>
      <c r="G91" s="21"/>
      <c r="H91" s="89"/>
      <c r="I91" s="89"/>
      <c r="J91" s="92"/>
      <c r="K91" s="31"/>
      <c r="L91" s="32"/>
      <c r="M91" s="33"/>
    </row>
    <row r="92" spans="1:13">
      <c r="A92" s="89" t="str">
        <f>IF(B92=""," ",A91+1)</f>
        <v xml:space="preserve"> </v>
      </c>
      <c r="B92" s="96"/>
      <c r="C92" s="31"/>
      <c r="D92" s="97"/>
      <c r="E92" s="98"/>
      <c r="F92" s="99"/>
      <c r="G92" s="21"/>
      <c r="H92" s="89"/>
      <c r="I92" s="89"/>
      <c r="J92" s="92"/>
      <c r="K92" s="31"/>
      <c r="L92" s="32"/>
      <c r="M92" s="33"/>
    </row>
    <row r="93" spans="1:13">
      <c r="A93" s="89" t="str">
        <f>IF(B93=""," ",A92+1)</f>
        <v xml:space="preserve"> </v>
      </c>
      <c r="B93" s="96"/>
      <c r="C93" s="31"/>
      <c r="D93" s="97"/>
      <c r="E93" s="98"/>
      <c r="F93" s="99"/>
      <c r="G93" s="21"/>
      <c r="H93" s="89"/>
      <c r="I93" s="89"/>
      <c r="J93" s="92"/>
      <c r="K93" s="669"/>
      <c r="L93" s="603"/>
      <c r="M93" s="604"/>
    </row>
    <row r="94" spans="1:13">
      <c r="A94" s="89" t="str">
        <f>IF(B94=""," ",A93+1)</f>
        <v xml:space="preserve"> </v>
      </c>
      <c r="B94" s="96"/>
      <c r="C94" s="31"/>
      <c r="D94" s="97"/>
      <c r="E94" s="98"/>
      <c r="F94" s="99"/>
      <c r="G94" s="21"/>
      <c r="H94" s="89"/>
      <c r="I94" s="89"/>
      <c r="J94" s="92"/>
      <c r="K94" s="669"/>
      <c r="L94" s="603"/>
      <c r="M94" s="604"/>
    </row>
    <row r="95" spans="1:13">
      <c r="A95" s="89" t="str">
        <f>IF(B95=""," ",#REF!+1)</f>
        <v xml:space="preserve"> </v>
      </c>
      <c r="B95" s="96"/>
      <c r="C95" s="31"/>
      <c r="D95" s="97"/>
      <c r="E95" s="98"/>
      <c r="F95" s="99"/>
      <c r="G95" s="21"/>
      <c r="H95" s="89"/>
      <c r="I95" s="89"/>
      <c r="J95" s="92"/>
      <c r="K95" s="669"/>
      <c r="L95" s="603"/>
      <c r="M95" s="604"/>
    </row>
    <row r="96" spans="1:13">
      <c r="A96" s="89" t="str">
        <f>IF(B96=""," ",#REF!+1)</f>
        <v xml:space="preserve"> </v>
      </c>
      <c r="B96" s="96"/>
      <c r="C96" s="31"/>
      <c r="D96" s="97"/>
      <c r="E96" s="98"/>
      <c r="F96" s="99"/>
      <c r="G96" s="21"/>
      <c r="H96" s="89"/>
      <c r="I96" s="89"/>
      <c r="J96" s="92"/>
      <c r="K96" s="31"/>
      <c r="L96" s="32"/>
      <c r="M96" s="33"/>
    </row>
    <row r="97" spans="1:13">
      <c r="A97" s="89" t="str">
        <f>IF(B97=""," ",A96+1)</f>
        <v xml:space="preserve"> </v>
      </c>
      <c r="B97" s="96"/>
      <c r="C97" s="31"/>
      <c r="D97" s="97"/>
      <c r="E97" s="98"/>
      <c r="F97" s="99"/>
      <c r="G97" s="21"/>
      <c r="H97" s="89"/>
      <c r="I97" s="89"/>
      <c r="J97" s="92"/>
      <c r="K97" s="31"/>
      <c r="L97" s="32"/>
      <c r="M97" s="33"/>
    </row>
    <row r="98" spans="1:13">
      <c r="A98" s="89" t="str">
        <f>IF(B98=""," ",A97+1)</f>
        <v xml:space="preserve"> </v>
      </c>
      <c r="B98" s="96"/>
      <c r="C98" s="31"/>
      <c r="D98" s="97"/>
      <c r="E98" s="98"/>
      <c r="F98" s="99"/>
      <c r="G98" s="21"/>
      <c r="H98" s="89"/>
      <c r="I98" s="89"/>
      <c r="J98" s="92"/>
      <c r="K98" s="669"/>
      <c r="L98" s="603"/>
      <c r="M98" s="604"/>
    </row>
    <row r="99" spans="1:13">
      <c r="A99" s="89" t="str">
        <f>IF(B99=""," ",A98+1)</f>
        <v xml:space="preserve"> </v>
      </c>
      <c r="B99" s="96"/>
      <c r="C99" s="31"/>
      <c r="D99" s="97"/>
      <c r="E99" s="98"/>
      <c r="F99" s="99"/>
      <c r="G99" s="21"/>
      <c r="H99" s="89"/>
      <c r="I99" s="89"/>
      <c r="J99" s="92"/>
      <c r="K99" s="31"/>
      <c r="L99" s="32"/>
      <c r="M99" s="33"/>
    </row>
    <row r="100" spans="1:13">
      <c r="A100" s="89" t="str">
        <f>IF(B100=""," ",A99+1)</f>
        <v xml:space="preserve"> </v>
      </c>
      <c r="B100" s="96"/>
      <c r="C100" s="31"/>
      <c r="D100" s="97"/>
      <c r="E100" s="98"/>
      <c r="F100" s="99"/>
      <c r="G100" s="21"/>
      <c r="H100" s="89"/>
      <c r="I100" s="89"/>
      <c r="J100" s="92"/>
      <c r="K100" s="669"/>
      <c r="L100" s="603"/>
      <c r="M100" s="604"/>
    </row>
    <row r="102" spans="1:13">
      <c r="B102" s="22" t="s">
        <v>1691</v>
      </c>
      <c r="C102" s="22"/>
      <c r="D102" s="22"/>
      <c r="E102" s="22"/>
      <c r="F102" s="22"/>
      <c r="G102" s="22"/>
      <c r="H102" s="22"/>
      <c r="I102" s="22"/>
      <c r="J102" s="22"/>
      <c r="K102" s="22"/>
    </row>
    <row r="103" spans="1:13">
      <c r="B103" s="22"/>
      <c r="C103" s="22"/>
      <c r="D103" s="22"/>
      <c r="E103" s="22"/>
      <c r="F103" s="22"/>
      <c r="G103" s="22"/>
      <c r="H103" s="22"/>
      <c r="I103" s="22"/>
      <c r="J103" s="22"/>
      <c r="K103" s="22"/>
    </row>
    <row r="104" spans="1:13">
      <c r="B104" s="231" t="s">
        <v>948</v>
      </c>
      <c r="C104" s="198" t="s">
        <v>1648</v>
      </c>
    </row>
    <row r="105" spans="1:13">
      <c r="C105" s="198" t="s">
        <v>1650</v>
      </c>
    </row>
    <row r="106" spans="1:13">
      <c r="C106" s="198" t="s">
        <v>1649</v>
      </c>
    </row>
    <row r="108" spans="1:13" s="16" customFormat="1">
      <c r="A108" s="46"/>
      <c r="B108" s="75" t="s">
        <v>799</v>
      </c>
      <c r="C108" s="16" t="s">
        <v>1411</v>
      </c>
    </row>
  </sheetData>
  <mergeCells count="63">
    <mergeCell ref="K16:M16"/>
    <mergeCell ref="K15:M15"/>
    <mergeCell ref="K8:M8"/>
    <mergeCell ref="K9:M9"/>
    <mergeCell ref="K20:M20"/>
    <mergeCell ref="K12:M12"/>
    <mergeCell ref="K11:M11"/>
    <mergeCell ref="K18:M18"/>
    <mergeCell ref="K10:M10"/>
    <mergeCell ref="K19:M19"/>
    <mergeCell ref="K17:M17"/>
    <mergeCell ref="K13:M13"/>
    <mergeCell ref="K14:M14"/>
    <mergeCell ref="A5:A6"/>
    <mergeCell ref="B5:C5"/>
    <mergeCell ref="K7:M7"/>
    <mergeCell ref="K5:M6"/>
    <mergeCell ref="I5:J5"/>
    <mergeCell ref="D5:H5"/>
    <mergeCell ref="A2:B2"/>
    <mergeCell ref="A3:B3"/>
    <mergeCell ref="A4:B4"/>
    <mergeCell ref="H2:J2"/>
    <mergeCell ref="C2:G2"/>
    <mergeCell ref="C3:G3"/>
    <mergeCell ref="C4:G4"/>
    <mergeCell ref="H4:I4"/>
    <mergeCell ref="H3:I3"/>
    <mergeCell ref="K54:M54"/>
    <mergeCell ref="K33:M33"/>
    <mergeCell ref="K34:M34"/>
    <mergeCell ref="K37:M37"/>
    <mergeCell ref="K38:M38"/>
    <mergeCell ref="K41:M41"/>
    <mergeCell ref="K42:M42"/>
    <mergeCell ref="K45:M45"/>
    <mergeCell ref="K46:M46"/>
    <mergeCell ref="K49:M49"/>
    <mergeCell ref="K50:M50"/>
    <mergeCell ref="K53:M53"/>
    <mergeCell ref="K57:M57"/>
    <mergeCell ref="K58:M58"/>
    <mergeCell ref="K61:M61"/>
    <mergeCell ref="K62:M62"/>
    <mergeCell ref="K86:M86"/>
    <mergeCell ref="K81:M81"/>
    <mergeCell ref="K82:M82"/>
    <mergeCell ref="K85:M85"/>
    <mergeCell ref="K66:M66"/>
    <mergeCell ref="K69:M69"/>
    <mergeCell ref="K70:M70"/>
    <mergeCell ref="K78:M78"/>
    <mergeCell ref="K65:M65"/>
    <mergeCell ref="K73:M73"/>
    <mergeCell ref="K74:M74"/>
    <mergeCell ref="K77:M77"/>
    <mergeCell ref="K87:M87"/>
    <mergeCell ref="K90:M90"/>
    <mergeCell ref="K100:M100"/>
    <mergeCell ref="K93:M93"/>
    <mergeCell ref="K94:M94"/>
    <mergeCell ref="K95:M95"/>
    <mergeCell ref="K98:M98"/>
  </mergeCells>
  <phoneticPr fontId="6"/>
  <pageMargins left="0.78740157480314965" right="0.19685039370078741" top="0.59055118110236227" bottom="0.59055118110236227" header="0.51181102362204722" footer="0.39370078740157483"/>
  <pageSetup paperSize="9" scale="72" fitToHeight="0" orientation="portrait" r:id="rId1"/>
  <headerFooter alignWithMargins="0">
    <oddFooter>&amp;C&amp;10&amp;P/&amp;N&amp;R&amp;10&amp;A</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8">
    <pageSetUpPr fitToPage="1"/>
  </sheetPr>
  <dimension ref="A1:P112"/>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ht="12" customHeight="1">
      <c r="B1" s="47"/>
    </row>
    <row r="2" spans="1:16" ht="12" customHeight="1">
      <c r="A2" s="643" t="s">
        <v>602</v>
      </c>
      <c r="B2" s="644"/>
      <c r="C2" s="643" t="s">
        <v>36</v>
      </c>
      <c r="D2" s="651"/>
      <c r="E2" s="651"/>
      <c r="F2" s="651"/>
      <c r="G2" s="644"/>
      <c r="H2" s="643"/>
      <c r="I2" s="651"/>
      <c r="J2" s="644"/>
      <c r="K2" s="37"/>
      <c r="L2" s="38" t="s">
        <v>37</v>
      </c>
      <c r="M2" s="38" t="s">
        <v>38</v>
      </c>
    </row>
    <row r="3" spans="1:16" ht="12" customHeight="1">
      <c r="A3" s="647"/>
      <c r="B3" s="648"/>
      <c r="C3" s="652" t="s">
        <v>1529</v>
      </c>
      <c r="D3" s="653"/>
      <c r="E3" s="653"/>
      <c r="F3" s="653"/>
      <c r="G3" s="654"/>
      <c r="H3" s="643" t="s">
        <v>39</v>
      </c>
      <c r="I3" s="644"/>
      <c r="J3" s="39">
        <f>COUNT(A7:A100)</f>
        <v>6</v>
      </c>
      <c r="K3" s="38" t="s">
        <v>40</v>
      </c>
      <c r="L3" s="40">
        <v>38629</v>
      </c>
      <c r="M3" s="132" t="s">
        <v>56</v>
      </c>
      <c r="O3" s="16" t="s">
        <v>41</v>
      </c>
      <c r="P3" s="16" t="s">
        <v>42</v>
      </c>
    </row>
    <row r="4" spans="1:16" ht="12" customHeight="1">
      <c r="A4" s="649" t="s">
        <v>43</v>
      </c>
      <c r="B4" s="650"/>
      <c r="C4" s="649" t="s">
        <v>1530</v>
      </c>
      <c r="D4" s="655"/>
      <c r="E4" s="655"/>
      <c r="F4" s="655"/>
      <c r="G4" s="650"/>
      <c r="H4" s="643" t="s">
        <v>44</v>
      </c>
      <c r="I4" s="644"/>
      <c r="J4" s="39">
        <f>SUM(G7:G100)</f>
        <v>79</v>
      </c>
      <c r="K4" s="38" t="s">
        <v>45</v>
      </c>
      <c r="L4" s="40">
        <v>38803</v>
      </c>
      <c r="M4" s="42" t="s">
        <v>532</v>
      </c>
      <c r="O4" s="16" t="s">
        <v>1358</v>
      </c>
      <c r="P4" s="16" t="s">
        <v>1359</v>
      </c>
    </row>
    <row r="5" spans="1:16" ht="12" customHeight="1">
      <c r="A5" s="645" t="s">
        <v>1360</v>
      </c>
      <c r="B5" s="643" t="s">
        <v>46</v>
      </c>
      <c r="C5" s="651"/>
      <c r="D5" s="662" t="s">
        <v>47</v>
      </c>
      <c r="E5" s="651"/>
      <c r="F5" s="651"/>
      <c r="G5" s="651"/>
      <c r="H5" s="651"/>
      <c r="I5" s="643" t="s">
        <v>604</v>
      </c>
      <c r="J5" s="644"/>
      <c r="K5" s="656" t="s">
        <v>48</v>
      </c>
      <c r="L5" s="657"/>
      <c r="M5" s="658"/>
      <c r="P5" s="16" t="s">
        <v>605</v>
      </c>
    </row>
    <row r="6" spans="1:16" ht="12" customHeight="1">
      <c r="A6" s="646"/>
      <c r="B6" s="38" t="s">
        <v>49</v>
      </c>
      <c r="C6" s="35" t="s">
        <v>50</v>
      </c>
      <c r="D6" s="43" t="s">
        <v>42</v>
      </c>
      <c r="E6" s="44" t="s">
        <v>51</v>
      </c>
      <c r="F6" s="45" t="s">
        <v>52</v>
      </c>
      <c r="G6" s="38" t="s">
        <v>606</v>
      </c>
      <c r="H6" s="36" t="s">
        <v>53</v>
      </c>
      <c r="I6" s="36" t="s">
        <v>607</v>
      </c>
      <c r="J6" s="36" t="s">
        <v>608</v>
      </c>
      <c r="K6" s="659"/>
      <c r="L6" s="660"/>
      <c r="M6" s="661"/>
      <c r="P6" s="16" t="s">
        <v>609</v>
      </c>
    </row>
    <row r="7" spans="1:16" ht="12" customHeight="1">
      <c r="A7" s="42">
        <v>1</v>
      </c>
      <c r="B7" s="48" t="s">
        <v>1525</v>
      </c>
      <c r="C7" s="49" t="s">
        <v>1531</v>
      </c>
      <c r="D7" s="78" t="s">
        <v>523</v>
      </c>
      <c r="E7" s="73">
        <v>20</v>
      </c>
      <c r="F7" s="74"/>
      <c r="G7" s="20">
        <f t="shared" ref="G7:G12" si="0">IF(D7="DATE",4,IF(D7="CHAR",E7,IF(D7="SMALLINT",2,IF(D7="INTEGER",4,IF(D7="TIMESTAMP",10,IF(D7="TIME",3,0))))))</f>
        <v>20</v>
      </c>
      <c r="H7" s="42" t="s">
        <v>1435</v>
      </c>
      <c r="I7" s="42" t="s">
        <v>1435</v>
      </c>
      <c r="J7" s="59"/>
      <c r="K7" s="55"/>
      <c r="L7" s="56"/>
      <c r="M7" s="57"/>
      <c r="P7" s="16" t="s">
        <v>920</v>
      </c>
    </row>
    <row r="8" spans="1:16" ht="12" customHeight="1">
      <c r="A8" s="42">
        <f>IF(B8=""," ",A7+1)</f>
        <v>2</v>
      </c>
      <c r="B8" s="48" t="s">
        <v>1526</v>
      </c>
      <c r="C8" s="49" t="s">
        <v>1532</v>
      </c>
      <c r="D8" s="78" t="s">
        <v>524</v>
      </c>
      <c r="E8" s="73">
        <v>20</v>
      </c>
      <c r="F8" s="74"/>
      <c r="G8" s="20">
        <f t="shared" si="0"/>
        <v>20</v>
      </c>
      <c r="H8" s="42" t="s">
        <v>574</v>
      </c>
      <c r="I8" s="42"/>
      <c r="J8" s="59"/>
      <c r="K8" s="628"/>
      <c r="L8" s="629"/>
      <c r="M8" s="630"/>
      <c r="P8" s="16" t="s">
        <v>282</v>
      </c>
    </row>
    <row r="9" spans="1:16" ht="12" customHeight="1">
      <c r="A9" s="42">
        <f>IF(B9=""," ",A8+1)</f>
        <v>3</v>
      </c>
      <c r="B9" s="48" t="s">
        <v>1527</v>
      </c>
      <c r="C9" s="49" t="s">
        <v>1533</v>
      </c>
      <c r="D9" s="78" t="s">
        <v>553</v>
      </c>
      <c r="E9" s="73">
        <v>20</v>
      </c>
      <c r="F9" s="74"/>
      <c r="G9" s="20">
        <f t="shared" si="0"/>
        <v>20</v>
      </c>
      <c r="H9" s="42" t="s">
        <v>884</v>
      </c>
      <c r="I9" s="42"/>
      <c r="J9" s="59"/>
      <c r="K9" s="628"/>
      <c r="L9" s="629"/>
      <c r="M9" s="630"/>
      <c r="P9" s="16" t="s">
        <v>521</v>
      </c>
    </row>
    <row r="10" spans="1:16" s="22" customFormat="1" ht="12" customHeight="1">
      <c r="A10" s="42">
        <f>IF(B10=""," ",A9+1)</f>
        <v>4</v>
      </c>
      <c r="B10" s="64" t="s">
        <v>1528</v>
      </c>
      <c r="C10" s="24" t="s">
        <v>1534</v>
      </c>
      <c r="D10" s="65" t="s">
        <v>523</v>
      </c>
      <c r="E10" s="51">
        <v>1</v>
      </c>
      <c r="F10" s="58"/>
      <c r="G10" s="20">
        <f t="shared" si="0"/>
        <v>1</v>
      </c>
      <c r="H10" s="42" t="s">
        <v>1400</v>
      </c>
      <c r="I10" s="53"/>
      <c r="J10" s="165"/>
      <c r="K10" s="632"/>
      <c r="L10" s="633"/>
      <c r="M10" s="634"/>
    </row>
    <row r="11" spans="1:16" s="22" customFormat="1" ht="12" customHeight="1">
      <c r="A11" s="42">
        <f>IF(B11=""," ",A10+1)</f>
        <v>5</v>
      </c>
      <c r="B11" s="64" t="s">
        <v>1083</v>
      </c>
      <c r="C11" s="24" t="s">
        <v>1111</v>
      </c>
      <c r="D11" s="72" t="s">
        <v>1431</v>
      </c>
      <c r="E11" s="51">
        <v>8</v>
      </c>
      <c r="F11" s="58"/>
      <c r="G11" s="20">
        <f t="shared" si="0"/>
        <v>8</v>
      </c>
      <c r="H11" s="53" t="s">
        <v>1432</v>
      </c>
      <c r="I11" s="89"/>
      <c r="J11" s="92"/>
      <c r="K11" s="602"/>
      <c r="L11" s="603"/>
      <c r="M11" s="604"/>
    </row>
    <row r="12" spans="1:16">
      <c r="A12" s="42">
        <f t="shared" ref="A12:A35" si="1">IF(B12=""," ",A11+1)</f>
        <v>6</v>
      </c>
      <c r="B12" s="93" t="s">
        <v>1724</v>
      </c>
      <c r="C12" s="26" t="s">
        <v>1404</v>
      </c>
      <c r="D12" s="94" t="s">
        <v>1405</v>
      </c>
      <c r="E12" s="95"/>
      <c r="F12" s="90"/>
      <c r="G12" s="21">
        <f t="shared" si="0"/>
        <v>10</v>
      </c>
      <c r="H12" s="91" t="s">
        <v>1406</v>
      </c>
      <c r="I12" s="42"/>
      <c r="J12" s="59"/>
      <c r="K12" s="55"/>
      <c r="L12" s="56"/>
      <c r="M12" s="57"/>
    </row>
    <row r="13" spans="1:16">
      <c r="A13" s="42" t="str">
        <f t="shared" si="1"/>
        <v xml:space="preserve"> </v>
      </c>
      <c r="B13" s="100"/>
      <c r="C13" s="137"/>
      <c r="D13" s="78"/>
      <c r="E13" s="73"/>
      <c r="F13" s="74"/>
      <c r="G13" s="20"/>
      <c r="H13" s="42"/>
      <c r="I13" s="42"/>
      <c r="J13" s="59"/>
      <c r="K13" s="55"/>
      <c r="L13" s="56"/>
      <c r="M13" s="57"/>
    </row>
    <row r="14" spans="1:16">
      <c r="A14" s="42" t="str">
        <f>IF(B14=""," ",#REF!+1)</f>
        <v xml:space="preserve"> </v>
      </c>
      <c r="B14" s="71"/>
      <c r="C14" s="13"/>
      <c r="D14" s="72"/>
      <c r="E14" s="73"/>
      <c r="F14" s="74"/>
      <c r="G14" s="20"/>
      <c r="H14" s="42"/>
      <c r="I14" s="42"/>
      <c r="J14" s="59"/>
      <c r="K14" s="13"/>
      <c r="L14" s="14"/>
      <c r="M14" s="15"/>
    </row>
    <row r="15" spans="1:16">
      <c r="A15" s="42" t="str">
        <f t="shared" si="1"/>
        <v xml:space="preserve"> </v>
      </c>
      <c r="B15" s="71"/>
      <c r="C15" s="13"/>
      <c r="D15" s="72"/>
      <c r="E15" s="73"/>
      <c r="F15" s="74"/>
      <c r="G15" s="20"/>
      <c r="H15" s="42"/>
      <c r="I15" s="42"/>
      <c r="J15" s="59"/>
      <c r="K15" s="67"/>
      <c r="L15" s="14"/>
      <c r="M15" s="15"/>
    </row>
    <row r="16" spans="1:16">
      <c r="A16" s="42" t="str">
        <f t="shared" si="1"/>
        <v xml:space="preserve"> </v>
      </c>
      <c r="B16" s="71"/>
      <c r="C16" s="13"/>
      <c r="D16" s="72"/>
      <c r="E16" s="73"/>
      <c r="F16" s="74"/>
      <c r="G16" s="20"/>
      <c r="H16" s="42"/>
      <c r="I16" s="42"/>
      <c r="J16" s="59"/>
      <c r="K16" s="13"/>
      <c r="L16" s="14"/>
      <c r="M16" s="15"/>
    </row>
    <row r="17" spans="1:13">
      <c r="A17" s="42" t="str">
        <f t="shared" si="1"/>
        <v xml:space="preserve"> </v>
      </c>
      <c r="B17" s="71"/>
      <c r="C17" s="13"/>
      <c r="D17" s="72"/>
      <c r="E17" s="73"/>
      <c r="F17" s="74"/>
      <c r="G17" s="20"/>
      <c r="H17" s="42"/>
      <c r="I17" s="42"/>
      <c r="J17" s="59"/>
      <c r="K17" s="13"/>
      <c r="L17" s="14"/>
      <c r="M17" s="15"/>
    </row>
    <row r="18" spans="1:13">
      <c r="A18" s="42" t="str">
        <f t="shared" si="1"/>
        <v xml:space="preserve"> </v>
      </c>
      <c r="B18" s="71"/>
      <c r="C18" s="13"/>
      <c r="D18" s="72"/>
      <c r="E18" s="73"/>
      <c r="F18" s="74"/>
      <c r="G18" s="20"/>
      <c r="H18" s="42"/>
      <c r="I18" s="42"/>
      <c r="J18" s="59"/>
      <c r="K18" s="13"/>
      <c r="L18" s="14"/>
      <c r="M18" s="15"/>
    </row>
    <row r="19" spans="1:13">
      <c r="A19" s="42" t="str">
        <f t="shared" si="1"/>
        <v xml:space="preserve"> </v>
      </c>
      <c r="B19" s="71"/>
      <c r="C19" s="13"/>
      <c r="D19" s="72"/>
      <c r="E19" s="73"/>
      <c r="F19" s="74"/>
      <c r="G19" s="20"/>
      <c r="H19" s="42"/>
      <c r="I19" s="42"/>
      <c r="J19" s="59"/>
      <c r="K19" s="13"/>
      <c r="L19" s="14"/>
      <c r="M19" s="15"/>
    </row>
    <row r="20" spans="1:13">
      <c r="A20" s="42" t="str">
        <f t="shared" si="1"/>
        <v xml:space="preserve"> </v>
      </c>
      <c r="B20" s="71"/>
      <c r="C20" s="13"/>
      <c r="D20" s="72"/>
      <c r="E20" s="73"/>
      <c r="F20" s="74"/>
      <c r="G20" s="20"/>
      <c r="H20" s="42"/>
      <c r="I20" s="42"/>
      <c r="J20" s="59"/>
      <c r="K20" s="13"/>
      <c r="L20" s="14"/>
      <c r="M20" s="15"/>
    </row>
    <row r="21" spans="1:13">
      <c r="A21" s="42" t="str">
        <f t="shared" si="1"/>
        <v xml:space="preserve"> </v>
      </c>
      <c r="B21" s="71"/>
      <c r="C21" s="13"/>
      <c r="D21" s="72"/>
      <c r="E21" s="73"/>
      <c r="F21" s="74"/>
      <c r="G21" s="20"/>
      <c r="H21" s="42"/>
      <c r="I21" s="42"/>
      <c r="J21" s="59"/>
      <c r="K21" s="13"/>
      <c r="L21" s="14"/>
      <c r="M21" s="15"/>
    </row>
    <row r="22" spans="1:13">
      <c r="A22" s="42" t="str">
        <f t="shared" si="1"/>
        <v xml:space="preserve"> </v>
      </c>
      <c r="B22" s="71"/>
      <c r="C22" s="13"/>
      <c r="D22" s="72"/>
      <c r="E22" s="73"/>
      <c r="F22" s="74"/>
      <c r="G22" s="20"/>
      <c r="H22" s="42"/>
      <c r="I22" s="42"/>
      <c r="J22" s="59"/>
      <c r="K22" s="13"/>
      <c r="L22" s="14"/>
      <c r="M22" s="15"/>
    </row>
    <row r="23" spans="1:13">
      <c r="A23" s="42" t="str">
        <f t="shared" si="1"/>
        <v xml:space="preserve"> </v>
      </c>
      <c r="B23" s="71"/>
      <c r="C23" s="13"/>
      <c r="D23" s="72"/>
      <c r="E23" s="73"/>
      <c r="F23" s="74"/>
      <c r="G23" s="20"/>
      <c r="H23" s="42"/>
      <c r="I23" s="42"/>
      <c r="J23" s="59"/>
      <c r="K23" s="13"/>
      <c r="L23" s="14"/>
      <c r="M23" s="15"/>
    </row>
    <row r="24" spans="1:13">
      <c r="A24" s="89" t="str">
        <f t="shared" si="1"/>
        <v xml:space="preserve"> </v>
      </c>
      <c r="B24" s="66"/>
      <c r="C24" s="31"/>
      <c r="D24" s="97"/>
      <c r="E24" s="98"/>
      <c r="F24" s="99"/>
      <c r="G24" s="20"/>
      <c r="H24" s="89"/>
      <c r="I24" s="89"/>
      <c r="J24" s="92"/>
      <c r="K24" s="31"/>
      <c r="L24" s="32"/>
      <c r="M24" s="33"/>
    </row>
    <row r="25" spans="1:13">
      <c r="A25" s="89" t="str">
        <f>IF(B25=""," ",#REF!+1)</f>
        <v xml:space="preserve"> </v>
      </c>
      <c r="B25" s="96"/>
      <c r="C25" s="31"/>
      <c r="D25" s="97"/>
      <c r="E25" s="98"/>
      <c r="F25" s="99"/>
      <c r="G25" s="20"/>
      <c r="H25" s="89"/>
      <c r="I25" s="89"/>
      <c r="J25" s="92"/>
      <c r="K25" s="31"/>
      <c r="L25" s="32"/>
      <c r="M25" s="33"/>
    </row>
    <row r="26" spans="1:13">
      <c r="A26" s="89" t="str">
        <f>IF(B26=""," ",#REF!+1)</f>
        <v xml:space="preserve"> </v>
      </c>
      <c r="B26" s="96"/>
      <c r="C26" s="31"/>
      <c r="D26" s="97"/>
      <c r="E26" s="98"/>
      <c r="F26" s="99"/>
      <c r="G26" s="20"/>
      <c r="H26" s="89"/>
      <c r="I26" s="89"/>
      <c r="J26" s="92"/>
      <c r="K26" s="31"/>
      <c r="L26" s="32"/>
      <c r="M26" s="33"/>
    </row>
    <row r="27" spans="1:13">
      <c r="A27" s="89" t="str">
        <f t="shared" si="1"/>
        <v xml:space="preserve"> </v>
      </c>
      <c r="B27" s="96"/>
      <c r="C27" s="31"/>
      <c r="D27" s="97"/>
      <c r="E27" s="98"/>
      <c r="F27" s="99"/>
      <c r="G27" s="20"/>
      <c r="H27" s="89"/>
      <c r="I27" s="89"/>
      <c r="J27" s="92"/>
      <c r="K27" s="31"/>
      <c r="L27" s="32"/>
      <c r="M27" s="33"/>
    </row>
    <row r="28" spans="1:13">
      <c r="A28" s="89" t="str">
        <f t="shared" si="1"/>
        <v xml:space="preserve"> </v>
      </c>
      <c r="B28" s="96"/>
      <c r="C28" s="31"/>
      <c r="D28" s="97"/>
      <c r="E28" s="98"/>
      <c r="F28" s="99"/>
      <c r="G28" s="20"/>
      <c r="H28" s="89"/>
      <c r="I28" s="89"/>
      <c r="J28" s="92"/>
      <c r="K28" s="31"/>
      <c r="L28" s="32"/>
      <c r="M28" s="33"/>
    </row>
    <row r="29" spans="1:13">
      <c r="A29" s="89" t="str">
        <f t="shared" si="1"/>
        <v xml:space="preserve"> </v>
      </c>
      <c r="B29" s="96"/>
      <c r="C29" s="31"/>
      <c r="D29" s="97"/>
      <c r="E29" s="98"/>
      <c r="F29" s="99"/>
      <c r="G29" s="20"/>
      <c r="H29" s="89"/>
      <c r="I29" s="89"/>
      <c r="J29" s="92"/>
      <c r="K29" s="31"/>
      <c r="L29" s="32"/>
      <c r="M29" s="33"/>
    </row>
    <row r="30" spans="1:13">
      <c r="A30" s="89" t="str">
        <f>IF(B30=""," ",A29+1)</f>
        <v xml:space="preserve"> </v>
      </c>
      <c r="B30" s="96"/>
      <c r="C30" s="31"/>
      <c r="D30" s="97"/>
      <c r="E30" s="98"/>
      <c r="F30" s="99"/>
      <c r="G30" s="20"/>
      <c r="H30" s="89"/>
      <c r="I30" s="89"/>
      <c r="J30" s="92"/>
      <c r="K30" s="31"/>
      <c r="L30" s="32"/>
      <c r="M30" s="33"/>
    </row>
    <row r="31" spans="1:13">
      <c r="A31" s="89" t="str">
        <f t="shared" si="1"/>
        <v xml:space="preserve"> </v>
      </c>
      <c r="B31" s="96"/>
      <c r="C31" s="31"/>
      <c r="D31" s="97"/>
      <c r="E31" s="98"/>
      <c r="F31" s="99"/>
      <c r="G31" s="20"/>
      <c r="H31" s="89"/>
      <c r="I31" s="89"/>
      <c r="J31" s="92"/>
      <c r="K31" s="31"/>
      <c r="L31" s="32"/>
      <c r="M31" s="33"/>
    </row>
    <row r="32" spans="1:13">
      <c r="A32" s="89" t="str">
        <f t="shared" si="1"/>
        <v xml:space="preserve"> </v>
      </c>
      <c r="B32" s="96"/>
      <c r="C32" s="31"/>
      <c r="D32" s="97"/>
      <c r="E32" s="98"/>
      <c r="F32" s="99"/>
      <c r="G32" s="21"/>
      <c r="H32" s="89"/>
      <c r="I32" s="89"/>
      <c r="J32" s="92"/>
      <c r="K32" s="31"/>
      <c r="L32" s="32"/>
      <c r="M32" s="33"/>
    </row>
    <row r="33" spans="1:13">
      <c r="A33" s="89" t="str">
        <f t="shared" si="1"/>
        <v xml:space="preserve"> </v>
      </c>
      <c r="B33" s="96"/>
      <c r="C33" s="31"/>
      <c r="D33" s="97"/>
      <c r="E33" s="98"/>
      <c r="F33" s="99"/>
      <c r="G33" s="21"/>
      <c r="H33" s="89"/>
      <c r="I33" s="89"/>
      <c r="J33" s="92"/>
      <c r="K33" s="31"/>
      <c r="L33" s="32"/>
      <c r="M33" s="33"/>
    </row>
    <row r="34" spans="1:13">
      <c r="A34" s="89" t="str">
        <f t="shared" si="1"/>
        <v xml:space="preserve"> </v>
      </c>
      <c r="B34" s="96"/>
      <c r="C34" s="31"/>
      <c r="D34" s="97"/>
      <c r="E34" s="98"/>
      <c r="F34" s="99"/>
      <c r="G34" s="21"/>
      <c r="H34" s="89"/>
      <c r="I34" s="89"/>
      <c r="J34" s="92"/>
      <c r="K34" s="31"/>
      <c r="L34" s="32"/>
      <c r="M34" s="33"/>
    </row>
    <row r="35" spans="1:13">
      <c r="A35" s="89" t="str">
        <f t="shared" si="1"/>
        <v xml:space="preserve"> </v>
      </c>
      <c r="B35" s="96"/>
      <c r="C35" s="31"/>
      <c r="D35" s="97"/>
      <c r="E35" s="98"/>
      <c r="F35" s="99"/>
      <c r="G35" s="21"/>
      <c r="H35" s="89"/>
      <c r="I35" s="89"/>
      <c r="J35" s="92"/>
      <c r="K35" s="31"/>
      <c r="L35" s="32"/>
      <c r="M35" s="33"/>
    </row>
    <row r="36" spans="1:13">
      <c r="A36" s="42" t="str">
        <f>IF(B36=""," ",A35+1)</f>
        <v xml:space="preserve"> </v>
      </c>
      <c r="B36" s="71"/>
      <c r="C36" s="13"/>
      <c r="D36" s="72"/>
      <c r="E36" s="73"/>
      <c r="F36" s="74"/>
      <c r="G36" s="20"/>
      <c r="H36" s="42"/>
      <c r="I36" s="42"/>
      <c r="J36" s="59"/>
      <c r="K36" s="609"/>
      <c r="L36" s="610"/>
      <c r="M36" s="611"/>
    </row>
    <row r="37" spans="1:13">
      <c r="A37" s="42" t="str">
        <f>IF(B37=""," ",#REF!+1)</f>
        <v xml:space="preserve"> </v>
      </c>
      <c r="B37" s="71"/>
      <c r="C37" s="13"/>
      <c r="D37" s="72"/>
      <c r="E37" s="73"/>
      <c r="F37" s="74"/>
      <c r="G37" s="20"/>
      <c r="H37" s="42"/>
      <c r="I37" s="42"/>
      <c r="J37" s="59"/>
      <c r="K37" s="609"/>
      <c r="L37" s="610"/>
      <c r="M37" s="611"/>
    </row>
    <row r="38" spans="1:13">
      <c r="A38" s="42" t="str">
        <f>IF(B38=""," ",#REF!+1)</f>
        <v xml:space="preserve"> </v>
      </c>
      <c r="B38" s="71"/>
      <c r="C38" s="13"/>
      <c r="D38" s="72"/>
      <c r="E38" s="73"/>
      <c r="F38" s="74"/>
      <c r="G38" s="20"/>
      <c r="H38" s="42"/>
      <c r="I38" s="42"/>
      <c r="J38" s="59"/>
      <c r="K38" s="13"/>
      <c r="L38" s="14"/>
      <c r="M38" s="15"/>
    </row>
    <row r="39" spans="1:13">
      <c r="A39" s="42" t="str">
        <f>IF(B39=""," ",A38+1)</f>
        <v xml:space="preserve"> </v>
      </c>
      <c r="B39" s="71"/>
      <c r="C39" s="13"/>
      <c r="D39" s="72"/>
      <c r="E39" s="73"/>
      <c r="F39" s="74"/>
      <c r="G39" s="20"/>
      <c r="H39" s="42"/>
      <c r="I39" s="42"/>
      <c r="J39" s="59"/>
      <c r="K39" s="13"/>
      <c r="L39" s="14"/>
      <c r="M39" s="15"/>
    </row>
    <row r="40" spans="1:13">
      <c r="A40" s="42" t="str">
        <f>IF(B40=""," ",A39+1)</f>
        <v xml:space="preserve"> </v>
      </c>
      <c r="B40" s="71"/>
      <c r="C40" s="13"/>
      <c r="D40" s="72"/>
      <c r="E40" s="73"/>
      <c r="F40" s="74"/>
      <c r="G40" s="20"/>
      <c r="H40" s="42"/>
      <c r="I40" s="42"/>
      <c r="J40" s="59"/>
      <c r="K40" s="609"/>
      <c r="L40" s="610"/>
      <c r="M40" s="611"/>
    </row>
    <row r="41" spans="1:13">
      <c r="A41" s="42" t="str">
        <f>IF(B41=""," ",#REF!+1)</f>
        <v xml:space="preserve"> </v>
      </c>
      <c r="B41" s="71"/>
      <c r="C41" s="13"/>
      <c r="D41" s="72"/>
      <c r="E41" s="73"/>
      <c r="F41" s="74"/>
      <c r="G41" s="20"/>
      <c r="H41" s="42"/>
      <c r="I41" s="42"/>
      <c r="J41" s="59"/>
      <c r="K41" s="609"/>
      <c r="L41" s="610"/>
      <c r="M41" s="611"/>
    </row>
    <row r="42" spans="1:13">
      <c r="A42" s="42" t="str">
        <f>IF(B42=""," ",#REF!+1)</f>
        <v xml:space="preserve"> </v>
      </c>
      <c r="B42" s="71"/>
      <c r="C42" s="13"/>
      <c r="D42" s="72"/>
      <c r="E42" s="73"/>
      <c r="F42" s="74"/>
      <c r="G42" s="20"/>
      <c r="H42" s="42"/>
      <c r="I42" s="42"/>
      <c r="J42" s="59"/>
      <c r="K42" s="13"/>
      <c r="L42" s="14"/>
      <c r="M42" s="15"/>
    </row>
    <row r="43" spans="1:13">
      <c r="A43" s="42" t="str">
        <f>IF(B43=""," ",A42+1)</f>
        <v xml:space="preserve"> </v>
      </c>
      <c r="B43" s="71"/>
      <c r="C43" s="13"/>
      <c r="D43" s="72"/>
      <c r="E43" s="73"/>
      <c r="F43" s="74"/>
      <c r="G43" s="20"/>
      <c r="H43" s="42"/>
      <c r="I43" s="42"/>
      <c r="J43" s="59"/>
      <c r="K43" s="13"/>
      <c r="L43" s="14"/>
      <c r="M43" s="15"/>
    </row>
    <row r="44" spans="1:13">
      <c r="A44" s="42" t="str">
        <f>IF(B44=""," ",A43+1)</f>
        <v xml:space="preserve"> </v>
      </c>
      <c r="B44" s="71"/>
      <c r="C44" s="13"/>
      <c r="D44" s="72"/>
      <c r="E44" s="73"/>
      <c r="F44" s="74"/>
      <c r="G44" s="20"/>
      <c r="H44" s="42"/>
      <c r="I44" s="42"/>
      <c r="J44" s="59"/>
      <c r="K44" s="609"/>
      <c r="L44" s="610"/>
      <c r="M44" s="611"/>
    </row>
    <row r="45" spans="1:13">
      <c r="A45" s="42" t="str">
        <f>IF(B45=""," ",#REF!+1)</f>
        <v xml:space="preserve"> </v>
      </c>
      <c r="B45" s="71"/>
      <c r="C45" s="13"/>
      <c r="D45" s="72"/>
      <c r="E45" s="73"/>
      <c r="F45" s="74"/>
      <c r="G45" s="20"/>
      <c r="H45" s="42"/>
      <c r="I45" s="42"/>
      <c r="J45" s="59"/>
      <c r="K45" s="609"/>
      <c r="L45" s="610"/>
      <c r="M45" s="611"/>
    </row>
    <row r="46" spans="1:13">
      <c r="A46" s="42" t="str">
        <f>IF(B46=""," ",#REF!+1)</f>
        <v xml:space="preserve"> </v>
      </c>
      <c r="B46" s="71"/>
      <c r="C46" s="13"/>
      <c r="D46" s="72"/>
      <c r="E46" s="73"/>
      <c r="F46" s="74"/>
      <c r="G46" s="20"/>
      <c r="H46" s="42"/>
      <c r="I46" s="42"/>
      <c r="J46" s="59"/>
      <c r="K46" s="13"/>
      <c r="L46" s="14"/>
      <c r="M46" s="15"/>
    </row>
    <row r="47" spans="1:13">
      <c r="A47" s="42" t="str">
        <f>IF(B47=""," ",A46+1)</f>
        <v xml:space="preserve"> </v>
      </c>
      <c r="B47" s="71"/>
      <c r="C47" s="13"/>
      <c r="D47" s="72"/>
      <c r="E47" s="73"/>
      <c r="F47" s="74"/>
      <c r="G47" s="20"/>
      <c r="H47" s="42"/>
      <c r="I47" s="42"/>
      <c r="J47" s="59"/>
      <c r="K47" s="13"/>
      <c r="L47" s="14"/>
      <c r="M47" s="15"/>
    </row>
    <row r="48" spans="1:13">
      <c r="A48" s="42" t="str">
        <f>IF(B48=""," ",A47+1)</f>
        <v xml:space="preserve"> </v>
      </c>
      <c r="B48" s="71"/>
      <c r="C48" s="13"/>
      <c r="D48" s="72"/>
      <c r="E48" s="73"/>
      <c r="F48" s="74"/>
      <c r="G48" s="20"/>
      <c r="H48" s="42"/>
      <c r="I48" s="42"/>
      <c r="J48" s="59"/>
      <c r="K48" s="609"/>
      <c r="L48" s="610"/>
      <c r="M48" s="611"/>
    </row>
    <row r="49" spans="1:13">
      <c r="A49" s="42" t="str">
        <f>IF(B49=""," ",#REF!+1)</f>
        <v xml:space="preserve"> </v>
      </c>
      <c r="B49" s="71"/>
      <c r="C49" s="13"/>
      <c r="D49" s="72"/>
      <c r="E49" s="73"/>
      <c r="F49" s="74"/>
      <c r="G49" s="20"/>
      <c r="H49" s="42"/>
      <c r="I49" s="42"/>
      <c r="J49" s="59"/>
      <c r="K49" s="609"/>
      <c r="L49" s="610"/>
      <c r="M49" s="611"/>
    </row>
    <row r="50" spans="1:13">
      <c r="A50" s="42" t="str">
        <f>IF(B50=""," ",#REF!+1)</f>
        <v xml:space="preserve"> </v>
      </c>
      <c r="B50" s="71"/>
      <c r="C50" s="13"/>
      <c r="D50" s="72"/>
      <c r="E50" s="73"/>
      <c r="F50" s="74"/>
      <c r="G50" s="20"/>
      <c r="H50" s="42"/>
      <c r="I50" s="42"/>
      <c r="J50" s="59"/>
      <c r="K50" s="13"/>
      <c r="L50" s="14"/>
      <c r="M50" s="15"/>
    </row>
    <row r="51" spans="1:13">
      <c r="A51" s="42" t="str">
        <f>IF(B51=""," ",A50+1)</f>
        <v xml:space="preserve"> </v>
      </c>
      <c r="B51" s="71"/>
      <c r="C51" s="13"/>
      <c r="D51" s="72"/>
      <c r="E51" s="73"/>
      <c r="F51" s="74"/>
      <c r="G51" s="20"/>
      <c r="H51" s="42"/>
      <c r="I51" s="42"/>
      <c r="J51" s="59"/>
      <c r="K51" s="13"/>
      <c r="L51" s="14"/>
      <c r="M51" s="15"/>
    </row>
    <row r="52" spans="1:13">
      <c r="A52" s="42" t="str">
        <f>IF(B52=""," ",A51+1)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609"/>
      <c r="L53" s="610"/>
      <c r="M53" s="611"/>
    </row>
    <row r="54" spans="1:13">
      <c r="A54" s="42" t="str">
        <f>IF(B54=""," ",#REF!+1)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13"/>
      <c r="L55" s="14"/>
      <c r="M55" s="15"/>
    </row>
    <row r="56" spans="1:13">
      <c r="A56" s="42" t="str">
        <f>IF(B56=""," ",A55+1)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609"/>
      <c r="L57" s="610"/>
      <c r="M57" s="611"/>
    </row>
    <row r="58" spans="1:13">
      <c r="A58" s="42" t="str">
        <f>IF(B58=""," ",#REF!+1)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13"/>
      <c r="L59" s="14"/>
      <c r="M59" s="15"/>
    </row>
    <row r="60" spans="1:13">
      <c r="A60" s="42" t="str">
        <f>IF(B60=""," ",A59+1)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13"/>
      <c r="L99" s="14"/>
      <c r="M99" s="15"/>
    </row>
    <row r="100" spans="1:13">
      <c r="A100" s="42" t="str">
        <f>IF(B100=""," ",A99+1)</f>
        <v xml:space="preserve"> </v>
      </c>
      <c r="B100" s="71"/>
      <c r="C100" s="13"/>
      <c r="D100" s="72"/>
      <c r="E100" s="73"/>
      <c r="F100" s="74"/>
      <c r="G100" s="20"/>
      <c r="H100" s="42"/>
      <c r="I100" s="42"/>
      <c r="J100" s="59"/>
      <c r="K100" s="13"/>
      <c r="L100" s="14"/>
      <c r="M100" s="15"/>
    </row>
    <row r="102" spans="1:13">
      <c r="B102" s="16" t="s">
        <v>1691</v>
      </c>
    </row>
    <row r="104" spans="1:13">
      <c r="B104" s="16" t="s">
        <v>1692</v>
      </c>
      <c r="C104" s="16" t="s">
        <v>1693</v>
      </c>
      <c r="D104" s="16" t="s">
        <v>1695</v>
      </c>
    </row>
    <row r="105" spans="1:13">
      <c r="D105" s="16" t="s">
        <v>1694</v>
      </c>
    </row>
    <row r="106" spans="1:13">
      <c r="D106" s="16" t="s">
        <v>1726</v>
      </c>
    </row>
    <row r="107" spans="1:13">
      <c r="C107" s="16" t="s">
        <v>1720</v>
      </c>
      <c r="D107" s="16" t="s">
        <v>1724</v>
      </c>
    </row>
    <row r="108" spans="1:13">
      <c r="C108" s="16" t="s">
        <v>1725</v>
      </c>
    </row>
    <row r="110" spans="1:13">
      <c r="B110" s="75" t="s">
        <v>1463</v>
      </c>
      <c r="C110" s="16" t="s">
        <v>1411</v>
      </c>
    </row>
    <row r="112" spans="1:13">
      <c r="B112" s="16" t="s">
        <v>725</v>
      </c>
      <c r="C112" s="16" t="s">
        <v>1720</v>
      </c>
      <c r="D112" s="16" t="s">
        <v>748</v>
      </c>
    </row>
  </sheetData>
  <mergeCells count="50">
    <mergeCell ref="K92:M92"/>
    <mergeCell ref="K93:M93"/>
    <mergeCell ref="K96:M96"/>
    <mergeCell ref="K97:M97"/>
    <mergeCell ref="K84:M84"/>
    <mergeCell ref="K85:M85"/>
    <mergeCell ref="K88:M88"/>
    <mergeCell ref="K89:M89"/>
    <mergeCell ref="K76:M76"/>
    <mergeCell ref="K77:M77"/>
    <mergeCell ref="K80:M80"/>
    <mergeCell ref="K81:M81"/>
    <mergeCell ref="K68:M68"/>
    <mergeCell ref="K69:M69"/>
    <mergeCell ref="K72:M72"/>
    <mergeCell ref="K73:M73"/>
    <mergeCell ref="K60:M60"/>
    <mergeCell ref="K61:M61"/>
    <mergeCell ref="K64:M64"/>
    <mergeCell ref="K65:M65"/>
    <mergeCell ref="K52:M52"/>
    <mergeCell ref="K53:M53"/>
    <mergeCell ref="K56:M56"/>
    <mergeCell ref="K57:M57"/>
    <mergeCell ref="K44:M44"/>
    <mergeCell ref="K45:M45"/>
    <mergeCell ref="K48:M48"/>
    <mergeCell ref="K49:M49"/>
    <mergeCell ref="K36:M36"/>
    <mergeCell ref="K37:M37"/>
    <mergeCell ref="K40:M40"/>
    <mergeCell ref="K41:M41"/>
    <mergeCell ref="K11:M11"/>
    <mergeCell ref="K8:M8"/>
    <mergeCell ref="K9:M9"/>
    <mergeCell ref="K10:M10"/>
    <mergeCell ref="B5:C5"/>
    <mergeCell ref="K5:M6"/>
    <mergeCell ref="I5:J5"/>
    <mergeCell ref="D5:H5"/>
    <mergeCell ref="H4:I4"/>
    <mergeCell ref="H3:I3"/>
    <mergeCell ref="A5:A6"/>
    <mergeCell ref="A2:B2"/>
    <mergeCell ref="A3:B3"/>
    <mergeCell ref="A4:B4"/>
    <mergeCell ref="H2:J2"/>
    <mergeCell ref="C2:G2"/>
    <mergeCell ref="C3:G3"/>
    <mergeCell ref="C4:G4"/>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pageSetUpPr fitToPage="1"/>
  </sheetPr>
  <dimension ref="A1:P112"/>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bestFit="1" customWidth="1"/>
    <col min="2" max="2" width="28.625" style="22" customWidth="1"/>
    <col min="3" max="3" width="13.375" style="22" customWidth="1"/>
    <col min="4" max="4" width="9.375" style="22" customWidth="1"/>
    <col min="5" max="6" width="4.75" style="22" bestFit="1" customWidth="1"/>
    <col min="7" max="7" width="6.125" style="22" bestFit="1" customWidth="1"/>
    <col min="8" max="8" width="4.75" style="22" bestFit="1" customWidth="1"/>
    <col min="9" max="9" width="4.75" style="22" customWidth="1"/>
    <col min="10" max="11" width="9.625" style="22" customWidth="1"/>
    <col min="12" max="13" width="10.25" style="22" customWidth="1"/>
    <col min="14" max="14" width="9" style="22"/>
    <col min="15" max="16" width="9" style="22" hidden="1" customWidth="1"/>
    <col min="17" max="16384" width="9" style="22"/>
  </cols>
  <sheetData>
    <row r="1" spans="1:16">
      <c r="B1" s="47"/>
    </row>
    <row r="2" spans="1:16">
      <c r="A2" s="670" t="s">
        <v>602</v>
      </c>
      <c r="B2" s="671"/>
      <c r="C2" s="670" t="s">
        <v>36</v>
      </c>
      <c r="D2" s="676"/>
      <c r="E2" s="676"/>
      <c r="F2" s="676"/>
      <c r="G2" s="671"/>
      <c r="H2" s="670"/>
      <c r="I2" s="676"/>
      <c r="J2" s="671"/>
      <c r="K2" s="81"/>
      <c r="L2" s="82" t="s">
        <v>37</v>
      </c>
      <c r="M2" s="82" t="s">
        <v>38</v>
      </c>
    </row>
    <row r="3" spans="1:16">
      <c r="A3" s="672"/>
      <c r="B3" s="673"/>
      <c r="C3" s="750" t="s">
        <v>534</v>
      </c>
      <c r="D3" s="751"/>
      <c r="E3" s="751"/>
      <c r="F3" s="751"/>
      <c r="G3" s="752"/>
      <c r="H3" s="670" t="s">
        <v>39</v>
      </c>
      <c r="I3" s="671"/>
      <c r="J3" s="83">
        <f>COUNT(A7:A100)</f>
        <v>15</v>
      </c>
      <c r="K3" s="82" t="s">
        <v>40</v>
      </c>
      <c r="L3" s="84">
        <v>38630</v>
      </c>
      <c r="M3" s="41" t="s">
        <v>532</v>
      </c>
      <c r="O3" s="22" t="s">
        <v>41</v>
      </c>
      <c r="P3" s="22" t="s">
        <v>42</v>
      </c>
    </row>
    <row r="4" spans="1:16">
      <c r="A4" s="674" t="s">
        <v>43</v>
      </c>
      <c r="B4" s="675"/>
      <c r="C4" s="674" t="s">
        <v>1001</v>
      </c>
      <c r="D4" s="753"/>
      <c r="E4" s="753"/>
      <c r="F4" s="753"/>
      <c r="G4" s="675"/>
      <c r="H4" s="670" t="s">
        <v>44</v>
      </c>
      <c r="I4" s="671"/>
      <c r="J4" s="83">
        <f>SUM(G7:G100)</f>
        <v>123</v>
      </c>
      <c r="K4" s="82" t="s">
        <v>45</v>
      </c>
      <c r="L4" s="40">
        <v>38762</v>
      </c>
      <c r="M4" s="42" t="s">
        <v>1407</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c r="A7" s="89">
        <v>1</v>
      </c>
      <c r="B7" s="48" t="s">
        <v>535</v>
      </c>
      <c r="C7" s="49" t="s">
        <v>1433</v>
      </c>
      <c r="D7" s="78" t="s">
        <v>1434</v>
      </c>
      <c r="E7" s="98">
        <v>3</v>
      </c>
      <c r="F7" s="99"/>
      <c r="G7" s="20">
        <f t="shared" ref="G7:G21" si="0">IF(D7="DATE",4,IF(D7="CHAR",E7,IF(D7="SMALLINT",2,IF(D7="INTEGER",4,IF(D7="TIMESTAMP",10,IF(D7="TIME",3,0))))))</f>
        <v>3</v>
      </c>
      <c r="H7" s="89" t="s">
        <v>1435</v>
      </c>
      <c r="I7" s="89" t="s">
        <v>1435</v>
      </c>
      <c r="J7" s="92"/>
      <c r="K7" s="599"/>
      <c r="L7" s="600"/>
      <c r="M7" s="601"/>
      <c r="P7" s="22" t="s">
        <v>1436</v>
      </c>
    </row>
    <row r="8" spans="1:16">
      <c r="A8" s="42">
        <f t="shared" ref="A8:A21" si="1">IF(B8=""," ",A7+1)</f>
        <v>2</v>
      </c>
      <c r="B8" s="48" t="s">
        <v>1143</v>
      </c>
      <c r="C8" s="49" t="s">
        <v>1145</v>
      </c>
      <c r="D8" s="78" t="s">
        <v>1434</v>
      </c>
      <c r="E8" s="98">
        <v>2</v>
      </c>
      <c r="F8" s="99"/>
      <c r="G8" s="20">
        <f>IF(D8="DATE",4,IF(D8="CHAR",E8,IF(D8="SMALLINT",2,IF(D8="INTEGER",4,IF(D8="TIMESTAMP",10,IF(D8="TIME",3,0))))))</f>
        <v>2</v>
      </c>
      <c r="H8" s="89" t="s">
        <v>1435</v>
      </c>
      <c r="I8" s="89" t="s">
        <v>505</v>
      </c>
      <c r="J8" s="92"/>
      <c r="K8" s="599"/>
      <c r="L8" s="600"/>
      <c r="M8" s="601"/>
      <c r="P8" s="22" t="s">
        <v>1418</v>
      </c>
    </row>
    <row r="9" spans="1:16">
      <c r="A9" s="42">
        <f t="shared" si="1"/>
        <v>3</v>
      </c>
      <c r="B9" s="48" t="s">
        <v>1144</v>
      </c>
      <c r="C9" s="49" t="s">
        <v>1146</v>
      </c>
      <c r="D9" s="78" t="s">
        <v>1434</v>
      </c>
      <c r="E9" s="98">
        <v>2</v>
      </c>
      <c r="F9" s="99"/>
      <c r="G9" s="20">
        <f>IF(D9="DATE",4,IF(D9="CHAR",E9,IF(D9="SMALLINT",2,IF(D9="INTEGER",4,IF(D9="TIMESTAMP",10,IF(D9="TIME",3,0))))))</f>
        <v>2</v>
      </c>
      <c r="H9" s="89" t="s">
        <v>1435</v>
      </c>
      <c r="I9" s="89" t="s">
        <v>505</v>
      </c>
      <c r="J9" s="92"/>
      <c r="K9" s="599"/>
      <c r="L9" s="600"/>
      <c r="M9" s="601"/>
      <c r="P9" s="22" t="s">
        <v>1418</v>
      </c>
    </row>
    <row r="10" spans="1:16">
      <c r="A10" s="42">
        <f t="shared" si="1"/>
        <v>4</v>
      </c>
      <c r="B10" s="48" t="s">
        <v>1747</v>
      </c>
      <c r="C10" s="49" t="s">
        <v>1091</v>
      </c>
      <c r="D10" s="78" t="s">
        <v>533</v>
      </c>
      <c r="E10" s="98">
        <v>3</v>
      </c>
      <c r="F10" s="99"/>
      <c r="G10" s="21">
        <f>IF(D10="DATE",4,IF(D10="CHAR",E10,IF(D10="SMALLINT",2,IF(D10="INTEGER",4,IF(D10="TIMESTAMP",10,IF(D10="TIME",3,0))))))</f>
        <v>3</v>
      </c>
      <c r="H10" s="89" t="s">
        <v>574</v>
      </c>
      <c r="I10" s="89"/>
      <c r="J10" s="92"/>
      <c r="K10" s="55"/>
      <c r="L10" s="56"/>
      <c r="M10" s="57"/>
      <c r="P10" s="22" t="s">
        <v>551</v>
      </c>
    </row>
    <row r="11" spans="1:16">
      <c r="A11" s="42">
        <f t="shared" si="1"/>
        <v>5</v>
      </c>
      <c r="B11" s="48" t="s">
        <v>1748</v>
      </c>
      <c r="C11" s="49" t="s">
        <v>1147</v>
      </c>
      <c r="D11" s="78" t="s">
        <v>533</v>
      </c>
      <c r="E11" s="98">
        <v>2</v>
      </c>
      <c r="F11" s="99"/>
      <c r="G11" s="21">
        <f>IF(D11="DATE",4,IF(D11="CHAR",E11,IF(D11="SMALLINT",2,IF(D11="INTEGER",4,IF(D11="TIMESTAMP",10,IF(D11="TIME",3,0))))))</f>
        <v>2</v>
      </c>
      <c r="H11" s="89" t="s">
        <v>574</v>
      </c>
      <c r="I11" s="89"/>
      <c r="J11" s="92"/>
      <c r="K11" s="55"/>
      <c r="L11" s="56"/>
      <c r="M11" s="57"/>
    </row>
    <row r="12" spans="1:16">
      <c r="A12" s="42">
        <f t="shared" si="1"/>
        <v>6</v>
      </c>
      <c r="B12" s="48" t="s">
        <v>1746</v>
      </c>
      <c r="C12" s="49" t="s">
        <v>1092</v>
      </c>
      <c r="D12" s="78" t="s">
        <v>533</v>
      </c>
      <c r="E12" s="98">
        <v>20</v>
      </c>
      <c r="F12" s="99"/>
      <c r="G12" s="21">
        <f>IF(D12="DATE",4,IF(D12="CHAR",E12,IF(D12="SMALLINT",2,IF(D12="INTEGER",4,IF(D12="TIMESTAMP",10,IF(D12="TIME",3,0))))))</f>
        <v>20</v>
      </c>
      <c r="H12" s="89" t="s">
        <v>574</v>
      </c>
      <c r="I12" s="89"/>
      <c r="J12" s="92"/>
      <c r="K12" s="55"/>
      <c r="L12" s="56"/>
      <c r="M12" s="57"/>
    </row>
    <row r="13" spans="1:16">
      <c r="A13" s="42">
        <f t="shared" si="1"/>
        <v>7</v>
      </c>
      <c r="B13" s="48" t="s">
        <v>1081</v>
      </c>
      <c r="C13" s="49" t="s">
        <v>1437</v>
      </c>
      <c r="D13" s="78" t="s">
        <v>1434</v>
      </c>
      <c r="E13" s="98">
        <v>20</v>
      </c>
      <c r="F13" s="99"/>
      <c r="G13" s="20">
        <f t="shared" si="0"/>
        <v>20</v>
      </c>
      <c r="H13" s="89" t="s">
        <v>1435</v>
      </c>
      <c r="I13" s="89"/>
      <c r="J13" s="92"/>
      <c r="K13" s="599"/>
      <c r="L13" s="600"/>
      <c r="M13" s="601"/>
      <c r="P13" s="22" t="s">
        <v>1418</v>
      </c>
    </row>
    <row r="14" spans="1:16">
      <c r="A14" s="42">
        <f t="shared" si="1"/>
        <v>8</v>
      </c>
      <c r="B14" s="48" t="s">
        <v>536</v>
      </c>
      <c r="C14" s="49" t="s">
        <v>539</v>
      </c>
      <c r="D14" s="78" t="s">
        <v>533</v>
      </c>
      <c r="E14" s="98">
        <v>20</v>
      </c>
      <c r="F14" s="99"/>
      <c r="G14" s="20">
        <f t="shared" si="0"/>
        <v>20</v>
      </c>
      <c r="H14" s="89" t="s">
        <v>1363</v>
      </c>
      <c r="I14" s="89"/>
      <c r="J14" s="92"/>
      <c r="K14" s="55"/>
      <c r="L14" s="56"/>
      <c r="M14" s="57"/>
      <c r="P14" s="22" t="s">
        <v>1438</v>
      </c>
    </row>
    <row r="15" spans="1:16">
      <c r="A15" s="42">
        <f t="shared" si="1"/>
        <v>9</v>
      </c>
      <c r="B15" s="48" t="s">
        <v>537</v>
      </c>
      <c r="C15" s="49" t="s">
        <v>1439</v>
      </c>
      <c r="D15" s="78" t="s">
        <v>533</v>
      </c>
      <c r="E15" s="98">
        <v>12</v>
      </c>
      <c r="F15" s="99"/>
      <c r="G15" s="20">
        <f t="shared" si="0"/>
        <v>12</v>
      </c>
      <c r="H15" s="89" t="s">
        <v>1363</v>
      </c>
      <c r="I15" s="89"/>
      <c r="J15" s="92"/>
      <c r="K15" s="55"/>
      <c r="L15" s="56"/>
      <c r="M15" s="57"/>
    </row>
    <row r="16" spans="1:16">
      <c r="A16" s="42">
        <f t="shared" si="1"/>
        <v>10</v>
      </c>
      <c r="B16" s="48" t="s">
        <v>538</v>
      </c>
      <c r="C16" s="49" t="s">
        <v>540</v>
      </c>
      <c r="D16" s="78" t="s">
        <v>533</v>
      </c>
      <c r="E16" s="98">
        <v>12</v>
      </c>
      <c r="F16" s="99"/>
      <c r="G16" s="20">
        <f t="shared" si="0"/>
        <v>12</v>
      </c>
      <c r="H16" s="89" t="s">
        <v>1363</v>
      </c>
      <c r="I16" s="89"/>
      <c r="J16" s="92"/>
      <c r="K16" s="55"/>
      <c r="L16" s="56"/>
      <c r="M16" s="57"/>
    </row>
    <row r="17" spans="1:13" ht="27" customHeight="1">
      <c r="A17" s="42">
        <f t="shared" si="1"/>
        <v>11</v>
      </c>
      <c r="B17" s="48" t="s">
        <v>1745</v>
      </c>
      <c r="C17" s="49" t="s">
        <v>1090</v>
      </c>
      <c r="D17" s="78" t="s">
        <v>533</v>
      </c>
      <c r="E17" s="98">
        <v>1</v>
      </c>
      <c r="F17" s="99"/>
      <c r="G17" s="20">
        <f>IF(D17="DATE",4,IF(D17="CHAR",E17,IF(D17="SMALLINT",2,IF(D17="INTEGER",4,IF(D17="TIMESTAMP",10,IF(D17="TIME",3,0))))))</f>
        <v>1</v>
      </c>
      <c r="H17" s="89" t="s">
        <v>1440</v>
      </c>
      <c r="I17" s="89"/>
      <c r="J17" s="92"/>
      <c r="K17" s="628" t="s">
        <v>1082</v>
      </c>
      <c r="L17" s="629"/>
      <c r="M17" s="630"/>
    </row>
    <row r="18" spans="1:13" s="113" customFormat="1" ht="13.5" customHeight="1">
      <c r="A18" s="42">
        <f t="shared" si="1"/>
        <v>12</v>
      </c>
      <c r="B18" s="64" t="s">
        <v>26</v>
      </c>
      <c r="C18" s="24" t="s">
        <v>1399</v>
      </c>
      <c r="D18" s="72" t="s">
        <v>519</v>
      </c>
      <c r="E18" s="73"/>
      <c r="F18" s="74"/>
      <c r="G18" s="20">
        <f t="shared" si="0"/>
        <v>4</v>
      </c>
      <c r="H18" s="89" t="s">
        <v>1400</v>
      </c>
      <c r="I18" s="42" t="s">
        <v>1400</v>
      </c>
      <c r="J18" s="59"/>
      <c r="K18" s="609" t="s">
        <v>1409</v>
      </c>
      <c r="L18" s="610"/>
      <c r="M18" s="611"/>
    </row>
    <row r="19" spans="1:13" s="113" customFormat="1">
      <c r="A19" s="42">
        <f t="shared" si="1"/>
        <v>13</v>
      </c>
      <c r="B19" s="64" t="s">
        <v>27</v>
      </c>
      <c r="C19" s="24" t="s">
        <v>1401</v>
      </c>
      <c r="D19" s="72" t="s">
        <v>1402</v>
      </c>
      <c r="E19" s="73"/>
      <c r="F19" s="74"/>
      <c r="G19" s="20">
        <f t="shared" si="0"/>
        <v>4</v>
      </c>
      <c r="H19" s="89" t="s">
        <v>1403</v>
      </c>
      <c r="I19" s="42"/>
      <c r="J19" s="59"/>
      <c r="K19" s="609" t="s">
        <v>1410</v>
      </c>
      <c r="L19" s="610"/>
      <c r="M19" s="611"/>
    </row>
    <row r="20" spans="1:13" s="16" customFormat="1" ht="12" customHeight="1">
      <c r="A20" s="42">
        <f t="shared" si="1"/>
        <v>14</v>
      </c>
      <c r="B20" s="64" t="s">
        <v>1083</v>
      </c>
      <c r="C20" s="24" t="s">
        <v>1084</v>
      </c>
      <c r="D20" s="72" t="s">
        <v>506</v>
      </c>
      <c r="E20" s="51">
        <v>8</v>
      </c>
      <c r="F20" s="58"/>
      <c r="G20" s="20">
        <f t="shared" si="0"/>
        <v>8</v>
      </c>
      <c r="H20" s="53" t="s">
        <v>1432</v>
      </c>
      <c r="I20" s="53"/>
      <c r="J20" s="59"/>
      <c r="K20" s="609" t="s">
        <v>1085</v>
      </c>
      <c r="L20" s="610"/>
      <c r="M20" s="611"/>
    </row>
    <row r="21" spans="1:13" s="16" customFormat="1">
      <c r="A21" s="42">
        <f t="shared" si="1"/>
        <v>15</v>
      </c>
      <c r="B21" s="64" t="s">
        <v>1724</v>
      </c>
      <c r="C21" s="24" t="s">
        <v>1404</v>
      </c>
      <c r="D21" s="65" t="s">
        <v>1405</v>
      </c>
      <c r="E21" s="51"/>
      <c r="F21" s="58"/>
      <c r="G21" s="20">
        <f t="shared" si="0"/>
        <v>10</v>
      </c>
      <c r="H21" s="53" t="s">
        <v>1406</v>
      </c>
      <c r="I21" s="42"/>
      <c r="J21" s="59"/>
      <c r="K21" s="749"/>
      <c r="L21" s="610"/>
      <c r="M21" s="611"/>
    </row>
    <row r="22" spans="1:13">
      <c r="A22" s="89" t="str">
        <f t="shared" ref="A22:A33" si="2">IF(B22=""," ",A21+1)</f>
        <v xml:space="preserve"> </v>
      </c>
      <c r="B22" s="66"/>
      <c r="C22" s="31"/>
      <c r="D22" s="97"/>
      <c r="E22" s="98"/>
      <c r="F22" s="99"/>
      <c r="G22" s="20"/>
      <c r="H22" s="89"/>
      <c r="I22" s="89"/>
      <c r="J22" s="92"/>
      <c r="K22" s="31"/>
      <c r="L22" s="32"/>
      <c r="M22" s="33"/>
    </row>
    <row r="23" spans="1:13">
      <c r="A23" s="89" t="str">
        <f>IF(B23=""," ",#REF!+1)</f>
        <v xml:space="preserve"> </v>
      </c>
      <c r="B23" s="96"/>
      <c r="C23" s="31"/>
      <c r="D23" s="97"/>
      <c r="E23" s="98"/>
      <c r="F23" s="99"/>
      <c r="G23" s="20"/>
      <c r="H23" s="89"/>
      <c r="I23" s="89"/>
      <c r="J23" s="92"/>
      <c r="K23" s="666"/>
      <c r="L23" s="667"/>
      <c r="M23" s="668"/>
    </row>
    <row r="24" spans="1:13">
      <c r="A24" s="89" t="str">
        <f>IF(B24=""," ",#REF!+1)</f>
        <v xml:space="preserve"> </v>
      </c>
      <c r="B24" s="96"/>
      <c r="C24" s="31"/>
      <c r="D24" s="97"/>
      <c r="E24" s="98"/>
      <c r="F24" s="99"/>
      <c r="G24" s="20"/>
      <c r="H24" s="89"/>
      <c r="I24" s="89"/>
      <c r="J24" s="92"/>
      <c r="K24" s="31"/>
      <c r="L24" s="32"/>
      <c r="M24" s="33"/>
    </row>
    <row r="25" spans="1:13">
      <c r="A25" s="89" t="str">
        <f t="shared" si="2"/>
        <v xml:space="preserve"> </v>
      </c>
      <c r="B25" s="96"/>
      <c r="C25" s="31"/>
      <c r="D25" s="97"/>
      <c r="E25" s="98"/>
      <c r="F25" s="99"/>
      <c r="G25" s="20"/>
      <c r="H25" s="89"/>
      <c r="I25" s="89"/>
      <c r="J25" s="92"/>
      <c r="K25" s="31"/>
      <c r="L25" s="32"/>
      <c r="M25" s="33"/>
    </row>
    <row r="26" spans="1:13">
      <c r="A26" s="89" t="str">
        <f t="shared" si="2"/>
        <v xml:space="preserve"> </v>
      </c>
      <c r="B26" s="96"/>
      <c r="C26" s="31"/>
      <c r="D26" s="97"/>
      <c r="E26" s="98"/>
      <c r="F26" s="99"/>
      <c r="G26" s="20"/>
      <c r="H26" s="89"/>
      <c r="I26" s="89"/>
      <c r="J26" s="92"/>
      <c r="K26" s="31"/>
      <c r="L26" s="32"/>
      <c r="M26" s="33"/>
    </row>
    <row r="27" spans="1:13">
      <c r="A27" s="89" t="str">
        <f t="shared" si="2"/>
        <v xml:space="preserve"> </v>
      </c>
      <c r="B27" s="96"/>
      <c r="C27" s="31"/>
      <c r="D27" s="97"/>
      <c r="E27" s="98"/>
      <c r="F27" s="99"/>
      <c r="G27" s="20"/>
      <c r="H27" s="89"/>
      <c r="I27" s="89"/>
      <c r="J27" s="92"/>
      <c r="K27" s="31"/>
      <c r="L27" s="32"/>
      <c r="M27" s="33"/>
    </row>
    <row r="28" spans="1:13">
      <c r="A28" s="89" t="str">
        <f>IF(B28=""," ",A27+1)</f>
        <v xml:space="preserve"> </v>
      </c>
      <c r="B28" s="96"/>
      <c r="C28" s="31"/>
      <c r="D28" s="97"/>
      <c r="E28" s="98"/>
      <c r="F28" s="99"/>
      <c r="G28" s="20"/>
      <c r="H28" s="89"/>
      <c r="I28" s="89"/>
      <c r="J28" s="92"/>
      <c r="K28" s="31"/>
      <c r="L28" s="32"/>
      <c r="M28" s="33"/>
    </row>
    <row r="29" spans="1:13">
      <c r="A29" s="89" t="str">
        <f t="shared" si="2"/>
        <v xml:space="preserve"> </v>
      </c>
      <c r="B29" s="96"/>
      <c r="C29" s="31"/>
      <c r="D29" s="97"/>
      <c r="E29" s="98"/>
      <c r="F29" s="99"/>
      <c r="G29" s="20"/>
      <c r="H29" s="89"/>
      <c r="I29" s="89"/>
      <c r="J29" s="92"/>
      <c r="K29" s="31"/>
      <c r="L29" s="32"/>
      <c r="M29" s="33"/>
    </row>
    <row r="30" spans="1:13">
      <c r="A30" s="89" t="str">
        <f t="shared" si="2"/>
        <v xml:space="preserve"> </v>
      </c>
      <c r="B30" s="96"/>
      <c r="C30" s="31"/>
      <c r="D30" s="97"/>
      <c r="E30" s="98"/>
      <c r="F30" s="99"/>
      <c r="G30" s="20"/>
      <c r="H30" s="89"/>
      <c r="I30" s="89"/>
      <c r="J30" s="92"/>
      <c r="K30" s="31"/>
      <c r="L30" s="32"/>
      <c r="M30" s="33"/>
    </row>
    <row r="31" spans="1:13">
      <c r="A31" s="89" t="str">
        <f t="shared" si="2"/>
        <v xml:space="preserve"> </v>
      </c>
      <c r="B31" s="96"/>
      <c r="C31" s="31"/>
      <c r="D31" s="97"/>
      <c r="E31" s="98"/>
      <c r="F31" s="99"/>
      <c r="G31" s="20"/>
      <c r="H31" s="89"/>
      <c r="I31" s="89"/>
      <c r="J31" s="92"/>
      <c r="K31" s="31"/>
      <c r="L31" s="32"/>
      <c r="M31" s="33"/>
    </row>
    <row r="32" spans="1:13">
      <c r="A32" s="89" t="str">
        <f t="shared" si="2"/>
        <v xml:space="preserve"> </v>
      </c>
      <c r="B32" s="96"/>
      <c r="C32" s="31"/>
      <c r="D32" s="97"/>
      <c r="E32" s="98"/>
      <c r="F32" s="99"/>
      <c r="G32" s="20"/>
      <c r="H32" s="89"/>
      <c r="I32" s="89"/>
      <c r="J32" s="92"/>
      <c r="K32" s="31"/>
      <c r="L32" s="32"/>
      <c r="M32" s="33"/>
    </row>
    <row r="33" spans="1:13">
      <c r="A33" s="89" t="str">
        <f t="shared" si="2"/>
        <v xml:space="preserve"> </v>
      </c>
      <c r="B33" s="96"/>
      <c r="C33" s="31"/>
      <c r="D33" s="97"/>
      <c r="E33" s="98"/>
      <c r="F33" s="99"/>
      <c r="G33" s="20"/>
      <c r="H33" s="89"/>
      <c r="I33" s="89"/>
      <c r="J33" s="92"/>
      <c r="K33" s="31"/>
      <c r="L33" s="32"/>
      <c r="M33" s="33"/>
    </row>
    <row r="34" spans="1:13">
      <c r="A34" s="42" t="str">
        <f>IF(B34=""," ",A33+1)</f>
        <v xml:space="preserve"> </v>
      </c>
      <c r="B34" s="71"/>
      <c r="C34" s="13"/>
      <c r="D34" s="72"/>
      <c r="E34" s="73"/>
      <c r="F34" s="74"/>
      <c r="G34" s="20"/>
      <c r="H34" s="42"/>
      <c r="I34" s="42"/>
      <c r="J34" s="59"/>
      <c r="K34" s="609"/>
      <c r="L34" s="610"/>
      <c r="M34" s="611"/>
    </row>
    <row r="35" spans="1:13">
      <c r="A35" s="42" t="str">
        <f>IF(B35=""," ",#REF!+1)</f>
        <v xml:space="preserve"> </v>
      </c>
      <c r="B35" s="71"/>
      <c r="C35" s="13"/>
      <c r="D35" s="72"/>
      <c r="E35" s="73"/>
      <c r="F35" s="74"/>
      <c r="G35" s="20"/>
      <c r="H35" s="42"/>
      <c r="I35" s="42"/>
      <c r="J35" s="59"/>
      <c r="K35" s="609"/>
      <c r="L35" s="610"/>
      <c r="M35" s="611"/>
    </row>
    <row r="36" spans="1:13">
      <c r="A36" s="42" t="str">
        <f>IF(B36=""," ",#REF!+1)</f>
        <v xml:space="preserve"> </v>
      </c>
      <c r="B36" s="71"/>
      <c r="C36" s="13"/>
      <c r="D36" s="72"/>
      <c r="E36" s="73"/>
      <c r="F36" s="74"/>
      <c r="G36" s="20"/>
      <c r="H36" s="42"/>
      <c r="I36" s="42"/>
      <c r="J36" s="59"/>
      <c r="K36" s="13"/>
      <c r="L36" s="14"/>
      <c r="M36" s="15"/>
    </row>
    <row r="37" spans="1:13">
      <c r="A37" s="42" t="str">
        <f>IF(B37=""," ",A36+1)</f>
        <v xml:space="preserve"> </v>
      </c>
      <c r="B37" s="71"/>
      <c r="C37" s="13"/>
      <c r="D37" s="72"/>
      <c r="E37" s="73"/>
      <c r="F37" s="74"/>
      <c r="G37" s="20"/>
      <c r="H37" s="42"/>
      <c r="I37" s="42"/>
      <c r="J37" s="59"/>
      <c r="K37" s="13"/>
      <c r="L37" s="14"/>
      <c r="M37" s="15"/>
    </row>
    <row r="38" spans="1:13">
      <c r="A38" s="42" t="str">
        <f>IF(B38=""," ",A37+1)</f>
        <v xml:space="preserve"> </v>
      </c>
      <c r="B38" s="71"/>
      <c r="C38" s="13"/>
      <c r="D38" s="72"/>
      <c r="E38" s="73"/>
      <c r="F38" s="74"/>
      <c r="G38" s="20"/>
      <c r="H38" s="42"/>
      <c r="I38" s="42"/>
      <c r="J38" s="59"/>
      <c r="K38" s="609"/>
      <c r="L38" s="610"/>
      <c r="M38" s="611"/>
    </row>
    <row r="39" spans="1:13">
      <c r="A39" s="42" t="str">
        <f>IF(B39=""," ",#REF!+1)</f>
        <v xml:space="preserve"> </v>
      </c>
      <c r="B39" s="71"/>
      <c r="C39" s="13"/>
      <c r="D39" s="72"/>
      <c r="E39" s="73"/>
      <c r="F39" s="74"/>
      <c r="G39" s="20"/>
      <c r="H39" s="42"/>
      <c r="I39" s="42"/>
      <c r="J39" s="59"/>
      <c r="K39" s="609"/>
      <c r="L39" s="610"/>
      <c r="M39" s="611"/>
    </row>
    <row r="40" spans="1:13">
      <c r="A40" s="42" t="str">
        <f>IF(B40=""," ",#REF!+1)</f>
        <v xml:space="preserve"> </v>
      </c>
      <c r="B40" s="71"/>
      <c r="C40" s="13"/>
      <c r="D40" s="72"/>
      <c r="E40" s="73"/>
      <c r="F40" s="74"/>
      <c r="G40" s="20"/>
      <c r="H40" s="42"/>
      <c r="I40" s="42"/>
      <c r="J40" s="59"/>
      <c r="K40" s="13"/>
      <c r="L40" s="14"/>
      <c r="M40" s="15"/>
    </row>
    <row r="41" spans="1:13">
      <c r="A41" s="42" t="str">
        <f>IF(B41=""," ",A40+1)</f>
        <v xml:space="preserve"> </v>
      </c>
      <c r="B41" s="71"/>
      <c r="C41" s="13"/>
      <c r="D41" s="72"/>
      <c r="E41" s="73"/>
      <c r="F41" s="74"/>
      <c r="G41" s="20"/>
      <c r="H41" s="42"/>
      <c r="I41" s="42"/>
      <c r="J41" s="59"/>
      <c r="K41" s="13"/>
      <c r="L41" s="14"/>
      <c r="M41" s="15"/>
    </row>
    <row r="42" spans="1:13">
      <c r="A42" s="42" t="str">
        <f>IF(B42=""," ",A41+1)</f>
        <v xml:space="preserve"> </v>
      </c>
      <c r="B42" s="71"/>
      <c r="C42" s="13"/>
      <c r="D42" s="72"/>
      <c r="E42" s="73"/>
      <c r="F42" s="74"/>
      <c r="G42" s="20"/>
      <c r="H42" s="42"/>
      <c r="I42" s="42"/>
      <c r="J42" s="59"/>
      <c r="K42" s="609"/>
      <c r="L42" s="610"/>
      <c r="M42" s="611"/>
    </row>
    <row r="43" spans="1:13">
      <c r="A43" s="42" t="str">
        <f>IF(B43=""," ",#REF!+1)</f>
        <v xml:space="preserve"> </v>
      </c>
      <c r="B43" s="71"/>
      <c r="C43" s="13"/>
      <c r="D43" s="72"/>
      <c r="E43" s="73"/>
      <c r="F43" s="74"/>
      <c r="G43" s="20"/>
      <c r="H43" s="42"/>
      <c r="I43" s="42"/>
      <c r="J43" s="59"/>
      <c r="K43" s="609"/>
      <c r="L43" s="610"/>
      <c r="M43" s="611"/>
    </row>
    <row r="44" spans="1:13">
      <c r="A44" s="42" t="str">
        <f>IF(B44=""," ",#REF!+1)</f>
        <v xml:space="preserve"> </v>
      </c>
      <c r="B44" s="71"/>
      <c r="C44" s="13"/>
      <c r="D44" s="72"/>
      <c r="E44" s="73"/>
      <c r="F44" s="74"/>
      <c r="G44" s="20"/>
      <c r="H44" s="42"/>
      <c r="I44" s="42"/>
      <c r="J44" s="59"/>
      <c r="K44" s="13"/>
      <c r="L44" s="14"/>
      <c r="M44" s="15"/>
    </row>
    <row r="45" spans="1:13">
      <c r="A45" s="42" t="str">
        <f>IF(B45=""," ",A44+1)</f>
        <v xml:space="preserve"> </v>
      </c>
      <c r="B45" s="71"/>
      <c r="C45" s="13"/>
      <c r="D45" s="72"/>
      <c r="E45" s="73"/>
      <c r="F45" s="74"/>
      <c r="G45" s="20"/>
      <c r="H45" s="42"/>
      <c r="I45" s="42"/>
      <c r="J45" s="59"/>
      <c r="K45" s="13"/>
      <c r="L45" s="14"/>
      <c r="M45" s="15"/>
    </row>
    <row r="46" spans="1:13">
      <c r="A46" s="42" t="str">
        <f>IF(B46=""," ",A45+1)</f>
        <v xml:space="preserve"> </v>
      </c>
      <c r="B46" s="71"/>
      <c r="C46" s="13"/>
      <c r="D46" s="72"/>
      <c r="E46" s="73"/>
      <c r="F46" s="74"/>
      <c r="G46" s="20"/>
      <c r="H46" s="42"/>
      <c r="I46" s="42"/>
      <c r="J46" s="59"/>
      <c r="K46" s="609"/>
      <c r="L46" s="610"/>
      <c r="M46" s="611"/>
    </row>
    <row r="47" spans="1:13">
      <c r="A47" s="42" t="str">
        <f>IF(B47=""," ",#REF!+1)</f>
        <v xml:space="preserve"> </v>
      </c>
      <c r="B47" s="71"/>
      <c r="C47" s="13"/>
      <c r="D47" s="72"/>
      <c r="E47" s="73"/>
      <c r="F47" s="74"/>
      <c r="G47" s="20"/>
      <c r="H47" s="42"/>
      <c r="I47" s="42"/>
      <c r="J47" s="59"/>
      <c r="K47" s="609"/>
      <c r="L47" s="610"/>
      <c r="M47" s="611"/>
    </row>
    <row r="48" spans="1:13">
      <c r="A48" s="42" t="str">
        <f>IF(B48=""," ",#REF!+1)</f>
        <v xml:space="preserve"> </v>
      </c>
      <c r="B48" s="71"/>
      <c r="C48" s="13"/>
      <c r="D48" s="72"/>
      <c r="E48" s="73"/>
      <c r="F48" s="74"/>
      <c r="G48" s="20"/>
      <c r="H48" s="42"/>
      <c r="I48" s="42"/>
      <c r="J48" s="59"/>
      <c r="K48" s="13"/>
      <c r="L48" s="14"/>
      <c r="M48" s="15"/>
    </row>
    <row r="49" spans="1:13">
      <c r="A49" s="42" t="str">
        <f>IF(B49=""," ",A48+1)</f>
        <v xml:space="preserve"> </v>
      </c>
      <c r="B49" s="71"/>
      <c r="C49" s="13"/>
      <c r="D49" s="72"/>
      <c r="E49" s="73"/>
      <c r="F49" s="74"/>
      <c r="G49" s="20"/>
      <c r="H49" s="42"/>
      <c r="I49" s="42"/>
      <c r="J49" s="59"/>
      <c r="K49" s="13"/>
      <c r="L49" s="14"/>
      <c r="M49" s="15"/>
    </row>
    <row r="50" spans="1:13">
      <c r="A50" s="42" t="str">
        <f>IF(B50=""," ",A49+1)</f>
        <v xml:space="preserve"> </v>
      </c>
      <c r="B50" s="71"/>
      <c r="C50" s="13"/>
      <c r="D50" s="72"/>
      <c r="E50" s="73"/>
      <c r="F50" s="74"/>
      <c r="G50" s="20"/>
      <c r="H50" s="42"/>
      <c r="I50" s="42"/>
      <c r="J50" s="59"/>
      <c r="K50" s="609"/>
      <c r="L50" s="610"/>
      <c r="M50" s="611"/>
    </row>
    <row r="51" spans="1:13">
      <c r="A51" s="42" t="str">
        <f>IF(B51=""," ",#REF!+1)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13"/>
      <c r="L52" s="14"/>
      <c r="M52" s="15"/>
    </row>
    <row r="53" spans="1:13">
      <c r="A53" s="42" t="str">
        <f>IF(B53=""," ",A52+1)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609"/>
      <c r="L54" s="610"/>
      <c r="M54" s="611"/>
    </row>
    <row r="55" spans="1:13">
      <c r="A55" s="42" t="str">
        <f>IF(B55=""," ",#REF!+1)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13"/>
      <c r="L56" s="14"/>
      <c r="M56" s="15"/>
    </row>
    <row r="57" spans="1:13">
      <c r="A57" s="42" t="str">
        <f>IF(B57=""," ",A56+1)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609"/>
      <c r="L58" s="610"/>
      <c r="M58" s="611"/>
    </row>
    <row r="59" spans="1:13">
      <c r="A59" s="42" t="str">
        <f>IF(B59=""," ",#REF!+1)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13"/>
      <c r="L60" s="14"/>
      <c r="M60" s="15"/>
    </row>
    <row r="61" spans="1:13">
      <c r="A61" s="42" t="str">
        <f>IF(B61=""," ",A60+1)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13"/>
      <c r="L98" s="14"/>
      <c r="M98" s="15"/>
    </row>
    <row r="99" spans="1:13">
      <c r="A99" s="42" t="str">
        <f>IF(B99=""," ",A97+1)</f>
        <v xml:space="preserve"> </v>
      </c>
      <c r="B99" s="71"/>
      <c r="C99" s="13"/>
      <c r="D99" s="72"/>
      <c r="E99" s="73"/>
      <c r="F99" s="74"/>
      <c r="G99" s="20"/>
      <c r="H99" s="42"/>
      <c r="I99" s="42"/>
      <c r="J99" s="59"/>
      <c r="K99" s="609"/>
      <c r="L99" s="610"/>
      <c r="M99" s="611"/>
    </row>
    <row r="100" spans="1:13">
      <c r="A100" s="42" t="str">
        <f>IF(B100=""," ",A98+1)</f>
        <v xml:space="preserve"> </v>
      </c>
      <c r="B100" s="71"/>
      <c r="C100" s="13"/>
      <c r="D100" s="72"/>
      <c r="E100" s="73"/>
      <c r="F100" s="74"/>
      <c r="G100" s="20"/>
      <c r="H100" s="42"/>
      <c r="I100" s="42"/>
      <c r="J100" s="59"/>
      <c r="K100" s="609"/>
      <c r="L100" s="610"/>
      <c r="M100" s="611"/>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c r="B110" s="22" t="s">
        <v>798</v>
      </c>
      <c r="C110" s="22" t="s">
        <v>1720</v>
      </c>
      <c r="D110" s="22" t="s">
        <v>1745</v>
      </c>
    </row>
    <row r="112" spans="1:13" s="16" customFormat="1">
      <c r="A112" s="46"/>
      <c r="B112" s="75" t="s">
        <v>799</v>
      </c>
      <c r="C112" s="16" t="s">
        <v>1411</v>
      </c>
    </row>
  </sheetData>
  <mergeCells count="58">
    <mergeCell ref="K100:M100"/>
    <mergeCell ref="K82:M82"/>
    <mergeCell ref="K83:M83"/>
    <mergeCell ref="K86:M86"/>
    <mergeCell ref="K87:M87"/>
    <mergeCell ref="K91:M91"/>
    <mergeCell ref="K94:M94"/>
    <mergeCell ref="K99:M99"/>
    <mergeCell ref="K90:M90"/>
    <mergeCell ref="K42:M42"/>
    <mergeCell ref="K43:M43"/>
    <mergeCell ref="K46:M46"/>
    <mergeCell ref="K50:M50"/>
    <mergeCell ref="K51:M51"/>
    <mergeCell ref="K23:M23"/>
    <mergeCell ref="K34:M34"/>
    <mergeCell ref="K35:M35"/>
    <mergeCell ref="K38:M38"/>
    <mergeCell ref="K39:M39"/>
    <mergeCell ref="K55:M55"/>
    <mergeCell ref="K47:M47"/>
    <mergeCell ref="K95:M95"/>
    <mergeCell ref="K78:M78"/>
    <mergeCell ref="K79:M79"/>
    <mergeCell ref="K58:M58"/>
    <mergeCell ref="K59:M59"/>
    <mergeCell ref="K62:M62"/>
    <mergeCell ref="K63:M63"/>
    <mergeCell ref="K54:M54"/>
    <mergeCell ref="K74:M74"/>
    <mergeCell ref="K75:M75"/>
    <mergeCell ref="K66:M66"/>
    <mergeCell ref="K67:M67"/>
    <mergeCell ref="K70:M70"/>
    <mergeCell ref="K71:M71"/>
    <mergeCell ref="H2:J2"/>
    <mergeCell ref="C2:G2"/>
    <mergeCell ref="C3:G3"/>
    <mergeCell ref="C4:G4"/>
    <mergeCell ref="K18:M18"/>
    <mergeCell ref="H4:I4"/>
    <mergeCell ref="H3:I3"/>
    <mergeCell ref="K5:M6"/>
    <mergeCell ref="I5:J5"/>
    <mergeCell ref="D5:H5"/>
    <mergeCell ref="K17:M17"/>
    <mergeCell ref="K19:M19"/>
    <mergeCell ref="K21:M21"/>
    <mergeCell ref="K7:M7"/>
    <mergeCell ref="K13:M13"/>
    <mergeCell ref="K20:M20"/>
    <mergeCell ref="K8:M8"/>
    <mergeCell ref="K9:M9"/>
    <mergeCell ref="A5:A6"/>
    <mergeCell ref="A2:B2"/>
    <mergeCell ref="A3:B3"/>
    <mergeCell ref="A4:B4"/>
    <mergeCell ref="B5:C5"/>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7">
    <pageSetUpPr fitToPage="1"/>
  </sheetPr>
  <dimension ref="A1:P111"/>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bestFit="1" customWidth="1"/>
    <col min="2" max="2" width="28.625" style="22" customWidth="1"/>
    <col min="3" max="3" width="13.375" style="22" customWidth="1"/>
    <col min="4" max="4" width="9.375" style="22" customWidth="1"/>
    <col min="5" max="6" width="4.75" style="22" bestFit="1" customWidth="1"/>
    <col min="7" max="7" width="6.125" style="22" bestFit="1" customWidth="1"/>
    <col min="8" max="8" width="4.75" style="22" bestFit="1" customWidth="1"/>
    <col min="9" max="9" width="4.75" style="22" customWidth="1"/>
    <col min="10" max="11" width="9.625" style="22" customWidth="1"/>
    <col min="12" max="13" width="10.25" style="22" customWidth="1"/>
    <col min="14" max="14" width="9" style="22"/>
    <col min="15" max="16" width="9" style="22" hidden="1" customWidth="1"/>
    <col min="17" max="16384" width="9" style="22"/>
  </cols>
  <sheetData>
    <row r="1" spans="1:16">
      <c r="B1" s="47"/>
      <c r="C1" s="244"/>
    </row>
    <row r="2" spans="1:16">
      <c r="A2" s="670" t="s">
        <v>602</v>
      </c>
      <c r="B2" s="671"/>
      <c r="C2" s="670" t="s">
        <v>36</v>
      </c>
      <c r="D2" s="676"/>
      <c r="E2" s="676"/>
      <c r="F2" s="676"/>
      <c r="G2" s="671"/>
      <c r="H2" s="670"/>
      <c r="I2" s="676"/>
      <c r="J2" s="671"/>
      <c r="K2" s="81"/>
      <c r="L2" s="82" t="s">
        <v>37</v>
      </c>
      <c r="M2" s="82" t="s">
        <v>38</v>
      </c>
    </row>
    <row r="3" spans="1:16">
      <c r="A3" s="672"/>
      <c r="B3" s="673"/>
      <c r="C3" s="750" t="s">
        <v>645</v>
      </c>
      <c r="D3" s="751"/>
      <c r="E3" s="751"/>
      <c r="F3" s="751"/>
      <c r="G3" s="752"/>
      <c r="H3" s="670" t="s">
        <v>39</v>
      </c>
      <c r="I3" s="671"/>
      <c r="J3" s="83">
        <f>COUNT(A7:A100)</f>
        <v>16</v>
      </c>
      <c r="K3" s="82" t="s">
        <v>40</v>
      </c>
      <c r="L3" s="40">
        <v>38674</v>
      </c>
      <c r="M3" s="42" t="s">
        <v>675</v>
      </c>
      <c r="O3" s="22" t="s">
        <v>41</v>
      </c>
      <c r="P3" s="22" t="s">
        <v>42</v>
      </c>
    </row>
    <row r="4" spans="1:16">
      <c r="A4" s="674" t="s">
        <v>43</v>
      </c>
      <c r="B4" s="675"/>
      <c r="C4" s="674" t="s">
        <v>1009</v>
      </c>
      <c r="D4" s="753"/>
      <c r="E4" s="753"/>
      <c r="F4" s="753"/>
      <c r="G4" s="675"/>
      <c r="H4" s="670" t="s">
        <v>44</v>
      </c>
      <c r="I4" s="671"/>
      <c r="J4" s="83">
        <f>SUM(G7:G100)</f>
        <v>59</v>
      </c>
      <c r="K4" s="82" t="s">
        <v>45</v>
      </c>
      <c r="L4" s="40">
        <v>38803</v>
      </c>
      <c r="M4" s="42" t="s">
        <v>532</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c r="A7" s="89">
        <v>1</v>
      </c>
      <c r="B7" s="48" t="s">
        <v>74</v>
      </c>
      <c r="C7" s="49" t="s">
        <v>1361</v>
      </c>
      <c r="D7" s="50" t="s">
        <v>1164</v>
      </c>
      <c r="E7" s="51">
        <v>16</v>
      </c>
      <c r="F7" s="99"/>
      <c r="G7" s="21">
        <f>IF(D7="DATE",4,IF(D7="CHAR",E7,IF(D7="SMALLINT",2,IF(D7="INTEGER",4,IF(D7="TIMESTAMP",10,IF(D7="TIME",3,0))))))</f>
        <v>16</v>
      </c>
      <c r="H7" s="89" t="s">
        <v>1377</v>
      </c>
      <c r="I7" s="89" t="s">
        <v>1363</v>
      </c>
      <c r="J7" s="92"/>
      <c r="K7" s="599" t="s">
        <v>667</v>
      </c>
      <c r="L7" s="600"/>
      <c r="M7" s="601"/>
      <c r="P7" s="22" t="s">
        <v>1436</v>
      </c>
    </row>
    <row r="8" spans="1:16">
      <c r="A8" s="89">
        <v>2</v>
      </c>
      <c r="B8" s="48" t="s">
        <v>752</v>
      </c>
      <c r="C8" s="49" t="s">
        <v>872</v>
      </c>
      <c r="D8" s="78" t="s">
        <v>1434</v>
      </c>
      <c r="E8" s="98">
        <v>7</v>
      </c>
      <c r="F8" s="99"/>
      <c r="G8" s="21">
        <f>IF(D8="DATE",4,IF(D8="CHAR",E8,IF(D8="SMALLINT",2,IF(D8="INTEGER",4,IF(D8="TIMESTAMP",10,IF(D8="TIME",3,0))))))</f>
        <v>7</v>
      </c>
      <c r="H8" s="89" t="s">
        <v>1435</v>
      </c>
      <c r="I8" s="89" t="s">
        <v>1435</v>
      </c>
      <c r="J8" s="92"/>
      <c r="K8" s="599"/>
      <c r="L8" s="600"/>
      <c r="M8" s="601"/>
      <c r="P8" s="22" t="s">
        <v>854</v>
      </c>
    </row>
    <row r="9" spans="1:16" ht="49.5" customHeight="1">
      <c r="A9" s="89">
        <v>3</v>
      </c>
      <c r="B9" s="48" t="s">
        <v>649</v>
      </c>
      <c r="C9" s="49" t="s">
        <v>873</v>
      </c>
      <c r="D9" s="78" t="s">
        <v>1371</v>
      </c>
      <c r="E9" s="98">
        <v>1</v>
      </c>
      <c r="F9" s="99"/>
      <c r="G9" s="21">
        <f t="shared" ref="G9:G22" si="0">IF(D9="DATE",4,IF(D9="CHAR",E9,IF(D9="SMALLINT",2,IF(D9="INTEGER",4,IF(D9="TIMESTAMP",10,IF(D9="TIME",3,0))))))</f>
        <v>1</v>
      </c>
      <c r="H9" s="89" t="s">
        <v>1370</v>
      </c>
      <c r="I9" s="89"/>
      <c r="J9" s="92"/>
      <c r="K9" s="599" t="s">
        <v>1751</v>
      </c>
      <c r="L9" s="600"/>
      <c r="M9" s="601"/>
      <c r="P9" s="22" t="s">
        <v>874</v>
      </c>
    </row>
    <row r="10" spans="1:16" ht="51" customHeight="1">
      <c r="A10" s="89">
        <v>4</v>
      </c>
      <c r="B10" s="48" t="s">
        <v>650</v>
      </c>
      <c r="C10" s="49" t="s">
        <v>1760</v>
      </c>
      <c r="D10" s="78" t="s">
        <v>1371</v>
      </c>
      <c r="E10" s="98">
        <v>1</v>
      </c>
      <c r="F10" s="99"/>
      <c r="G10" s="21">
        <f t="shared" si="0"/>
        <v>1</v>
      </c>
      <c r="H10" s="89" t="s">
        <v>1370</v>
      </c>
      <c r="I10" s="89"/>
      <c r="J10" s="92"/>
      <c r="K10" s="599" t="s">
        <v>1758</v>
      </c>
      <c r="L10" s="600"/>
      <c r="M10" s="601"/>
      <c r="P10" s="22" t="s">
        <v>875</v>
      </c>
    </row>
    <row r="11" spans="1:16" ht="59.25" customHeight="1">
      <c r="A11" s="89">
        <v>5</v>
      </c>
      <c r="B11" s="48" t="s">
        <v>651</v>
      </c>
      <c r="C11" s="49" t="s">
        <v>659</v>
      </c>
      <c r="D11" s="78" t="s">
        <v>1371</v>
      </c>
      <c r="E11" s="98">
        <v>1</v>
      </c>
      <c r="F11" s="99"/>
      <c r="G11" s="21">
        <f t="shared" si="0"/>
        <v>1</v>
      </c>
      <c r="H11" s="89" t="s">
        <v>1370</v>
      </c>
      <c r="I11" s="89"/>
      <c r="J11" s="92"/>
      <c r="K11" s="599" t="s">
        <v>1759</v>
      </c>
      <c r="L11" s="600"/>
      <c r="M11" s="601"/>
      <c r="P11" s="22" t="s">
        <v>876</v>
      </c>
    </row>
    <row r="12" spans="1:16" ht="62.25" customHeight="1">
      <c r="A12" s="89">
        <v>6</v>
      </c>
      <c r="B12" s="48" t="s">
        <v>652</v>
      </c>
      <c r="C12" s="49" t="s">
        <v>660</v>
      </c>
      <c r="D12" s="78" t="s">
        <v>1371</v>
      </c>
      <c r="E12" s="98">
        <v>1</v>
      </c>
      <c r="F12" s="99"/>
      <c r="G12" s="21">
        <f t="shared" si="0"/>
        <v>1</v>
      </c>
      <c r="H12" s="89" t="s">
        <v>1370</v>
      </c>
      <c r="I12" s="89"/>
      <c r="J12" s="92"/>
      <c r="K12" s="749" t="s">
        <v>1698</v>
      </c>
      <c r="L12" s="755"/>
      <c r="M12" s="756"/>
    </row>
    <row r="13" spans="1:16" ht="62.25" customHeight="1">
      <c r="A13" s="89">
        <v>7</v>
      </c>
      <c r="B13" s="48" t="s">
        <v>653</v>
      </c>
      <c r="C13" s="49" t="s">
        <v>661</v>
      </c>
      <c r="D13" s="78" t="s">
        <v>1371</v>
      </c>
      <c r="E13" s="98">
        <v>1</v>
      </c>
      <c r="F13" s="99"/>
      <c r="G13" s="21">
        <f t="shared" si="0"/>
        <v>1</v>
      </c>
      <c r="H13" s="89" t="s">
        <v>1370</v>
      </c>
      <c r="I13" s="89"/>
      <c r="J13" s="92"/>
      <c r="K13" s="599" t="s">
        <v>1771</v>
      </c>
      <c r="L13" s="600"/>
      <c r="M13" s="601"/>
    </row>
    <row r="14" spans="1:16" ht="48.75" customHeight="1">
      <c r="A14" s="89">
        <v>8</v>
      </c>
      <c r="B14" s="48" t="s">
        <v>654</v>
      </c>
      <c r="C14" s="49" t="s">
        <v>662</v>
      </c>
      <c r="D14" s="78" t="s">
        <v>1371</v>
      </c>
      <c r="E14" s="98">
        <v>1</v>
      </c>
      <c r="F14" s="99"/>
      <c r="G14" s="21">
        <f t="shared" si="0"/>
        <v>1</v>
      </c>
      <c r="H14" s="89" t="s">
        <v>1370</v>
      </c>
      <c r="I14" s="89"/>
      <c r="J14" s="92"/>
      <c r="K14" s="599" t="s">
        <v>0</v>
      </c>
      <c r="L14" s="600"/>
      <c r="M14" s="601"/>
    </row>
    <row r="15" spans="1:16" ht="48" customHeight="1">
      <c r="A15" s="89">
        <v>9</v>
      </c>
      <c r="B15" s="48" t="s">
        <v>655</v>
      </c>
      <c r="C15" s="49" t="s">
        <v>663</v>
      </c>
      <c r="D15" s="78" t="s">
        <v>1371</v>
      </c>
      <c r="E15" s="98">
        <v>1</v>
      </c>
      <c r="F15" s="99"/>
      <c r="G15" s="21">
        <f t="shared" si="0"/>
        <v>1</v>
      </c>
      <c r="H15" s="89" t="s">
        <v>1370</v>
      </c>
      <c r="I15" s="89"/>
      <c r="J15" s="92"/>
      <c r="K15" s="599" t="s">
        <v>1</v>
      </c>
      <c r="L15" s="600"/>
      <c r="M15" s="601"/>
    </row>
    <row r="16" spans="1:16" ht="42" customHeight="1">
      <c r="A16" s="89">
        <v>10</v>
      </c>
      <c r="B16" s="48" t="s">
        <v>656</v>
      </c>
      <c r="C16" s="49" t="s">
        <v>664</v>
      </c>
      <c r="D16" s="78" t="s">
        <v>1371</v>
      </c>
      <c r="E16" s="98">
        <v>1</v>
      </c>
      <c r="F16" s="99"/>
      <c r="G16" s="21">
        <f t="shared" si="0"/>
        <v>1</v>
      </c>
      <c r="H16" s="89" t="s">
        <v>1370</v>
      </c>
      <c r="I16" s="89"/>
      <c r="J16" s="92"/>
      <c r="K16" s="599" t="s">
        <v>1372</v>
      </c>
      <c r="L16" s="600"/>
      <c r="M16" s="601"/>
    </row>
    <row r="17" spans="1:13" ht="42" customHeight="1">
      <c r="A17" s="89">
        <v>11</v>
      </c>
      <c r="B17" s="48" t="s">
        <v>657</v>
      </c>
      <c r="C17" s="49" t="s">
        <v>665</v>
      </c>
      <c r="D17" s="78" t="s">
        <v>1371</v>
      </c>
      <c r="E17" s="98">
        <v>1</v>
      </c>
      <c r="F17" s="99"/>
      <c r="G17" s="21">
        <f t="shared" si="0"/>
        <v>1</v>
      </c>
      <c r="H17" s="89" t="s">
        <v>1370</v>
      </c>
      <c r="I17" s="89"/>
      <c r="J17" s="92"/>
      <c r="K17" s="599" t="s">
        <v>753</v>
      </c>
      <c r="L17" s="600"/>
      <c r="M17" s="601"/>
    </row>
    <row r="18" spans="1:13" ht="42" customHeight="1">
      <c r="A18" s="89">
        <v>12</v>
      </c>
      <c r="B18" s="48" t="s">
        <v>658</v>
      </c>
      <c r="C18" s="49" t="s">
        <v>666</v>
      </c>
      <c r="D18" s="78" t="s">
        <v>1371</v>
      </c>
      <c r="E18" s="98">
        <v>1</v>
      </c>
      <c r="F18" s="99"/>
      <c r="G18" s="21">
        <f t="shared" si="0"/>
        <v>1</v>
      </c>
      <c r="H18" s="89" t="s">
        <v>1370</v>
      </c>
      <c r="I18" s="89"/>
      <c r="J18" s="92"/>
      <c r="K18" s="599" t="s">
        <v>765</v>
      </c>
      <c r="L18" s="600"/>
      <c r="M18" s="601"/>
    </row>
    <row r="19" spans="1:13">
      <c r="A19" s="89">
        <v>13</v>
      </c>
      <c r="B19" s="64" t="s">
        <v>26</v>
      </c>
      <c r="C19" s="24" t="s">
        <v>877</v>
      </c>
      <c r="D19" s="65" t="s">
        <v>808</v>
      </c>
      <c r="E19" s="51">
        <v>10</v>
      </c>
      <c r="F19" s="58"/>
      <c r="G19" s="21">
        <f t="shared" si="0"/>
        <v>4</v>
      </c>
      <c r="H19" s="89" t="s">
        <v>1370</v>
      </c>
      <c r="I19" s="89" t="s">
        <v>1370</v>
      </c>
      <c r="J19" s="165"/>
      <c r="K19" s="632" t="s">
        <v>1659</v>
      </c>
      <c r="L19" s="633"/>
      <c r="M19" s="634"/>
    </row>
    <row r="20" spans="1:13">
      <c r="A20" s="89">
        <v>14</v>
      </c>
      <c r="B20" s="64" t="s">
        <v>27</v>
      </c>
      <c r="C20" s="24" t="s">
        <v>878</v>
      </c>
      <c r="D20" s="65" t="s">
        <v>808</v>
      </c>
      <c r="E20" s="51">
        <v>10</v>
      </c>
      <c r="F20" s="58"/>
      <c r="G20" s="21">
        <f t="shared" si="0"/>
        <v>4</v>
      </c>
      <c r="H20" s="89" t="s">
        <v>1370</v>
      </c>
      <c r="I20" s="53"/>
      <c r="J20" s="165"/>
      <c r="K20" s="632" t="s">
        <v>1660</v>
      </c>
      <c r="L20" s="633"/>
      <c r="M20" s="634"/>
    </row>
    <row r="21" spans="1:13">
      <c r="A21" s="89">
        <v>15</v>
      </c>
      <c r="B21" s="64" t="s">
        <v>1083</v>
      </c>
      <c r="C21" s="24" t="s">
        <v>1111</v>
      </c>
      <c r="D21" s="72" t="s">
        <v>1431</v>
      </c>
      <c r="E21" s="51">
        <v>8</v>
      </c>
      <c r="F21" s="58"/>
      <c r="G21" s="20">
        <f t="shared" si="0"/>
        <v>8</v>
      </c>
      <c r="H21" s="53" t="s">
        <v>1432</v>
      </c>
      <c r="I21" s="89"/>
      <c r="J21" s="92"/>
      <c r="K21" s="602"/>
      <c r="L21" s="603"/>
      <c r="M21" s="604"/>
    </row>
    <row r="22" spans="1:13">
      <c r="A22" s="89">
        <f>IF(B22=""," ",A18+1)</f>
        <v>13</v>
      </c>
      <c r="B22" s="64" t="s">
        <v>1724</v>
      </c>
      <c r="C22" s="24" t="s">
        <v>1404</v>
      </c>
      <c r="D22" s="65" t="s">
        <v>1405</v>
      </c>
      <c r="E22" s="51"/>
      <c r="F22" s="58"/>
      <c r="G22" s="20">
        <f t="shared" si="0"/>
        <v>10</v>
      </c>
      <c r="H22" s="53" t="s">
        <v>1406</v>
      </c>
      <c r="I22" s="89"/>
      <c r="J22" s="92"/>
      <c r="K22" s="754"/>
      <c r="L22" s="754"/>
      <c r="M22" s="754"/>
    </row>
    <row r="23" spans="1:13">
      <c r="A23" s="89" t="str">
        <f t="shared" ref="A23:A43" si="1">IF(B23=""," ",A22+1)</f>
        <v xml:space="preserve"> </v>
      </c>
      <c r="B23" s="66"/>
      <c r="C23" s="31"/>
      <c r="D23" s="97"/>
      <c r="E23" s="98"/>
      <c r="F23" s="99"/>
      <c r="G23" s="20"/>
      <c r="H23" s="89"/>
      <c r="I23" s="89"/>
      <c r="J23" s="92"/>
      <c r="K23" s="754"/>
      <c r="L23" s="754"/>
      <c r="M23" s="754"/>
    </row>
    <row r="24" spans="1:13">
      <c r="A24" s="89" t="str">
        <f t="shared" si="1"/>
        <v xml:space="preserve"> </v>
      </c>
      <c r="B24" s="48"/>
      <c r="C24" s="49"/>
      <c r="D24" s="50"/>
      <c r="E24" s="51"/>
      <c r="F24" s="99"/>
      <c r="G24" s="21"/>
      <c r="H24" s="89"/>
      <c r="I24" s="89"/>
      <c r="J24" s="92"/>
      <c r="K24" s="754"/>
      <c r="L24" s="754"/>
      <c r="M24" s="754"/>
    </row>
    <row r="25" spans="1:13">
      <c r="A25" s="89" t="str">
        <f t="shared" si="1"/>
        <v xml:space="preserve"> </v>
      </c>
      <c r="B25" s="66"/>
      <c r="C25" s="195"/>
      <c r="D25" s="97"/>
      <c r="E25" s="98"/>
      <c r="F25" s="99"/>
      <c r="G25" s="20"/>
      <c r="H25" s="89"/>
      <c r="I25" s="89"/>
      <c r="J25" s="92"/>
      <c r="K25" s="754"/>
      <c r="L25" s="754"/>
      <c r="M25" s="754"/>
    </row>
    <row r="26" spans="1:13">
      <c r="A26" s="89" t="str">
        <f t="shared" si="1"/>
        <v xml:space="preserve"> </v>
      </c>
      <c r="B26" s="66"/>
      <c r="C26" s="31"/>
      <c r="D26" s="97"/>
      <c r="E26" s="98"/>
      <c r="F26" s="99"/>
      <c r="G26" s="20"/>
      <c r="H26" s="89"/>
      <c r="I26" s="89"/>
      <c r="J26" s="92"/>
      <c r="K26" s="754"/>
      <c r="L26" s="754"/>
      <c r="M26" s="754"/>
    </row>
    <row r="27" spans="1:13">
      <c r="A27" s="89" t="str">
        <f t="shared" si="1"/>
        <v xml:space="preserve"> </v>
      </c>
      <c r="B27" s="66"/>
      <c r="C27" s="31"/>
      <c r="D27" s="97"/>
      <c r="E27" s="98"/>
      <c r="F27" s="99"/>
      <c r="G27" s="20"/>
      <c r="H27" s="89"/>
      <c r="I27" s="89"/>
      <c r="J27" s="92"/>
      <c r="K27" s="754"/>
      <c r="L27" s="754"/>
      <c r="M27" s="754"/>
    </row>
    <row r="28" spans="1:13">
      <c r="A28" s="89" t="str">
        <f t="shared" si="1"/>
        <v xml:space="preserve"> </v>
      </c>
      <c r="B28" s="66"/>
      <c r="C28" s="31"/>
      <c r="D28" s="97"/>
      <c r="E28" s="98"/>
      <c r="F28" s="99"/>
      <c r="G28" s="20"/>
      <c r="H28" s="89"/>
      <c r="I28" s="89"/>
      <c r="J28" s="92"/>
      <c r="K28" s="754"/>
      <c r="L28" s="754"/>
      <c r="M28" s="754"/>
    </row>
    <row r="29" spans="1:13">
      <c r="A29" s="89" t="str">
        <f t="shared" si="1"/>
        <v xml:space="preserve"> </v>
      </c>
      <c r="B29" s="96"/>
      <c r="C29" s="31"/>
      <c r="D29" s="97"/>
      <c r="E29" s="98"/>
      <c r="F29" s="99"/>
      <c r="G29" s="20"/>
      <c r="H29" s="89"/>
      <c r="I29" s="89"/>
      <c r="J29" s="92"/>
      <c r="K29" s="754"/>
      <c r="L29" s="754"/>
      <c r="M29" s="754"/>
    </row>
    <row r="30" spans="1:13">
      <c r="A30" s="89" t="str">
        <f t="shared" si="1"/>
        <v xml:space="preserve"> </v>
      </c>
      <c r="B30" s="96"/>
      <c r="C30" s="31"/>
      <c r="D30" s="97"/>
      <c r="E30" s="98"/>
      <c r="F30" s="99"/>
      <c r="G30" s="20"/>
      <c r="H30" s="89"/>
      <c r="I30" s="89"/>
      <c r="J30" s="92"/>
      <c r="K30" s="754"/>
      <c r="L30" s="754"/>
      <c r="M30" s="754"/>
    </row>
    <row r="31" spans="1:13">
      <c r="A31" s="89" t="str">
        <f t="shared" si="1"/>
        <v xml:space="preserve"> </v>
      </c>
      <c r="B31" s="96"/>
      <c r="C31" s="31"/>
      <c r="D31" s="97"/>
      <c r="E31" s="98"/>
      <c r="F31" s="99"/>
      <c r="G31" s="20"/>
      <c r="H31" s="89"/>
      <c r="I31" s="89"/>
      <c r="J31" s="92"/>
      <c r="K31" s="754"/>
      <c r="L31" s="754"/>
      <c r="M31" s="754"/>
    </row>
    <row r="32" spans="1:13">
      <c r="A32" s="89" t="str">
        <f t="shared" si="1"/>
        <v xml:space="preserve"> </v>
      </c>
      <c r="B32" s="96"/>
      <c r="C32" s="31"/>
      <c r="D32" s="97"/>
      <c r="E32" s="98"/>
      <c r="F32" s="99"/>
      <c r="G32" s="20"/>
      <c r="H32" s="89"/>
      <c r="I32" s="89"/>
      <c r="J32" s="92"/>
      <c r="K32" s="754"/>
      <c r="L32" s="754"/>
      <c r="M32" s="754"/>
    </row>
    <row r="33" spans="1:13">
      <c r="A33" s="89" t="str">
        <f t="shared" si="1"/>
        <v xml:space="preserve"> </v>
      </c>
      <c r="B33" s="96"/>
      <c r="C33" s="31"/>
      <c r="D33" s="97"/>
      <c r="E33" s="98"/>
      <c r="F33" s="99"/>
      <c r="G33" s="21"/>
      <c r="H33" s="89"/>
      <c r="I33" s="89"/>
      <c r="J33" s="92"/>
      <c r="K33" s="754"/>
      <c r="L33" s="754"/>
      <c r="M33" s="754"/>
    </row>
    <row r="34" spans="1:13">
      <c r="A34" s="89" t="str">
        <f t="shared" si="1"/>
        <v xml:space="preserve"> </v>
      </c>
      <c r="B34" s="96"/>
      <c r="C34" s="31"/>
      <c r="D34" s="97"/>
      <c r="E34" s="98"/>
      <c r="F34" s="99"/>
      <c r="G34" s="21"/>
      <c r="H34" s="89"/>
      <c r="I34" s="89"/>
      <c r="J34" s="92"/>
      <c r="K34" s="754"/>
      <c r="L34" s="754"/>
      <c r="M34" s="754"/>
    </row>
    <row r="35" spans="1:13">
      <c r="A35" s="89" t="str">
        <f t="shared" si="1"/>
        <v xml:space="preserve"> </v>
      </c>
      <c r="B35" s="96"/>
      <c r="C35" s="31"/>
      <c r="D35" s="97"/>
      <c r="E35" s="98"/>
      <c r="F35" s="99"/>
      <c r="G35" s="21"/>
      <c r="H35" s="89"/>
      <c r="I35" s="89"/>
      <c r="J35" s="92"/>
      <c r="K35" s="754"/>
      <c r="L35" s="754"/>
      <c r="M35" s="754"/>
    </row>
    <row r="36" spans="1:13">
      <c r="A36" s="89" t="str">
        <f t="shared" si="1"/>
        <v xml:space="preserve"> </v>
      </c>
      <c r="B36" s="96"/>
      <c r="C36" s="31"/>
      <c r="D36" s="97"/>
      <c r="E36" s="98"/>
      <c r="F36" s="99"/>
      <c r="G36" s="21"/>
      <c r="H36" s="89"/>
      <c r="I36" s="89"/>
      <c r="J36" s="92"/>
      <c r="K36" s="754"/>
      <c r="L36" s="754"/>
      <c r="M36" s="754"/>
    </row>
    <row r="37" spans="1:13">
      <c r="A37" s="89" t="str">
        <f t="shared" si="1"/>
        <v xml:space="preserve"> </v>
      </c>
      <c r="B37" s="96"/>
      <c r="C37" s="31"/>
      <c r="D37" s="97"/>
      <c r="E37" s="98"/>
      <c r="F37" s="99"/>
      <c r="G37" s="21"/>
      <c r="H37" s="89"/>
      <c r="I37" s="89"/>
      <c r="J37" s="92"/>
      <c r="K37" s="754"/>
      <c r="L37" s="754"/>
      <c r="M37" s="754"/>
    </row>
    <row r="38" spans="1:13">
      <c r="A38" s="89" t="str">
        <f t="shared" si="1"/>
        <v xml:space="preserve"> </v>
      </c>
      <c r="B38" s="96"/>
      <c r="C38" s="31"/>
      <c r="D38" s="97"/>
      <c r="E38" s="98"/>
      <c r="F38" s="99"/>
      <c r="G38" s="21"/>
      <c r="H38" s="89"/>
      <c r="I38" s="89"/>
      <c r="J38" s="92"/>
      <c r="K38" s="754"/>
      <c r="L38" s="754"/>
      <c r="M38" s="754"/>
    </row>
    <row r="39" spans="1:13">
      <c r="A39" s="89" t="str">
        <f t="shared" si="1"/>
        <v xml:space="preserve"> </v>
      </c>
      <c r="B39" s="96"/>
      <c r="C39" s="31"/>
      <c r="D39" s="97"/>
      <c r="E39" s="98"/>
      <c r="F39" s="99"/>
      <c r="G39" s="21"/>
      <c r="H39" s="89"/>
      <c r="I39" s="89"/>
      <c r="J39" s="92"/>
      <c r="K39" s="754"/>
      <c r="L39" s="754"/>
      <c r="M39" s="754"/>
    </row>
    <row r="40" spans="1:13">
      <c r="A40" s="89" t="str">
        <f t="shared" si="1"/>
        <v xml:space="preserve"> </v>
      </c>
      <c r="B40" s="96"/>
      <c r="C40" s="31"/>
      <c r="D40" s="97"/>
      <c r="E40" s="98"/>
      <c r="F40" s="99"/>
      <c r="G40" s="21"/>
      <c r="H40" s="89"/>
      <c r="I40" s="89"/>
      <c r="J40" s="92"/>
      <c r="K40" s="754"/>
      <c r="L40" s="754"/>
      <c r="M40" s="754"/>
    </row>
    <row r="41" spans="1:13">
      <c r="A41" s="89" t="str">
        <f t="shared" si="1"/>
        <v xml:space="preserve"> </v>
      </c>
      <c r="B41" s="96"/>
      <c r="C41" s="31"/>
      <c r="D41" s="97"/>
      <c r="E41" s="98"/>
      <c r="F41" s="99"/>
      <c r="G41" s="21"/>
      <c r="H41" s="89"/>
      <c r="I41" s="89"/>
      <c r="J41" s="92"/>
      <c r="K41" s="754"/>
      <c r="L41" s="754"/>
      <c r="M41" s="754"/>
    </row>
    <row r="42" spans="1:13">
      <c r="A42" s="89" t="str">
        <f t="shared" si="1"/>
        <v xml:space="preserve"> </v>
      </c>
      <c r="B42" s="96"/>
      <c r="C42" s="31"/>
      <c r="D42" s="97"/>
      <c r="E42" s="98"/>
      <c r="F42" s="99"/>
      <c r="G42" s="21"/>
      <c r="H42" s="89"/>
      <c r="I42" s="89"/>
      <c r="J42" s="92"/>
      <c r="K42" s="754"/>
      <c r="L42" s="754"/>
      <c r="M42" s="754"/>
    </row>
    <row r="43" spans="1:13">
      <c r="A43" s="89" t="str">
        <f t="shared" si="1"/>
        <v xml:space="preserve"> </v>
      </c>
      <c r="B43" s="96"/>
      <c r="C43" s="31"/>
      <c r="D43" s="97"/>
      <c r="E43" s="98"/>
      <c r="F43" s="99"/>
      <c r="G43" s="21"/>
      <c r="H43" s="89"/>
      <c r="I43" s="89"/>
      <c r="J43" s="92"/>
      <c r="K43" s="31"/>
      <c r="L43" s="32"/>
      <c r="M43" s="33"/>
    </row>
    <row r="44" spans="1:13">
      <c r="A44" s="89" t="str">
        <f>IF(B44=""," ",A43+1)</f>
        <v xml:space="preserve"> </v>
      </c>
      <c r="B44" s="96"/>
      <c r="C44" s="31"/>
      <c r="D44" s="97"/>
      <c r="E44" s="98"/>
      <c r="F44" s="99"/>
      <c r="G44" s="21"/>
      <c r="H44" s="89"/>
      <c r="I44" s="89"/>
      <c r="J44" s="92"/>
      <c r="K44" s="31"/>
      <c r="L44" s="32"/>
      <c r="M44" s="33"/>
    </row>
    <row r="45" spans="1:13">
      <c r="A45" s="89" t="str">
        <f>IF(B45=""," ",A44+1)</f>
        <v xml:space="preserve"> </v>
      </c>
      <c r="B45" s="96"/>
      <c r="C45" s="31"/>
      <c r="D45" s="97"/>
      <c r="E45" s="98"/>
      <c r="F45" s="99"/>
      <c r="G45" s="21"/>
      <c r="H45" s="89"/>
      <c r="I45" s="89"/>
      <c r="J45" s="92"/>
      <c r="K45" s="31"/>
      <c r="L45" s="32"/>
      <c r="M45" s="33"/>
    </row>
    <row r="46" spans="1:13">
      <c r="A46" s="89" t="str">
        <f t="shared" ref="A46:A57" si="2">IF(B46=""," ",A45+1)</f>
        <v xml:space="preserve"> </v>
      </c>
      <c r="B46" s="66"/>
      <c r="C46" s="31"/>
      <c r="D46" s="97"/>
      <c r="E46" s="98"/>
      <c r="F46" s="99"/>
      <c r="G46" s="21"/>
      <c r="H46" s="89"/>
      <c r="I46" s="89"/>
      <c r="J46" s="92"/>
      <c r="K46" s="31"/>
      <c r="L46" s="32"/>
      <c r="M46" s="33"/>
    </row>
    <row r="47" spans="1:13">
      <c r="A47" s="89" t="str">
        <f>IF(B47=""," ",#REF!+1)</f>
        <v xml:space="preserve"> </v>
      </c>
      <c r="B47" s="96"/>
      <c r="C47" s="31"/>
      <c r="D47" s="97"/>
      <c r="E47" s="98"/>
      <c r="F47" s="99"/>
      <c r="G47" s="21"/>
      <c r="H47" s="89"/>
      <c r="I47" s="89"/>
      <c r="J47" s="92"/>
      <c r="K47" s="31"/>
      <c r="L47" s="32"/>
      <c r="M47" s="33"/>
    </row>
    <row r="48" spans="1:13">
      <c r="A48" s="89" t="str">
        <f>IF(B48=""," ",#REF!+1)</f>
        <v xml:space="preserve"> </v>
      </c>
      <c r="B48" s="96"/>
      <c r="C48" s="31"/>
      <c r="D48" s="97"/>
      <c r="E48" s="98"/>
      <c r="F48" s="99"/>
      <c r="G48" s="21"/>
      <c r="H48" s="89"/>
      <c r="I48" s="89"/>
      <c r="J48" s="92"/>
      <c r="K48" s="31"/>
      <c r="L48" s="32"/>
      <c r="M48" s="33"/>
    </row>
    <row r="49" spans="1:13">
      <c r="A49" s="89" t="str">
        <f t="shared" si="2"/>
        <v xml:space="preserve"> </v>
      </c>
      <c r="B49" s="96"/>
      <c r="C49" s="31"/>
      <c r="D49" s="97"/>
      <c r="E49" s="98"/>
      <c r="F49" s="99"/>
      <c r="G49" s="21"/>
      <c r="H49" s="89"/>
      <c r="I49" s="89"/>
      <c r="J49" s="92"/>
      <c r="K49" s="31"/>
      <c r="L49" s="32"/>
      <c r="M49" s="33"/>
    </row>
    <row r="50" spans="1:13">
      <c r="A50" s="89" t="str">
        <f t="shared" si="2"/>
        <v xml:space="preserve"> </v>
      </c>
      <c r="B50" s="96"/>
      <c r="C50" s="31"/>
      <c r="D50" s="97"/>
      <c r="E50" s="98"/>
      <c r="F50" s="99"/>
      <c r="G50" s="21"/>
      <c r="H50" s="89"/>
      <c r="I50" s="89"/>
      <c r="J50" s="92"/>
      <c r="K50" s="31"/>
      <c r="L50" s="32"/>
      <c r="M50" s="33"/>
    </row>
    <row r="51" spans="1:13">
      <c r="A51" s="89" t="str">
        <f t="shared" si="2"/>
        <v xml:space="preserve"> </v>
      </c>
      <c r="B51" s="96"/>
      <c r="C51" s="31"/>
      <c r="D51" s="97"/>
      <c r="E51" s="98"/>
      <c r="F51" s="99"/>
      <c r="G51" s="21"/>
      <c r="H51" s="89"/>
      <c r="I51" s="89"/>
      <c r="J51" s="92"/>
      <c r="K51" s="31"/>
      <c r="L51" s="32"/>
      <c r="M51" s="33"/>
    </row>
    <row r="52" spans="1:13">
      <c r="A52" s="89" t="str">
        <f>IF(B52=""," ",A51+1)</f>
        <v xml:space="preserve"> </v>
      </c>
      <c r="B52" s="96"/>
      <c r="C52" s="31"/>
      <c r="D52" s="97"/>
      <c r="E52" s="98"/>
      <c r="F52" s="99"/>
      <c r="G52" s="21"/>
      <c r="H52" s="89"/>
      <c r="I52" s="89"/>
      <c r="J52" s="92"/>
      <c r="K52" s="31"/>
      <c r="L52" s="32"/>
      <c r="M52" s="33"/>
    </row>
    <row r="53" spans="1:13">
      <c r="A53" s="89" t="str">
        <f t="shared" si="2"/>
        <v xml:space="preserve"> </v>
      </c>
      <c r="B53" s="96"/>
      <c r="C53" s="31"/>
      <c r="D53" s="97"/>
      <c r="E53" s="98"/>
      <c r="F53" s="99"/>
      <c r="G53" s="21"/>
      <c r="H53" s="89"/>
      <c r="I53" s="89"/>
      <c r="J53" s="92"/>
      <c r="K53" s="31"/>
      <c r="L53" s="32"/>
      <c r="M53" s="33"/>
    </row>
    <row r="54" spans="1:13">
      <c r="A54" s="89" t="str">
        <f t="shared" si="2"/>
        <v xml:space="preserve"> </v>
      </c>
      <c r="B54" s="96"/>
      <c r="C54" s="31"/>
      <c r="D54" s="97"/>
      <c r="E54" s="98"/>
      <c r="F54" s="99"/>
      <c r="G54" s="21"/>
      <c r="H54" s="89"/>
      <c r="I54" s="89"/>
      <c r="J54" s="92"/>
      <c r="K54" s="31"/>
      <c r="L54" s="32"/>
      <c r="M54" s="33"/>
    </row>
    <row r="55" spans="1:13">
      <c r="A55" s="89" t="str">
        <f t="shared" si="2"/>
        <v xml:space="preserve"> </v>
      </c>
      <c r="B55" s="96"/>
      <c r="C55" s="31"/>
      <c r="D55" s="97"/>
      <c r="E55" s="98"/>
      <c r="F55" s="99"/>
      <c r="G55" s="21"/>
      <c r="H55" s="89"/>
      <c r="I55" s="89"/>
      <c r="J55" s="92"/>
      <c r="K55" s="31"/>
      <c r="L55" s="32"/>
      <c r="M55" s="33"/>
    </row>
    <row r="56" spans="1:13">
      <c r="A56" s="89" t="str">
        <f t="shared" si="2"/>
        <v xml:space="preserve"> </v>
      </c>
      <c r="B56" s="96"/>
      <c r="C56" s="31"/>
      <c r="D56" s="97"/>
      <c r="E56" s="98"/>
      <c r="F56" s="99"/>
      <c r="G56" s="21"/>
      <c r="H56" s="89"/>
      <c r="I56" s="89"/>
      <c r="J56" s="92"/>
      <c r="K56" s="31"/>
      <c r="L56" s="32"/>
      <c r="M56" s="33"/>
    </row>
    <row r="57" spans="1:13">
      <c r="A57" s="89" t="str">
        <f t="shared" si="2"/>
        <v xml:space="preserve"> </v>
      </c>
      <c r="B57" s="96"/>
      <c r="C57" s="31"/>
      <c r="D57" s="97"/>
      <c r="E57" s="98"/>
      <c r="F57" s="99"/>
      <c r="G57" s="21"/>
      <c r="H57" s="89"/>
      <c r="I57" s="89"/>
      <c r="J57" s="92"/>
      <c r="K57" s="31"/>
      <c r="L57" s="32"/>
      <c r="M57" s="33"/>
    </row>
    <row r="58" spans="1:13">
      <c r="A58" s="42" t="str">
        <f>IF(B58=""," ",A57+1)</f>
        <v xml:space="preserve"> </v>
      </c>
      <c r="B58" s="71"/>
      <c r="C58" s="13"/>
      <c r="D58" s="72"/>
      <c r="E58" s="73"/>
      <c r="F58" s="74"/>
      <c r="G58" s="20"/>
      <c r="H58" s="42"/>
      <c r="I58" s="42"/>
      <c r="J58" s="59"/>
      <c r="K58" s="609"/>
      <c r="L58" s="610"/>
      <c r="M58" s="611"/>
    </row>
    <row r="59" spans="1:13">
      <c r="A59" s="42" t="str">
        <f>IF(B59=""," ",#REF!+1)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13"/>
      <c r="L60" s="14"/>
      <c r="M60" s="15"/>
    </row>
    <row r="61" spans="1:13">
      <c r="A61" s="42" t="str">
        <f>IF(B61=""," ",A60+1)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13"/>
      <c r="L100" s="14"/>
      <c r="M100" s="15"/>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c r="B110" s="22" t="s">
        <v>725</v>
      </c>
      <c r="C110" s="16" t="s">
        <v>1720</v>
      </c>
      <c r="D110" s="16" t="s">
        <v>748</v>
      </c>
    </row>
    <row r="111" spans="1:13">
      <c r="C111" s="22" t="s">
        <v>1741</v>
      </c>
    </row>
  </sheetData>
  <mergeCells count="72">
    <mergeCell ref="K98:M98"/>
    <mergeCell ref="K99:M99"/>
    <mergeCell ref="K90:M90"/>
    <mergeCell ref="K91:M91"/>
    <mergeCell ref="K94:M94"/>
    <mergeCell ref="K95:M95"/>
    <mergeCell ref="K82:M82"/>
    <mergeCell ref="K83:M83"/>
    <mergeCell ref="K86:M86"/>
    <mergeCell ref="K87:M87"/>
    <mergeCell ref="K74:M74"/>
    <mergeCell ref="K75:M75"/>
    <mergeCell ref="K78:M78"/>
    <mergeCell ref="K79:M79"/>
    <mergeCell ref="K66:M66"/>
    <mergeCell ref="K67:M67"/>
    <mergeCell ref="K70:M70"/>
    <mergeCell ref="K71:M71"/>
    <mergeCell ref="K58:M58"/>
    <mergeCell ref="K59:M59"/>
    <mergeCell ref="K62:M62"/>
    <mergeCell ref="K63:M63"/>
    <mergeCell ref="A2:B2"/>
    <mergeCell ref="A3:B3"/>
    <mergeCell ref="A4:B4"/>
    <mergeCell ref="H2:J2"/>
    <mergeCell ref="C2:G2"/>
    <mergeCell ref="C3:G3"/>
    <mergeCell ref="C4:G4"/>
    <mergeCell ref="H3:I3"/>
    <mergeCell ref="H4:I4"/>
    <mergeCell ref="K7:M7"/>
    <mergeCell ref="K9:M9"/>
    <mergeCell ref="K8:M8"/>
    <mergeCell ref="A5:A6"/>
    <mergeCell ref="B5:C5"/>
    <mergeCell ref="K5:M6"/>
    <mergeCell ref="I5:J5"/>
    <mergeCell ref="D5:H5"/>
    <mergeCell ref="K13:M13"/>
    <mergeCell ref="K14:M14"/>
    <mergeCell ref="K15:M15"/>
    <mergeCell ref="K10:M10"/>
    <mergeCell ref="K11:M11"/>
    <mergeCell ref="K12:M12"/>
    <mergeCell ref="K16:M16"/>
    <mergeCell ref="K17:M17"/>
    <mergeCell ref="K18:M18"/>
    <mergeCell ref="K22:M22"/>
    <mergeCell ref="K19:M19"/>
    <mergeCell ref="K20:M20"/>
    <mergeCell ref="K21:M21"/>
    <mergeCell ref="K34:M34"/>
    <mergeCell ref="K23:M23"/>
    <mergeCell ref="K24:M24"/>
    <mergeCell ref="K25:M25"/>
    <mergeCell ref="K26:M26"/>
    <mergeCell ref="K27:M27"/>
    <mergeCell ref="K28:M28"/>
    <mergeCell ref="K29:M29"/>
    <mergeCell ref="K30:M30"/>
    <mergeCell ref="K31:M31"/>
    <mergeCell ref="K32:M32"/>
    <mergeCell ref="K33:M33"/>
    <mergeCell ref="K41:M41"/>
    <mergeCell ref="K42:M42"/>
    <mergeCell ref="K35:M35"/>
    <mergeCell ref="K36:M36"/>
    <mergeCell ref="K37:M37"/>
    <mergeCell ref="K38:M38"/>
    <mergeCell ref="K39:M39"/>
    <mergeCell ref="K40:M40"/>
  </mergeCells>
  <phoneticPr fontId="6"/>
  <dataValidations count="4">
    <dataValidation type="list" allowBlank="1" showInputMessage="1" showErrorMessage="1" sqref="I24 I7" xr:uid="{00000000-0002-0000-0D00-000000000000}">
      <formula1>$O$4</formula1>
    </dataValidation>
    <dataValidation type="whole" imeMode="disabled" operator="greaterThanOrEqual" allowBlank="1" showInputMessage="1" showErrorMessage="1" sqref="F24 F7" xr:uid="{00000000-0002-0000-0D00-000001000000}">
      <formula1>0</formula1>
    </dataValidation>
    <dataValidation imeMode="disabled" allowBlank="1" showInputMessage="1" showErrorMessage="1" sqref="J8" xr:uid="{00000000-0002-0000-0D00-000002000000}"/>
    <dataValidation type="list" allowBlank="1" showInputMessage="1" showErrorMessage="1" sqref="P8" xr:uid="{00000000-0002-0000-0D00-000003000000}">
      <formula1>$P$4:$P$11</formula1>
    </dataValidation>
  </dataValidations>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pageSetUpPr fitToPage="1"/>
  </sheetPr>
  <dimension ref="A1:P111"/>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407" customWidth="1"/>
    <col min="2" max="2" width="28.625" style="409" customWidth="1"/>
    <col min="3" max="3" width="13.375" style="409" customWidth="1"/>
    <col min="4" max="4" width="9.375" style="409" customWidth="1"/>
    <col min="5" max="5" width="4.875" style="409" bestFit="1" customWidth="1"/>
    <col min="6" max="6" width="4.75" style="409" bestFit="1" customWidth="1"/>
    <col min="7" max="7" width="6.125" style="409" bestFit="1" customWidth="1"/>
    <col min="8" max="8" width="4.75" style="409" bestFit="1" customWidth="1"/>
    <col min="9" max="9" width="4.75" style="409" customWidth="1"/>
    <col min="10" max="11" width="9.625" style="409" customWidth="1"/>
    <col min="12" max="13" width="10.25" style="409" customWidth="1"/>
    <col min="14" max="14" width="9" style="409"/>
    <col min="15" max="16" width="0" style="409" hidden="1" customWidth="1"/>
    <col min="17" max="16384" width="9" style="409"/>
  </cols>
  <sheetData>
    <row r="1" spans="1:16" ht="12" customHeight="1">
      <c r="B1" s="408"/>
    </row>
    <row r="2" spans="1:16" ht="12" customHeight="1">
      <c r="A2" s="768" t="s">
        <v>1293</v>
      </c>
      <c r="B2" s="776"/>
      <c r="C2" s="768" t="s">
        <v>36</v>
      </c>
      <c r="D2" s="769"/>
      <c r="E2" s="769"/>
      <c r="F2" s="769"/>
      <c r="G2" s="776"/>
      <c r="H2" s="768"/>
      <c r="I2" s="769"/>
      <c r="J2" s="776"/>
      <c r="K2" s="411"/>
      <c r="L2" s="412" t="s">
        <v>37</v>
      </c>
      <c r="M2" s="412" t="s">
        <v>38</v>
      </c>
    </row>
    <row r="3" spans="1:16" ht="12" customHeight="1">
      <c r="A3" s="778"/>
      <c r="B3" s="779"/>
      <c r="C3" s="782" t="s">
        <v>1272</v>
      </c>
      <c r="D3" s="783"/>
      <c r="E3" s="783"/>
      <c r="F3" s="783"/>
      <c r="G3" s="784"/>
      <c r="H3" s="768" t="s">
        <v>39</v>
      </c>
      <c r="I3" s="776"/>
      <c r="J3" s="413">
        <f>COUNT(A7:A100)</f>
        <v>10</v>
      </c>
      <c r="K3" s="412" t="s">
        <v>40</v>
      </c>
      <c r="L3" s="414">
        <v>39111</v>
      </c>
      <c r="M3" s="415" t="s">
        <v>532</v>
      </c>
      <c r="O3" s="409" t="s">
        <v>41</v>
      </c>
      <c r="P3" s="409" t="s">
        <v>42</v>
      </c>
    </row>
    <row r="4" spans="1:16" ht="12" customHeight="1">
      <c r="A4" s="780" t="s">
        <v>43</v>
      </c>
      <c r="B4" s="781"/>
      <c r="C4" s="780" t="s">
        <v>1325</v>
      </c>
      <c r="D4" s="785"/>
      <c r="E4" s="785"/>
      <c r="F4" s="785"/>
      <c r="G4" s="781"/>
      <c r="H4" s="768" t="s">
        <v>44</v>
      </c>
      <c r="I4" s="776"/>
      <c r="J4" s="413">
        <f>SUM(G7:G95)</f>
        <v>90</v>
      </c>
      <c r="K4" s="412" t="s">
        <v>45</v>
      </c>
      <c r="L4" s="414">
        <v>39119</v>
      </c>
      <c r="M4" s="416" t="s">
        <v>675</v>
      </c>
      <c r="O4" s="409" t="s">
        <v>1575</v>
      </c>
      <c r="P4" s="409" t="s">
        <v>1574</v>
      </c>
    </row>
    <row r="5" spans="1:16" ht="12" customHeight="1">
      <c r="A5" s="763" t="s">
        <v>1294</v>
      </c>
      <c r="B5" s="768" t="s">
        <v>46</v>
      </c>
      <c r="C5" s="769"/>
      <c r="D5" s="777" t="s">
        <v>47</v>
      </c>
      <c r="E5" s="769"/>
      <c r="F5" s="769"/>
      <c r="G5" s="769"/>
      <c r="H5" s="769"/>
      <c r="I5" s="768" t="s">
        <v>1295</v>
      </c>
      <c r="J5" s="776"/>
      <c r="K5" s="770" t="s">
        <v>48</v>
      </c>
      <c r="L5" s="771"/>
      <c r="M5" s="772"/>
      <c r="P5" s="409" t="s">
        <v>1568</v>
      </c>
    </row>
    <row r="6" spans="1:16" ht="12" customHeight="1">
      <c r="A6" s="764"/>
      <c r="B6" s="412" t="s">
        <v>49</v>
      </c>
      <c r="C6" s="417" t="s">
        <v>50</v>
      </c>
      <c r="D6" s="418" t="s">
        <v>42</v>
      </c>
      <c r="E6" s="419" t="s">
        <v>51</v>
      </c>
      <c r="F6" s="420" t="s">
        <v>52</v>
      </c>
      <c r="G6" s="412" t="s">
        <v>1569</v>
      </c>
      <c r="H6" s="410" t="s">
        <v>53</v>
      </c>
      <c r="I6" s="410" t="s">
        <v>1570</v>
      </c>
      <c r="J6" s="410" t="s">
        <v>1571</v>
      </c>
      <c r="K6" s="773"/>
      <c r="L6" s="774"/>
      <c r="M6" s="775"/>
      <c r="P6" s="409" t="s">
        <v>1572</v>
      </c>
    </row>
    <row r="7" spans="1:16" ht="109.5" customHeight="1">
      <c r="A7" s="415">
        <v>1</v>
      </c>
      <c r="B7" s="421" t="s">
        <v>1273</v>
      </c>
      <c r="C7" s="422" t="s">
        <v>1274</v>
      </c>
      <c r="D7" s="423" t="s">
        <v>1019</v>
      </c>
      <c r="E7" s="424">
        <v>2</v>
      </c>
      <c r="F7" s="425"/>
      <c r="G7" s="426">
        <f t="shared" ref="G7:G16" si="0">IF(D7="DATE",4,IF(D7="CHAR",E7,IF(D7="SMALLINT",2,IF(D7="INTEGER",4,IF(D7="TIMESTAMP",10,IF(D7="TIME",3,0))))))</f>
        <v>2</v>
      </c>
      <c r="H7" s="415" t="s">
        <v>1020</v>
      </c>
      <c r="I7" s="415" t="s">
        <v>1020</v>
      </c>
      <c r="J7" s="427"/>
      <c r="K7" s="765" t="s">
        <v>1486</v>
      </c>
      <c r="L7" s="766"/>
      <c r="M7" s="767"/>
      <c r="P7" s="409" t="s">
        <v>1275</v>
      </c>
    </row>
    <row r="8" spans="1:16" ht="25.5" customHeight="1">
      <c r="A8" s="416">
        <f t="shared" ref="A8:A31" si="1">IF(B8=""," ",A7+1)</f>
        <v>2</v>
      </c>
      <c r="B8" s="66" t="s">
        <v>1276</v>
      </c>
      <c r="C8" s="428" t="s">
        <v>1277</v>
      </c>
      <c r="D8" s="429" t="s">
        <v>533</v>
      </c>
      <c r="E8" s="430">
        <v>4</v>
      </c>
      <c r="F8" s="431"/>
      <c r="G8" s="432">
        <f t="shared" si="0"/>
        <v>4</v>
      </c>
      <c r="H8" s="433" t="s">
        <v>1278</v>
      </c>
      <c r="I8" s="415"/>
      <c r="J8" s="427"/>
      <c r="K8" s="789" t="s">
        <v>1279</v>
      </c>
      <c r="L8" s="790"/>
      <c r="M8" s="791"/>
    </row>
    <row r="9" spans="1:16">
      <c r="A9" s="416">
        <f t="shared" si="1"/>
        <v>3</v>
      </c>
      <c r="B9" s="66" t="s">
        <v>54</v>
      </c>
      <c r="C9" s="428" t="s">
        <v>1280</v>
      </c>
      <c r="D9" s="429" t="s">
        <v>533</v>
      </c>
      <c r="E9" s="430">
        <v>16</v>
      </c>
      <c r="F9" s="431"/>
      <c r="G9" s="432">
        <f t="shared" si="0"/>
        <v>16</v>
      </c>
      <c r="H9" s="433" t="s">
        <v>1592</v>
      </c>
      <c r="I9" s="415" t="s">
        <v>1592</v>
      </c>
      <c r="J9" s="427"/>
      <c r="K9" s="789" t="s">
        <v>784</v>
      </c>
      <c r="L9" s="795"/>
      <c r="M9" s="796"/>
    </row>
    <row r="10" spans="1:16" s="435" customFormat="1" ht="28.5" customHeight="1">
      <c r="A10" s="416">
        <f t="shared" si="1"/>
        <v>4</v>
      </c>
      <c r="B10" s="421" t="s">
        <v>1281</v>
      </c>
      <c r="C10" s="422" t="s">
        <v>1296</v>
      </c>
      <c r="D10" s="429" t="s">
        <v>1297</v>
      </c>
      <c r="E10" s="430"/>
      <c r="F10" s="431"/>
      <c r="G10" s="432">
        <f t="shared" si="0"/>
        <v>2</v>
      </c>
      <c r="H10" s="433" t="s">
        <v>1406</v>
      </c>
      <c r="I10" s="416"/>
      <c r="J10" s="434"/>
      <c r="K10" s="792" t="s">
        <v>1282</v>
      </c>
      <c r="L10" s="793"/>
      <c r="M10" s="794"/>
    </row>
    <row r="11" spans="1:16" s="435" customFormat="1" ht="12" customHeight="1">
      <c r="A11" s="416">
        <f t="shared" si="1"/>
        <v>5</v>
      </c>
      <c r="B11" s="436" t="s">
        <v>1283</v>
      </c>
      <c r="C11" s="437" t="s">
        <v>1284</v>
      </c>
      <c r="D11" s="429" t="s">
        <v>524</v>
      </c>
      <c r="E11" s="430">
        <v>20</v>
      </c>
      <c r="F11" s="431"/>
      <c r="G11" s="432">
        <f t="shared" si="0"/>
        <v>20</v>
      </c>
      <c r="H11" s="415" t="s">
        <v>574</v>
      </c>
      <c r="I11" s="416"/>
      <c r="J11" s="434"/>
      <c r="K11" s="760" t="s">
        <v>1285</v>
      </c>
      <c r="L11" s="761"/>
      <c r="M11" s="762"/>
    </row>
    <row r="12" spans="1:16" s="435" customFormat="1" ht="12" customHeight="1">
      <c r="A12" s="416">
        <f t="shared" si="1"/>
        <v>6</v>
      </c>
      <c r="B12" s="436" t="s">
        <v>1286</v>
      </c>
      <c r="C12" s="437" t="s">
        <v>363</v>
      </c>
      <c r="D12" s="429" t="s">
        <v>524</v>
      </c>
      <c r="E12" s="430">
        <v>20</v>
      </c>
      <c r="F12" s="431"/>
      <c r="G12" s="432">
        <f t="shared" si="0"/>
        <v>20</v>
      </c>
      <c r="H12" s="415" t="s">
        <v>574</v>
      </c>
      <c r="I12" s="416"/>
      <c r="J12" s="434"/>
      <c r="K12" s="760" t="s">
        <v>1287</v>
      </c>
      <c r="L12" s="761"/>
      <c r="M12" s="762"/>
    </row>
    <row r="13" spans="1:16" s="435" customFormat="1" ht="12" customHeight="1">
      <c r="A13" s="416">
        <f t="shared" si="1"/>
        <v>7</v>
      </c>
      <c r="B13" s="436" t="s">
        <v>26</v>
      </c>
      <c r="C13" s="437" t="s">
        <v>1030</v>
      </c>
      <c r="D13" s="441" t="s">
        <v>1031</v>
      </c>
      <c r="E13" s="430"/>
      <c r="F13" s="431"/>
      <c r="G13" s="432">
        <f t="shared" si="0"/>
        <v>4</v>
      </c>
      <c r="H13" s="415" t="s">
        <v>1032</v>
      </c>
      <c r="I13" s="416" t="s">
        <v>1032</v>
      </c>
      <c r="J13" s="434"/>
      <c r="K13" s="760" t="s">
        <v>1409</v>
      </c>
      <c r="L13" s="761"/>
      <c r="M13" s="762"/>
    </row>
    <row r="14" spans="1:16" s="435" customFormat="1" ht="12" customHeight="1">
      <c r="A14" s="416">
        <f t="shared" si="1"/>
        <v>8</v>
      </c>
      <c r="B14" s="436" t="s">
        <v>27</v>
      </c>
      <c r="C14" s="437" t="s">
        <v>1033</v>
      </c>
      <c r="D14" s="442" t="s">
        <v>1031</v>
      </c>
      <c r="E14" s="430"/>
      <c r="F14" s="431"/>
      <c r="G14" s="432">
        <f t="shared" si="0"/>
        <v>4</v>
      </c>
      <c r="H14" s="415" t="s">
        <v>1032</v>
      </c>
      <c r="I14" s="416"/>
      <c r="J14" s="434"/>
      <c r="K14" s="438" t="s">
        <v>1410</v>
      </c>
      <c r="L14" s="439"/>
      <c r="M14" s="440"/>
    </row>
    <row r="15" spans="1:16" s="435" customFormat="1" ht="12" customHeight="1">
      <c r="A15" s="416">
        <f t="shared" si="1"/>
        <v>9</v>
      </c>
      <c r="B15" s="436" t="s">
        <v>1083</v>
      </c>
      <c r="C15" s="437" t="s">
        <v>1034</v>
      </c>
      <c r="D15" s="442" t="s">
        <v>1374</v>
      </c>
      <c r="E15" s="430">
        <v>8</v>
      </c>
      <c r="F15" s="431"/>
      <c r="G15" s="432">
        <f t="shared" si="0"/>
        <v>8</v>
      </c>
      <c r="H15" s="415" t="s">
        <v>1375</v>
      </c>
      <c r="I15" s="416"/>
      <c r="J15" s="434"/>
      <c r="K15" s="438"/>
      <c r="L15" s="439"/>
      <c r="M15" s="440"/>
    </row>
    <row r="16" spans="1:16" s="435" customFormat="1" ht="12" customHeight="1">
      <c r="A16" s="416">
        <f t="shared" si="1"/>
        <v>10</v>
      </c>
      <c r="B16" s="436" t="s">
        <v>1724</v>
      </c>
      <c r="C16" s="437" t="s">
        <v>1035</v>
      </c>
      <c r="D16" s="443" t="s">
        <v>1595</v>
      </c>
      <c r="E16" s="430"/>
      <c r="F16" s="431"/>
      <c r="G16" s="432">
        <f t="shared" si="0"/>
        <v>10</v>
      </c>
      <c r="H16" s="415" t="s">
        <v>1596</v>
      </c>
      <c r="I16" s="416"/>
      <c r="J16" s="434"/>
      <c r="K16" s="438"/>
      <c r="L16" s="439"/>
      <c r="M16" s="440"/>
    </row>
    <row r="17" spans="1:13" s="435" customFormat="1" ht="12" customHeight="1">
      <c r="A17" s="416" t="str">
        <f t="shared" si="1"/>
        <v xml:space="preserve"> </v>
      </c>
      <c r="B17" s="436"/>
      <c r="C17" s="437"/>
      <c r="D17" s="442"/>
      <c r="E17" s="444"/>
      <c r="F17" s="445"/>
      <c r="G17" s="426"/>
      <c r="H17" s="415"/>
      <c r="I17" s="416"/>
      <c r="J17" s="434"/>
      <c r="K17" s="760"/>
      <c r="L17" s="761"/>
      <c r="M17" s="762"/>
    </row>
    <row r="18" spans="1:13" s="435" customFormat="1" ht="12" customHeight="1">
      <c r="A18" s="416" t="str">
        <f t="shared" si="1"/>
        <v xml:space="preserve"> </v>
      </c>
      <c r="B18" s="436"/>
      <c r="C18" s="437"/>
      <c r="D18" s="442"/>
      <c r="E18" s="444"/>
      <c r="F18" s="445"/>
      <c r="G18" s="426"/>
      <c r="H18" s="415"/>
      <c r="I18" s="416"/>
      <c r="J18" s="434"/>
      <c r="K18" s="760"/>
      <c r="L18" s="761"/>
      <c r="M18" s="762"/>
    </row>
    <row r="19" spans="1:13" s="435" customFormat="1" ht="12" customHeight="1">
      <c r="A19" s="416" t="str">
        <f t="shared" si="1"/>
        <v xml:space="preserve"> </v>
      </c>
      <c r="B19" s="436"/>
      <c r="C19" s="437"/>
      <c r="D19" s="442"/>
      <c r="E19" s="444"/>
      <c r="F19" s="445"/>
      <c r="G19" s="426"/>
      <c r="H19" s="415"/>
      <c r="I19" s="416"/>
      <c r="J19" s="434"/>
      <c r="K19" s="760"/>
      <c r="L19" s="761"/>
      <c r="M19" s="762"/>
    </row>
    <row r="20" spans="1:13" ht="13.5" customHeight="1">
      <c r="A20" s="416" t="str">
        <f t="shared" si="1"/>
        <v xml:space="preserve"> </v>
      </c>
      <c r="B20" s="436"/>
      <c r="C20" s="437"/>
      <c r="D20" s="441"/>
      <c r="E20" s="444"/>
      <c r="F20" s="445"/>
      <c r="G20" s="426"/>
      <c r="H20" s="415"/>
      <c r="I20" s="416"/>
      <c r="J20" s="434"/>
      <c r="K20" s="760"/>
      <c r="L20" s="761"/>
      <c r="M20" s="762"/>
    </row>
    <row r="21" spans="1:13">
      <c r="A21" s="416" t="str">
        <f t="shared" si="1"/>
        <v xml:space="preserve"> </v>
      </c>
      <c r="B21" s="436"/>
      <c r="C21" s="437"/>
      <c r="D21" s="442"/>
      <c r="E21" s="444"/>
      <c r="F21" s="445"/>
      <c r="G21" s="426"/>
      <c r="H21" s="415"/>
      <c r="I21" s="416"/>
      <c r="J21" s="434"/>
      <c r="K21" s="760"/>
      <c r="L21" s="761"/>
      <c r="M21" s="762"/>
    </row>
    <row r="22" spans="1:13" s="435" customFormat="1" ht="12" customHeight="1">
      <c r="A22" s="416" t="str">
        <f t="shared" si="1"/>
        <v xml:space="preserve"> </v>
      </c>
      <c r="B22" s="436"/>
      <c r="C22" s="437"/>
      <c r="D22" s="442"/>
      <c r="E22" s="424"/>
      <c r="F22" s="446"/>
      <c r="G22" s="426"/>
      <c r="H22" s="447"/>
      <c r="I22" s="447"/>
      <c r="J22" s="434"/>
      <c r="K22" s="760" t="s">
        <v>1288</v>
      </c>
      <c r="L22" s="761"/>
      <c r="M22" s="762"/>
    </row>
    <row r="23" spans="1:13" s="435" customFormat="1">
      <c r="A23" s="416" t="str">
        <f t="shared" si="1"/>
        <v xml:space="preserve"> </v>
      </c>
      <c r="B23" s="436"/>
      <c r="C23" s="437"/>
      <c r="D23" s="443"/>
      <c r="E23" s="424"/>
      <c r="F23" s="446"/>
      <c r="G23" s="426"/>
      <c r="H23" s="447"/>
      <c r="I23" s="416"/>
      <c r="J23" s="434"/>
      <c r="K23" s="797"/>
      <c r="L23" s="761"/>
      <c r="M23" s="762"/>
    </row>
    <row r="24" spans="1:13">
      <c r="A24" s="415" t="str">
        <f t="shared" si="1"/>
        <v xml:space="preserve"> </v>
      </c>
      <c r="B24" s="448"/>
      <c r="C24" s="449"/>
      <c r="D24" s="450"/>
      <c r="E24" s="451"/>
      <c r="F24" s="425"/>
      <c r="G24" s="426"/>
      <c r="H24" s="415"/>
      <c r="I24" s="415"/>
      <c r="J24" s="427"/>
      <c r="K24" s="798"/>
      <c r="L24" s="795"/>
      <c r="M24" s="796"/>
    </row>
    <row r="25" spans="1:13">
      <c r="A25" s="415" t="str">
        <f t="shared" si="1"/>
        <v xml:space="preserve"> </v>
      </c>
      <c r="B25" s="448"/>
      <c r="C25" s="449"/>
      <c r="D25" s="450"/>
      <c r="E25" s="451"/>
      <c r="F25" s="425"/>
      <c r="G25" s="426"/>
      <c r="H25" s="415"/>
      <c r="I25" s="415"/>
      <c r="J25" s="427"/>
      <c r="K25" s="786"/>
      <c r="L25" s="787"/>
      <c r="M25" s="788"/>
    </row>
    <row r="26" spans="1:13">
      <c r="A26" s="415" t="str">
        <f t="shared" si="1"/>
        <v xml:space="preserve"> </v>
      </c>
      <c r="B26" s="448"/>
      <c r="C26" s="449"/>
      <c r="D26" s="450"/>
      <c r="E26" s="451"/>
      <c r="F26" s="425"/>
      <c r="G26" s="426"/>
      <c r="H26" s="415"/>
      <c r="I26" s="415"/>
      <c r="J26" s="427"/>
      <c r="K26" s="786"/>
      <c r="L26" s="787"/>
      <c r="M26" s="788"/>
    </row>
    <row r="27" spans="1:13">
      <c r="A27" s="415" t="str">
        <f t="shared" si="1"/>
        <v xml:space="preserve"> </v>
      </c>
      <c r="B27" s="448"/>
      <c r="C27" s="449"/>
      <c r="D27" s="450"/>
      <c r="E27" s="451"/>
      <c r="F27" s="425"/>
      <c r="G27" s="426"/>
      <c r="H27" s="415"/>
      <c r="I27" s="415"/>
      <c r="J27" s="427"/>
      <c r="K27" s="786"/>
      <c r="L27" s="787"/>
      <c r="M27" s="788"/>
    </row>
    <row r="28" spans="1:13">
      <c r="A28" s="415" t="str">
        <f t="shared" si="1"/>
        <v xml:space="preserve"> </v>
      </c>
      <c r="B28" s="448"/>
      <c r="C28" s="449"/>
      <c r="D28" s="450"/>
      <c r="E28" s="451"/>
      <c r="F28" s="425"/>
      <c r="G28" s="426"/>
      <c r="H28" s="415"/>
      <c r="I28" s="415"/>
      <c r="J28" s="427"/>
      <c r="K28" s="786"/>
      <c r="L28" s="787"/>
      <c r="M28" s="788"/>
    </row>
    <row r="29" spans="1:13">
      <c r="A29" s="415" t="str">
        <f t="shared" si="1"/>
        <v xml:space="preserve"> </v>
      </c>
      <c r="B29" s="448"/>
      <c r="C29" s="449"/>
      <c r="D29" s="450"/>
      <c r="E29" s="451"/>
      <c r="F29" s="425"/>
      <c r="G29" s="426"/>
      <c r="H29" s="415"/>
      <c r="I29" s="415"/>
      <c r="J29" s="427"/>
      <c r="K29" s="786"/>
      <c r="L29" s="787"/>
      <c r="M29" s="788"/>
    </row>
    <row r="30" spans="1:13">
      <c r="A30" s="415" t="str">
        <f t="shared" si="1"/>
        <v xml:space="preserve"> </v>
      </c>
      <c r="B30" s="448"/>
      <c r="C30" s="449"/>
      <c r="D30" s="450"/>
      <c r="E30" s="451"/>
      <c r="F30" s="425"/>
      <c r="G30" s="426"/>
      <c r="H30" s="415"/>
      <c r="I30" s="415"/>
      <c r="J30" s="427"/>
      <c r="K30" s="786"/>
      <c r="L30" s="787"/>
      <c r="M30" s="788"/>
    </row>
    <row r="31" spans="1:13">
      <c r="A31" s="416" t="str">
        <f t="shared" si="1"/>
        <v xml:space="preserve"> </v>
      </c>
      <c r="B31" s="452"/>
      <c r="C31" s="453"/>
      <c r="D31" s="442"/>
      <c r="E31" s="444"/>
      <c r="F31" s="445"/>
      <c r="G31" s="426"/>
      <c r="H31" s="416"/>
      <c r="I31" s="416"/>
      <c r="J31" s="434"/>
      <c r="K31" s="757"/>
      <c r="L31" s="758"/>
      <c r="M31" s="759"/>
    </row>
    <row r="32" spans="1:13">
      <c r="A32" s="416" t="str">
        <f>IF(B32=""," ",#REF!+1)</f>
        <v xml:space="preserve"> </v>
      </c>
      <c r="B32" s="452"/>
      <c r="C32" s="453"/>
      <c r="D32" s="442"/>
      <c r="E32" s="444"/>
      <c r="F32" s="445"/>
      <c r="G32" s="426"/>
      <c r="H32" s="416"/>
      <c r="I32" s="416"/>
      <c r="J32" s="434"/>
      <c r="K32" s="757"/>
      <c r="L32" s="758"/>
      <c r="M32" s="759"/>
    </row>
    <row r="33" spans="1:13">
      <c r="A33" s="416" t="str">
        <f>IF(B33=""," ",#REF!+1)</f>
        <v xml:space="preserve"> </v>
      </c>
      <c r="B33" s="452"/>
      <c r="C33" s="453"/>
      <c r="D33" s="442"/>
      <c r="E33" s="444"/>
      <c r="F33" s="445"/>
      <c r="G33" s="426"/>
      <c r="H33" s="416"/>
      <c r="I33" s="416"/>
      <c r="J33" s="434"/>
      <c r="K33" s="453"/>
      <c r="L33" s="454"/>
      <c r="M33" s="455"/>
    </row>
    <row r="34" spans="1:13">
      <c r="A34" s="416" t="str">
        <f>IF(B34=""," ",A33+1)</f>
        <v xml:space="preserve"> </v>
      </c>
      <c r="B34" s="452"/>
      <c r="C34" s="453"/>
      <c r="D34" s="442"/>
      <c r="E34" s="444"/>
      <c r="F34" s="445"/>
      <c r="G34" s="426"/>
      <c r="H34" s="416"/>
      <c r="I34" s="416"/>
      <c r="J34" s="434"/>
      <c r="K34" s="453"/>
      <c r="L34" s="454"/>
      <c r="M34" s="455"/>
    </row>
    <row r="35" spans="1:13">
      <c r="A35" s="416" t="str">
        <f>IF(B35=""," ",A34+1)</f>
        <v xml:space="preserve"> </v>
      </c>
      <c r="B35" s="452"/>
      <c r="C35" s="453"/>
      <c r="D35" s="442"/>
      <c r="E35" s="444"/>
      <c r="F35" s="445"/>
      <c r="G35" s="426"/>
      <c r="H35" s="416"/>
      <c r="I35" s="416"/>
      <c r="J35" s="434"/>
      <c r="K35" s="757"/>
      <c r="L35" s="758"/>
      <c r="M35" s="759"/>
    </row>
    <row r="36" spans="1:13">
      <c r="A36" s="416" t="str">
        <f>IF(B36=""," ",#REF!+1)</f>
        <v xml:space="preserve"> </v>
      </c>
      <c r="B36" s="452"/>
      <c r="C36" s="453"/>
      <c r="D36" s="442"/>
      <c r="E36" s="444"/>
      <c r="F36" s="445"/>
      <c r="G36" s="426"/>
      <c r="H36" s="416"/>
      <c r="I36" s="416"/>
      <c r="J36" s="434"/>
      <c r="K36" s="757"/>
      <c r="L36" s="758"/>
      <c r="M36" s="759"/>
    </row>
    <row r="37" spans="1:13">
      <c r="A37" s="416" t="str">
        <f>IF(B37=""," ",#REF!+1)</f>
        <v xml:space="preserve"> </v>
      </c>
      <c r="B37" s="452"/>
      <c r="C37" s="453"/>
      <c r="D37" s="442"/>
      <c r="E37" s="444"/>
      <c r="F37" s="445"/>
      <c r="G37" s="426"/>
      <c r="H37" s="416"/>
      <c r="I37" s="416"/>
      <c r="J37" s="434"/>
      <c r="K37" s="453"/>
      <c r="L37" s="454"/>
      <c r="M37" s="455"/>
    </row>
    <row r="38" spans="1:13">
      <c r="A38" s="416" t="str">
        <f>IF(B38=""," ",A37+1)</f>
        <v xml:space="preserve"> </v>
      </c>
      <c r="B38" s="452"/>
      <c r="C38" s="453"/>
      <c r="D38" s="442"/>
      <c r="E38" s="444"/>
      <c r="F38" s="445"/>
      <c r="G38" s="426"/>
      <c r="H38" s="416"/>
      <c r="I38" s="416"/>
      <c r="J38" s="434"/>
      <c r="K38" s="453"/>
      <c r="L38" s="454"/>
      <c r="M38" s="455"/>
    </row>
    <row r="39" spans="1:13">
      <c r="A39" s="416" t="str">
        <f>IF(B39=""," ",A38+1)</f>
        <v xml:space="preserve"> </v>
      </c>
      <c r="B39" s="452"/>
      <c r="C39" s="453"/>
      <c r="D39" s="442"/>
      <c r="E39" s="444"/>
      <c r="F39" s="445"/>
      <c r="G39" s="426"/>
      <c r="H39" s="416"/>
      <c r="I39" s="416"/>
      <c r="J39" s="434"/>
      <c r="K39" s="757"/>
      <c r="L39" s="758"/>
      <c r="M39" s="759"/>
    </row>
    <row r="40" spans="1:13">
      <c r="A40" s="416" t="str">
        <f>IF(B40=""," ",#REF!+1)</f>
        <v xml:space="preserve"> </v>
      </c>
      <c r="B40" s="452"/>
      <c r="C40" s="453"/>
      <c r="D40" s="442"/>
      <c r="E40" s="444"/>
      <c r="F40" s="445"/>
      <c r="G40" s="426"/>
      <c r="H40" s="416"/>
      <c r="I40" s="416"/>
      <c r="J40" s="434"/>
      <c r="K40" s="757"/>
      <c r="L40" s="758"/>
      <c r="M40" s="759"/>
    </row>
    <row r="41" spans="1:13">
      <c r="A41" s="416" t="str">
        <f>IF(B41=""," ",#REF!+1)</f>
        <v xml:space="preserve"> </v>
      </c>
      <c r="B41" s="452"/>
      <c r="C41" s="453"/>
      <c r="D41" s="442"/>
      <c r="E41" s="444"/>
      <c r="F41" s="445"/>
      <c r="G41" s="426"/>
      <c r="H41" s="416"/>
      <c r="I41" s="416"/>
      <c r="J41" s="434"/>
      <c r="K41" s="453"/>
      <c r="L41" s="454"/>
      <c r="M41" s="455"/>
    </row>
    <row r="42" spans="1:13">
      <c r="A42" s="416" t="str">
        <f>IF(B42=""," ",A41+1)</f>
        <v xml:space="preserve"> </v>
      </c>
      <c r="B42" s="452"/>
      <c r="C42" s="453"/>
      <c r="D42" s="442"/>
      <c r="E42" s="444"/>
      <c r="F42" s="445"/>
      <c r="G42" s="426"/>
      <c r="H42" s="416"/>
      <c r="I42" s="416"/>
      <c r="J42" s="434"/>
      <c r="K42" s="453"/>
      <c r="L42" s="454"/>
      <c r="M42" s="455"/>
    </row>
    <row r="43" spans="1:13">
      <c r="A43" s="416" t="str">
        <f>IF(B43=""," ",A42+1)</f>
        <v xml:space="preserve"> </v>
      </c>
      <c r="B43" s="452"/>
      <c r="C43" s="453"/>
      <c r="D43" s="442"/>
      <c r="E43" s="444"/>
      <c r="F43" s="445"/>
      <c r="G43" s="426"/>
      <c r="H43" s="416"/>
      <c r="I43" s="416"/>
      <c r="J43" s="434"/>
      <c r="K43" s="757"/>
      <c r="L43" s="758"/>
      <c r="M43" s="759"/>
    </row>
    <row r="44" spans="1:13">
      <c r="A44" s="416" t="str">
        <f>IF(B44=""," ",#REF!+1)</f>
        <v xml:space="preserve"> </v>
      </c>
      <c r="B44" s="452"/>
      <c r="C44" s="453"/>
      <c r="D44" s="442"/>
      <c r="E44" s="444"/>
      <c r="F44" s="445"/>
      <c r="G44" s="426"/>
      <c r="H44" s="416"/>
      <c r="I44" s="416"/>
      <c r="J44" s="434"/>
      <c r="K44" s="757"/>
      <c r="L44" s="758"/>
      <c r="M44" s="759"/>
    </row>
    <row r="45" spans="1:13">
      <c r="A45" s="416" t="str">
        <f>IF(B45=""," ",#REF!+1)</f>
        <v xml:space="preserve"> </v>
      </c>
      <c r="B45" s="452"/>
      <c r="C45" s="453"/>
      <c r="D45" s="442"/>
      <c r="E45" s="444"/>
      <c r="F45" s="445"/>
      <c r="G45" s="426"/>
      <c r="H45" s="416"/>
      <c r="I45" s="416"/>
      <c r="J45" s="434"/>
      <c r="K45" s="453"/>
      <c r="L45" s="454"/>
      <c r="M45" s="455"/>
    </row>
    <row r="46" spans="1:13">
      <c r="A46" s="416" t="str">
        <f>IF(B46=""," ",A45+1)</f>
        <v xml:space="preserve"> </v>
      </c>
      <c r="B46" s="452"/>
      <c r="C46" s="453"/>
      <c r="D46" s="442"/>
      <c r="E46" s="444"/>
      <c r="F46" s="445"/>
      <c r="G46" s="426"/>
      <c r="H46" s="416"/>
      <c r="I46" s="416"/>
      <c r="J46" s="434"/>
      <c r="K46" s="453"/>
      <c r="L46" s="454"/>
      <c r="M46" s="455"/>
    </row>
    <row r="47" spans="1:13">
      <c r="A47" s="416" t="str">
        <f>IF(B47=""," ",A46+1)</f>
        <v xml:space="preserve"> </v>
      </c>
      <c r="B47" s="452"/>
      <c r="C47" s="453"/>
      <c r="D47" s="442"/>
      <c r="E47" s="444"/>
      <c r="F47" s="445"/>
      <c r="G47" s="426"/>
      <c r="H47" s="416"/>
      <c r="I47" s="416"/>
      <c r="J47" s="434"/>
      <c r="K47" s="757"/>
      <c r="L47" s="758"/>
      <c r="M47" s="759"/>
    </row>
    <row r="48" spans="1:13">
      <c r="A48" s="416" t="str">
        <f>IF(B48=""," ",#REF!+1)</f>
        <v xml:space="preserve"> </v>
      </c>
      <c r="B48" s="452"/>
      <c r="C48" s="453"/>
      <c r="D48" s="442"/>
      <c r="E48" s="444"/>
      <c r="F48" s="445"/>
      <c r="G48" s="426"/>
      <c r="H48" s="416"/>
      <c r="I48" s="416"/>
      <c r="J48" s="434"/>
      <c r="K48" s="757"/>
      <c r="L48" s="758"/>
      <c r="M48" s="759"/>
    </row>
    <row r="49" spans="1:13">
      <c r="A49" s="416" t="str">
        <f>IF(B49=""," ",#REF!+1)</f>
        <v xml:space="preserve"> </v>
      </c>
      <c r="B49" s="452"/>
      <c r="C49" s="453"/>
      <c r="D49" s="442"/>
      <c r="E49" s="444"/>
      <c r="F49" s="445"/>
      <c r="G49" s="426"/>
      <c r="H49" s="416"/>
      <c r="I49" s="416"/>
      <c r="J49" s="434"/>
      <c r="K49" s="453"/>
      <c r="L49" s="454"/>
      <c r="M49" s="455"/>
    </row>
    <row r="50" spans="1:13">
      <c r="A50" s="416" t="str">
        <f>IF(B50=""," ",A49+1)</f>
        <v xml:space="preserve"> </v>
      </c>
      <c r="B50" s="452"/>
      <c r="C50" s="453"/>
      <c r="D50" s="442"/>
      <c r="E50" s="444"/>
      <c r="F50" s="445"/>
      <c r="G50" s="426"/>
      <c r="H50" s="416"/>
      <c r="I50" s="416"/>
      <c r="J50" s="434"/>
      <c r="K50" s="453"/>
      <c r="L50" s="454"/>
      <c r="M50" s="455"/>
    </row>
    <row r="51" spans="1:13">
      <c r="A51" s="416" t="str">
        <f>IF(B51=""," ",A50+1)</f>
        <v xml:space="preserve"> </v>
      </c>
      <c r="B51" s="452"/>
      <c r="C51" s="453"/>
      <c r="D51" s="442"/>
      <c r="E51" s="444"/>
      <c r="F51" s="445"/>
      <c r="G51" s="426"/>
      <c r="H51" s="416"/>
      <c r="I51" s="416"/>
      <c r="J51" s="434"/>
      <c r="K51" s="757"/>
      <c r="L51" s="758"/>
      <c r="M51" s="759"/>
    </row>
    <row r="52" spans="1:13">
      <c r="A52" s="416" t="str">
        <f>IF(B52=""," ",#REF!+1)</f>
        <v xml:space="preserve"> </v>
      </c>
      <c r="B52" s="452"/>
      <c r="C52" s="453"/>
      <c r="D52" s="442"/>
      <c r="E52" s="444"/>
      <c r="F52" s="445"/>
      <c r="G52" s="426"/>
      <c r="H52" s="416"/>
      <c r="I52" s="416"/>
      <c r="J52" s="434"/>
      <c r="K52" s="757"/>
      <c r="L52" s="758"/>
      <c r="M52" s="759"/>
    </row>
    <row r="53" spans="1:13">
      <c r="A53" s="416" t="str">
        <f>IF(B53=""," ",#REF!+1)</f>
        <v xml:space="preserve"> </v>
      </c>
      <c r="B53" s="452"/>
      <c r="C53" s="453"/>
      <c r="D53" s="442"/>
      <c r="E53" s="444"/>
      <c r="F53" s="445"/>
      <c r="G53" s="426"/>
      <c r="H53" s="416"/>
      <c r="I53" s="416"/>
      <c r="J53" s="434"/>
      <c r="K53" s="453"/>
      <c r="L53" s="454"/>
      <c r="M53" s="455"/>
    </row>
    <row r="54" spans="1:13">
      <c r="A54" s="416" t="str">
        <f>IF(B54=""," ",A53+1)</f>
        <v xml:space="preserve"> </v>
      </c>
      <c r="B54" s="452"/>
      <c r="C54" s="453"/>
      <c r="D54" s="442"/>
      <c r="E54" s="444"/>
      <c r="F54" s="445"/>
      <c r="G54" s="426"/>
      <c r="H54" s="416"/>
      <c r="I54" s="416"/>
      <c r="J54" s="434"/>
      <c r="K54" s="453"/>
      <c r="L54" s="454"/>
      <c r="M54" s="455"/>
    </row>
    <row r="55" spans="1:13">
      <c r="A55" s="416" t="str">
        <f>IF(B55=""," ",A54+1)</f>
        <v xml:space="preserve"> </v>
      </c>
      <c r="B55" s="452"/>
      <c r="C55" s="453"/>
      <c r="D55" s="442"/>
      <c r="E55" s="444"/>
      <c r="F55" s="445"/>
      <c r="G55" s="426"/>
      <c r="H55" s="416"/>
      <c r="I55" s="416"/>
      <c r="J55" s="434"/>
      <c r="K55" s="757"/>
      <c r="L55" s="758"/>
      <c r="M55" s="759"/>
    </row>
    <row r="56" spans="1:13">
      <c r="A56" s="416" t="str">
        <f>IF(B56=""," ",#REF!+1)</f>
        <v xml:space="preserve"> </v>
      </c>
      <c r="B56" s="452"/>
      <c r="C56" s="453"/>
      <c r="D56" s="442"/>
      <c r="E56" s="444"/>
      <c r="F56" s="445"/>
      <c r="G56" s="426"/>
      <c r="H56" s="416"/>
      <c r="I56" s="416"/>
      <c r="J56" s="434"/>
      <c r="K56" s="757"/>
      <c r="L56" s="758"/>
      <c r="M56" s="759"/>
    </row>
    <row r="57" spans="1:13">
      <c r="A57" s="416" t="str">
        <f>IF(B57=""," ",#REF!+1)</f>
        <v xml:space="preserve"> </v>
      </c>
      <c r="B57" s="452"/>
      <c r="C57" s="453"/>
      <c r="D57" s="442"/>
      <c r="E57" s="444"/>
      <c r="F57" s="445"/>
      <c r="G57" s="426"/>
      <c r="H57" s="416"/>
      <c r="I57" s="416"/>
      <c r="J57" s="434"/>
      <c r="K57" s="453"/>
      <c r="L57" s="454"/>
      <c r="M57" s="455"/>
    </row>
    <row r="58" spans="1:13">
      <c r="A58" s="416" t="str">
        <f>IF(B58=""," ",A57+1)</f>
        <v xml:space="preserve"> </v>
      </c>
      <c r="B58" s="452"/>
      <c r="C58" s="453"/>
      <c r="D58" s="442"/>
      <c r="E58" s="444"/>
      <c r="F58" s="445"/>
      <c r="G58" s="426"/>
      <c r="H58" s="416"/>
      <c r="I58" s="416"/>
      <c r="J58" s="434"/>
      <c r="K58" s="453"/>
      <c r="L58" s="454"/>
      <c r="M58" s="455"/>
    </row>
    <row r="59" spans="1:13">
      <c r="A59" s="416" t="str">
        <f>IF(B59=""," ",A58+1)</f>
        <v xml:space="preserve"> </v>
      </c>
      <c r="B59" s="452"/>
      <c r="C59" s="453"/>
      <c r="D59" s="442"/>
      <c r="E59" s="444"/>
      <c r="F59" s="445"/>
      <c r="G59" s="426"/>
      <c r="H59" s="416"/>
      <c r="I59" s="416"/>
      <c r="J59" s="434"/>
      <c r="K59" s="757"/>
      <c r="L59" s="758"/>
      <c r="M59" s="759"/>
    </row>
    <row r="60" spans="1:13">
      <c r="A60" s="416" t="str">
        <f>IF(B60=""," ",#REF!+1)</f>
        <v xml:space="preserve"> </v>
      </c>
      <c r="B60" s="452"/>
      <c r="C60" s="453"/>
      <c r="D60" s="442"/>
      <c r="E60" s="444"/>
      <c r="F60" s="445"/>
      <c r="G60" s="426"/>
      <c r="H60" s="416"/>
      <c r="I60" s="416"/>
      <c r="J60" s="434"/>
      <c r="K60" s="757"/>
      <c r="L60" s="758"/>
      <c r="M60" s="759"/>
    </row>
    <row r="61" spans="1:13">
      <c r="A61" s="416" t="str">
        <f>IF(B61=""," ",#REF!+1)</f>
        <v xml:space="preserve"> </v>
      </c>
      <c r="B61" s="452"/>
      <c r="C61" s="453"/>
      <c r="D61" s="442"/>
      <c r="E61" s="444"/>
      <c r="F61" s="445"/>
      <c r="G61" s="426"/>
      <c r="H61" s="416"/>
      <c r="I61" s="416"/>
      <c r="J61" s="434"/>
      <c r="K61" s="453"/>
      <c r="L61" s="454"/>
      <c r="M61" s="455"/>
    </row>
    <row r="62" spans="1:13">
      <c r="A62" s="416" t="str">
        <f>IF(B62=""," ",A61+1)</f>
        <v xml:space="preserve"> </v>
      </c>
      <c r="B62" s="452"/>
      <c r="C62" s="453"/>
      <c r="D62" s="442"/>
      <c r="E62" s="444"/>
      <c r="F62" s="445"/>
      <c r="G62" s="426"/>
      <c r="H62" s="416"/>
      <c r="I62" s="416"/>
      <c r="J62" s="434"/>
      <c r="K62" s="453"/>
      <c r="L62" s="454"/>
      <c r="M62" s="455"/>
    </row>
    <row r="63" spans="1:13">
      <c r="A63" s="416" t="str">
        <f>IF(B63=""," ",A62+1)</f>
        <v xml:space="preserve"> </v>
      </c>
      <c r="B63" s="452"/>
      <c r="C63" s="453"/>
      <c r="D63" s="442"/>
      <c r="E63" s="444"/>
      <c r="F63" s="445"/>
      <c r="G63" s="426"/>
      <c r="H63" s="416"/>
      <c r="I63" s="416"/>
      <c r="J63" s="434"/>
      <c r="K63" s="757"/>
      <c r="L63" s="758"/>
      <c r="M63" s="759"/>
    </row>
    <row r="64" spans="1:13">
      <c r="A64" s="416" t="str">
        <f>IF(B64=""," ",#REF!+1)</f>
        <v xml:space="preserve"> </v>
      </c>
      <c r="B64" s="452"/>
      <c r="C64" s="453"/>
      <c r="D64" s="442"/>
      <c r="E64" s="444"/>
      <c r="F64" s="445"/>
      <c r="G64" s="426"/>
      <c r="H64" s="416"/>
      <c r="I64" s="416"/>
      <c r="J64" s="434"/>
      <c r="K64" s="757"/>
      <c r="L64" s="758"/>
      <c r="M64" s="759"/>
    </row>
    <row r="65" spans="1:13">
      <c r="A65" s="416" t="str">
        <f>IF(B65=""," ",#REF!+1)</f>
        <v xml:space="preserve"> </v>
      </c>
      <c r="B65" s="452"/>
      <c r="C65" s="453"/>
      <c r="D65" s="442"/>
      <c r="E65" s="444"/>
      <c r="F65" s="445"/>
      <c r="G65" s="426"/>
      <c r="H65" s="416"/>
      <c r="I65" s="416"/>
      <c r="J65" s="434"/>
      <c r="K65" s="453"/>
      <c r="L65" s="454"/>
      <c r="M65" s="455"/>
    </row>
    <row r="66" spans="1:13">
      <c r="A66" s="416" t="str">
        <f>IF(B66=""," ",A65+1)</f>
        <v xml:space="preserve"> </v>
      </c>
      <c r="B66" s="452"/>
      <c r="C66" s="453"/>
      <c r="D66" s="442"/>
      <c r="E66" s="444"/>
      <c r="F66" s="445"/>
      <c r="G66" s="426"/>
      <c r="H66" s="416"/>
      <c r="I66" s="416"/>
      <c r="J66" s="434"/>
      <c r="K66" s="453"/>
      <c r="L66" s="454"/>
      <c r="M66" s="455"/>
    </row>
    <row r="67" spans="1:13">
      <c r="A67" s="416" t="str">
        <f>IF(B67=""," ",A66+1)</f>
        <v xml:space="preserve"> </v>
      </c>
      <c r="B67" s="452"/>
      <c r="C67" s="453"/>
      <c r="D67" s="442"/>
      <c r="E67" s="444"/>
      <c r="F67" s="445"/>
      <c r="G67" s="426"/>
      <c r="H67" s="416"/>
      <c r="I67" s="416"/>
      <c r="J67" s="434"/>
      <c r="K67" s="757"/>
      <c r="L67" s="758"/>
      <c r="M67" s="759"/>
    </row>
    <row r="68" spans="1:13">
      <c r="A68" s="416" t="str">
        <f>IF(B68=""," ",#REF!+1)</f>
        <v xml:space="preserve"> </v>
      </c>
      <c r="B68" s="452"/>
      <c r="C68" s="453"/>
      <c r="D68" s="442"/>
      <c r="E68" s="444"/>
      <c r="F68" s="445"/>
      <c r="G68" s="426"/>
      <c r="H68" s="416"/>
      <c r="I68" s="416"/>
      <c r="J68" s="434"/>
      <c r="K68" s="757"/>
      <c r="L68" s="758"/>
      <c r="M68" s="759"/>
    </row>
    <row r="69" spans="1:13">
      <c r="A69" s="416" t="str">
        <f>IF(B69=""," ",#REF!+1)</f>
        <v xml:space="preserve"> </v>
      </c>
      <c r="B69" s="452"/>
      <c r="C69" s="453"/>
      <c r="D69" s="442"/>
      <c r="E69" s="444"/>
      <c r="F69" s="445"/>
      <c r="G69" s="426"/>
      <c r="H69" s="416"/>
      <c r="I69" s="416"/>
      <c r="J69" s="434"/>
      <c r="K69" s="453"/>
      <c r="L69" s="454"/>
      <c r="M69" s="455"/>
    </row>
    <row r="70" spans="1:13">
      <c r="A70" s="416" t="str">
        <f>IF(B70=""," ",A69+1)</f>
        <v xml:space="preserve"> </v>
      </c>
      <c r="B70" s="452"/>
      <c r="C70" s="453"/>
      <c r="D70" s="442"/>
      <c r="E70" s="444"/>
      <c r="F70" s="445"/>
      <c r="G70" s="426"/>
      <c r="H70" s="416"/>
      <c r="I70" s="416"/>
      <c r="J70" s="434"/>
      <c r="K70" s="453"/>
      <c r="L70" s="454"/>
      <c r="M70" s="455"/>
    </row>
    <row r="71" spans="1:13">
      <c r="A71" s="416" t="str">
        <f>IF(B71=""," ",A70+1)</f>
        <v xml:space="preserve"> </v>
      </c>
      <c r="B71" s="452"/>
      <c r="C71" s="453"/>
      <c r="D71" s="442"/>
      <c r="E71" s="444"/>
      <c r="F71" s="445"/>
      <c r="G71" s="426"/>
      <c r="H71" s="416"/>
      <c r="I71" s="416"/>
      <c r="J71" s="434"/>
      <c r="K71" s="757"/>
      <c r="L71" s="758"/>
      <c r="M71" s="759"/>
    </row>
    <row r="72" spans="1:13">
      <c r="A72" s="416" t="str">
        <f>IF(B72=""," ",#REF!+1)</f>
        <v xml:space="preserve"> </v>
      </c>
      <c r="B72" s="452"/>
      <c r="C72" s="453"/>
      <c r="D72" s="442"/>
      <c r="E72" s="444"/>
      <c r="F72" s="445"/>
      <c r="G72" s="426"/>
      <c r="H72" s="416"/>
      <c r="I72" s="416"/>
      <c r="J72" s="434"/>
      <c r="K72" s="757"/>
      <c r="L72" s="758"/>
      <c r="M72" s="759"/>
    </row>
    <row r="73" spans="1:13">
      <c r="A73" s="416" t="str">
        <f>IF(B73=""," ",#REF!+1)</f>
        <v xml:space="preserve"> </v>
      </c>
      <c r="B73" s="452"/>
      <c r="C73" s="453"/>
      <c r="D73" s="442"/>
      <c r="E73" s="444"/>
      <c r="F73" s="445"/>
      <c r="G73" s="426"/>
      <c r="H73" s="416"/>
      <c r="I73" s="416"/>
      <c r="J73" s="434"/>
      <c r="K73" s="453"/>
      <c r="L73" s="454"/>
      <c r="M73" s="455"/>
    </row>
    <row r="74" spans="1:13">
      <c r="A74" s="416" t="str">
        <f>IF(B74=""," ",A73+1)</f>
        <v xml:space="preserve"> </v>
      </c>
      <c r="B74" s="452"/>
      <c r="C74" s="453"/>
      <c r="D74" s="442"/>
      <c r="E74" s="444"/>
      <c r="F74" s="445"/>
      <c r="G74" s="426"/>
      <c r="H74" s="416"/>
      <c r="I74" s="416"/>
      <c r="J74" s="434"/>
      <c r="K74" s="453"/>
      <c r="L74" s="454"/>
      <c r="M74" s="455"/>
    </row>
    <row r="75" spans="1:13">
      <c r="A75" s="416" t="str">
        <f>IF(B75=""," ",A74+1)</f>
        <v xml:space="preserve"> </v>
      </c>
      <c r="B75" s="452"/>
      <c r="C75" s="453"/>
      <c r="D75" s="442"/>
      <c r="E75" s="444"/>
      <c r="F75" s="445"/>
      <c r="G75" s="426"/>
      <c r="H75" s="416"/>
      <c r="I75" s="416"/>
      <c r="J75" s="434"/>
      <c r="K75" s="757"/>
      <c r="L75" s="758"/>
      <c r="M75" s="759"/>
    </row>
    <row r="76" spans="1:13">
      <c r="A76" s="416" t="str">
        <f>IF(B76=""," ",#REF!+1)</f>
        <v xml:space="preserve"> </v>
      </c>
      <c r="B76" s="452"/>
      <c r="C76" s="453"/>
      <c r="D76" s="442"/>
      <c r="E76" s="444"/>
      <c r="F76" s="445"/>
      <c r="G76" s="426"/>
      <c r="H76" s="416"/>
      <c r="I76" s="416"/>
      <c r="J76" s="434"/>
      <c r="K76" s="757"/>
      <c r="L76" s="758"/>
      <c r="M76" s="759"/>
    </row>
    <row r="77" spans="1:13">
      <c r="A77" s="416" t="str">
        <f>IF(B77=""," ",#REF!+1)</f>
        <v xml:space="preserve"> </v>
      </c>
      <c r="B77" s="452"/>
      <c r="C77" s="453"/>
      <c r="D77" s="442"/>
      <c r="E77" s="444"/>
      <c r="F77" s="445"/>
      <c r="G77" s="426"/>
      <c r="H77" s="416"/>
      <c r="I77" s="416"/>
      <c r="J77" s="434"/>
      <c r="K77" s="453"/>
      <c r="L77" s="454"/>
      <c r="M77" s="455"/>
    </row>
    <row r="78" spans="1:13">
      <c r="A78" s="416" t="str">
        <f>IF(B78=""," ",A77+1)</f>
        <v xml:space="preserve"> </v>
      </c>
      <c r="B78" s="452"/>
      <c r="C78" s="453"/>
      <c r="D78" s="442"/>
      <c r="E78" s="444"/>
      <c r="F78" s="445"/>
      <c r="G78" s="426"/>
      <c r="H78" s="416"/>
      <c r="I78" s="416"/>
      <c r="J78" s="434"/>
      <c r="K78" s="453"/>
      <c r="L78" s="454"/>
      <c r="M78" s="455"/>
    </row>
    <row r="79" spans="1:13">
      <c r="A79" s="416" t="str">
        <f>IF(B79=""," ",A78+1)</f>
        <v xml:space="preserve"> </v>
      </c>
      <c r="B79" s="452"/>
      <c r="C79" s="453"/>
      <c r="D79" s="442"/>
      <c r="E79" s="444"/>
      <c r="F79" s="445"/>
      <c r="G79" s="426"/>
      <c r="H79" s="416"/>
      <c r="I79" s="416"/>
      <c r="J79" s="434"/>
      <c r="K79" s="757"/>
      <c r="L79" s="758"/>
      <c r="M79" s="759"/>
    </row>
    <row r="80" spans="1:13">
      <c r="A80" s="416" t="str">
        <f>IF(B80=""," ",#REF!+1)</f>
        <v xml:space="preserve"> </v>
      </c>
      <c r="B80" s="452"/>
      <c r="C80" s="453"/>
      <c r="D80" s="442"/>
      <c r="E80" s="444"/>
      <c r="F80" s="445"/>
      <c r="G80" s="426"/>
      <c r="H80" s="416"/>
      <c r="I80" s="416"/>
      <c r="J80" s="434"/>
      <c r="K80" s="757"/>
      <c r="L80" s="758"/>
      <c r="M80" s="759"/>
    </row>
    <row r="81" spans="1:13">
      <c r="A81" s="416" t="str">
        <f>IF(B81=""," ",#REF!+1)</f>
        <v xml:space="preserve"> </v>
      </c>
      <c r="B81" s="452"/>
      <c r="C81" s="453"/>
      <c r="D81" s="442"/>
      <c r="E81" s="444"/>
      <c r="F81" s="445"/>
      <c r="G81" s="426"/>
      <c r="H81" s="416"/>
      <c r="I81" s="416"/>
      <c r="J81" s="434"/>
      <c r="K81" s="453"/>
      <c r="L81" s="454"/>
      <c r="M81" s="455"/>
    </row>
    <row r="82" spans="1:13">
      <c r="A82" s="416" t="str">
        <f>IF(B82=""," ",A81+1)</f>
        <v xml:space="preserve"> </v>
      </c>
      <c r="B82" s="452"/>
      <c r="C82" s="453"/>
      <c r="D82" s="442"/>
      <c r="E82" s="444"/>
      <c r="F82" s="445"/>
      <c r="G82" s="426"/>
      <c r="H82" s="416"/>
      <c r="I82" s="416"/>
      <c r="J82" s="434"/>
      <c r="K82" s="453"/>
      <c r="L82" s="454"/>
      <c r="M82" s="455"/>
    </row>
    <row r="83" spans="1:13">
      <c r="A83" s="416" t="str">
        <f>IF(B83=""," ",A82+1)</f>
        <v xml:space="preserve"> </v>
      </c>
      <c r="B83" s="452"/>
      <c r="C83" s="453"/>
      <c r="D83" s="442"/>
      <c r="E83" s="444"/>
      <c r="F83" s="445"/>
      <c r="G83" s="426"/>
      <c r="H83" s="416"/>
      <c r="I83" s="416"/>
      <c r="J83" s="434"/>
      <c r="K83" s="757"/>
      <c r="L83" s="758"/>
      <c r="M83" s="759"/>
    </row>
    <row r="84" spans="1:13">
      <c r="A84" s="416" t="str">
        <f>IF(B84=""," ",#REF!+1)</f>
        <v xml:space="preserve"> </v>
      </c>
      <c r="B84" s="452"/>
      <c r="C84" s="453"/>
      <c r="D84" s="442"/>
      <c r="E84" s="444"/>
      <c r="F84" s="445"/>
      <c r="G84" s="426"/>
      <c r="H84" s="416"/>
      <c r="I84" s="416"/>
      <c r="J84" s="434"/>
      <c r="K84" s="757"/>
      <c r="L84" s="758"/>
      <c r="M84" s="759"/>
    </row>
    <row r="85" spans="1:13">
      <c r="A85" s="416" t="str">
        <f>IF(B85=""," ",#REF!+1)</f>
        <v xml:space="preserve"> </v>
      </c>
      <c r="B85" s="452"/>
      <c r="C85" s="453"/>
      <c r="D85" s="442"/>
      <c r="E85" s="444"/>
      <c r="F85" s="445"/>
      <c r="G85" s="426"/>
      <c r="H85" s="416"/>
      <c r="I85" s="416"/>
      <c r="J85" s="434"/>
      <c r="K85" s="453"/>
      <c r="L85" s="454"/>
      <c r="M85" s="455"/>
    </row>
    <row r="86" spans="1:13">
      <c r="A86" s="416" t="str">
        <f>IF(B86=""," ",A85+1)</f>
        <v xml:space="preserve"> </v>
      </c>
      <c r="B86" s="452"/>
      <c r="C86" s="453"/>
      <c r="D86" s="442"/>
      <c r="E86" s="444"/>
      <c r="F86" s="445"/>
      <c r="G86" s="426"/>
      <c r="H86" s="416"/>
      <c r="I86" s="416"/>
      <c r="J86" s="434"/>
      <c r="K86" s="453"/>
      <c r="L86" s="454"/>
      <c r="M86" s="455"/>
    </row>
    <row r="87" spans="1:13">
      <c r="A87" s="416" t="str">
        <f>IF(B87=""," ",A86+1)</f>
        <v xml:space="preserve"> </v>
      </c>
      <c r="B87" s="452"/>
      <c r="C87" s="453"/>
      <c r="D87" s="442"/>
      <c r="E87" s="444"/>
      <c r="F87" s="445"/>
      <c r="G87" s="426"/>
      <c r="H87" s="416"/>
      <c r="I87" s="416"/>
      <c r="J87" s="434"/>
      <c r="K87" s="757"/>
      <c r="L87" s="758"/>
      <c r="M87" s="759"/>
    </row>
    <row r="88" spans="1:13">
      <c r="A88" s="416" t="str">
        <f>IF(B88=""," ",#REF!+1)</f>
        <v xml:space="preserve"> </v>
      </c>
      <c r="B88" s="452"/>
      <c r="C88" s="453"/>
      <c r="D88" s="442"/>
      <c r="E88" s="444"/>
      <c r="F88" s="445"/>
      <c r="G88" s="426"/>
      <c r="H88" s="416"/>
      <c r="I88" s="416"/>
      <c r="J88" s="434"/>
      <c r="K88" s="757"/>
      <c r="L88" s="758"/>
      <c r="M88" s="759"/>
    </row>
    <row r="89" spans="1:13">
      <c r="A89" s="416" t="str">
        <f>IF(B89=""," ",#REF!+1)</f>
        <v xml:space="preserve"> </v>
      </c>
      <c r="B89" s="452"/>
      <c r="C89" s="453"/>
      <c r="D89" s="442"/>
      <c r="E89" s="444"/>
      <c r="F89" s="445"/>
      <c r="G89" s="426"/>
      <c r="H89" s="416"/>
      <c r="I89" s="416"/>
      <c r="J89" s="434"/>
      <c r="K89" s="453"/>
      <c r="L89" s="454"/>
      <c r="M89" s="455"/>
    </row>
    <row r="90" spans="1:13">
      <c r="A90" s="416" t="str">
        <f>IF(B90=""," ",A89+1)</f>
        <v xml:space="preserve"> </v>
      </c>
      <c r="B90" s="452"/>
      <c r="C90" s="453"/>
      <c r="D90" s="442"/>
      <c r="E90" s="444"/>
      <c r="F90" s="445"/>
      <c r="G90" s="426"/>
      <c r="H90" s="416"/>
      <c r="I90" s="416"/>
      <c r="J90" s="434"/>
      <c r="K90" s="453"/>
      <c r="L90" s="454"/>
      <c r="M90" s="455"/>
    </row>
    <row r="91" spans="1:13">
      <c r="A91" s="416" t="str">
        <f>IF(B91=""," ",A90+1)</f>
        <v xml:space="preserve"> </v>
      </c>
      <c r="B91" s="452"/>
      <c r="C91" s="453"/>
      <c r="D91" s="442"/>
      <c r="E91" s="444"/>
      <c r="F91" s="445"/>
      <c r="G91" s="426"/>
      <c r="H91" s="416"/>
      <c r="I91" s="416"/>
      <c r="J91" s="434"/>
      <c r="K91" s="757"/>
      <c r="L91" s="758"/>
      <c r="M91" s="759"/>
    </row>
    <row r="92" spans="1:13">
      <c r="A92" s="416" t="str">
        <f>IF(B92=""," ",#REF!+1)</f>
        <v xml:space="preserve"> </v>
      </c>
      <c r="B92" s="452"/>
      <c r="C92" s="453"/>
      <c r="D92" s="442"/>
      <c r="E92" s="444"/>
      <c r="F92" s="445"/>
      <c r="G92" s="426"/>
      <c r="H92" s="416"/>
      <c r="I92" s="416"/>
      <c r="J92" s="434"/>
      <c r="K92" s="757"/>
      <c r="L92" s="758"/>
      <c r="M92" s="759"/>
    </row>
    <row r="93" spans="1:13">
      <c r="A93" s="416" t="str">
        <f>IF(B93=""," ",#REF!+1)</f>
        <v xml:space="preserve"> </v>
      </c>
      <c r="B93" s="452"/>
      <c r="C93" s="453"/>
      <c r="D93" s="442"/>
      <c r="E93" s="444"/>
      <c r="F93" s="445"/>
      <c r="G93" s="426"/>
      <c r="H93" s="416"/>
      <c r="I93" s="416"/>
      <c r="J93" s="434"/>
      <c r="K93" s="453"/>
      <c r="L93" s="454"/>
      <c r="M93" s="455"/>
    </row>
    <row r="94" spans="1:13">
      <c r="A94" s="416" t="str">
        <f>IF(B94=""," ",A92+1)</f>
        <v xml:space="preserve"> </v>
      </c>
      <c r="B94" s="452"/>
      <c r="C94" s="453"/>
      <c r="D94" s="442"/>
      <c r="E94" s="444"/>
      <c r="F94" s="445"/>
      <c r="G94" s="426"/>
      <c r="H94" s="416"/>
      <c r="I94" s="416"/>
      <c r="J94" s="434"/>
      <c r="K94" s="453"/>
      <c r="L94" s="454"/>
      <c r="M94" s="455"/>
    </row>
    <row r="95" spans="1:13">
      <c r="A95" s="416" t="str">
        <f>IF(B95=""," ",A93+1)</f>
        <v xml:space="preserve"> </v>
      </c>
      <c r="B95" s="452"/>
      <c r="C95" s="453"/>
      <c r="D95" s="442"/>
      <c r="E95" s="444"/>
      <c r="F95" s="445"/>
      <c r="G95" s="426"/>
      <c r="H95" s="416"/>
      <c r="I95" s="416"/>
      <c r="J95" s="434"/>
      <c r="K95" s="453"/>
      <c r="L95" s="454"/>
      <c r="M95" s="455"/>
    </row>
    <row r="96" spans="1:13">
      <c r="A96" s="416" t="str">
        <f>IF(B96=""," ",A95+1)</f>
        <v xml:space="preserve"> </v>
      </c>
      <c r="B96" s="452"/>
      <c r="C96" s="453"/>
      <c r="D96" s="442"/>
      <c r="E96" s="444"/>
      <c r="F96" s="445"/>
      <c r="G96" s="426"/>
      <c r="H96" s="416"/>
      <c r="I96" s="416"/>
      <c r="J96" s="434"/>
      <c r="K96" s="757"/>
      <c r="L96" s="758"/>
      <c r="M96" s="759"/>
    </row>
    <row r="97" spans="1:13">
      <c r="A97" s="416" t="str">
        <f>IF(B97=""," ",#REF!+1)</f>
        <v xml:space="preserve"> </v>
      </c>
      <c r="B97" s="452"/>
      <c r="C97" s="453"/>
      <c r="D97" s="442"/>
      <c r="E97" s="444"/>
      <c r="F97" s="445"/>
      <c r="G97" s="426"/>
      <c r="H97" s="416"/>
      <c r="I97" s="416"/>
      <c r="J97" s="434"/>
      <c r="K97" s="757"/>
      <c r="L97" s="758"/>
      <c r="M97" s="759"/>
    </row>
    <row r="98" spans="1:13">
      <c r="A98" s="416" t="str">
        <f>IF(B98=""," ",#REF!+1)</f>
        <v xml:space="preserve"> </v>
      </c>
      <c r="B98" s="452"/>
      <c r="C98" s="453"/>
      <c r="D98" s="442"/>
      <c r="E98" s="444"/>
      <c r="F98" s="445"/>
      <c r="G98" s="426"/>
      <c r="H98" s="416"/>
      <c r="I98" s="416"/>
      <c r="J98" s="434"/>
      <c r="K98" s="453"/>
      <c r="L98" s="454"/>
      <c r="M98" s="455"/>
    </row>
    <row r="99" spans="1:13">
      <c r="A99" s="416" t="str">
        <f>IF(B99=""," ",A98+1)</f>
        <v xml:space="preserve"> </v>
      </c>
      <c r="B99" s="452"/>
      <c r="C99" s="453"/>
      <c r="D99" s="442"/>
      <c r="E99" s="444"/>
      <c r="F99" s="445"/>
      <c r="G99" s="426"/>
      <c r="H99" s="416"/>
      <c r="I99" s="416"/>
      <c r="J99" s="434"/>
      <c r="K99" s="453"/>
      <c r="L99" s="454"/>
      <c r="M99" s="455"/>
    </row>
    <row r="100" spans="1:13">
      <c r="A100" s="416" t="str">
        <f>IF(B100=""," ",A99+1)</f>
        <v xml:space="preserve"> </v>
      </c>
      <c r="B100" s="452"/>
      <c r="C100" s="453"/>
      <c r="D100" s="442"/>
      <c r="E100" s="444"/>
      <c r="F100" s="445"/>
      <c r="G100" s="426"/>
      <c r="H100" s="416"/>
      <c r="I100" s="416"/>
      <c r="J100" s="434"/>
      <c r="K100" s="757"/>
      <c r="L100" s="758"/>
      <c r="M100" s="759"/>
    </row>
    <row r="102" spans="1:13">
      <c r="B102" s="435" t="s">
        <v>1691</v>
      </c>
      <c r="C102" s="435"/>
      <c r="D102" s="435"/>
      <c r="E102" s="435"/>
      <c r="F102" s="435"/>
      <c r="G102" s="435"/>
      <c r="H102" s="435"/>
      <c r="I102" s="435"/>
      <c r="J102" s="435"/>
      <c r="K102" s="435"/>
    </row>
    <row r="103" spans="1:13">
      <c r="B103" s="435"/>
      <c r="C103" s="435"/>
      <c r="D103" s="435"/>
      <c r="E103" s="435"/>
      <c r="F103" s="435"/>
      <c r="G103" s="435"/>
      <c r="H103" s="435"/>
      <c r="I103" s="435"/>
      <c r="J103" s="435"/>
      <c r="K103" s="435"/>
    </row>
    <row r="104" spans="1:13">
      <c r="B104" s="435" t="s">
        <v>1289</v>
      </c>
      <c r="C104" s="435" t="s">
        <v>1561</v>
      </c>
      <c r="D104" s="435"/>
      <c r="E104" s="435"/>
      <c r="F104" s="435"/>
      <c r="G104" s="435"/>
      <c r="H104" s="435"/>
      <c r="I104" s="435"/>
      <c r="J104" s="435"/>
      <c r="K104" s="435"/>
    </row>
    <row r="105" spans="1:13">
      <c r="B105" s="435"/>
      <c r="C105" s="435"/>
      <c r="D105" s="435"/>
      <c r="E105" s="435"/>
      <c r="F105" s="435"/>
      <c r="G105" s="435"/>
      <c r="H105" s="435"/>
      <c r="I105" s="435"/>
      <c r="J105" s="435"/>
      <c r="K105" s="435"/>
    </row>
    <row r="106" spans="1:13">
      <c r="B106" s="456" t="s">
        <v>1290</v>
      </c>
      <c r="C106" s="409" t="s">
        <v>1291</v>
      </c>
    </row>
    <row r="107" spans="1:13">
      <c r="C107" s="409" t="s">
        <v>1292</v>
      </c>
    </row>
    <row r="109" spans="1:13">
      <c r="B109" s="409" t="s">
        <v>1487</v>
      </c>
      <c r="C109" s="409" t="s">
        <v>1488</v>
      </c>
    </row>
    <row r="111" spans="1:13">
      <c r="B111" s="409" t="s">
        <v>362</v>
      </c>
      <c r="C111" s="409" t="s">
        <v>364</v>
      </c>
    </row>
  </sheetData>
  <mergeCells count="70">
    <mergeCell ref="K30:M30"/>
    <mergeCell ref="K21:M21"/>
    <mergeCell ref="K23:M23"/>
    <mergeCell ref="K22:M22"/>
    <mergeCell ref="K24:M24"/>
    <mergeCell ref="K25:M25"/>
    <mergeCell ref="K29:M29"/>
    <mergeCell ref="K20:M20"/>
    <mergeCell ref="K27:M27"/>
    <mergeCell ref="K28:M28"/>
    <mergeCell ref="K26:M26"/>
    <mergeCell ref="K8:M8"/>
    <mergeCell ref="K13:M13"/>
    <mergeCell ref="K10:M10"/>
    <mergeCell ref="K9:M9"/>
    <mergeCell ref="K12:M12"/>
    <mergeCell ref="K11:M11"/>
    <mergeCell ref="H4:I4"/>
    <mergeCell ref="A2:B2"/>
    <mergeCell ref="A3:B3"/>
    <mergeCell ref="A4:B4"/>
    <mergeCell ref="C2:G2"/>
    <mergeCell ref="C3:G3"/>
    <mergeCell ref="C4:G4"/>
    <mergeCell ref="H2:J2"/>
    <mergeCell ref="H3:I3"/>
    <mergeCell ref="A5:A6"/>
    <mergeCell ref="K7:M7"/>
    <mergeCell ref="B5:C5"/>
    <mergeCell ref="K5:M6"/>
    <mergeCell ref="I5:J5"/>
    <mergeCell ref="D5:H5"/>
    <mergeCell ref="K55:M55"/>
    <mergeCell ref="K56:M56"/>
    <mergeCell ref="K31:M31"/>
    <mergeCell ref="K32:M32"/>
    <mergeCell ref="K35:M35"/>
    <mergeCell ref="K36:M36"/>
    <mergeCell ref="K39:M39"/>
    <mergeCell ref="K40:M40"/>
    <mergeCell ref="K100:M100"/>
    <mergeCell ref="K71:M71"/>
    <mergeCell ref="K72:M72"/>
    <mergeCell ref="K75:M75"/>
    <mergeCell ref="K76:M76"/>
    <mergeCell ref="K91:M91"/>
    <mergeCell ref="K92:M92"/>
    <mergeCell ref="K97:M97"/>
    <mergeCell ref="K84:M84"/>
    <mergeCell ref="K80:M80"/>
    <mergeCell ref="K83:M83"/>
    <mergeCell ref="K87:M87"/>
    <mergeCell ref="K96:M96"/>
    <mergeCell ref="K88:M88"/>
    <mergeCell ref="K68:M68"/>
    <mergeCell ref="K79:M79"/>
    <mergeCell ref="K17:M17"/>
    <mergeCell ref="K59:M59"/>
    <mergeCell ref="K60:M60"/>
    <mergeCell ref="K19:M19"/>
    <mergeCell ref="K18:M18"/>
    <mergeCell ref="K63:M63"/>
    <mergeCell ref="K64:M64"/>
    <mergeCell ref="K67:M67"/>
    <mergeCell ref="K43:M43"/>
    <mergeCell ref="K44:M44"/>
    <mergeCell ref="K47:M47"/>
    <mergeCell ref="K48:M48"/>
    <mergeCell ref="K51:M51"/>
    <mergeCell ref="K52:M52"/>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0">
    <pageSetUpPr fitToPage="1"/>
  </sheetPr>
  <dimension ref="A1:P110"/>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c r="B1" s="47"/>
    </row>
    <row r="2" spans="1:16">
      <c r="A2" s="643" t="s">
        <v>602</v>
      </c>
      <c r="B2" s="644"/>
      <c r="C2" s="643" t="s">
        <v>36</v>
      </c>
      <c r="D2" s="651"/>
      <c r="E2" s="651"/>
      <c r="F2" s="651"/>
      <c r="G2" s="644"/>
      <c r="H2" s="643"/>
      <c r="I2" s="651"/>
      <c r="J2" s="644"/>
      <c r="K2" s="37"/>
      <c r="L2" s="38" t="s">
        <v>37</v>
      </c>
      <c r="M2" s="38" t="s">
        <v>38</v>
      </c>
    </row>
    <row r="3" spans="1:16">
      <c r="A3" s="647"/>
      <c r="B3" s="648"/>
      <c r="C3" s="652" t="s">
        <v>853</v>
      </c>
      <c r="D3" s="653"/>
      <c r="E3" s="653"/>
      <c r="F3" s="653"/>
      <c r="G3" s="654"/>
      <c r="H3" s="643" t="s">
        <v>39</v>
      </c>
      <c r="I3" s="644"/>
      <c r="J3" s="39">
        <f>COUNT(A7:A100)</f>
        <v>9</v>
      </c>
      <c r="K3" s="38" t="s">
        <v>40</v>
      </c>
      <c r="L3" s="40">
        <v>38629</v>
      </c>
      <c r="M3" s="41" t="s">
        <v>56</v>
      </c>
      <c r="O3" s="16" t="s">
        <v>41</v>
      </c>
      <c r="P3" s="16" t="s">
        <v>42</v>
      </c>
    </row>
    <row r="4" spans="1:16">
      <c r="A4" s="649" t="s">
        <v>43</v>
      </c>
      <c r="B4" s="650"/>
      <c r="C4" s="649" t="s">
        <v>1004</v>
      </c>
      <c r="D4" s="655"/>
      <c r="E4" s="655"/>
      <c r="F4" s="655"/>
      <c r="G4" s="650"/>
      <c r="H4" s="643" t="s">
        <v>44</v>
      </c>
      <c r="I4" s="644"/>
      <c r="J4" s="39">
        <f>SUM(G7:G100)</f>
        <v>73</v>
      </c>
      <c r="K4" s="38" t="s">
        <v>45</v>
      </c>
      <c r="L4" s="40">
        <v>38762</v>
      </c>
      <c r="M4" s="42" t="s">
        <v>1407</v>
      </c>
      <c r="O4" s="16" t="s">
        <v>1358</v>
      </c>
      <c r="P4" s="16" t="s">
        <v>1359</v>
      </c>
    </row>
    <row r="5" spans="1:16">
      <c r="A5" s="645" t="s">
        <v>1360</v>
      </c>
      <c r="B5" s="643" t="s">
        <v>46</v>
      </c>
      <c r="C5" s="651"/>
      <c r="D5" s="662" t="s">
        <v>47</v>
      </c>
      <c r="E5" s="651"/>
      <c r="F5" s="651"/>
      <c r="G5" s="651"/>
      <c r="H5" s="651"/>
      <c r="I5" s="643" t="s">
        <v>604</v>
      </c>
      <c r="J5" s="644"/>
      <c r="K5" s="656" t="s">
        <v>48</v>
      </c>
      <c r="L5" s="657"/>
      <c r="M5" s="658"/>
      <c r="P5" s="16" t="s">
        <v>605</v>
      </c>
    </row>
    <row r="6" spans="1:16">
      <c r="A6" s="646"/>
      <c r="B6" s="38" t="s">
        <v>49</v>
      </c>
      <c r="C6" s="35" t="s">
        <v>50</v>
      </c>
      <c r="D6" s="43" t="s">
        <v>42</v>
      </c>
      <c r="E6" s="44" t="s">
        <v>51</v>
      </c>
      <c r="F6" s="45" t="s">
        <v>52</v>
      </c>
      <c r="G6" s="38" t="s">
        <v>606</v>
      </c>
      <c r="H6" s="36" t="s">
        <v>53</v>
      </c>
      <c r="I6" s="36" t="s">
        <v>607</v>
      </c>
      <c r="J6" s="36" t="s">
        <v>608</v>
      </c>
      <c r="K6" s="659"/>
      <c r="L6" s="660"/>
      <c r="M6" s="661"/>
      <c r="P6" s="16" t="s">
        <v>609</v>
      </c>
    </row>
    <row r="7" spans="1:16">
      <c r="A7" s="42">
        <v>1</v>
      </c>
      <c r="B7" s="48" t="s">
        <v>74</v>
      </c>
      <c r="C7" s="49" t="s">
        <v>1361</v>
      </c>
      <c r="D7" s="50" t="s">
        <v>1164</v>
      </c>
      <c r="E7" s="51">
        <v>16</v>
      </c>
      <c r="F7" s="52"/>
      <c r="G7" s="20">
        <f t="shared" ref="G7:G15" si="0">IF(D7="DATE",4,IF(D7="CHAR",E7,IF(D7="SMALLINT",2,IF(D7="INTEGER",4,IF(D7="TIMESTAMP",10,IF(D7="TIME",3,0))))))</f>
        <v>16</v>
      </c>
      <c r="H7" s="53" t="s">
        <v>1377</v>
      </c>
      <c r="I7" s="53" t="s">
        <v>1377</v>
      </c>
      <c r="J7" s="60"/>
      <c r="K7" s="599"/>
      <c r="L7" s="600"/>
      <c r="M7" s="601"/>
    </row>
    <row r="8" spans="1:16">
      <c r="A8" s="42">
        <f t="shared" ref="A8:A15" si="1">IF(B8=""," ",A7+1)</f>
        <v>2</v>
      </c>
      <c r="B8" s="48" t="s">
        <v>66</v>
      </c>
      <c r="C8" s="49" t="s">
        <v>1362</v>
      </c>
      <c r="D8" s="78" t="s">
        <v>548</v>
      </c>
      <c r="E8" s="98">
        <v>7</v>
      </c>
      <c r="F8" s="58"/>
      <c r="G8" s="20">
        <f t="shared" si="0"/>
        <v>7</v>
      </c>
      <c r="H8" s="53" t="s">
        <v>547</v>
      </c>
      <c r="I8" s="53" t="s">
        <v>1363</v>
      </c>
      <c r="J8" s="59"/>
      <c r="K8" s="628"/>
      <c r="L8" s="629"/>
      <c r="M8" s="630"/>
      <c r="P8" s="16" t="s">
        <v>839</v>
      </c>
    </row>
    <row r="9" spans="1:16">
      <c r="A9" s="42">
        <f t="shared" si="1"/>
        <v>3</v>
      </c>
      <c r="B9" s="48" t="s">
        <v>785</v>
      </c>
      <c r="C9" s="49" t="s">
        <v>840</v>
      </c>
      <c r="D9" s="50" t="s">
        <v>523</v>
      </c>
      <c r="E9" s="51">
        <v>16</v>
      </c>
      <c r="F9" s="58"/>
      <c r="G9" s="20">
        <f t="shared" si="0"/>
        <v>16</v>
      </c>
      <c r="H9" s="53" t="s">
        <v>1406</v>
      </c>
      <c r="I9" s="53" t="s">
        <v>1406</v>
      </c>
      <c r="J9" s="59"/>
      <c r="K9" s="61"/>
      <c r="L9" s="62"/>
      <c r="M9" s="63"/>
    </row>
    <row r="10" spans="1:16" ht="12" customHeight="1">
      <c r="A10" s="42">
        <f t="shared" si="1"/>
        <v>4</v>
      </c>
      <c r="B10" s="48" t="s">
        <v>488</v>
      </c>
      <c r="C10" s="49" t="s">
        <v>841</v>
      </c>
      <c r="D10" s="50" t="s">
        <v>523</v>
      </c>
      <c r="E10" s="51">
        <v>7</v>
      </c>
      <c r="F10" s="58"/>
      <c r="G10" s="20">
        <f t="shared" si="0"/>
        <v>7</v>
      </c>
      <c r="H10" s="53" t="s">
        <v>1406</v>
      </c>
      <c r="I10" s="53" t="s">
        <v>1406</v>
      </c>
      <c r="J10" s="59"/>
      <c r="K10" s="628"/>
      <c r="L10" s="629"/>
      <c r="M10" s="630"/>
      <c r="P10" s="16" t="s">
        <v>842</v>
      </c>
    </row>
    <row r="11" spans="1:16" ht="65.099999999999994" customHeight="1">
      <c r="A11" s="42">
        <f t="shared" si="1"/>
        <v>5</v>
      </c>
      <c r="B11" s="48" t="s">
        <v>843</v>
      </c>
      <c r="C11" s="49" t="s">
        <v>844</v>
      </c>
      <c r="D11" s="50" t="s">
        <v>523</v>
      </c>
      <c r="E11" s="51">
        <v>1</v>
      </c>
      <c r="F11" s="58"/>
      <c r="G11" s="20">
        <f t="shared" si="0"/>
        <v>1</v>
      </c>
      <c r="H11" s="53" t="s">
        <v>1379</v>
      </c>
      <c r="I11" s="53"/>
      <c r="J11" s="59"/>
      <c r="K11" s="599" t="s">
        <v>845</v>
      </c>
      <c r="L11" s="600"/>
      <c r="M11" s="601"/>
      <c r="P11" s="16" t="s">
        <v>570</v>
      </c>
    </row>
    <row r="12" spans="1:16" s="22" customFormat="1">
      <c r="A12" s="42">
        <f t="shared" si="1"/>
        <v>6</v>
      </c>
      <c r="B12" s="64" t="s">
        <v>26</v>
      </c>
      <c r="C12" s="24" t="s">
        <v>1399</v>
      </c>
      <c r="D12" s="65" t="s">
        <v>519</v>
      </c>
      <c r="E12" s="51"/>
      <c r="F12" s="58"/>
      <c r="G12" s="20">
        <f t="shared" si="0"/>
        <v>4</v>
      </c>
      <c r="H12" s="53" t="s">
        <v>1400</v>
      </c>
      <c r="I12" s="53" t="s">
        <v>1400</v>
      </c>
      <c r="J12" s="59"/>
      <c r="K12" s="609" t="s">
        <v>1409</v>
      </c>
      <c r="L12" s="610"/>
      <c r="M12" s="611"/>
    </row>
    <row r="13" spans="1:16" s="22" customFormat="1">
      <c r="A13" s="42">
        <f t="shared" si="1"/>
        <v>7</v>
      </c>
      <c r="B13" s="64" t="s">
        <v>27</v>
      </c>
      <c r="C13" s="24" t="s">
        <v>1401</v>
      </c>
      <c r="D13" s="65" t="s">
        <v>1402</v>
      </c>
      <c r="E13" s="51"/>
      <c r="F13" s="58"/>
      <c r="G13" s="20">
        <f t="shared" si="0"/>
        <v>4</v>
      </c>
      <c r="H13" s="53" t="s">
        <v>1403</v>
      </c>
      <c r="I13" s="53"/>
      <c r="J13" s="59"/>
      <c r="K13" s="609" t="s">
        <v>1410</v>
      </c>
      <c r="L13" s="610"/>
      <c r="M13" s="611"/>
    </row>
    <row r="14" spans="1:16" ht="12" customHeight="1">
      <c r="A14" s="42">
        <f t="shared" si="1"/>
        <v>8</v>
      </c>
      <c r="B14" s="64" t="s">
        <v>1083</v>
      </c>
      <c r="C14" s="24" t="s">
        <v>1111</v>
      </c>
      <c r="D14" s="72" t="s">
        <v>1431</v>
      </c>
      <c r="E14" s="51">
        <v>8</v>
      </c>
      <c r="F14" s="58"/>
      <c r="G14" s="20">
        <f t="shared" si="0"/>
        <v>8</v>
      </c>
      <c r="H14" s="53" t="s">
        <v>1432</v>
      </c>
      <c r="I14" s="53"/>
      <c r="J14" s="59"/>
      <c r="K14" s="609" t="s">
        <v>1112</v>
      </c>
      <c r="L14" s="610"/>
      <c r="M14" s="611"/>
    </row>
    <row r="15" spans="1:16" s="22" customFormat="1">
      <c r="A15" s="42">
        <f t="shared" si="1"/>
        <v>9</v>
      </c>
      <c r="B15" s="93" t="s">
        <v>1724</v>
      </c>
      <c r="C15" s="26" t="s">
        <v>1404</v>
      </c>
      <c r="D15" s="94" t="s">
        <v>1405</v>
      </c>
      <c r="E15" s="95"/>
      <c r="F15" s="90"/>
      <c r="G15" s="21">
        <f t="shared" si="0"/>
        <v>10</v>
      </c>
      <c r="H15" s="91" t="s">
        <v>1406</v>
      </c>
      <c r="I15" s="89"/>
      <c r="J15" s="92"/>
      <c r="K15" s="602"/>
      <c r="L15" s="603"/>
      <c r="M15" s="604"/>
    </row>
    <row r="16" spans="1:16">
      <c r="A16" s="42" t="str">
        <f>IF(B16=""," ",A11+1)</f>
        <v xml:space="preserve"> </v>
      </c>
      <c r="B16" s="100"/>
      <c r="C16" s="137"/>
      <c r="D16" s="78"/>
      <c r="E16" s="73"/>
      <c r="F16" s="74"/>
      <c r="G16" s="20"/>
      <c r="H16" s="42"/>
      <c r="I16" s="42"/>
      <c r="J16" s="59"/>
      <c r="K16" s="55"/>
      <c r="L16" s="56"/>
      <c r="M16" s="57"/>
    </row>
    <row r="17" spans="1:13">
      <c r="A17" s="42" t="str">
        <f>IF(B17=""," ",#REF!+1)</f>
        <v xml:space="preserve"> </v>
      </c>
      <c r="B17" s="71"/>
      <c r="C17" s="13"/>
      <c r="D17" s="72"/>
      <c r="E17" s="73"/>
      <c r="F17" s="74"/>
      <c r="G17" s="20"/>
      <c r="H17" s="42"/>
      <c r="I17" s="42"/>
      <c r="J17" s="59"/>
      <c r="K17" s="67"/>
      <c r="L17" s="14"/>
      <c r="M17" s="15"/>
    </row>
    <row r="18" spans="1:13">
      <c r="A18" s="42" t="str">
        <f t="shared" ref="A18:A36" si="2">IF(B18=""," ",A17+1)</f>
        <v xml:space="preserve"> </v>
      </c>
      <c r="B18" s="71"/>
      <c r="C18" s="13"/>
      <c r="D18" s="72"/>
      <c r="E18" s="73"/>
      <c r="F18" s="74"/>
      <c r="G18" s="20"/>
      <c r="H18" s="42"/>
      <c r="I18" s="42"/>
      <c r="J18" s="59"/>
      <c r="K18" s="13"/>
      <c r="L18" s="14"/>
      <c r="M18" s="15"/>
    </row>
    <row r="19" spans="1:13">
      <c r="A19" s="42" t="str">
        <f t="shared" si="2"/>
        <v xml:space="preserve"> </v>
      </c>
      <c r="B19" s="71"/>
      <c r="C19" s="13"/>
      <c r="D19" s="72"/>
      <c r="E19" s="73"/>
      <c r="F19" s="74"/>
      <c r="G19" s="20"/>
      <c r="H19" s="42"/>
      <c r="I19" s="42"/>
      <c r="J19" s="59"/>
      <c r="K19" s="13"/>
      <c r="L19" s="14"/>
      <c r="M19" s="15"/>
    </row>
    <row r="20" spans="1:13">
      <c r="A20" s="42" t="str">
        <f t="shared" si="2"/>
        <v xml:space="preserve"> </v>
      </c>
      <c r="B20" s="71"/>
      <c r="C20" s="13"/>
      <c r="D20" s="72"/>
      <c r="E20" s="73"/>
      <c r="F20" s="74"/>
      <c r="G20" s="20"/>
      <c r="H20" s="42"/>
      <c r="I20" s="42"/>
      <c r="J20" s="59"/>
      <c r="K20" s="13"/>
      <c r="L20" s="14"/>
      <c r="M20" s="15"/>
    </row>
    <row r="21" spans="1:13">
      <c r="A21" s="42" t="str">
        <f t="shared" si="2"/>
        <v xml:space="preserve"> </v>
      </c>
      <c r="B21" s="71"/>
      <c r="C21" s="13"/>
      <c r="D21" s="72"/>
      <c r="E21" s="73"/>
      <c r="F21" s="74"/>
      <c r="G21" s="20"/>
      <c r="H21" s="42"/>
      <c r="I21" s="42"/>
      <c r="J21" s="59"/>
      <c r="K21" s="13"/>
      <c r="L21" s="14"/>
      <c r="M21" s="15"/>
    </row>
    <row r="22" spans="1:13">
      <c r="A22" s="42" t="str">
        <f t="shared" si="2"/>
        <v xml:space="preserve"> </v>
      </c>
      <c r="B22" s="71"/>
      <c r="C22" s="13"/>
      <c r="D22" s="72"/>
      <c r="E22" s="73"/>
      <c r="F22" s="74"/>
      <c r="G22" s="20"/>
      <c r="H22" s="42"/>
      <c r="I22" s="42"/>
      <c r="J22" s="59"/>
      <c r="K22" s="13"/>
      <c r="L22" s="14"/>
      <c r="M22" s="15"/>
    </row>
    <row r="23" spans="1:13">
      <c r="A23" s="42" t="str">
        <f t="shared" si="2"/>
        <v xml:space="preserve"> </v>
      </c>
      <c r="B23" s="71"/>
      <c r="C23" s="13"/>
      <c r="D23" s="72"/>
      <c r="E23" s="73"/>
      <c r="F23" s="74"/>
      <c r="G23" s="20"/>
      <c r="H23" s="42"/>
      <c r="I23" s="42"/>
      <c r="J23" s="59"/>
      <c r="K23" s="13"/>
      <c r="L23" s="14"/>
      <c r="M23" s="15"/>
    </row>
    <row r="24" spans="1:13">
      <c r="A24" s="42" t="str">
        <f t="shared" si="2"/>
        <v xml:space="preserve"> </v>
      </c>
      <c r="B24" s="71"/>
      <c r="C24" s="13"/>
      <c r="D24" s="72"/>
      <c r="E24" s="73"/>
      <c r="F24" s="74"/>
      <c r="G24" s="20"/>
      <c r="H24" s="42"/>
      <c r="I24" s="42"/>
      <c r="J24" s="59"/>
      <c r="K24" s="13"/>
      <c r="L24" s="14"/>
      <c r="M24" s="15"/>
    </row>
    <row r="25" spans="1:13">
      <c r="A25" s="42" t="str">
        <f t="shared" si="2"/>
        <v xml:space="preserve"> </v>
      </c>
      <c r="B25" s="71"/>
      <c r="C25" s="13"/>
      <c r="D25" s="72"/>
      <c r="E25" s="73"/>
      <c r="F25" s="74"/>
      <c r="G25" s="20"/>
      <c r="H25" s="42"/>
      <c r="I25" s="42"/>
      <c r="J25" s="59"/>
      <c r="K25" s="13"/>
      <c r="L25" s="14"/>
      <c r="M25" s="15"/>
    </row>
    <row r="26" spans="1:13">
      <c r="A26" s="42" t="str">
        <f>IF(B26=""," ",A25+1)</f>
        <v xml:space="preserve"> </v>
      </c>
      <c r="B26" s="71"/>
      <c r="C26" s="13"/>
      <c r="D26" s="72"/>
      <c r="E26" s="73"/>
      <c r="F26" s="74"/>
      <c r="G26" s="20"/>
      <c r="H26" s="42"/>
      <c r="I26" s="42"/>
      <c r="J26" s="59"/>
      <c r="K26" s="13"/>
      <c r="L26" s="14"/>
      <c r="M26" s="15"/>
    </row>
    <row r="27" spans="1:13">
      <c r="A27" s="42" t="str">
        <f t="shared" si="2"/>
        <v xml:space="preserve"> </v>
      </c>
      <c r="B27" s="71"/>
      <c r="C27" s="13"/>
      <c r="D27" s="72"/>
      <c r="E27" s="73"/>
      <c r="F27" s="74"/>
      <c r="G27" s="20"/>
      <c r="H27" s="42"/>
      <c r="I27" s="42"/>
      <c r="J27" s="59"/>
      <c r="K27" s="13"/>
      <c r="L27" s="14"/>
      <c r="M27" s="15"/>
    </row>
    <row r="28" spans="1:13">
      <c r="A28" s="42" t="str">
        <f t="shared" si="2"/>
        <v xml:space="preserve"> </v>
      </c>
      <c r="B28" s="71"/>
      <c r="C28" s="13"/>
      <c r="D28" s="72"/>
      <c r="E28" s="73"/>
      <c r="F28" s="74"/>
      <c r="G28" s="20"/>
      <c r="H28" s="42"/>
      <c r="I28" s="42"/>
      <c r="J28" s="59"/>
      <c r="K28" s="13"/>
      <c r="L28" s="14"/>
      <c r="M28" s="15"/>
    </row>
    <row r="29" spans="1:13">
      <c r="A29" s="42" t="str">
        <f t="shared" si="2"/>
        <v xml:space="preserve"> </v>
      </c>
      <c r="B29" s="71"/>
      <c r="C29" s="13"/>
      <c r="D29" s="72"/>
      <c r="E29" s="73"/>
      <c r="F29" s="74"/>
      <c r="G29" s="20"/>
      <c r="H29" s="42"/>
      <c r="I29" s="42"/>
      <c r="J29" s="59"/>
      <c r="K29" s="13"/>
      <c r="L29" s="14"/>
      <c r="M29" s="15"/>
    </row>
    <row r="30" spans="1:13">
      <c r="A30" s="42" t="str">
        <f t="shared" si="2"/>
        <v xml:space="preserve"> </v>
      </c>
      <c r="B30" s="71"/>
      <c r="C30" s="13"/>
      <c r="D30" s="72"/>
      <c r="E30" s="73"/>
      <c r="F30" s="74"/>
      <c r="G30" s="20"/>
      <c r="H30" s="42"/>
      <c r="I30" s="42"/>
      <c r="J30" s="59"/>
      <c r="K30" s="13"/>
      <c r="L30" s="14"/>
      <c r="M30" s="15"/>
    </row>
    <row r="31" spans="1:13">
      <c r="A31" s="42" t="str">
        <f t="shared" si="2"/>
        <v xml:space="preserve"> </v>
      </c>
      <c r="B31" s="71"/>
      <c r="C31" s="13"/>
      <c r="D31" s="72"/>
      <c r="E31" s="73"/>
      <c r="F31" s="74"/>
      <c r="G31" s="20"/>
      <c r="H31" s="42"/>
      <c r="I31" s="42"/>
      <c r="J31" s="59"/>
      <c r="K31" s="13"/>
      <c r="L31" s="14"/>
      <c r="M31" s="15"/>
    </row>
    <row r="32" spans="1:13">
      <c r="A32" s="42" t="str">
        <f>IF(B32=""," ",#REF!+1)</f>
        <v xml:space="preserve"> </v>
      </c>
      <c r="B32" s="71"/>
      <c r="C32" s="13"/>
      <c r="D32" s="72"/>
      <c r="E32" s="73"/>
      <c r="F32" s="74"/>
      <c r="G32" s="20"/>
      <c r="H32" s="42"/>
      <c r="I32" s="42"/>
      <c r="J32" s="59"/>
      <c r="K32" s="13"/>
      <c r="L32" s="14"/>
      <c r="M32" s="15"/>
    </row>
    <row r="33" spans="1:13">
      <c r="A33" s="42" t="str">
        <f t="shared" si="2"/>
        <v xml:space="preserve"> </v>
      </c>
      <c r="B33" s="71"/>
      <c r="C33" s="13"/>
      <c r="D33" s="72"/>
      <c r="E33" s="73"/>
      <c r="F33" s="74"/>
      <c r="G33" s="20"/>
      <c r="H33" s="42"/>
      <c r="I33" s="42"/>
      <c r="J33" s="59"/>
      <c r="K33" s="13"/>
      <c r="L33" s="14"/>
      <c r="M33" s="15"/>
    </row>
    <row r="34" spans="1:13">
      <c r="A34" s="42" t="str">
        <f t="shared" si="2"/>
        <v xml:space="preserve"> </v>
      </c>
      <c r="B34" s="71"/>
      <c r="C34" s="13"/>
      <c r="D34" s="72"/>
      <c r="E34" s="73"/>
      <c r="F34" s="74"/>
      <c r="G34" s="20"/>
      <c r="H34" s="42"/>
      <c r="I34" s="42"/>
      <c r="J34" s="59"/>
      <c r="K34" s="13"/>
      <c r="L34" s="14"/>
      <c r="M34" s="15"/>
    </row>
    <row r="35" spans="1:13">
      <c r="A35" s="42" t="str">
        <f t="shared" si="2"/>
        <v xml:space="preserve"> </v>
      </c>
      <c r="B35" s="71"/>
      <c r="C35" s="13"/>
      <c r="D35" s="72"/>
      <c r="E35" s="73"/>
      <c r="F35" s="74"/>
      <c r="G35" s="20"/>
      <c r="H35" s="42"/>
      <c r="I35" s="42"/>
      <c r="J35" s="59"/>
      <c r="K35" s="13"/>
      <c r="L35" s="14"/>
      <c r="M35" s="15"/>
    </row>
    <row r="36" spans="1:13">
      <c r="A36" s="42" t="str">
        <f t="shared" si="2"/>
        <v xml:space="preserve"> </v>
      </c>
      <c r="B36" s="71"/>
      <c r="C36" s="13"/>
      <c r="D36" s="72"/>
      <c r="E36" s="73"/>
      <c r="F36" s="74"/>
      <c r="G36" s="20"/>
      <c r="H36" s="42"/>
      <c r="I36" s="42"/>
      <c r="J36" s="59"/>
      <c r="K36" s="13"/>
      <c r="L36" s="14"/>
      <c r="M36" s="15"/>
    </row>
    <row r="37" spans="1:13">
      <c r="A37" s="42" t="str">
        <f t="shared" ref="A37:A55" si="3">IF(B37=""," ",A36+1)</f>
        <v xml:space="preserve"> </v>
      </c>
      <c r="B37" s="71"/>
      <c r="C37" s="13"/>
      <c r="D37" s="72"/>
      <c r="E37" s="73"/>
      <c r="F37" s="74"/>
      <c r="G37" s="20"/>
      <c r="H37" s="42"/>
      <c r="I37" s="42"/>
      <c r="J37" s="59"/>
      <c r="K37" s="13"/>
      <c r="L37" s="14"/>
      <c r="M37" s="15"/>
    </row>
    <row r="38" spans="1:13">
      <c r="A38" s="42" t="str">
        <f t="shared" si="3"/>
        <v xml:space="preserve"> </v>
      </c>
      <c r="B38" s="71"/>
      <c r="C38" s="13"/>
      <c r="D38" s="72"/>
      <c r="E38" s="73"/>
      <c r="F38" s="74"/>
      <c r="G38" s="20"/>
      <c r="H38" s="42"/>
      <c r="I38" s="42"/>
      <c r="J38" s="59"/>
      <c r="K38" s="13"/>
      <c r="L38" s="14"/>
      <c r="M38" s="15"/>
    </row>
    <row r="39" spans="1:13">
      <c r="A39" s="42" t="str">
        <f t="shared" si="3"/>
        <v xml:space="preserve"> </v>
      </c>
      <c r="B39" s="71"/>
      <c r="C39" s="13"/>
      <c r="D39" s="72"/>
      <c r="E39" s="73"/>
      <c r="F39" s="74"/>
      <c r="G39" s="20"/>
      <c r="H39" s="42"/>
      <c r="I39" s="42"/>
      <c r="J39" s="59"/>
      <c r="K39" s="13"/>
      <c r="L39" s="14"/>
      <c r="M39" s="15"/>
    </row>
    <row r="40" spans="1:13">
      <c r="A40" s="42" t="str">
        <f t="shared" si="3"/>
        <v xml:space="preserve"> </v>
      </c>
      <c r="B40" s="71"/>
      <c r="C40" s="13"/>
      <c r="D40" s="72"/>
      <c r="E40" s="73"/>
      <c r="F40" s="74"/>
      <c r="G40" s="20"/>
      <c r="H40" s="42"/>
      <c r="I40" s="42"/>
      <c r="J40" s="59"/>
      <c r="K40" s="13"/>
      <c r="L40" s="14"/>
      <c r="M40" s="15"/>
    </row>
    <row r="41" spans="1:13">
      <c r="A41" s="42" t="str">
        <f t="shared" si="3"/>
        <v xml:space="preserve"> </v>
      </c>
      <c r="B41" s="71"/>
      <c r="C41" s="13"/>
      <c r="D41" s="72"/>
      <c r="E41" s="73"/>
      <c r="F41" s="74"/>
      <c r="G41" s="20"/>
      <c r="H41" s="42"/>
      <c r="I41" s="42"/>
      <c r="J41" s="59"/>
      <c r="K41" s="13"/>
      <c r="L41" s="14"/>
      <c r="M41" s="15"/>
    </row>
    <row r="42" spans="1:13">
      <c r="A42" s="42" t="str">
        <f t="shared" si="3"/>
        <v xml:space="preserve"> </v>
      </c>
      <c r="B42" s="71"/>
      <c r="C42" s="13"/>
      <c r="D42" s="72"/>
      <c r="E42" s="73"/>
      <c r="F42" s="74"/>
      <c r="G42" s="20"/>
      <c r="H42" s="42"/>
      <c r="I42" s="42"/>
      <c r="J42" s="59"/>
      <c r="K42" s="13"/>
      <c r="L42" s="14"/>
      <c r="M42" s="15"/>
    </row>
    <row r="43" spans="1:13">
      <c r="A43" s="42" t="str">
        <f t="shared" si="3"/>
        <v xml:space="preserve"> </v>
      </c>
      <c r="B43" s="71"/>
      <c r="C43" s="13"/>
      <c r="D43" s="72"/>
      <c r="E43" s="73"/>
      <c r="F43" s="74"/>
      <c r="G43" s="20"/>
      <c r="H43" s="42"/>
      <c r="I43" s="42"/>
      <c r="J43" s="59"/>
      <c r="K43" s="13"/>
      <c r="L43" s="14"/>
      <c r="M43" s="15"/>
    </row>
    <row r="44" spans="1:13">
      <c r="A44" s="89" t="str">
        <f t="shared" si="3"/>
        <v xml:space="preserve"> </v>
      </c>
      <c r="B44" s="66"/>
      <c r="C44" s="31"/>
      <c r="D44" s="97"/>
      <c r="E44" s="98"/>
      <c r="F44" s="99"/>
      <c r="G44" s="21"/>
      <c r="H44" s="89"/>
      <c r="I44" s="89"/>
      <c r="J44" s="92"/>
      <c r="K44" s="31"/>
      <c r="L44" s="32"/>
      <c r="M44" s="33"/>
    </row>
    <row r="45" spans="1:13">
      <c r="A45" s="89" t="str">
        <f>IF(B45=""," ",#REF!+1)</f>
        <v xml:space="preserve"> </v>
      </c>
      <c r="B45" s="96"/>
      <c r="C45" s="31"/>
      <c r="D45" s="97"/>
      <c r="E45" s="98"/>
      <c r="F45" s="99"/>
      <c r="G45" s="21"/>
      <c r="H45" s="89"/>
      <c r="I45" s="89"/>
      <c r="J45" s="92"/>
      <c r="K45" s="31"/>
      <c r="L45" s="32"/>
      <c r="M45" s="33"/>
    </row>
    <row r="46" spans="1:13">
      <c r="A46" s="89" t="str">
        <f>IF(B46=""," ",#REF!+1)</f>
        <v xml:space="preserve"> </v>
      </c>
      <c r="B46" s="96"/>
      <c r="C46" s="31"/>
      <c r="D46" s="97"/>
      <c r="E46" s="98"/>
      <c r="F46" s="99"/>
      <c r="G46" s="21"/>
      <c r="H46" s="89"/>
      <c r="I46" s="89"/>
      <c r="J46" s="92"/>
      <c r="K46" s="31"/>
      <c r="L46" s="32"/>
      <c r="M46" s="33"/>
    </row>
    <row r="47" spans="1:13">
      <c r="A47" s="89" t="str">
        <f t="shared" si="3"/>
        <v xml:space="preserve"> </v>
      </c>
      <c r="B47" s="96"/>
      <c r="C47" s="31"/>
      <c r="D47" s="97"/>
      <c r="E47" s="98"/>
      <c r="F47" s="99"/>
      <c r="G47" s="21"/>
      <c r="H47" s="89"/>
      <c r="I47" s="89"/>
      <c r="J47" s="92"/>
      <c r="K47" s="31"/>
      <c r="L47" s="32"/>
      <c r="M47" s="33"/>
    </row>
    <row r="48" spans="1:13">
      <c r="A48" s="89" t="str">
        <f t="shared" si="3"/>
        <v xml:space="preserve"> </v>
      </c>
      <c r="B48" s="96"/>
      <c r="C48" s="31"/>
      <c r="D48" s="97"/>
      <c r="E48" s="98"/>
      <c r="F48" s="99"/>
      <c r="G48" s="21"/>
      <c r="H48" s="89"/>
      <c r="I48" s="89"/>
      <c r="J48" s="92"/>
      <c r="K48" s="31"/>
      <c r="L48" s="32"/>
      <c r="M48" s="33"/>
    </row>
    <row r="49" spans="1:13">
      <c r="A49" s="89" t="str">
        <f t="shared" si="3"/>
        <v xml:space="preserve"> </v>
      </c>
      <c r="B49" s="96"/>
      <c r="C49" s="31"/>
      <c r="D49" s="97"/>
      <c r="E49" s="98"/>
      <c r="F49" s="99"/>
      <c r="G49" s="21"/>
      <c r="H49" s="89"/>
      <c r="I49" s="89"/>
      <c r="J49" s="92"/>
      <c r="K49" s="31"/>
      <c r="L49" s="32"/>
      <c r="M49" s="33"/>
    </row>
    <row r="50" spans="1:13">
      <c r="A50" s="89" t="str">
        <f>IF(B50=""," ",A49+1)</f>
        <v xml:space="preserve"> </v>
      </c>
      <c r="B50" s="96"/>
      <c r="C50" s="31"/>
      <c r="D50" s="97"/>
      <c r="E50" s="98"/>
      <c r="F50" s="99"/>
      <c r="G50" s="21"/>
      <c r="H50" s="89"/>
      <c r="I50" s="89"/>
      <c r="J50" s="92"/>
      <c r="K50" s="31"/>
      <c r="L50" s="32"/>
      <c r="M50" s="33"/>
    </row>
    <row r="51" spans="1:13">
      <c r="A51" s="89" t="str">
        <f t="shared" si="3"/>
        <v xml:space="preserve"> </v>
      </c>
      <c r="B51" s="96"/>
      <c r="C51" s="31"/>
      <c r="D51" s="97"/>
      <c r="E51" s="98"/>
      <c r="F51" s="99"/>
      <c r="G51" s="21"/>
      <c r="H51" s="89"/>
      <c r="I51" s="89"/>
      <c r="J51" s="92"/>
      <c r="K51" s="31"/>
      <c r="L51" s="32"/>
      <c r="M51" s="33"/>
    </row>
    <row r="52" spans="1:13">
      <c r="A52" s="89" t="str">
        <f t="shared" si="3"/>
        <v xml:space="preserve"> </v>
      </c>
      <c r="B52" s="96"/>
      <c r="C52" s="31"/>
      <c r="D52" s="97"/>
      <c r="E52" s="98"/>
      <c r="F52" s="99"/>
      <c r="G52" s="21"/>
      <c r="H52" s="89"/>
      <c r="I52" s="89"/>
      <c r="J52" s="92"/>
      <c r="K52" s="31"/>
      <c r="L52" s="32"/>
      <c r="M52" s="33"/>
    </row>
    <row r="53" spans="1:13">
      <c r="A53" s="89" t="str">
        <f t="shared" si="3"/>
        <v xml:space="preserve"> </v>
      </c>
      <c r="B53" s="96"/>
      <c r="C53" s="31"/>
      <c r="D53" s="97"/>
      <c r="E53" s="98"/>
      <c r="F53" s="99"/>
      <c r="G53" s="21"/>
      <c r="H53" s="89"/>
      <c r="I53" s="89"/>
      <c r="J53" s="92"/>
      <c r="K53" s="31"/>
      <c r="L53" s="32"/>
      <c r="M53" s="33"/>
    </row>
    <row r="54" spans="1:13">
      <c r="A54" s="89" t="str">
        <f t="shared" si="3"/>
        <v xml:space="preserve"> </v>
      </c>
      <c r="B54" s="96"/>
      <c r="C54" s="31"/>
      <c r="D54" s="97"/>
      <c r="E54" s="98"/>
      <c r="F54" s="99"/>
      <c r="G54" s="21"/>
      <c r="H54" s="89"/>
      <c r="I54" s="89"/>
      <c r="J54" s="92"/>
      <c r="K54" s="31"/>
      <c r="L54" s="32"/>
      <c r="M54" s="33"/>
    </row>
    <row r="55" spans="1:13">
      <c r="A55" s="89" t="str">
        <f t="shared" si="3"/>
        <v xml:space="preserve"> </v>
      </c>
      <c r="B55" s="96"/>
      <c r="C55" s="31"/>
      <c r="D55" s="97"/>
      <c r="E55" s="98"/>
      <c r="F55" s="99"/>
      <c r="G55" s="21"/>
      <c r="H55" s="89"/>
      <c r="I55" s="89"/>
      <c r="J55" s="92"/>
      <c r="K55" s="31"/>
      <c r="L55" s="32"/>
      <c r="M55" s="33"/>
    </row>
    <row r="56" spans="1:13">
      <c r="A56" s="42" t="str">
        <f>IF(B56=""," ",A55+1)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609"/>
      <c r="L57" s="610"/>
      <c r="M57" s="611"/>
    </row>
    <row r="58" spans="1:13">
      <c r="A58" s="42" t="str">
        <f>IF(B58=""," ",#REF!+1)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13"/>
      <c r="L59" s="14"/>
      <c r="M59" s="15"/>
    </row>
    <row r="60" spans="1:13">
      <c r="A60" s="42" t="str">
        <f>IF(B60=""," ",A59+1)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13"/>
      <c r="L83" s="14"/>
      <c r="M83" s="15"/>
    </row>
    <row r="84" spans="1:13">
      <c r="A84" s="42" t="str">
        <f>IF(B84=""," ",#REF!+1)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",#REF!+1)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13"/>
      <c r="L97" s="14"/>
      <c r="M97" s="15"/>
    </row>
    <row r="98" spans="1:13">
      <c r="A98" s="42" t="str">
        <f>IF(B98=""," ",#REF!+1)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13"/>
      <c r="L99" s="14"/>
      <c r="M99" s="15"/>
    </row>
    <row r="100" spans="1:13">
      <c r="A100" s="42" t="str">
        <f>IF(B100=""," ",#REF!+1)</f>
        <v xml:space="preserve"> </v>
      </c>
      <c r="B100" s="71"/>
      <c r="C100" s="13"/>
      <c r="D100" s="72"/>
      <c r="E100" s="73"/>
      <c r="F100" s="74"/>
      <c r="G100" s="20"/>
      <c r="H100" s="42"/>
      <c r="I100" s="42"/>
      <c r="J100" s="59"/>
      <c r="K100" s="13"/>
      <c r="L100" s="14"/>
      <c r="M100" s="15"/>
    </row>
    <row r="102" spans="1:13">
      <c r="B102" s="16" t="s">
        <v>1691</v>
      </c>
    </row>
    <row r="104" spans="1:13">
      <c r="B104" s="16" t="s">
        <v>1692</v>
      </c>
      <c r="C104" s="16" t="s">
        <v>1693</v>
      </c>
      <c r="D104" s="16" t="s">
        <v>1695</v>
      </c>
    </row>
    <row r="105" spans="1:13">
      <c r="D105" s="16" t="s">
        <v>1694</v>
      </c>
    </row>
    <row r="106" spans="1:13">
      <c r="D106" s="16" t="s">
        <v>1726</v>
      </c>
    </row>
    <row r="107" spans="1:13">
      <c r="C107" s="16" t="s">
        <v>1720</v>
      </c>
      <c r="D107" s="16" t="s">
        <v>1724</v>
      </c>
    </row>
    <row r="108" spans="1:13">
      <c r="C108" s="16" t="s">
        <v>1725</v>
      </c>
    </row>
    <row r="110" spans="1:13">
      <c r="B110" s="75" t="s">
        <v>799</v>
      </c>
      <c r="C110" s="16" t="s">
        <v>1411</v>
      </c>
    </row>
  </sheetData>
  <mergeCells count="43">
    <mergeCell ref="K65:M65"/>
    <mergeCell ref="K68:M68"/>
    <mergeCell ref="K69:M69"/>
    <mergeCell ref="K80:M80"/>
    <mergeCell ref="K81:M81"/>
    <mergeCell ref="K72:M72"/>
    <mergeCell ref="K73:M73"/>
    <mergeCell ref="K76:M76"/>
    <mergeCell ref="K77:M77"/>
    <mergeCell ref="K57:M57"/>
    <mergeCell ref="K60:M60"/>
    <mergeCell ref="K61:M61"/>
    <mergeCell ref="K64:M64"/>
    <mergeCell ref="H2:J2"/>
    <mergeCell ref="H4:I4"/>
    <mergeCell ref="H3:I3"/>
    <mergeCell ref="K56:M56"/>
    <mergeCell ref="I5:J5"/>
    <mergeCell ref="D5:H5"/>
    <mergeCell ref="A5:A6"/>
    <mergeCell ref="A2:B2"/>
    <mergeCell ref="A3:B3"/>
    <mergeCell ref="A4:B4"/>
    <mergeCell ref="B5:C5"/>
    <mergeCell ref="C2:G2"/>
    <mergeCell ref="C3:G3"/>
    <mergeCell ref="C4:G4"/>
    <mergeCell ref="K91:M91"/>
    <mergeCell ref="K94:M94"/>
    <mergeCell ref="K95:M95"/>
    <mergeCell ref="K98:M98"/>
    <mergeCell ref="K5:M6"/>
    <mergeCell ref="K11:M11"/>
    <mergeCell ref="K12:M12"/>
    <mergeCell ref="K13:M13"/>
    <mergeCell ref="K15:M15"/>
    <mergeCell ref="K14:M14"/>
    <mergeCell ref="K10:M10"/>
    <mergeCell ref="K8:M8"/>
    <mergeCell ref="K7:M7"/>
    <mergeCell ref="K84:M84"/>
    <mergeCell ref="K87:M87"/>
    <mergeCell ref="K88:M88"/>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6">
    <pageSetUpPr fitToPage="1"/>
  </sheetPr>
  <dimension ref="A1:P110"/>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249" bestFit="1" customWidth="1"/>
    <col min="2" max="2" width="28.625" style="249" customWidth="1"/>
    <col min="3" max="3" width="13.375" style="249" customWidth="1"/>
    <col min="4" max="4" width="9.375" style="249" customWidth="1"/>
    <col min="5" max="6" width="4.75" style="249" bestFit="1" customWidth="1"/>
    <col min="7" max="7" width="6.125" style="249" bestFit="1" customWidth="1"/>
    <col min="8" max="8" width="4.75" style="249" bestFit="1" customWidth="1"/>
    <col min="9" max="9" width="4.75" style="249" customWidth="1"/>
    <col min="10" max="11" width="9.625" style="249" customWidth="1"/>
    <col min="12" max="13" width="10.25" style="249" customWidth="1"/>
    <col min="14" max="14" width="9" style="249"/>
    <col min="15" max="16" width="9" style="249" hidden="1" customWidth="1"/>
    <col min="17" max="16384" width="9" style="249"/>
  </cols>
  <sheetData>
    <row r="1" spans="1:16">
      <c r="B1" s="47"/>
    </row>
    <row r="2" spans="1:16">
      <c r="A2" s="799" t="s">
        <v>230</v>
      </c>
      <c r="B2" s="807"/>
      <c r="C2" s="799" t="s">
        <v>36</v>
      </c>
      <c r="D2" s="800"/>
      <c r="E2" s="800"/>
      <c r="F2" s="800"/>
      <c r="G2" s="807"/>
      <c r="H2" s="799"/>
      <c r="I2" s="800"/>
      <c r="J2" s="807"/>
      <c r="K2" s="251"/>
      <c r="L2" s="252" t="s">
        <v>37</v>
      </c>
      <c r="M2" s="252" t="s">
        <v>38</v>
      </c>
    </row>
    <row r="3" spans="1:16">
      <c r="A3" s="808"/>
      <c r="B3" s="809"/>
      <c r="C3" s="815" t="s">
        <v>384</v>
      </c>
      <c r="D3" s="816"/>
      <c r="E3" s="816"/>
      <c r="F3" s="816"/>
      <c r="G3" s="817"/>
      <c r="H3" s="799" t="s">
        <v>39</v>
      </c>
      <c r="I3" s="807"/>
      <c r="J3" s="253">
        <f>COUNT(A7:A100)</f>
        <v>3</v>
      </c>
      <c r="K3" s="252" t="s">
        <v>40</v>
      </c>
      <c r="L3" s="254">
        <v>38639</v>
      </c>
      <c r="M3" s="255" t="s">
        <v>532</v>
      </c>
      <c r="O3" s="249" t="s">
        <v>41</v>
      </c>
      <c r="P3" s="249" t="s">
        <v>42</v>
      </c>
    </row>
    <row r="4" spans="1:16">
      <c r="A4" s="810" t="s">
        <v>43</v>
      </c>
      <c r="B4" s="811"/>
      <c r="C4" s="810" t="s">
        <v>1474</v>
      </c>
      <c r="D4" s="818"/>
      <c r="E4" s="818"/>
      <c r="F4" s="818"/>
      <c r="G4" s="811"/>
      <c r="H4" s="799" t="s">
        <v>44</v>
      </c>
      <c r="I4" s="807"/>
      <c r="J4" s="253">
        <f>SUM(G7:G100)</f>
        <v>22</v>
      </c>
      <c r="K4" s="252" t="s">
        <v>45</v>
      </c>
      <c r="L4" s="40">
        <v>38763</v>
      </c>
      <c r="M4" s="42" t="s">
        <v>1407</v>
      </c>
      <c r="O4" s="249" t="s">
        <v>1358</v>
      </c>
      <c r="P4" s="249" t="s">
        <v>1359</v>
      </c>
    </row>
    <row r="5" spans="1:16">
      <c r="A5" s="813" t="s">
        <v>1360</v>
      </c>
      <c r="B5" s="799" t="s">
        <v>46</v>
      </c>
      <c r="C5" s="800"/>
      <c r="D5" s="812" t="s">
        <v>47</v>
      </c>
      <c r="E5" s="800"/>
      <c r="F5" s="800"/>
      <c r="G5" s="800"/>
      <c r="H5" s="800"/>
      <c r="I5" s="799" t="s">
        <v>604</v>
      </c>
      <c r="J5" s="807"/>
      <c r="K5" s="801" t="s">
        <v>48</v>
      </c>
      <c r="L5" s="802"/>
      <c r="M5" s="803"/>
      <c r="P5" s="249" t="s">
        <v>605</v>
      </c>
    </row>
    <row r="6" spans="1:16">
      <c r="A6" s="814"/>
      <c r="B6" s="252" t="s">
        <v>49</v>
      </c>
      <c r="C6" s="256" t="s">
        <v>50</v>
      </c>
      <c r="D6" s="257" t="s">
        <v>42</v>
      </c>
      <c r="E6" s="258" t="s">
        <v>51</v>
      </c>
      <c r="F6" s="259" t="s">
        <v>52</v>
      </c>
      <c r="G6" s="252" t="s">
        <v>606</v>
      </c>
      <c r="H6" s="250" t="s">
        <v>53</v>
      </c>
      <c r="I6" s="250" t="s">
        <v>607</v>
      </c>
      <c r="J6" s="250" t="s">
        <v>608</v>
      </c>
      <c r="K6" s="804"/>
      <c r="L6" s="805"/>
      <c r="M6" s="806"/>
      <c r="P6" s="249" t="s">
        <v>609</v>
      </c>
    </row>
    <row r="7" spans="1:16">
      <c r="A7" s="255">
        <v>1</v>
      </c>
      <c r="B7" s="48" t="s">
        <v>1258</v>
      </c>
      <c r="C7" s="49" t="s">
        <v>478</v>
      </c>
      <c r="D7" s="78" t="s">
        <v>610</v>
      </c>
      <c r="E7" s="260"/>
      <c r="F7" s="261"/>
      <c r="G7" s="20">
        <f>IF(D7="DATE",4,IF(D7="CHAR",E7,IF(D7="SMALLINT",2,IF(D7="INTEGER",4,IF(D7="TIMESTAMP",10,IF(D7="TIME",3,0))))))</f>
        <v>4</v>
      </c>
      <c r="H7" s="255" t="s">
        <v>1392</v>
      </c>
      <c r="I7" s="255" t="s">
        <v>1392</v>
      </c>
      <c r="J7" s="262"/>
      <c r="K7" s="599" t="s">
        <v>1257</v>
      </c>
      <c r="L7" s="600"/>
      <c r="M7" s="601"/>
      <c r="P7" s="249" t="s">
        <v>379</v>
      </c>
    </row>
    <row r="8" spans="1:16" s="16" customFormat="1" ht="12" customHeight="1">
      <c r="A8" s="42">
        <f>IF(B8=""," ",A7+1)</f>
        <v>2</v>
      </c>
      <c r="B8" s="64" t="s">
        <v>1083</v>
      </c>
      <c r="C8" s="24" t="s">
        <v>1111</v>
      </c>
      <c r="D8" s="72" t="s">
        <v>1431</v>
      </c>
      <c r="E8" s="51">
        <v>8</v>
      </c>
      <c r="F8" s="58"/>
      <c r="G8" s="20">
        <f>IF(D8="DATE",4,IF(D8="CHAR",E8,IF(D8="SMALLINT",2,IF(D8="INTEGER",4,IF(D8="TIMESTAMP",10,IF(D8="TIME",3,0))))))</f>
        <v>8</v>
      </c>
      <c r="H8" s="53" t="s">
        <v>1432</v>
      </c>
      <c r="I8" s="53"/>
      <c r="J8" s="59"/>
      <c r="K8" s="609" t="s">
        <v>1112</v>
      </c>
      <c r="L8" s="610"/>
      <c r="M8" s="611"/>
    </row>
    <row r="9" spans="1:16" s="22" customFormat="1">
      <c r="A9" s="42">
        <f>IF(B9=""," ",A8+1)</f>
        <v>3</v>
      </c>
      <c r="B9" s="93" t="s">
        <v>1724</v>
      </c>
      <c r="C9" s="26" t="s">
        <v>1404</v>
      </c>
      <c r="D9" s="94" t="s">
        <v>1405</v>
      </c>
      <c r="E9" s="95"/>
      <c r="F9" s="90"/>
      <c r="G9" s="21">
        <f>IF(D9="DATE",4,IF(D9="CHAR",E9,IF(D9="SMALLINT",2,IF(D9="INTEGER",4,IF(D9="TIMESTAMP",10,IF(D9="TIME",3,0))))))</f>
        <v>10</v>
      </c>
      <c r="H9" s="91" t="s">
        <v>1406</v>
      </c>
      <c r="I9" s="89"/>
      <c r="J9" s="92"/>
      <c r="K9" s="602"/>
      <c r="L9" s="603"/>
      <c r="M9" s="604"/>
    </row>
    <row r="10" spans="1:16" ht="11.25" customHeight="1">
      <c r="A10" s="255"/>
      <c r="B10" s="100"/>
      <c r="C10" s="137"/>
      <c r="D10" s="78"/>
      <c r="E10" s="260"/>
      <c r="F10" s="261"/>
      <c r="G10" s="20"/>
      <c r="H10" s="255"/>
      <c r="I10" s="255"/>
      <c r="J10" s="262"/>
      <c r="K10" s="599"/>
      <c r="L10" s="600"/>
      <c r="M10" s="601"/>
    </row>
    <row r="11" spans="1:16">
      <c r="A11" s="255"/>
      <c r="B11" s="263"/>
      <c r="C11" s="264"/>
      <c r="D11" s="265"/>
      <c r="E11" s="260"/>
      <c r="F11" s="261"/>
      <c r="G11" s="20"/>
      <c r="H11" s="255"/>
      <c r="I11" s="255"/>
      <c r="J11" s="262"/>
      <c r="K11" s="13"/>
      <c r="L11" s="14"/>
      <c r="M11" s="15"/>
    </row>
    <row r="12" spans="1:16">
      <c r="A12" s="255"/>
      <c r="B12" s="263"/>
      <c r="C12" s="264"/>
      <c r="D12" s="265"/>
      <c r="E12" s="260"/>
      <c r="F12" s="261"/>
      <c r="G12" s="20"/>
      <c r="H12" s="255"/>
      <c r="I12" s="255"/>
      <c r="J12" s="262"/>
      <c r="K12" s="819"/>
      <c r="L12" s="820"/>
      <c r="M12" s="821"/>
    </row>
    <row r="13" spans="1:16">
      <c r="A13" s="255"/>
      <c r="B13" s="263"/>
      <c r="C13" s="264"/>
      <c r="D13" s="265"/>
      <c r="E13" s="260"/>
      <c r="F13" s="261"/>
      <c r="G13" s="20"/>
      <c r="H13" s="255"/>
      <c r="I13" s="255"/>
      <c r="J13" s="262"/>
      <c r="K13" s="819"/>
      <c r="L13" s="820"/>
      <c r="M13" s="821"/>
    </row>
    <row r="14" spans="1:16">
      <c r="A14" s="255"/>
      <c r="B14" s="263"/>
      <c r="C14" s="264"/>
      <c r="D14" s="265"/>
      <c r="E14" s="260"/>
      <c r="F14" s="261"/>
      <c r="G14" s="20"/>
      <c r="H14" s="255"/>
      <c r="I14" s="255"/>
      <c r="J14" s="262"/>
      <c r="K14" s="819"/>
      <c r="L14" s="820"/>
      <c r="M14" s="821"/>
    </row>
    <row r="15" spans="1:16">
      <c r="A15" s="255"/>
      <c r="B15" s="263"/>
      <c r="C15" s="264"/>
      <c r="D15" s="265"/>
      <c r="E15" s="260"/>
      <c r="F15" s="261"/>
      <c r="G15" s="20"/>
      <c r="H15" s="255"/>
      <c r="I15" s="255"/>
      <c r="J15" s="262"/>
      <c r="K15" s="822"/>
      <c r="L15" s="820"/>
      <c r="M15" s="821"/>
    </row>
    <row r="16" spans="1:16">
      <c r="A16" s="255"/>
      <c r="B16" s="263"/>
      <c r="C16" s="264"/>
      <c r="D16" s="265"/>
      <c r="E16" s="260"/>
      <c r="F16" s="261"/>
      <c r="G16" s="20"/>
      <c r="H16" s="255"/>
      <c r="I16" s="255"/>
      <c r="J16" s="262"/>
      <c r="K16" s="819"/>
      <c r="L16" s="820"/>
      <c r="M16" s="821"/>
    </row>
    <row r="17" spans="1:13">
      <c r="A17" s="255"/>
      <c r="B17" s="263"/>
      <c r="C17" s="264"/>
      <c r="D17" s="265"/>
      <c r="E17" s="260"/>
      <c r="F17" s="261"/>
      <c r="G17" s="20"/>
      <c r="H17" s="255"/>
      <c r="I17" s="255"/>
      <c r="J17" s="262"/>
      <c r="K17" s="819"/>
      <c r="L17" s="820"/>
      <c r="M17" s="821"/>
    </row>
    <row r="18" spans="1:13">
      <c r="A18" s="255"/>
      <c r="B18" s="263"/>
      <c r="C18" s="264"/>
      <c r="D18" s="265"/>
      <c r="E18" s="260"/>
      <c r="F18" s="261"/>
      <c r="G18" s="20"/>
      <c r="H18" s="255"/>
      <c r="I18" s="255"/>
      <c r="J18" s="262"/>
      <c r="K18" s="819"/>
      <c r="L18" s="820"/>
      <c r="M18" s="821"/>
    </row>
    <row r="19" spans="1:13">
      <c r="A19" s="255"/>
      <c r="B19" s="263"/>
      <c r="C19" s="264"/>
      <c r="D19" s="265"/>
      <c r="E19" s="260"/>
      <c r="F19" s="261"/>
      <c r="G19" s="20"/>
      <c r="H19" s="255"/>
      <c r="I19" s="255"/>
      <c r="J19" s="262"/>
      <c r="K19" s="819"/>
      <c r="L19" s="820"/>
      <c r="M19" s="821"/>
    </row>
    <row r="20" spans="1:13">
      <c r="A20" s="255"/>
      <c r="B20" s="263"/>
      <c r="C20" s="264"/>
      <c r="D20" s="265"/>
      <c r="E20" s="260"/>
      <c r="F20" s="261"/>
      <c r="G20" s="20"/>
      <c r="H20" s="255"/>
      <c r="I20" s="255"/>
      <c r="J20" s="262"/>
      <c r="K20" s="819"/>
      <c r="L20" s="820"/>
      <c r="M20" s="821"/>
    </row>
    <row r="21" spans="1:13">
      <c r="A21" s="255"/>
      <c r="B21" s="263"/>
      <c r="C21" s="264"/>
      <c r="D21" s="265"/>
      <c r="E21" s="260"/>
      <c r="F21" s="261"/>
      <c r="G21" s="20"/>
      <c r="H21" s="255"/>
      <c r="I21" s="255"/>
      <c r="J21" s="262"/>
      <c r="K21" s="819"/>
      <c r="L21" s="820"/>
      <c r="M21" s="821"/>
    </row>
    <row r="22" spans="1:13">
      <c r="A22" s="255"/>
      <c r="B22" s="263"/>
      <c r="C22" s="264"/>
      <c r="D22" s="265"/>
      <c r="E22" s="260"/>
      <c r="F22" s="261"/>
      <c r="G22" s="20"/>
      <c r="H22" s="255"/>
      <c r="I22" s="255"/>
      <c r="J22" s="262"/>
      <c r="K22" s="819"/>
      <c r="L22" s="820"/>
      <c r="M22" s="821"/>
    </row>
    <row r="23" spans="1:13">
      <c r="A23" s="255"/>
      <c r="B23" s="263"/>
      <c r="C23" s="264"/>
      <c r="D23" s="265"/>
      <c r="E23" s="260"/>
      <c r="F23" s="261"/>
      <c r="G23" s="20"/>
      <c r="H23" s="255"/>
      <c r="I23" s="255"/>
      <c r="J23" s="262"/>
      <c r="K23" s="819"/>
      <c r="L23" s="820"/>
      <c r="M23" s="821"/>
    </row>
    <row r="24" spans="1:13">
      <c r="A24" s="255"/>
      <c r="B24" s="263"/>
      <c r="C24" s="264"/>
      <c r="D24" s="265"/>
      <c r="E24" s="260"/>
      <c r="F24" s="261"/>
      <c r="G24" s="20"/>
      <c r="H24" s="255"/>
      <c r="I24" s="255"/>
      <c r="J24" s="262"/>
      <c r="K24" s="819"/>
      <c r="L24" s="820"/>
      <c r="M24" s="821"/>
    </row>
    <row r="25" spans="1:13">
      <c r="A25" s="255"/>
      <c r="B25" s="263"/>
      <c r="C25" s="264"/>
      <c r="D25" s="265"/>
      <c r="E25" s="260"/>
      <c r="F25" s="261"/>
      <c r="G25" s="20"/>
      <c r="H25" s="255"/>
      <c r="I25" s="255"/>
      <c r="J25" s="262"/>
      <c r="K25" s="819"/>
      <c r="L25" s="820"/>
      <c r="M25" s="821"/>
    </row>
    <row r="26" spans="1:13">
      <c r="A26" s="255"/>
      <c r="B26" s="263"/>
      <c r="C26" s="264"/>
      <c r="D26" s="265"/>
      <c r="E26" s="260"/>
      <c r="F26" s="261"/>
      <c r="G26" s="20"/>
      <c r="H26" s="255"/>
      <c r="I26" s="255"/>
      <c r="J26" s="262"/>
      <c r="K26" s="819"/>
      <c r="L26" s="820"/>
      <c r="M26" s="821"/>
    </row>
    <row r="27" spans="1:13">
      <c r="A27" s="255"/>
      <c r="B27" s="263"/>
      <c r="C27" s="264"/>
      <c r="D27" s="265"/>
      <c r="E27" s="260"/>
      <c r="F27" s="261"/>
      <c r="G27" s="20"/>
      <c r="H27" s="255"/>
      <c r="I27" s="255"/>
      <c r="J27" s="262"/>
      <c r="K27" s="819"/>
      <c r="L27" s="820"/>
      <c r="M27" s="821"/>
    </row>
    <row r="28" spans="1:13">
      <c r="A28" s="255"/>
      <c r="B28" s="263"/>
      <c r="C28" s="264"/>
      <c r="D28" s="265"/>
      <c r="E28" s="260"/>
      <c r="F28" s="261"/>
      <c r="G28" s="20"/>
      <c r="H28" s="255"/>
      <c r="I28" s="255"/>
      <c r="J28" s="262"/>
      <c r="K28" s="819"/>
      <c r="L28" s="820"/>
      <c r="M28" s="821"/>
    </row>
    <row r="29" spans="1:13">
      <c r="A29" s="255"/>
      <c r="B29" s="263"/>
      <c r="C29" s="264"/>
      <c r="D29" s="265"/>
      <c r="E29" s="260"/>
      <c r="F29" s="261"/>
      <c r="G29" s="20"/>
      <c r="H29" s="255"/>
      <c r="I29" s="255"/>
      <c r="J29" s="262"/>
      <c r="K29" s="819"/>
      <c r="L29" s="820"/>
      <c r="M29" s="821"/>
    </row>
    <row r="30" spans="1:13">
      <c r="A30" s="255"/>
      <c r="B30" s="263"/>
      <c r="C30" s="264"/>
      <c r="D30" s="265"/>
      <c r="E30" s="260"/>
      <c r="F30" s="261"/>
      <c r="G30" s="20"/>
      <c r="H30" s="255"/>
      <c r="I30" s="255"/>
      <c r="J30" s="262"/>
      <c r="K30" s="819"/>
      <c r="L30" s="820"/>
      <c r="M30" s="821"/>
    </row>
    <row r="31" spans="1:13">
      <c r="A31" s="255"/>
      <c r="B31" s="263"/>
      <c r="C31" s="264"/>
      <c r="D31" s="265"/>
      <c r="E31" s="260"/>
      <c r="F31" s="261"/>
      <c r="G31" s="20"/>
      <c r="H31" s="255"/>
      <c r="I31" s="255"/>
      <c r="J31" s="262"/>
      <c r="K31" s="819"/>
      <c r="L31" s="820"/>
      <c r="M31" s="821"/>
    </row>
    <row r="32" spans="1:13">
      <c r="A32" s="255"/>
      <c r="B32" s="263"/>
      <c r="C32" s="264"/>
      <c r="D32" s="265"/>
      <c r="E32" s="260"/>
      <c r="F32" s="261"/>
      <c r="G32" s="266"/>
      <c r="H32" s="255"/>
      <c r="I32" s="255"/>
      <c r="J32" s="262"/>
      <c r="K32" s="819"/>
      <c r="L32" s="820"/>
      <c r="M32" s="821"/>
    </row>
    <row r="33" spans="1:13">
      <c r="A33" s="255"/>
      <c r="B33" s="263"/>
      <c r="C33" s="264"/>
      <c r="D33" s="265"/>
      <c r="E33" s="260"/>
      <c r="F33" s="261"/>
      <c r="G33" s="266"/>
      <c r="H33" s="255"/>
      <c r="I33" s="255"/>
      <c r="J33" s="262"/>
      <c r="K33" s="819"/>
      <c r="L33" s="820"/>
      <c r="M33" s="821"/>
    </row>
    <row r="34" spans="1:13">
      <c r="A34" s="255" t="str">
        <f t="shared" ref="A34:A40" si="0">IF(B34=""," ",A33+1)</f>
        <v xml:space="preserve"> </v>
      </c>
      <c r="B34" s="263"/>
      <c r="C34" s="264"/>
      <c r="D34" s="265"/>
      <c r="E34" s="260"/>
      <c r="F34" s="261"/>
      <c r="G34" s="266"/>
      <c r="H34" s="255"/>
      <c r="I34" s="255"/>
      <c r="J34" s="262"/>
      <c r="K34" s="819"/>
      <c r="L34" s="820"/>
      <c r="M34" s="821"/>
    </row>
    <row r="35" spans="1:13">
      <c r="A35" s="255" t="str">
        <f t="shared" si="0"/>
        <v xml:space="preserve"> </v>
      </c>
      <c r="B35" s="263"/>
      <c r="C35" s="264"/>
      <c r="D35" s="265"/>
      <c r="E35" s="260"/>
      <c r="F35" s="261"/>
      <c r="G35" s="266"/>
      <c r="H35" s="255"/>
      <c r="I35" s="255"/>
      <c r="J35" s="262"/>
      <c r="K35" s="819"/>
      <c r="L35" s="820"/>
      <c r="M35" s="821"/>
    </row>
    <row r="36" spans="1:13">
      <c r="A36" s="255" t="str">
        <f t="shared" si="0"/>
        <v xml:space="preserve"> </v>
      </c>
      <c r="B36" s="263"/>
      <c r="C36" s="264"/>
      <c r="D36" s="265"/>
      <c r="E36" s="260"/>
      <c r="F36" s="261"/>
      <c r="G36" s="266"/>
      <c r="H36" s="255"/>
      <c r="I36" s="255"/>
      <c r="J36" s="262"/>
      <c r="K36" s="819"/>
      <c r="L36" s="820"/>
      <c r="M36" s="821"/>
    </row>
    <row r="37" spans="1:13">
      <c r="A37" s="255" t="str">
        <f t="shared" si="0"/>
        <v xml:space="preserve"> </v>
      </c>
      <c r="B37" s="263"/>
      <c r="C37" s="264"/>
      <c r="D37" s="265"/>
      <c r="E37" s="260"/>
      <c r="F37" s="261"/>
      <c r="G37" s="266"/>
      <c r="H37" s="255"/>
      <c r="I37" s="255"/>
      <c r="J37" s="262"/>
      <c r="K37" s="819"/>
      <c r="L37" s="820"/>
      <c r="M37" s="821"/>
    </row>
    <row r="38" spans="1:13">
      <c r="A38" s="255" t="str">
        <f t="shared" si="0"/>
        <v xml:space="preserve"> </v>
      </c>
      <c r="B38" s="263"/>
      <c r="C38" s="264"/>
      <c r="D38" s="265"/>
      <c r="E38" s="260"/>
      <c r="F38" s="261"/>
      <c r="G38" s="266"/>
      <c r="H38" s="255"/>
      <c r="I38" s="255"/>
      <c r="J38" s="262"/>
      <c r="K38" s="819"/>
      <c r="L38" s="820"/>
      <c r="M38" s="821"/>
    </row>
    <row r="39" spans="1:13">
      <c r="A39" s="255" t="str">
        <f t="shared" si="0"/>
        <v xml:space="preserve"> </v>
      </c>
      <c r="B39" s="263"/>
      <c r="C39" s="264"/>
      <c r="D39" s="265"/>
      <c r="E39" s="260"/>
      <c r="F39" s="261"/>
      <c r="G39" s="266"/>
      <c r="H39" s="255"/>
      <c r="I39" s="255"/>
      <c r="J39" s="262"/>
      <c r="K39" s="819"/>
      <c r="L39" s="820"/>
      <c r="M39" s="821"/>
    </row>
    <row r="40" spans="1:13">
      <c r="A40" s="255" t="str">
        <f t="shared" si="0"/>
        <v xml:space="preserve"> </v>
      </c>
      <c r="B40" s="263"/>
      <c r="C40" s="264"/>
      <c r="D40" s="265"/>
      <c r="E40" s="260"/>
      <c r="F40" s="261"/>
      <c r="G40" s="266"/>
      <c r="H40" s="255"/>
      <c r="I40" s="255"/>
      <c r="J40" s="262"/>
      <c r="K40" s="819"/>
      <c r="L40" s="820"/>
      <c r="M40" s="821"/>
    </row>
    <row r="41" spans="1:13">
      <c r="A41" s="255" t="str">
        <f t="shared" ref="A41:A60" si="1">IF(B41=""," ",A40+1)</f>
        <v xml:space="preserve"> </v>
      </c>
      <c r="B41" s="263"/>
      <c r="C41" s="264"/>
      <c r="D41" s="265"/>
      <c r="E41" s="260"/>
      <c r="F41" s="261"/>
      <c r="G41" s="266"/>
      <c r="H41" s="255"/>
      <c r="I41" s="255"/>
      <c r="J41" s="262"/>
      <c r="K41" s="819"/>
      <c r="L41" s="820"/>
      <c r="M41" s="821"/>
    </row>
    <row r="42" spans="1:13">
      <c r="A42" s="255" t="str">
        <f t="shared" si="1"/>
        <v xml:space="preserve"> </v>
      </c>
      <c r="B42" s="263"/>
      <c r="C42" s="264"/>
      <c r="D42" s="265"/>
      <c r="E42" s="260"/>
      <c r="F42" s="261"/>
      <c r="G42" s="266"/>
      <c r="H42" s="255"/>
      <c r="I42" s="255"/>
      <c r="J42" s="262"/>
      <c r="K42" s="819"/>
      <c r="L42" s="820"/>
      <c r="M42" s="821"/>
    </row>
    <row r="43" spans="1:13">
      <c r="A43" s="255" t="str">
        <f t="shared" si="1"/>
        <v xml:space="preserve"> </v>
      </c>
      <c r="B43" s="263"/>
      <c r="C43" s="264"/>
      <c r="D43" s="265"/>
      <c r="E43" s="260"/>
      <c r="F43" s="261"/>
      <c r="G43" s="266"/>
      <c r="H43" s="255"/>
      <c r="I43" s="255"/>
      <c r="J43" s="262"/>
      <c r="K43" s="819"/>
      <c r="L43" s="820"/>
      <c r="M43" s="821"/>
    </row>
    <row r="44" spans="1:13">
      <c r="A44" s="255" t="str">
        <f t="shared" si="1"/>
        <v xml:space="preserve"> </v>
      </c>
      <c r="B44" s="263"/>
      <c r="C44" s="264"/>
      <c r="D44" s="265"/>
      <c r="E44" s="260"/>
      <c r="F44" s="261"/>
      <c r="G44" s="266"/>
      <c r="H44" s="255"/>
      <c r="I44" s="255"/>
      <c r="J44" s="262"/>
      <c r="K44" s="819"/>
      <c r="L44" s="820"/>
      <c r="M44" s="821"/>
    </row>
    <row r="45" spans="1:13">
      <c r="A45" s="255" t="str">
        <f t="shared" si="1"/>
        <v xml:space="preserve"> </v>
      </c>
      <c r="B45" s="263"/>
      <c r="C45" s="264"/>
      <c r="D45" s="265"/>
      <c r="E45" s="260"/>
      <c r="F45" s="261"/>
      <c r="G45" s="266"/>
      <c r="H45" s="255"/>
      <c r="I45" s="255"/>
      <c r="J45" s="262"/>
      <c r="K45" s="819"/>
      <c r="L45" s="820"/>
      <c r="M45" s="821"/>
    </row>
    <row r="46" spans="1:13">
      <c r="A46" s="255" t="str">
        <f t="shared" si="1"/>
        <v xml:space="preserve"> </v>
      </c>
      <c r="B46" s="263"/>
      <c r="C46" s="264"/>
      <c r="D46" s="265"/>
      <c r="E46" s="260"/>
      <c r="F46" s="261"/>
      <c r="G46" s="266"/>
      <c r="H46" s="255"/>
      <c r="I46" s="255"/>
      <c r="J46" s="262"/>
      <c r="K46" s="819"/>
      <c r="L46" s="820"/>
      <c r="M46" s="821"/>
    </row>
    <row r="47" spans="1:13">
      <c r="A47" s="255" t="str">
        <f t="shared" si="1"/>
        <v xml:space="preserve"> </v>
      </c>
      <c r="B47" s="263"/>
      <c r="C47" s="264"/>
      <c r="D47" s="265"/>
      <c r="E47" s="260"/>
      <c r="F47" s="261"/>
      <c r="G47" s="266"/>
      <c r="H47" s="255"/>
      <c r="I47" s="255"/>
      <c r="J47" s="262"/>
      <c r="K47" s="819"/>
      <c r="L47" s="820"/>
      <c r="M47" s="821"/>
    </row>
    <row r="48" spans="1:13">
      <c r="A48" s="255" t="str">
        <f t="shared" si="1"/>
        <v xml:space="preserve"> </v>
      </c>
      <c r="B48" s="263"/>
      <c r="C48" s="264"/>
      <c r="D48" s="265"/>
      <c r="E48" s="260"/>
      <c r="F48" s="261"/>
      <c r="G48" s="266"/>
      <c r="H48" s="255"/>
      <c r="I48" s="255"/>
      <c r="J48" s="262"/>
      <c r="K48" s="819"/>
      <c r="L48" s="820"/>
      <c r="M48" s="821"/>
    </row>
    <row r="49" spans="1:13">
      <c r="A49" s="89" t="str">
        <f t="shared" si="1"/>
        <v xml:space="preserve"> </v>
      </c>
      <c r="B49" s="66"/>
      <c r="C49" s="31"/>
      <c r="D49" s="97"/>
      <c r="E49" s="98"/>
      <c r="F49" s="99"/>
      <c r="G49" s="21"/>
      <c r="H49" s="89"/>
      <c r="I49" s="89"/>
      <c r="J49" s="92"/>
      <c r="K49" s="31"/>
      <c r="L49" s="32"/>
      <c r="M49" s="33"/>
    </row>
    <row r="50" spans="1:13">
      <c r="A50" s="89" t="str">
        <f>IF(B50=""," ",#REF!+1)</f>
        <v xml:space="preserve"> </v>
      </c>
      <c r="B50" s="96"/>
      <c r="C50" s="31"/>
      <c r="D50" s="97"/>
      <c r="E50" s="98"/>
      <c r="F50" s="99"/>
      <c r="G50" s="21"/>
      <c r="H50" s="89"/>
      <c r="I50" s="89"/>
      <c r="J50" s="92"/>
      <c r="K50" s="31"/>
      <c r="L50" s="32"/>
      <c r="M50" s="33"/>
    </row>
    <row r="51" spans="1:13">
      <c r="A51" s="89" t="str">
        <f>IF(B51=""," ",#REF!+1)</f>
        <v xml:space="preserve"> </v>
      </c>
      <c r="B51" s="96"/>
      <c r="C51" s="31"/>
      <c r="D51" s="97"/>
      <c r="E51" s="98"/>
      <c r="F51" s="99"/>
      <c r="G51" s="21"/>
      <c r="H51" s="89"/>
      <c r="I51" s="89"/>
      <c r="J51" s="92"/>
      <c r="K51" s="31"/>
      <c r="L51" s="32"/>
      <c r="M51" s="33"/>
    </row>
    <row r="52" spans="1:13">
      <c r="A52" s="89" t="str">
        <f t="shared" si="1"/>
        <v xml:space="preserve"> </v>
      </c>
      <c r="B52" s="96"/>
      <c r="C52" s="31"/>
      <c r="D52" s="97"/>
      <c r="E52" s="98"/>
      <c r="F52" s="99"/>
      <c r="G52" s="21"/>
      <c r="H52" s="89"/>
      <c r="I52" s="89"/>
      <c r="J52" s="92"/>
      <c r="K52" s="31"/>
      <c r="L52" s="32"/>
      <c r="M52" s="33"/>
    </row>
    <row r="53" spans="1:13">
      <c r="A53" s="89" t="str">
        <f t="shared" si="1"/>
        <v xml:space="preserve"> </v>
      </c>
      <c r="B53" s="96"/>
      <c r="C53" s="31"/>
      <c r="D53" s="97"/>
      <c r="E53" s="98"/>
      <c r="F53" s="99"/>
      <c r="G53" s="21"/>
      <c r="H53" s="89"/>
      <c r="I53" s="89"/>
      <c r="J53" s="92"/>
      <c r="K53" s="31"/>
      <c r="L53" s="32"/>
      <c r="M53" s="33"/>
    </row>
    <row r="54" spans="1:13">
      <c r="A54" s="89" t="str">
        <f t="shared" si="1"/>
        <v xml:space="preserve"> </v>
      </c>
      <c r="B54" s="96"/>
      <c r="C54" s="31"/>
      <c r="D54" s="97"/>
      <c r="E54" s="98"/>
      <c r="F54" s="99"/>
      <c r="G54" s="21"/>
      <c r="H54" s="89"/>
      <c r="I54" s="89"/>
      <c r="J54" s="92"/>
      <c r="K54" s="31"/>
      <c r="L54" s="32"/>
      <c r="M54" s="33"/>
    </row>
    <row r="55" spans="1:13">
      <c r="A55" s="89" t="str">
        <f>IF(B55=""," ",A54+1)</f>
        <v xml:space="preserve"> </v>
      </c>
      <c r="B55" s="96"/>
      <c r="C55" s="31"/>
      <c r="D55" s="97"/>
      <c r="E55" s="98"/>
      <c r="F55" s="99"/>
      <c r="G55" s="21"/>
      <c r="H55" s="89"/>
      <c r="I55" s="89"/>
      <c r="J55" s="92"/>
      <c r="K55" s="31"/>
      <c r="L55" s="32"/>
      <c r="M55" s="33"/>
    </row>
    <row r="56" spans="1:13">
      <c r="A56" s="89" t="str">
        <f t="shared" si="1"/>
        <v xml:space="preserve"> </v>
      </c>
      <c r="B56" s="96"/>
      <c r="C56" s="31"/>
      <c r="D56" s="97"/>
      <c r="E56" s="98"/>
      <c r="F56" s="99"/>
      <c r="G56" s="21"/>
      <c r="H56" s="89"/>
      <c r="I56" s="89"/>
      <c r="J56" s="92"/>
      <c r="K56" s="31"/>
      <c r="L56" s="32"/>
      <c r="M56" s="33"/>
    </row>
    <row r="57" spans="1:13">
      <c r="A57" s="89" t="str">
        <f t="shared" si="1"/>
        <v xml:space="preserve"> </v>
      </c>
      <c r="B57" s="96"/>
      <c r="C57" s="31"/>
      <c r="D57" s="97"/>
      <c r="E57" s="98"/>
      <c r="F57" s="99"/>
      <c r="G57" s="21"/>
      <c r="H57" s="89"/>
      <c r="I57" s="89"/>
      <c r="J57" s="92"/>
      <c r="K57" s="31"/>
      <c r="L57" s="32"/>
      <c r="M57" s="33"/>
    </row>
    <row r="58" spans="1:13">
      <c r="A58" s="89" t="str">
        <f t="shared" si="1"/>
        <v xml:space="preserve"> </v>
      </c>
      <c r="B58" s="96"/>
      <c r="C58" s="31"/>
      <c r="D58" s="97"/>
      <c r="E58" s="98"/>
      <c r="F58" s="99"/>
      <c r="G58" s="21"/>
      <c r="H58" s="89"/>
      <c r="I58" s="89"/>
      <c r="J58" s="92"/>
      <c r="K58" s="31"/>
      <c r="L58" s="32"/>
      <c r="M58" s="33"/>
    </row>
    <row r="59" spans="1:13">
      <c r="A59" s="89" t="str">
        <f t="shared" si="1"/>
        <v xml:space="preserve"> </v>
      </c>
      <c r="B59" s="96"/>
      <c r="C59" s="31"/>
      <c r="D59" s="97"/>
      <c r="E59" s="98"/>
      <c r="F59" s="99"/>
      <c r="G59" s="21"/>
      <c r="H59" s="89"/>
      <c r="I59" s="89"/>
      <c r="J59" s="92"/>
      <c r="K59" s="31"/>
      <c r="L59" s="32"/>
      <c r="M59" s="33"/>
    </row>
    <row r="60" spans="1:13">
      <c r="A60" s="89" t="str">
        <f t="shared" si="1"/>
        <v xml:space="preserve"> </v>
      </c>
      <c r="B60" s="96"/>
      <c r="C60" s="31"/>
      <c r="D60" s="97"/>
      <c r="E60" s="98"/>
      <c r="F60" s="99"/>
      <c r="G60" s="21"/>
      <c r="H60" s="89"/>
      <c r="I60" s="89"/>
      <c r="J60" s="92"/>
      <c r="K60" s="31"/>
      <c r="L60" s="32"/>
      <c r="M60" s="33"/>
    </row>
    <row r="61" spans="1:13">
      <c r="A61" s="42" t="str">
        <f>IF(B61=""," ",A60+1)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13"/>
      <c r="L99" s="14"/>
      <c r="M99" s="15"/>
    </row>
    <row r="100" spans="1:13">
      <c r="A100" s="42" t="str">
        <f>IF(B100=""," ",#REF!+1)</f>
        <v xml:space="preserve"> </v>
      </c>
      <c r="B100" s="71"/>
      <c r="C100" s="13"/>
      <c r="D100" s="72"/>
      <c r="E100" s="73"/>
      <c r="F100" s="74"/>
      <c r="G100" s="20"/>
      <c r="H100" s="42"/>
      <c r="I100" s="42"/>
      <c r="J100" s="59"/>
      <c r="K100" s="13"/>
      <c r="L100" s="14"/>
      <c r="M100" s="15"/>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s="16" customFormat="1">
      <c r="A110" s="46"/>
      <c r="B110" s="75" t="s">
        <v>273</v>
      </c>
      <c r="C110" s="16" t="s">
        <v>1411</v>
      </c>
    </row>
  </sheetData>
  <mergeCells count="75">
    <mergeCell ref="K8:M8"/>
    <mergeCell ref="K93:M93"/>
    <mergeCell ref="K94:M94"/>
    <mergeCell ref="K77:M77"/>
    <mergeCell ref="K78:M78"/>
    <mergeCell ref="K81:M81"/>
    <mergeCell ref="K82:M82"/>
    <mergeCell ref="K69:M69"/>
    <mergeCell ref="K70:M70"/>
    <mergeCell ref="K62:M62"/>
    <mergeCell ref="K65:M65"/>
    <mergeCell ref="K66:M66"/>
    <mergeCell ref="K34:M34"/>
    <mergeCell ref="K35:M35"/>
    <mergeCell ref="K27:M27"/>
    <mergeCell ref="K28:M28"/>
    <mergeCell ref="K73:M73"/>
    <mergeCell ref="K74:M74"/>
    <mergeCell ref="K61:M61"/>
    <mergeCell ref="K48:M48"/>
    <mergeCell ref="K44:M44"/>
    <mergeCell ref="K45:M45"/>
    <mergeCell ref="K98:M98"/>
    <mergeCell ref="K85:M85"/>
    <mergeCell ref="K86:M86"/>
    <mergeCell ref="K89:M89"/>
    <mergeCell ref="K90:M90"/>
    <mergeCell ref="K97:M97"/>
    <mergeCell ref="K29:M29"/>
    <mergeCell ref="K30:M30"/>
    <mergeCell ref="K31:M31"/>
    <mergeCell ref="K32:M32"/>
    <mergeCell ref="K43:M43"/>
    <mergeCell ref="K36:M36"/>
    <mergeCell ref="K37:M37"/>
    <mergeCell ref="K41:M41"/>
    <mergeCell ref="K42:M42"/>
    <mergeCell ref="K33:M33"/>
    <mergeCell ref="K38:M38"/>
    <mergeCell ref="K9:M9"/>
    <mergeCell ref="K10:M10"/>
    <mergeCell ref="K46:M46"/>
    <mergeCell ref="K47:M47"/>
    <mergeCell ref="K23:M23"/>
    <mergeCell ref="K24:M24"/>
    <mergeCell ref="K17:M17"/>
    <mergeCell ref="K18:M18"/>
    <mergeCell ref="K19:M19"/>
    <mergeCell ref="K20:M20"/>
    <mergeCell ref="K21:M21"/>
    <mergeCell ref="K22:M22"/>
    <mergeCell ref="K39:M39"/>
    <mergeCell ref="K40:M40"/>
    <mergeCell ref="K25:M25"/>
    <mergeCell ref="K26:M26"/>
    <mergeCell ref="K13:M13"/>
    <mergeCell ref="K14:M14"/>
    <mergeCell ref="K15:M15"/>
    <mergeCell ref="K16:M16"/>
    <mergeCell ref="K12:M12"/>
    <mergeCell ref="K7:M7"/>
    <mergeCell ref="B5:C5"/>
    <mergeCell ref="K5:M6"/>
    <mergeCell ref="I5:J5"/>
    <mergeCell ref="A2:B2"/>
    <mergeCell ref="A3:B3"/>
    <mergeCell ref="A4:B4"/>
    <mergeCell ref="D5:H5"/>
    <mergeCell ref="H4:I4"/>
    <mergeCell ref="H3:I3"/>
    <mergeCell ref="A5:A6"/>
    <mergeCell ref="H2:J2"/>
    <mergeCell ref="C2:G2"/>
    <mergeCell ref="C3:G3"/>
    <mergeCell ref="C4:G4"/>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7">
    <pageSetUpPr fitToPage="1"/>
  </sheetPr>
  <dimension ref="A1:P106"/>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313" customWidth="1"/>
    <col min="2" max="2" width="28.625" style="314" customWidth="1"/>
    <col min="3" max="3" width="13.375" style="314" customWidth="1"/>
    <col min="4" max="4" width="9.375" style="314" customWidth="1"/>
    <col min="5" max="5" width="4.875" style="314" bestFit="1" customWidth="1"/>
    <col min="6" max="6" width="4.75" style="314" bestFit="1" customWidth="1"/>
    <col min="7" max="7" width="6.125" style="314" bestFit="1" customWidth="1"/>
    <col min="8" max="8" width="4.75" style="314" bestFit="1" customWidth="1"/>
    <col min="9" max="9" width="4.75" style="314" customWidth="1"/>
    <col min="10" max="11" width="9.625" style="314" customWidth="1"/>
    <col min="12" max="12" width="10.25" style="314" customWidth="1"/>
    <col min="13" max="13" width="10.125" style="314" customWidth="1"/>
    <col min="14" max="14" width="9" style="314"/>
    <col min="15" max="16" width="0" style="314" hidden="1" customWidth="1"/>
    <col min="17" max="16384" width="9" style="314"/>
  </cols>
  <sheetData>
    <row r="1" spans="1:16" ht="12" customHeight="1">
      <c r="B1" s="47"/>
    </row>
    <row r="2" spans="1:16" ht="12" customHeight="1">
      <c r="A2" s="828" t="s">
        <v>1667</v>
      </c>
      <c r="B2" s="830"/>
      <c r="C2" s="828" t="s">
        <v>36</v>
      </c>
      <c r="D2" s="829"/>
      <c r="E2" s="829"/>
      <c r="F2" s="829"/>
      <c r="G2" s="830"/>
      <c r="H2" s="828"/>
      <c r="I2" s="829"/>
      <c r="J2" s="830"/>
      <c r="K2" s="316"/>
      <c r="L2" s="317" t="s">
        <v>37</v>
      </c>
      <c r="M2" s="317" t="s">
        <v>38</v>
      </c>
    </row>
    <row r="3" spans="1:16" ht="12" customHeight="1">
      <c r="A3" s="839"/>
      <c r="B3" s="840"/>
      <c r="C3" s="843" t="s">
        <v>1668</v>
      </c>
      <c r="D3" s="844"/>
      <c r="E3" s="844"/>
      <c r="F3" s="844"/>
      <c r="G3" s="845"/>
      <c r="H3" s="828" t="s">
        <v>39</v>
      </c>
      <c r="I3" s="830"/>
      <c r="J3" s="318">
        <f>COUNT(A7:A100)</f>
        <v>7</v>
      </c>
      <c r="K3" s="317" t="s">
        <v>40</v>
      </c>
      <c r="L3" s="319">
        <v>38789</v>
      </c>
      <c r="M3" s="41" t="s">
        <v>675</v>
      </c>
      <c r="O3" s="314" t="s">
        <v>41</v>
      </c>
      <c r="P3" s="314" t="s">
        <v>42</v>
      </c>
    </row>
    <row r="4" spans="1:16" ht="12" customHeight="1">
      <c r="A4" s="841" t="s">
        <v>43</v>
      </c>
      <c r="B4" s="842"/>
      <c r="C4" s="841" t="s">
        <v>1685</v>
      </c>
      <c r="D4" s="846"/>
      <c r="E4" s="846"/>
      <c r="F4" s="846"/>
      <c r="G4" s="842"/>
      <c r="H4" s="828" t="s">
        <v>44</v>
      </c>
      <c r="I4" s="830"/>
      <c r="J4" s="318">
        <f>SUM(G7:G100)</f>
        <v>42</v>
      </c>
      <c r="K4" s="317" t="s">
        <v>45</v>
      </c>
      <c r="L4" s="319">
        <v>38792</v>
      </c>
      <c r="M4" s="320" t="s">
        <v>675</v>
      </c>
      <c r="O4" s="314" t="s">
        <v>505</v>
      </c>
      <c r="P4" s="314" t="s">
        <v>506</v>
      </c>
    </row>
    <row r="5" spans="1:16" ht="12" customHeight="1">
      <c r="A5" s="826" t="s">
        <v>1669</v>
      </c>
      <c r="B5" s="828" t="s">
        <v>46</v>
      </c>
      <c r="C5" s="829"/>
      <c r="D5" s="831" t="s">
        <v>47</v>
      </c>
      <c r="E5" s="829"/>
      <c r="F5" s="829"/>
      <c r="G5" s="829"/>
      <c r="H5" s="829"/>
      <c r="I5" s="828" t="s">
        <v>1670</v>
      </c>
      <c r="J5" s="830"/>
      <c r="K5" s="832" t="s">
        <v>48</v>
      </c>
      <c r="L5" s="833"/>
      <c r="M5" s="834"/>
      <c r="P5" s="314" t="s">
        <v>1558</v>
      </c>
    </row>
    <row r="6" spans="1:16" ht="12" customHeight="1">
      <c r="A6" s="827"/>
      <c r="B6" s="317" t="s">
        <v>49</v>
      </c>
      <c r="C6" s="321" t="s">
        <v>50</v>
      </c>
      <c r="D6" s="322" t="s">
        <v>42</v>
      </c>
      <c r="E6" s="323" t="s">
        <v>51</v>
      </c>
      <c r="F6" s="324" t="s">
        <v>52</v>
      </c>
      <c r="G6" s="317" t="s">
        <v>1671</v>
      </c>
      <c r="H6" s="315" t="s">
        <v>53</v>
      </c>
      <c r="I6" s="315" t="s">
        <v>1672</v>
      </c>
      <c r="J6" s="315" t="s">
        <v>1673</v>
      </c>
      <c r="K6" s="835"/>
      <c r="L6" s="836"/>
      <c r="M6" s="837"/>
      <c r="P6" s="314" t="s">
        <v>684</v>
      </c>
    </row>
    <row r="7" spans="1:16" ht="27" customHeight="1">
      <c r="A7" s="320">
        <v>1</v>
      </c>
      <c r="B7" s="48" t="s">
        <v>66</v>
      </c>
      <c r="C7" s="49" t="s">
        <v>1674</v>
      </c>
      <c r="D7" s="50" t="s">
        <v>506</v>
      </c>
      <c r="E7" s="325">
        <v>7</v>
      </c>
      <c r="F7" s="326"/>
      <c r="G7" s="327">
        <f t="shared" ref="G7:G13" si="0">IF(D7="DATE",4,IF(D7="CHAR",E7,IF(D7="SMALLINT",2,IF(D7="INTEGER",4,IF(D7="TIMESTAMP",10,IF(D7="TIME",3,0))))))</f>
        <v>7</v>
      </c>
      <c r="H7" s="328" t="s">
        <v>505</v>
      </c>
      <c r="I7" s="328" t="s">
        <v>505</v>
      </c>
      <c r="J7" s="329"/>
      <c r="K7" s="599" t="s">
        <v>1675</v>
      </c>
      <c r="L7" s="600"/>
      <c r="M7" s="601"/>
      <c r="P7" s="314" t="s">
        <v>55</v>
      </c>
    </row>
    <row r="8" spans="1:16" ht="27" customHeight="1">
      <c r="A8" s="42">
        <f t="shared" ref="A8:A14" si="1">IF(B8=""," ",A7+1)</f>
        <v>2</v>
      </c>
      <c r="B8" s="48" t="s">
        <v>1676</v>
      </c>
      <c r="C8" s="49" t="s">
        <v>1677</v>
      </c>
      <c r="D8" s="50" t="s">
        <v>506</v>
      </c>
      <c r="E8" s="325">
        <v>7</v>
      </c>
      <c r="F8" s="330"/>
      <c r="G8" s="327">
        <f t="shared" si="0"/>
        <v>7</v>
      </c>
      <c r="H8" s="328" t="s">
        <v>505</v>
      </c>
      <c r="I8" s="328"/>
      <c r="J8" s="331"/>
      <c r="K8" s="628" t="s">
        <v>1678</v>
      </c>
      <c r="L8" s="629"/>
      <c r="M8" s="630"/>
    </row>
    <row r="9" spans="1:16" s="16" customFormat="1" ht="50.1" customHeight="1">
      <c r="A9" s="42">
        <f t="shared" si="1"/>
        <v>3</v>
      </c>
      <c r="B9" s="48" t="s">
        <v>329</v>
      </c>
      <c r="C9" s="49" t="s">
        <v>330</v>
      </c>
      <c r="D9" s="50" t="s">
        <v>523</v>
      </c>
      <c r="E9" s="51">
        <v>2</v>
      </c>
      <c r="F9" s="52"/>
      <c r="G9" s="20">
        <v>2</v>
      </c>
      <c r="H9" s="53" t="s">
        <v>528</v>
      </c>
      <c r="I9" s="53"/>
      <c r="J9" s="60"/>
      <c r="K9" s="628" t="s">
        <v>331</v>
      </c>
      <c r="L9" s="629"/>
      <c r="M9" s="630"/>
    </row>
    <row r="10" spans="1:16" ht="12" customHeight="1">
      <c r="A10" s="42">
        <f t="shared" si="1"/>
        <v>4</v>
      </c>
      <c r="B10" s="332" t="s">
        <v>26</v>
      </c>
      <c r="C10" s="333" t="s">
        <v>1679</v>
      </c>
      <c r="D10" s="334" t="s">
        <v>1680</v>
      </c>
      <c r="E10" s="325"/>
      <c r="F10" s="326"/>
      <c r="G10" s="327">
        <f t="shared" si="0"/>
        <v>4</v>
      </c>
      <c r="H10" s="328" t="s">
        <v>505</v>
      </c>
      <c r="I10" s="320" t="s">
        <v>505</v>
      </c>
      <c r="J10" s="335"/>
      <c r="K10" s="823" t="s">
        <v>1409</v>
      </c>
      <c r="L10" s="824"/>
      <c r="M10" s="825"/>
    </row>
    <row r="11" spans="1:16" ht="12" customHeight="1">
      <c r="A11" s="42">
        <f t="shared" si="1"/>
        <v>5</v>
      </c>
      <c r="B11" s="332" t="s">
        <v>27</v>
      </c>
      <c r="C11" s="333" t="s">
        <v>1681</v>
      </c>
      <c r="D11" s="334" t="s">
        <v>1680</v>
      </c>
      <c r="E11" s="325"/>
      <c r="F11" s="326"/>
      <c r="G11" s="327">
        <f t="shared" si="0"/>
        <v>4</v>
      </c>
      <c r="H11" s="328" t="s">
        <v>505</v>
      </c>
      <c r="I11" s="320"/>
      <c r="J11" s="335"/>
      <c r="K11" s="823" t="s">
        <v>1410</v>
      </c>
      <c r="L11" s="824"/>
      <c r="M11" s="825"/>
    </row>
    <row r="12" spans="1:16" ht="12" customHeight="1">
      <c r="A12" s="42">
        <f t="shared" si="1"/>
        <v>6</v>
      </c>
      <c r="B12" s="332" t="s">
        <v>1083</v>
      </c>
      <c r="C12" s="333" t="s">
        <v>1084</v>
      </c>
      <c r="D12" s="339" t="s">
        <v>506</v>
      </c>
      <c r="E12" s="325">
        <v>8</v>
      </c>
      <c r="F12" s="326"/>
      <c r="G12" s="327">
        <f t="shared" si="0"/>
        <v>8</v>
      </c>
      <c r="H12" s="328" t="s">
        <v>505</v>
      </c>
      <c r="I12" s="328"/>
      <c r="J12" s="335"/>
      <c r="K12" s="823" t="s">
        <v>1682</v>
      </c>
      <c r="L12" s="824"/>
      <c r="M12" s="825"/>
    </row>
    <row r="13" spans="1:16" ht="12" customHeight="1">
      <c r="A13" s="42">
        <f t="shared" si="1"/>
        <v>7</v>
      </c>
      <c r="B13" s="332" t="s">
        <v>1724</v>
      </c>
      <c r="C13" s="333" t="s">
        <v>1683</v>
      </c>
      <c r="D13" s="334" t="s">
        <v>474</v>
      </c>
      <c r="E13" s="325"/>
      <c r="F13" s="326"/>
      <c r="G13" s="327">
        <f t="shared" si="0"/>
        <v>10</v>
      </c>
      <c r="H13" s="328" t="s">
        <v>505</v>
      </c>
      <c r="I13" s="320"/>
      <c r="J13" s="335"/>
      <c r="K13" s="838"/>
      <c r="L13" s="824"/>
      <c r="M13" s="825"/>
    </row>
    <row r="14" spans="1:16" ht="14.1" customHeight="1">
      <c r="A14" s="320" t="str">
        <f t="shared" si="1"/>
        <v xml:space="preserve"> </v>
      </c>
      <c r="B14" s="340"/>
      <c r="C14" s="336"/>
      <c r="D14" s="339"/>
      <c r="E14" s="341"/>
      <c r="F14" s="342"/>
      <c r="G14" s="327"/>
      <c r="H14" s="320"/>
      <c r="I14" s="320"/>
      <c r="J14" s="335"/>
      <c r="K14" s="823"/>
      <c r="L14" s="824"/>
      <c r="M14" s="825"/>
    </row>
    <row r="15" spans="1:16" ht="14.1" customHeight="1">
      <c r="A15" s="320" t="str">
        <f>IF(B15=""," ",#REF!+1)</f>
        <v xml:space="preserve"> </v>
      </c>
      <c r="B15" s="340"/>
      <c r="C15" s="336"/>
      <c r="D15" s="339"/>
      <c r="E15" s="341"/>
      <c r="F15" s="342"/>
      <c r="G15" s="327"/>
      <c r="H15" s="320"/>
      <c r="I15" s="320"/>
      <c r="J15" s="335"/>
      <c r="K15" s="823"/>
      <c r="L15" s="824"/>
      <c r="M15" s="825"/>
    </row>
    <row r="16" spans="1:16" ht="14.1" customHeight="1">
      <c r="A16" s="320" t="str">
        <f>IF(B16=""," ",#REF!+1)</f>
        <v xml:space="preserve"> </v>
      </c>
      <c r="B16" s="340"/>
      <c r="C16" s="336"/>
      <c r="D16" s="339"/>
      <c r="E16" s="341"/>
      <c r="F16" s="342"/>
      <c r="G16" s="327"/>
      <c r="H16" s="320"/>
      <c r="I16" s="320"/>
      <c r="J16" s="335"/>
      <c r="K16" s="336"/>
      <c r="L16" s="337"/>
      <c r="M16" s="338"/>
    </row>
    <row r="17" spans="1:13" ht="14.1" customHeight="1">
      <c r="A17" s="320" t="str">
        <f>IF(B17=""," ",A16+1)</f>
        <v xml:space="preserve"> </v>
      </c>
      <c r="B17" s="340"/>
      <c r="C17" s="336"/>
      <c r="D17" s="339"/>
      <c r="E17" s="341"/>
      <c r="F17" s="342"/>
      <c r="G17" s="327"/>
      <c r="H17" s="320"/>
      <c r="I17" s="320"/>
      <c r="J17" s="335"/>
      <c r="K17" s="336"/>
      <c r="L17" s="337"/>
      <c r="M17" s="338"/>
    </row>
    <row r="18" spans="1:13" ht="14.1" customHeight="1">
      <c r="A18" s="320" t="str">
        <f>IF(B18=""," ",#REF!+1)</f>
        <v xml:space="preserve"> </v>
      </c>
      <c r="B18" s="340"/>
      <c r="C18" s="336"/>
      <c r="D18" s="339"/>
      <c r="E18" s="341"/>
      <c r="F18" s="342"/>
      <c r="G18" s="327"/>
      <c r="H18" s="320"/>
      <c r="I18" s="320"/>
      <c r="J18" s="335"/>
      <c r="K18" s="823"/>
      <c r="L18" s="824"/>
      <c r="M18" s="825"/>
    </row>
    <row r="19" spans="1:13" ht="14.1" customHeight="1">
      <c r="A19" s="320" t="str">
        <f>IF(B19=""," ",#REF!+1)</f>
        <v xml:space="preserve"> </v>
      </c>
      <c r="B19" s="340"/>
      <c r="C19" s="336"/>
      <c r="D19" s="339"/>
      <c r="E19" s="341"/>
      <c r="F19" s="342"/>
      <c r="G19" s="327"/>
      <c r="H19" s="320"/>
      <c r="I19" s="320"/>
      <c r="J19" s="335"/>
      <c r="K19" s="336"/>
      <c r="L19" s="337"/>
      <c r="M19" s="338"/>
    </row>
    <row r="20" spans="1:13" ht="14.1" customHeight="1">
      <c r="A20" s="320" t="str">
        <f>IF(B20=""," ",A19+1)</f>
        <v xml:space="preserve"> </v>
      </c>
      <c r="B20" s="340"/>
      <c r="C20" s="336"/>
      <c r="D20" s="339"/>
      <c r="E20" s="341"/>
      <c r="F20" s="342"/>
      <c r="G20" s="327"/>
      <c r="H20" s="320"/>
      <c r="I20" s="320"/>
      <c r="J20" s="335"/>
      <c r="K20" s="336"/>
      <c r="L20" s="337"/>
      <c r="M20" s="338"/>
    </row>
    <row r="21" spans="1:13" ht="14.1" customHeight="1">
      <c r="A21" s="320" t="str">
        <f>IF(B21=""," ",#REF!+1)</f>
        <v xml:space="preserve"> </v>
      </c>
      <c r="B21" s="340"/>
      <c r="C21" s="336"/>
      <c r="D21" s="339"/>
      <c r="E21" s="341"/>
      <c r="F21" s="342"/>
      <c r="G21" s="327"/>
      <c r="H21" s="320"/>
      <c r="I21" s="320"/>
      <c r="J21" s="335"/>
      <c r="K21" s="823"/>
      <c r="L21" s="824"/>
      <c r="M21" s="825"/>
    </row>
    <row r="22" spans="1:13" ht="14.1" customHeight="1">
      <c r="A22" s="320" t="str">
        <f>IF(B22=""," ",#REF!+1)</f>
        <v xml:space="preserve"> </v>
      </c>
      <c r="B22" s="340"/>
      <c r="C22" s="336"/>
      <c r="D22" s="339"/>
      <c r="E22" s="341"/>
      <c r="F22" s="342"/>
      <c r="G22" s="327"/>
      <c r="H22" s="320"/>
      <c r="I22" s="320"/>
      <c r="J22" s="335"/>
      <c r="K22" s="336"/>
      <c r="L22" s="337"/>
      <c r="M22" s="338"/>
    </row>
    <row r="23" spans="1:13" ht="14.1" customHeight="1">
      <c r="A23" s="320" t="str">
        <f>IF(B23=""," ",A22+1)</f>
        <v xml:space="preserve"> </v>
      </c>
      <c r="B23" s="340"/>
      <c r="C23" s="336"/>
      <c r="D23" s="339"/>
      <c r="E23" s="341"/>
      <c r="F23" s="342"/>
      <c r="G23" s="327"/>
      <c r="H23" s="320"/>
      <c r="I23" s="320"/>
      <c r="J23" s="335"/>
      <c r="K23" s="336"/>
      <c r="L23" s="337"/>
      <c r="M23" s="338"/>
    </row>
    <row r="24" spans="1:13" ht="14.1" customHeight="1">
      <c r="A24" s="320" t="str">
        <f>IF(B24=""," ",#REF!+1)</f>
        <v xml:space="preserve"> </v>
      </c>
      <c r="B24" s="340"/>
      <c r="C24" s="336"/>
      <c r="D24" s="339"/>
      <c r="E24" s="341"/>
      <c r="F24" s="342"/>
      <c r="G24" s="327"/>
      <c r="H24" s="320"/>
      <c r="I24" s="320"/>
      <c r="J24" s="335"/>
      <c r="K24" s="823"/>
      <c r="L24" s="824"/>
      <c r="M24" s="825"/>
    </row>
    <row r="25" spans="1:13" ht="14.1" customHeight="1">
      <c r="A25" s="320" t="str">
        <f>IF(B25=""," ",#REF!+1)</f>
        <v xml:space="preserve"> </v>
      </c>
      <c r="B25" s="340"/>
      <c r="C25" s="336"/>
      <c r="D25" s="339"/>
      <c r="E25" s="341"/>
      <c r="F25" s="342"/>
      <c r="G25" s="327"/>
      <c r="H25" s="320"/>
      <c r="I25" s="320"/>
      <c r="J25" s="335"/>
      <c r="K25" s="336"/>
      <c r="L25" s="337"/>
      <c r="M25" s="338"/>
    </row>
    <row r="26" spans="1:13" ht="14.1" customHeight="1">
      <c r="A26" s="320" t="str">
        <f>IF(B26=""," ",A25+1)</f>
        <v xml:space="preserve"> </v>
      </c>
      <c r="B26" s="340"/>
      <c r="C26" s="336"/>
      <c r="D26" s="339"/>
      <c r="E26" s="341"/>
      <c r="F26" s="342"/>
      <c r="G26" s="327"/>
      <c r="H26" s="320"/>
      <c r="I26" s="320"/>
      <c r="J26" s="335"/>
      <c r="K26" s="336"/>
      <c r="L26" s="337"/>
      <c r="M26" s="338"/>
    </row>
    <row r="27" spans="1:13" ht="14.1" customHeight="1">
      <c r="A27" s="320" t="str">
        <f>IF(B27=""," ",#REF!+1)</f>
        <v xml:space="preserve"> </v>
      </c>
      <c r="B27" s="340"/>
      <c r="C27" s="336"/>
      <c r="D27" s="339"/>
      <c r="E27" s="341"/>
      <c r="F27" s="342"/>
      <c r="G27" s="327"/>
      <c r="H27" s="320"/>
      <c r="I27" s="320"/>
      <c r="J27" s="335"/>
      <c r="K27" s="823"/>
      <c r="L27" s="824"/>
      <c r="M27" s="825"/>
    </row>
    <row r="28" spans="1:13" ht="14.1" customHeight="1">
      <c r="A28" s="320" t="str">
        <f>IF(B28=""," ",#REF!+1)</f>
        <v xml:space="preserve"> </v>
      </c>
      <c r="B28" s="340"/>
      <c r="C28" s="336"/>
      <c r="D28" s="339"/>
      <c r="E28" s="341"/>
      <c r="F28" s="342"/>
      <c r="G28" s="327"/>
      <c r="H28" s="320"/>
      <c r="I28" s="320"/>
      <c r="J28" s="335"/>
      <c r="K28" s="336"/>
      <c r="L28" s="337"/>
      <c r="M28" s="338"/>
    </row>
    <row r="29" spans="1:13" ht="14.1" customHeight="1">
      <c r="A29" s="320" t="str">
        <f>IF(B29=""," ",A28+1)</f>
        <v xml:space="preserve"> </v>
      </c>
      <c r="B29" s="340"/>
      <c r="C29" s="336"/>
      <c r="D29" s="339"/>
      <c r="E29" s="341"/>
      <c r="F29" s="342"/>
      <c r="G29" s="327"/>
      <c r="H29" s="320"/>
      <c r="I29" s="320"/>
      <c r="J29" s="335"/>
      <c r="K29" s="336"/>
      <c r="L29" s="337"/>
      <c r="M29" s="338"/>
    </row>
    <row r="30" spans="1:13" ht="14.1" customHeight="1">
      <c r="A30" s="320" t="str">
        <f>IF(B30=""," ",#REF!+1)</f>
        <v xml:space="preserve"> </v>
      </c>
      <c r="B30" s="340"/>
      <c r="C30" s="336"/>
      <c r="D30" s="339"/>
      <c r="E30" s="341"/>
      <c r="F30" s="342"/>
      <c r="G30" s="327"/>
      <c r="H30" s="320"/>
      <c r="I30" s="320"/>
      <c r="J30" s="335"/>
      <c r="K30" s="823"/>
      <c r="L30" s="824"/>
      <c r="M30" s="825"/>
    </row>
    <row r="31" spans="1:13" ht="14.1" customHeight="1">
      <c r="A31" s="320" t="str">
        <f>IF(B31=""," ",#REF!+1)</f>
        <v xml:space="preserve"> </v>
      </c>
      <c r="B31" s="340"/>
      <c r="C31" s="336"/>
      <c r="D31" s="339"/>
      <c r="E31" s="341"/>
      <c r="F31" s="342"/>
      <c r="G31" s="327"/>
      <c r="H31" s="320"/>
      <c r="I31" s="320"/>
      <c r="J31" s="335"/>
      <c r="K31" s="336"/>
      <c r="L31" s="337"/>
      <c r="M31" s="338"/>
    </row>
    <row r="32" spans="1:13" ht="14.1" customHeight="1">
      <c r="A32" s="320" t="str">
        <f>IF(B32=""," ",A31+1)</f>
        <v xml:space="preserve"> </v>
      </c>
      <c r="B32" s="340"/>
      <c r="C32" s="336"/>
      <c r="D32" s="339"/>
      <c r="E32" s="341"/>
      <c r="F32" s="342"/>
      <c r="G32" s="327"/>
      <c r="H32" s="320"/>
      <c r="I32" s="320"/>
      <c r="J32" s="335"/>
      <c r="K32" s="336"/>
      <c r="L32" s="337"/>
      <c r="M32" s="338"/>
    </row>
    <row r="33" spans="1:13" ht="14.1" customHeight="1">
      <c r="A33" s="320" t="str">
        <f>IF(B33=""," ",#REF!+1)</f>
        <v xml:space="preserve"> </v>
      </c>
      <c r="B33" s="340"/>
      <c r="C33" s="336"/>
      <c r="D33" s="339"/>
      <c r="E33" s="341"/>
      <c r="F33" s="342"/>
      <c r="G33" s="327"/>
      <c r="H33" s="320"/>
      <c r="I33" s="320"/>
      <c r="J33" s="335"/>
      <c r="K33" s="823"/>
      <c r="L33" s="824"/>
      <c r="M33" s="825"/>
    </row>
    <row r="34" spans="1:13" ht="14.1" customHeight="1">
      <c r="A34" s="320" t="str">
        <f>IF(B34=""," ",#REF!+1)</f>
        <v xml:space="preserve"> </v>
      </c>
      <c r="B34" s="340"/>
      <c r="C34" s="336"/>
      <c r="D34" s="339"/>
      <c r="E34" s="341"/>
      <c r="F34" s="342"/>
      <c r="G34" s="327"/>
      <c r="H34" s="320"/>
      <c r="I34" s="320"/>
      <c r="J34" s="335"/>
      <c r="K34" s="336"/>
      <c r="L34" s="337"/>
      <c r="M34" s="338"/>
    </row>
    <row r="35" spans="1:13" ht="14.1" customHeight="1">
      <c r="A35" s="320" t="str">
        <f>IF(B35=""," ",A34+1)</f>
        <v xml:space="preserve"> </v>
      </c>
      <c r="B35" s="340"/>
      <c r="C35" s="336"/>
      <c r="D35" s="339"/>
      <c r="E35" s="341"/>
      <c r="F35" s="342"/>
      <c r="G35" s="327"/>
      <c r="H35" s="320"/>
      <c r="I35" s="320"/>
      <c r="J35" s="335"/>
      <c r="K35" s="336"/>
      <c r="L35" s="337"/>
      <c r="M35" s="338"/>
    </row>
    <row r="36" spans="1:13" ht="14.1" customHeight="1">
      <c r="A36" s="320" t="str">
        <f>IF(B36=""," ",#REF!+1)</f>
        <v xml:space="preserve"> </v>
      </c>
      <c r="B36" s="340"/>
      <c r="C36" s="336"/>
      <c r="D36" s="339"/>
      <c r="E36" s="341"/>
      <c r="F36" s="342"/>
      <c r="G36" s="327"/>
      <c r="H36" s="320"/>
      <c r="I36" s="320"/>
      <c r="J36" s="335"/>
      <c r="K36" s="823"/>
      <c r="L36" s="824"/>
      <c r="M36" s="825"/>
    </row>
    <row r="37" spans="1:13" ht="14.1" customHeight="1">
      <c r="A37" s="320" t="str">
        <f>IF(B37=""," ",#REF!+1)</f>
        <v xml:space="preserve"> </v>
      </c>
      <c r="B37" s="340"/>
      <c r="C37" s="336"/>
      <c r="D37" s="339"/>
      <c r="E37" s="341"/>
      <c r="F37" s="342"/>
      <c r="G37" s="327"/>
      <c r="H37" s="320"/>
      <c r="I37" s="320"/>
      <c r="J37" s="335"/>
      <c r="K37" s="336"/>
      <c r="L37" s="337"/>
      <c r="M37" s="338"/>
    </row>
    <row r="38" spans="1:13" ht="14.1" customHeight="1">
      <c r="A38" s="320" t="str">
        <f>IF(B38=""," ",A37+1)</f>
        <v xml:space="preserve"> </v>
      </c>
      <c r="B38" s="340"/>
      <c r="C38" s="336"/>
      <c r="D38" s="339"/>
      <c r="E38" s="341"/>
      <c r="F38" s="342"/>
      <c r="G38" s="327"/>
      <c r="H38" s="320"/>
      <c r="I38" s="320"/>
      <c r="J38" s="335"/>
      <c r="K38" s="336"/>
      <c r="L38" s="337"/>
      <c r="M38" s="338"/>
    </row>
    <row r="39" spans="1:13" ht="14.1" customHeight="1">
      <c r="A39" s="320" t="str">
        <f>IF(B39=""," ",#REF!+1)</f>
        <v xml:space="preserve"> </v>
      </c>
      <c r="B39" s="340"/>
      <c r="C39" s="336"/>
      <c r="D39" s="339"/>
      <c r="E39" s="341"/>
      <c r="F39" s="342"/>
      <c r="G39" s="327"/>
      <c r="H39" s="320"/>
      <c r="I39" s="320"/>
      <c r="J39" s="335"/>
      <c r="K39" s="823"/>
      <c r="L39" s="824"/>
      <c r="M39" s="825"/>
    </row>
    <row r="40" spans="1:13" ht="14.1" customHeight="1">
      <c r="A40" s="320" t="str">
        <f>IF(B40=""," ",#REF!+1)</f>
        <v xml:space="preserve"> </v>
      </c>
      <c r="B40" s="340"/>
      <c r="C40" s="336"/>
      <c r="D40" s="339"/>
      <c r="E40" s="341"/>
      <c r="F40" s="342"/>
      <c r="G40" s="327"/>
      <c r="H40" s="320"/>
      <c r="I40" s="320"/>
      <c r="J40" s="335"/>
      <c r="K40" s="336"/>
      <c r="L40" s="337"/>
      <c r="M40" s="338"/>
    </row>
    <row r="41" spans="1:13" ht="14.1" customHeight="1">
      <c r="A41" s="320" t="str">
        <f>IF(B41=""," ",A40+1)</f>
        <v xml:space="preserve"> </v>
      </c>
      <c r="B41" s="340"/>
      <c r="C41" s="336"/>
      <c r="D41" s="339"/>
      <c r="E41" s="341"/>
      <c r="F41" s="342"/>
      <c r="G41" s="327"/>
      <c r="H41" s="320"/>
      <c r="I41" s="320"/>
      <c r="J41" s="335"/>
      <c r="K41" s="336"/>
      <c r="L41" s="337"/>
      <c r="M41" s="338"/>
    </row>
    <row r="42" spans="1:13" ht="14.1" customHeight="1">
      <c r="A42" s="320" t="str">
        <f>IF(B42=""," ",#REF!+1)</f>
        <v xml:space="preserve"> </v>
      </c>
      <c r="B42" s="340"/>
      <c r="C42" s="336"/>
      <c r="D42" s="339"/>
      <c r="E42" s="341"/>
      <c r="F42" s="342"/>
      <c r="G42" s="327"/>
      <c r="H42" s="320"/>
      <c r="I42" s="320"/>
      <c r="J42" s="335"/>
      <c r="K42" s="823"/>
      <c r="L42" s="824"/>
      <c r="M42" s="825"/>
    </row>
    <row r="43" spans="1:13" ht="14.1" customHeight="1">
      <c r="A43" s="320" t="str">
        <f>IF(B43=""," ",#REF!+1)</f>
        <v xml:space="preserve"> </v>
      </c>
      <c r="B43" s="340"/>
      <c r="C43" s="336"/>
      <c r="D43" s="339"/>
      <c r="E43" s="341"/>
      <c r="F43" s="342"/>
      <c r="G43" s="327"/>
      <c r="H43" s="320"/>
      <c r="I43" s="320"/>
      <c r="J43" s="335"/>
      <c r="K43" s="336"/>
      <c r="L43" s="337"/>
      <c r="M43" s="338"/>
    </row>
    <row r="44" spans="1:13" ht="14.1" customHeight="1">
      <c r="A44" s="320" t="str">
        <f>IF(B44=""," ",A43+1)</f>
        <v xml:space="preserve"> </v>
      </c>
      <c r="B44" s="340"/>
      <c r="C44" s="336"/>
      <c r="D44" s="339"/>
      <c r="E44" s="341"/>
      <c r="F44" s="342"/>
      <c r="G44" s="327"/>
      <c r="H44" s="320"/>
      <c r="I44" s="320"/>
      <c r="J44" s="335"/>
      <c r="K44" s="336"/>
      <c r="L44" s="337"/>
      <c r="M44" s="338"/>
    </row>
    <row r="45" spans="1:13" ht="14.1" customHeight="1">
      <c r="A45" s="320" t="str">
        <f>IF(B45=""," ",#REF!+1)</f>
        <v xml:space="preserve"> </v>
      </c>
      <c r="B45" s="340"/>
      <c r="C45" s="336"/>
      <c r="D45" s="339"/>
      <c r="E45" s="341"/>
      <c r="F45" s="342"/>
      <c r="G45" s="327"/>
      <c r="H45" s="320"/>
      <c r="I45" s="320"/>
      <c r="J45" s="335"/>
      <c r="K45" s="823"/>
      <c r="L45" s="824"/>
      <c r="M45" s="825"/>
    </row>
    <row r="46" spans="1:13" ht="14.1" customHeight="1">
      <c r="A46" s="320" t="str">
        <f>IF(B46=""," ",#REF!+1)</f>
        <v xml:space="preserve"> </v>
      </c>
      <c r="B46" s="340"/>
      <c r="C46" s="336"/>
      <c r="D46" s="339"/>
      <c r="E46" s="341"/>
      <c r="F46" s="342"/>
      <c r="G46" s="327"/>
      <c r="H46" s="320"/>
      <c r="I46" s="320"/>
      <c r="J46" s="335"/>
      <c r="K46" s="336"/>
      <c r="L46" s="337"/>
      <c r="M46" s="338"/>
    </row>
    <row r="47" spans="1:13" ht="14.1" customHeight="1">
      <c r="A47" s="320" t="str">
        <f>IF(B47=""," ",A46+1)</f>
        <v xml:space="preserve"> </v>
      </c>
      <c r="B47" s="340"/>
      <c r="C47" s="336"/>
      <c r="D47" s="339"/>
      <c r="E47" s="341"/>
      <c r="F47" s="342"/>
      <c r="G47" s="327"/>
      <c r="H47" s="320"/>
      <c r="I47" s="320"/>
      <c r="J47" s="335"/>
      <c r="K47" s="336"/>
      <c r="L47" s="337"/>
      <c r="M47" s="338"/>
    </row>
    <row r="48" spans="1:13" ht="14.1" customHeight="1">
      <c r="A48" s="320" t="str">
        <f>IF(B48=""," ",#REF!+1)</f>
        <v xml:space="preserve"> </v>
      </c>
      <c r="B48" s="340"/>
      <c r="C48" s="336"/>
      <c r="D48" s="339"/>
      <c r="E48" s="341"/>
      <c r="F48" s="342"/>
      <c r="G48" s="327"/>
      <c r="H48" s="320"/>
      <c r="I48" s="320"/>
      <c r="J48" s="335"/>
      <c r="K48" s="823"/>
      <c r="L48" s="824"/>
      <c r="M48" s="825"/>
    </row>
    <row r="49" spans="1:13" ht="14.1" customHeight="1">
      <c r="A49" s="320" t="str">
        <f>IF(B49=""," ",#REF!+1)</f>
        <v xml:space="preserve"> </v>
      </c>
      <c r="B49" s="340"/>
      <c r="C49" s="336"/>
      <c r="D49" s="339"/>
      <c r="E49" s="341"/>
      <c r="F49" s="342"/>
      <c r="G49" s="327"/>
      <c r="H49" s="320"/>
      <c r="I49" s="320"/>
      <c r="J49" s="335"/>
      <c r="K49" s="336"/>
      <c r="L49" s="337"/>
      <c r="M49" s="338"/>
    </row>
    <row r="50" spans="1:13" ht="14.1" customHeight="1">
      <c r="A50" s="320" t="str">
        <f>IF(B50=""," ",A49+1)</f>
        <v xml:space="preserve"> </v>
      </c>
      <c r="B50" s="340"/>
      <c r="C50" s="336"/>
      <c r="D50" s="339"/>
      <c r="E50" s="341"/>
      <c r="F50" s="342"/>
      <c r="G50" s="327"/>
      <c r="H50" s="320"/>
      <c r="I50" s="320"/>
      <c r="J50" s="335"/>
      <c r="K50" s="336"/>
      <c r="L50" s="337"/>
      <c r="M50" s="338"/>
    </row>
    <row r="51" spans="1:13" ht="14.1" customHeight="1">
      <c r="A51" s="320" t="str">
        <f>IF(B51=""," ",#REF!+1)</f>
        <v xml:space="preserve"> </v>
      </c>
      <c r="B51" s="340"/>
      <c r="C51" s="336"/>
      <c r="D51" s="339"/>
      <c r="E51" s="341"/>
      <c r="F51" s="342"/>
      <c r="G51" s="327"/>
      <c r="H51" s="320"/>
      <c r="I51" s="320"/>
      <c r="J51" s="335"/>
      <c r="K51" s="823"/>
      <c r="L51" s="824"/>
      <c r="M51" s="825"/>
    </row>
    <row r="52" spans="1:13" ht="14.1" customHeight="1">
      <c r="A52" s="320" t="str">
        <f>IF(B52=""," ",#REF!+1)</f>
        <v xml:space="preserve"> </v>
      </c>
      <c r="B52" s="340"/>
      <c r="C52" s="336"/>
      <c r="D52" s="339"/>
      <c r="E52" s="341"/>
      <c r="F52" s="342"/>
      <c r="G52" s="327"/>
      <c r="H52" s="320"/>
      <c r="I52" s="320"/>
      <c r="J52" s="335"/>
      <c r="K52" s="336"/>
      <c r="L52" s="337"/>
      <c r="M52" s="338"/>
    </row>
    <row r="53" spans="1:13" ht="14.1" customHeight="1">
      <c r="A53" s="320" t="str">
        <f>IF(B53=""," ",A52+1)</f>
        <v xml:space="preserve"> </v>
      </c>
      <c r="B53" s="340"/>
      <c r="C53" s="336"/>
      <c r="D53" s="339"/>
      <c r="E53" s="341"/>
      <c r="F53" s="342"/>
      <c r="G53" s="327"/>
      <c r="H53" s="320"/>
      <c r="I53" s="320"/>
      <c r="J53" s="335"/>
      <c r="K53" s="336"/>
      <c r="L53" s="337"/>
      <c r="M53" s="338"/>
    </row>
    <row r="54" spans="1:13" ht="14.1" customHeight="1">
      <c r="A54" s="320" t="str">
        <f>IF(B54=""," ",#REF!+1)</f>
        <v xml:space="preserve"> </v>
      </c>
      <c r="B54" s="340"/>
      <c r="C54" s="336"/>
      <c r="D54" s="339"/>
      <c r="E54" s="341"/>
      <c r="F54" s="342"/>
      <c r="G54" s="327"/>
      <c r="H54" s="320"/>
      <c r="I54" s="320"/>
      <c r="J54" s="335"/>
      <c r="K54" s="823"/>
      <c r="L54" s="824"/>
      <c r="M54" s="825"/>
    </row>
    <row r="55" spans="1:13" ht="14.1" customHeight="1">
      <c r="A55" s="320" t="str">
        <f>IF(B55=""," ",#REF!+1)</f>
        <v xml:space="preserve"> </v>
      </c>
      <c r="B55" s="340"/>
      <c r="C55" s="336"/>
      <c r="D55" s="339"/>
      <c r="E55" s="341"/>
      <c r="F55" s="342"/>
      <c r="G55" s="327"/>
      <c r="H55" s="320"/>
      <c r="I55" s="320"/>
      <c r="J55" s="335"/>
      <c r="K55" s="336"/>
      <c r="L55" s="337"/>
      <c r="M55" s="338"/>
    </row>
    <row r="56" spans="1:13" ht="14.1" customHeight="1">
      <c r="A56" s="320" t="str">
        <f>IF(B56=""," ",A55+1)</f>
        <v xml:space="preserve"> </v>
      </c>
      <c r="B56" s="340"/>
      <c r="C56" s="336"/>
      <c r="D56" s="339"/>
      <c r="E56" s="341"/>
      <c r="F56" s="342"/>
      <c r="G56" s="327"/>
      <c r="H56" s="320"/>
      <c r="I56" s="320"/>
      <c r="J56" s="335"/>
      <c r="K56" s="336"/>
      <c r="L56" s="337"/>
      <c r="M56" s="338"/>
    </row>
    <row r="57" spans="1:13" ht="14.1" customHeight="1">
      <c r="A57" s="320" t="str">
        <f>IF(B57=""," ",#REF!+1)</f>
        <v xml:space="preserve"> </v>
      </c>
      <c r="B57" s="340"/>
      <c r="C57" s="336"/>
      <c r="D57" s="339"/>
      <c r="E57" s="341"/>
      <c r="F57" s="342"/>
      <c r="G57" s="327"/>
      <c r="H57" s="320"/>
      <c r="I57" s="320"/>
      <c r="J57" s="335"/>
      <c r="K57" s="823"/>
      <c r="L57" s="824"/>
      <c r="M57" s="825"/>
    </row>
    <row r="58" spans="1:13" ht="14.1" customHeight="1">
      <c r="A58" s="320" t="str">
        <f>IF(B58=""," ",#REF!+1)</f>
        <v xml:space="preserve"> </v>
      </c>
      <c r="B58" s="340"/>
      <c r="C58" s="336"/>
      <c r="D58" s="339"/>
      <c r="E58" s="341"/>
      <c r="F58" s="342"/>
      <c r="G58" s="327"/>
      <c r="H58" s="320"/>
      <c r="I58" s="320"/>
      <c r="J58" s="335"/>
      <c r="K58" s="336"/>
      <c r="L58" s="337"/>
      <c r="M58" s="338"/>
    </row>
    <row r="59" spans="1:13" ht="14.1" customHeight="1">
      <c r="A59" s="320" t="str">
        <f>IF(B59=""," ",A58+1)</f>
        <v xml:space="preserve"> </v>
      </c>
      <c r="B59" s="340"/>
      <c r="C59" s="336"/>
      <c r="D59" s="339"/>
      <c r="E59" s="341"/>
      <c r="F59" s="342"/>
      <c r="G59" s="327"/>
      <c r="H59" s="320"/>
      <c r="I59" s="320"/>
      <c r="J59" s="335"/>
      <c r="K59" s="336"/>
      <c r="L59" s="337"/>
      <c r="M59" s="338"/>
    </row>
    <row r="60" spans="1:13" ht="14.1" customHeight="1">
      <c r="A60" s="320" t="str">
        <f>IF(B60=""," ",#REF!+1)</f>
        <v xml:space="preserve"> </v>
      </c>
      <c r="B60" s="340"/>
      <c r="C60" s="336"/>
      <c r="D60" s="339"/>
      <c r="E60" s="341"/>
      <c r="F60" s="342"/>
      <c r="G60" s="327"/>
      <c r="H60" s="320"/>
      <c r="I60" s="320"/>
      <c r="J60" s="335"/>
      <c r="K60" s="823"/>
      <c r="L60" s="824"/>
      <c r="M60" s="825"/>
    </row>
    <row r="61" spans="1:13" ht="14.1" customHeight="1">
      <c r="A61" s="320" t="str">
        <f>IF(B61=""," ",#REF!+1)</f>
        <v xml:space="preserve"> </v>
      </c>
      <c r="B61" s="340"/>
      <c r="C61" s="336"/>
      <c r="D61" s="339"/>
      <c r="E61" s="341"/>
      <c r="F61" s="342"/>
      <c r="G61" s="327"/>
      <c r="H61" s="320"/>
      <c r="I61" s="320"/>
      <c r="J61" s="335"/>
      <c r="K61" s="336"/>
      <c r="L61" s="337"/>
      <c r="M61" s="338"/>
    </row>
    <row r="62" spans="1:13" ht="14.1" customHeight="1">
      <c r="A62" s="320" t="str">
        <f>IF(B62=""," ",A61+1)</f>
        <v xml:space="preserve"> </v>
      </c>
      <c r="B62" s="340"/>
      <c r="C62" s="336"/>
      <c r="D62" s="339"/>
      <c r="E62" s="341"/>
      <c r="F62" s="342"/>
      <c r="G62" s="327"/>
      <c r="H62" s="320"/>
      <c r="I62" s="320"/>
      <c r="J62" s="335"/>
      <c r="K62" s="336"/>
      <c r="L62" s="337"/>
      <c r="M62" s="338"/>
    </row>
    <row r="63" spans="1:13" ht="14.1" customHeight="1">
      <c r="A63" s="320" t="str">
        <f>IF(B63=""," ",#REF!+1)</f>
        <v xml:space="preserve"> </v>
      </c>
      <c r="B63" s="340"/>
      <c r="C63" s="336"/>
      <c r="D63" s="339"/>
      <c r="E63" s="341"/>
      <c r="F63" s="342"/>
      <c r="G63" s="327"/>
      <c r="H63" s="320"/>
      <c r="I63" s="320"/>
      <c r="J63" s="335"/>
      <c r="K63" s="823"/>
      <c r="L63" s="824"/>
      <c r="M63" s="825"/>
    </row>
    <row r="64" spans="1:13" ht="14.1" customHeight="1">
      <c r="A64" s="320" t="str">
        <f>IF(B64=""," ",#REF!+1)</f>
        <v xml:space="preserve"> </v>
      </c>
      <c r="B64" s="340"/>
      <c r="C64" s="336"/>
      <c r="D64" s="339"/>
      <c r="E64" s="341"/>
      <c r="F64" s="342"/>
      <c r="G64" s="327"/>
      <c r="H64" s="320"/>
      <c r="I64" s="320"/>
      <c r="J64" s="335"/>
      <c r="K64" s="336"/>
      <c r="L64" s="337"/>
      <c r="M64" s="338"/>
    </row>
    <row r="65" spans="1:13" ht="14.1" customHeight="1">
      <c r="A65" s="320" t="str">
        <f>IF(B65=""," ",A64+1)</f>
        <v xml:space="preserve"> </v>
      </c>
      <c r="B65" s="340"/>
      <c r="C65" s="336"/>
      <c r="D65" s="339"/>
      <c r="E65" s="341"/>
      <c r="F65" s="342"/>
      <c r="G65" s="327"/>
      <c r="H65" s="320"/>
      <c r="I65" s="320"/>
      <c r="J65" s="335"/>
      <c r="K65" s="336"/>
      <c r="L65" s="337"/>
      <c r="M65" s="338"/>
    </row>
    <row r="66" spans="1:13" ht="14.1" customHeight="1">
      <c r="A66" s="320" t="str">
        <f>IF(B66=""," ",#REF!+1)</f>
        <v xml:space="preserve"> </v>
      </c>
      <c r="B66" s="340"/>
      <c r="C66" s="336"/>
      <c r="D66" s="339"/>
      <c r="E66" s="341"/>
      <c r="F66" s="342"/>
      <c r="G66" s="327"/>
      <c r="H66" s="320"/>
      <c r="I66" s="320"/>
      <c r="J66" s="335"/>
      <c r="K66" s="823"/>
      <c r="L66" s="824"/>
      <c r="M66" s="825"/>
    </row>
    <row r="67" spans="1:13" ht="14.1" customHeight="1">
      <c r="A67" s="320" t="str">
        <f>IF(B67=""," ",#REF!+1)</f>
        <v xml:space="preserve"> </v>
      </c>
      <c r="B67" s="340"/>
      <c r="C67" s="336"/>
      <c r="D67" s="339"/>
      <c r="E67" s="341"/>
      <c r="F67" s="342"/>
      <c r="G67" s="327"/>
      <c r="H67" s="320"/>
      <c r="I67" s="320"/>
      <c r="J67" s="335"/>
      <c r="K67" s="336"/>
      <c r="L67" s="337"/>
      <c r="M67" s="338"/>
    </row>
    <row r="68" spans="1:13" ht="14.1" customHeight="1">
      <c r="A68" s="320" t="str">
        <f>IF(B68=""," ",A67+1)</f>
        <v xml:space="preserve"> </v>
      </c>
      <c r="B68" s="340"/>
      <c r="C68" s="336"/>
      <c r="D68" s="339"/>
      <c r="E68" s="341"/>
      <c r="F68" s="342"/>
      <c r="G68" s="327"/>
      <c r="H68" s="320"/>
      <c r="I68" s="320"/>
      <c r="J68" s="335"/>
      <c r="K68" s="336"/>
      <c r="L68" s="337"/>
      <c r="M68" s="338"/>
    </row>
    <row r="69" spans="1:13" ht="14.1" customHeight="1">
      <c r="A69" s="320" t="str">
        <f>IF(B69=""," ",#REF!+1)</f>
        <v xml:space="preserve"> </v>
      </c>
      <c r="B69" s="340"/>
      <c r="C69" s="336"/>
      <c r="D69" s="339"/>
      <c r="E69" s="341"/>
      <c r="F69" s="342"/>
      <c r="G69" s="327"/>
      <c r="H69" s="320"/>
      <c r="I69" s="320"/>
      <c r="J69" s="335"/>
      <c r="K69" s="823"/>
      <c r="L69" s="824"/>
      <c r="M69" s="825"/>
    </row>
    <row r="70" spans="1:13" ht="14.1" customHeight="1">
      <c r="A70" s="320" t="str">
        <f>IF(B70=""," ",#REF!+1)</f>
        <v xml:space="preserve"> </v>
      </c>
      <c r="B70" s="340"/>
      <c r="C70" s="336"/>
      <c r="D70" s="339"/>
      <c r="E70" s="341"/>
      <c r="F70" s="342"/>
      <c r="G70" s="327"/>
      <c r="H70" s="320"/>
      <c r="I70" s="320"/>
      <c r="J70" s="335"/>
      <c r="K70" s="336"/>
      <c r="L70" s="337"/>
      <c r="M70" s="338"/>
    </row>
    <row r="71" spans="1:13" ht="14.1" customHeight="1">
      <c r="A71" s="320" t="str">
        <f>IF(B71=""," ",A70+1)</f>
        <v xml:space="preserve"> </v>
      </c>
      <c r="B71" s="340"/>
      <c r="C71" s="336"/>
      <c r="D71" s="339"/>
      <c r="E71" s="341"/>
      <c r="F71" s="342"/>
      <c r="G71" s="327"/>
      <c r="H71" s="320"/>
      <c r="I71" s="320"/>
      <c r="J71" s="335"/>
      <c r="K71" s="336"/>
      <c r="L71" s="337"/>
      <c r="M71" s="338"/>
    </row>
    <row r="72" spans="1:13" ht="14.1" customHeight="1">
      <c r="A72" s="320" t="str">
        <f>IF(B72=""," ",#REF!+1)</f>
        <v xml:space="preserve"> </v>
      </c>
      <c r="B72" s="340"/>
      <c r="C72" s="336"/>
      <c r="D72" s="339"/>
      <c r="E72" s="341"/>
      <c r="F72" s="342"/>
      <c r="G72" s="327"/>
      <c r="H72" s="320"/>
      <c r="I72" s="320"/>
      <c r="J72" s="335"/>
      <c r="K72" s="823"/>
      <c r="L72" s="824"/>
      <c r="M72" s="825"/>
    </row>
    <row r="73" spans="1:13" ht="14.1" customHeight="1">
      <c r="A73" s="320" t="str">
        <f>IF(B73=""," ",#REF!+1)</f>
        <v xml:space="preserve"> </v>
      </c>
      <c r="B73" s="340"/>
      <c r="C73" s="336"/>
      <c r="D73" s="339"/>
      <c r="E73" s="341"/>
      <c r="F73" s="342"/>
      <c r="G73" s="327"/>
      <c r="H73" s="320"/>
      <c r="I73" s="320"/>
      <c r="J73" s="335"/>
      <c r="K73" s="336"/>
      <c r="L73" s="337"/>
      <c r="M73" s="338"/>
    </row>
    <row r="74" spans="1:13" ht="14.1" customHeight="1">
      <c r="A74" s="320" t="str">
        <f>IF(B74=""," ",A73+1)</f>
        <v xml:space="preserve"> </v>
      </c>
      <c r="B74" s="340"/>
      <c r="C74" s="336"/>
      <c r="D74" s="339"/>
      <c r="E74" s="341"/>
      <c r="F74" s="342"/>
      <c r="G74" s="327"/>
      <c r="H74" s="320"/>
      <c r="I74" s="320"/>
      <c r="J74" s="335"/>
      <c r="K74" s="336"/>
      <c r="L74" s="337"/>
      <c r="M74" s="338"/>
    </row>
    <row r="75" spans="1:13" ht="14.1" customHeight="1">
      <c r="A75" s="320" t="str">
        <f>IF(B75=""," ",#REF!+1)</f>
        <v xml:space="preserve"> </v>
      </c>
      <c r="B75" s="340"/>
      <c r="C75" s="336"/>
      <c r="D75" s="339"/>
      <c r="E75" s="341"/>
      <c r="F75" s="342"/>
      <c r="G75" s="327"/>
      <c r="H75" s="320"/>
      <c r="I75" s="320"/>
      <c r="J75" s="335"/>
      <c r="K75" s="823"/>
      <c r="L75" s="824"/>
      <c r="M75" s="825"/>
    </row>
    <row r="76" spans="1:13" ht="14.1" customHeight="1">
      <c r="A76" s="320" t="str">
        <f>IF(B76=""," ",#REF!+1)</f>
        <v xml:space="preserve"> </v>
      </c>
      <c r="B76" s="340"/>
      <c r="C76" s="336"/>
      <c r="D76" s="339"/>
      <c r="E76" s="341"/>
      <c r="F76" s="342"/>
      <c r="G76" s="327"/>
      <c r="H76" s="320"/>
      <c r="I76" s="320"/>
      <c r="J76" s="335"/>
      <c r="K76" s="336"/>
      <c r="L76" s="337"/>
      <c r="M76" s="338"/>
    </row>
    <row r="77" spans="1:13" ht="14.1" customHeight="1">
      <c r="A77" s="320" t="str">
        <f>IF(B77=""," ",A76+1)</f>
        <v xml:space="preserve"> </v>
      </c>
      <c r="B77" s="340"/>
      <c r="C77" s="336"/>
      <c r="D77" s="339"/>
      <c r="E77" s="341"/>
      <c r="F77" s="342"/>
      <c r="G77" s="327"/>
      <c r="H77" s="320"/>
      <c r="I77" s="320"/>
      <c r="J77" s="335"/>
      <c r="K77" s="336"/>
      <c r="L77" s="337"/>
      <c r="M77" s="338"/>
    </row>
    <row r="78" spans="1:13" ht="14.1" customHeight="1">
      <c r="A78" s="320" t="str">
        <f>IF(B78=""," ",#REF!+1)</f>
        <v xml:space="preserve"> </v>
      </c>
      <c r="B78" s="340"/>
      <c r="C78" s="336"/>
      <c r="D78" s="339"/>
      <c r="E78" s="341"/>
      <c r="F78" s="342"/>
      <c r="G78" s="327"/>
      <c r="H78" s="320"/>
      <c r="I78" s="320"/>
      <c r="J78" s="335"/>
      <c r="K78" s="823"/>
      <c r="L78" s="824"/>
      <c r="M78" s="825"/>
    </row>
    <row r="79" spans="1:13" ht="14.1" customHeight="1">
      <c r="A79" s="320" t="str">
        <f>IF(B79=""," ",#REF!+1)</f>
        <v xml:space="preserve"> </v>
      </c>
      <c r="B79" s="340"/>
      <c r="C79" s="336"/>
      <c r="D79" s="339"/>
      <c r="E79" s="341"/>
      <c r="F79" s="342"/>
      <c r="G79" s="327"/>
      <c r="H79" s="320"/>
      <c r="I79" s="320"/>
      <c r="J79" s="335"/>
      <c r="K79" s="336"/>
      <c r="L79" s="337"/>
      <c r="M79" s="338"/>
    </row>
    <row r="80" spans="1:13" ht="14.1" customHeight="1">
      <c r="A80" s="320" t="str">
        <f>IF(B80=""," ",A79+1)</f>
        <v xml:space="preserve"> </v>
      </c>
      <c r="B80" s="340"/>
      <c r="C80" s="336"/>
      <c r="D80" s="339"/>
      <c r="E80" s="341"/>
      <c r="F80" s="342"/>
      <c r="G80" s="327"/>
      <c r="H80" s="320"/>
      <c r="I80" s="320"/>
      <c r="J80" s="335"/>
      <c r="K80" s="336"/>
      <c r="L80" s="337"/>
      <c r="M80" s="338"/>
    </row>
    <row r="81" spans="1:13" ht="14.1" customHeight="1">
      <c r="A81" s="320" t="str">
        <f>IF(B81=""," ",#REF!+1)</f>
        <v xml:space="preserve"> </v>
      </c>
      <c r="B81" s="340"/>
      <c r="C81" s="336"/>
      <c r="D81" s="339"/>
      <c r="E81" s="341"/>
      <c r="F81" s="342"/>
      <c r="G81" s="327"/>
      <c r="H81" s="320"/>
      <c r="I81" s="320"/>
      <c r="J81" s="335"/>
      <c r="K81" s="823"/>
      <c r="L81" s="824"/>
      <c r="M81" s="825"/>
    </row>
    <row r="82" spans="1:13" ht="14.1" customHeight="1">
      <c r="A82" s="320" t="str">
        <f>IF(B82=""," ",#REF!+1)</f>
        <v xml:space="preserve"> </v>
      </c>
      <c r="B82" s="340"/>
      <c r="C82" s="336"/>
      <c r="D82" s="339"/>
      <c r="E82" s="341"/>
      <c r="F82" s="342"/>
      <c r="G82" s="327"/>
      <c r="H82" s="320"/>
      <c r="I82" s="320"/>
      <c r="J82" s="335"/>
      <c r="K82" s="336"/>
      <c r="L82" s="337"/>
      <c r="M82" s="338"/>
    </row>
    <row r="83" spans="1:13" ht="14.1" customHeight="1">
      <c r="A83" s="320" t="str">
        <f>IF(B83=""," ",A82+1)</f>
        <v xml:space="preserve"> </v>
      </c>
      <c r="B83" s="340"/>
      <c r="C83" s="336"/>
      <c r="D83" s="339"/>
      <c r="E83" s="341"/>
      <c r="F83" s="342"/>
      <c r="G83" s="327"/>
      <c r="H83" s="320"/>
      <c r="I83" s="320"/>
      <c r="J83" s="335"/>
      <c r="K83" s="336"/>
      <c r="L83" s="337"/>
      <c r="M83" s="338"/>
    </row>
    <row r="84" spans="1:13" ht="14.1" customHeight="1">
      <c r="A84" s="320" t="str">
        <f>IF(B84=""," ",#REF!+1)</f>
        <v xml:space="preserve"> </v>
      </c>
      <c r="B84" s="340"/>
      <c r="C84" s="336"/>
      <c r="D84" s="339"/>
      <c r="E84" s="341"/>
      <c r="F84" s="342"/>
      <c r="G84" s="327"/>
      <c r="H84" s="320"/>
      <c r="I84" s="320"/>
      <c r="J84" s="335"/>
      <c r="K84" s="823"/>
      <c r="L84" s="824"/>
      <c r="M84" s="825"/>
    </row>
    <row r="85" spans="1:13" ht="14.1" customHeight="1">
      <c r="A85" s="320" t="str">
        <f>IF(B85=""," ",#REF!+1)</f>
        <v xml:space="preserve"> </v>
      </c>
      <c r="B85" s="340"/>
      <c r="C85" s="336"/>
      <c r="D85" s="339"/>
      <c r="E85" s="341"/>
      <c r="F85" s="342"/>
      <c r="G85" s="327"/>
      <c r="H85" s="320"/>
      <c r="I85" s="320"/>
      <c r="J85" s="335"/>
      <c r="K85" s="336"/>
      <c r="L85" s="337"/>
      <c r="M85" s="338"/>
    </row>
    <row r="86" spans="1:13" ht="14.1" customHeight="1">
      <c r="A86" s="320" t="str">
        <f>IF(B86=""," ",A85+1)</f>
        <v xml:space="preserve"> </v>
      </c>
      <c r="B86" s="340"/>
      <c r="C86" s="336"/>
      <c r="D86" s="339"/>
      <c r="E86" s="341"/>
      <c r="F86" s="342"/>
      <c r="G86" s="327"/>
      <c r="H86" s="320"/>
      <c r="I86" s="320"/>
      <c r="J86" s="335"/>
      <c r="K86" s="336"/>
      <c r="L86" s="337"/>
      <c r="M86" s="338"/>
    </row>
    <row r="87" spans="1:13" ht="14.1" customHeight="1">
      <c r="A87" s="320" t="str">
        <f>IF(B87=""," ",#REF!+1)</f>
        <v xml:space="preserve"> </v>
      </c>
      <c r="B87" s="340"/>
      <c r="C87" s="336"/>
      <c r="D87" s="339"/>
      <c r="E87" s="341"/>
      <c r="F87" s="342"/>
      <c r="G87" s="327"/>
      <c r="H87" s="320"/>
      <c r="I87" s="320"/>
      <c r="J87" s="335"/>
      <c r="K87" s="336"/>
      <c r="L87" s="337"/>
      <c r="M87" s="338"/>
    </row>
    <row r="88" spans="1:13" ht="14.1" customHeight="1">
      <c r="A88" s="320" t="str">
        <f>IF(B88=""," ",A87+1)</f>
        <v xml:space="preserve"> </v>
      </c>
      <c r="B88" s="340"/>
      <c r="C88" s="336"/>
      <c r="D88" s="339"/>
      <c r="E88" s="341"/>
      <c r="F88" s="342"/>
      <c r="G88" s="327"/>
      <c r="H88" s="320"/>
      <c r="I88" s="320"/>
      <c r="J88" s="335"/>
      <c r="K88" s="336"/>
      <c r="L88" s="337"/>
      <c r="M88" s="338"/>
    </row>
    <row r="89" spans="1:13" ht="14.1" customHeight="1">
      <c r="A89" s="320" t="str">
        <f>IF(B89=""," ",#REF!+1)</f>
        <v xml:space="preserve"> </v>
      </c>
      <c r="B89" s="340"/>
      <c r="C89" s="336"/>
      <c r="D89" s="339"/>
      <c r="E89" s="341"/>
      <c r="F89" s="342"/>
      <c r="G89" s="327"/>
      <c r="H89" s="320"/>
      <c r="I89" s="320"/>
      <c r="J89" s="335"/>
      <c r="K89" s="823"/>
      <c r="L89" s="824"/>
      <c r="M89" s="825"/>
    </row>
    <row r="90" spans="1:13" ht="14.1" customHeight="1">
      <c r="A90" s="320" t="str">
        <f>IF(B90=""," ",#REF!+1)</f>
        <v xml:space="preserve"> </v>
      </c>
      <c r="B90" s="340"/>
      <c r="C90" s="336"/>
      <c r="D90" s="339"/>
      <c r="E90" s="341"/>
      <c r="F90" s="342"/>
      <c r="G90" s="327"/>
      <c r="H90" s="320"/>
      <c r="I90" s="320"/>
      <c r="J90" s="335"/>
      <c r="K90" s="336"/>
      <c r="L90" s="337"/>
      <c r="M90" s="338"/>
    </row>
    <row r="91" spans="1:13" ht="14.1" customHeight="1">
      <c r="A91" s="320" t="str">
        <f>IF(B91=""," ",A90+1)</f>
        <v xml:space="preserve"> </v>
      </c>
      <c r="B91" s="340"/>
      <c r="C91" s="336"/>
      <c r="D91" s="339"/>
      <c r="E91" s="341"/>
      <c r="F91" s="342"/>
      <c r="G91" s="327"/>
      <c r="H91" s="320"/>
      <c r="I91" s="320"/>
      <c r="J91" s="335"/>
      <c r="K91" s="336"/>
      <c r="L91" s="337"/>
      <c r="M91" s="338"/>
    </row>
    <row r="92" spans="1:13" ht="14.1" customHeight="1">
      <c r="A92" s="320" t="str">
        <f>IF(B92=""," ",#REF!+1)</f>
        <v xml:space="preserve"> </v>
      </c>
      <c r="B92" s="340"/>
      <c r="C92" s="336"/>
      <c r="D92" s="339"/>
      <c r="E92" s="341"/>
      <c r="F92" s="342"/>
      <c r="G92" s="327"/>
      <c r="H92" s="320"/>
      <c r="I92" s="320"/>
      <c r="J92" s="335"/>
      <c r="K92" s="336"/>
      <c r="L92" s="337"/>
      <c r="M92" s="338"/>
    </row>
    <row r="93" spans="1:13" ht="14.1" customHeight="1">
      <c r="A93" s="320" t="str">
        <f>IF(B93=""," ",A92+1)</f>
        <v xml:space="preserve"> </v>
      </c>
      <c r="B93" s="340"/>
      <c r="C93" s="336"/>
      <c r="D93" s="339"/>
      <c r="E93" s="341"/>
      <c r="F93" s="342"/>
      <c r="G93" s="327"/>
      <c r="H93" s="320"/>
      <c r="I93" s="320"/>
      <c r="J93" s="335"/>
      <c r="K93" s="336"/>
      <c r="L93" s="337"/>
      <c r="M93" s="338"/>
    </row>
    <row r="94" spans="1:13" ht="14.1" customHeight="1">
      <c r="A94" s="320" t="str">
        <f>IF(B94=""," ",#REF!+1)</f>
        <v xml:space="preserve"> </v>
      </c>
      <c r="B94" s="340"/>
      <c r="C94" s="336"/>
      <c r="D94" s="339"/>
      <c r="E94" s="341"/>
      <c r="F94" s="342"/>
      <c r="G94" s="327"/>
      <c r="H94" s="320"/>
      <c r="I94" s="320"/>
      <c r="J94" s="335"/>
      <c r="K94" s="823"/>
      <c r="L94" s="824"/>
      <c r="M94" s="825"/>
    </row>
    <row r="95" spans="1:13" ht="14.1" customHeight="1">
      <c r="A95" s="320" t="str">
        <f>IF(B95=""," ",#REF!+1)</f>
        <v xml:space="preserve"> </v>
      </c>
      <c r="B95" s="340"/>
      <c r="C95" s="336"/>
      <c r="D95" s="339"/>
      <c r="E95" s="341"/>
      <c r="F95" s="342"/>
      <c r="G95" s="327"/>
      <c r="H95" s="320"/>
      <c r="I95" s="320"/>
      <c r="J95" s="335"/>
      <c r="K95" s="336"/>
      <c r="L95" s="337"/>
      <c r="M95" s="338"/>
    </row>
    <row r="96" spans="1:13" ht="14.1" customHeight="1">
      <c r="A96" s="320" t="str">
        <f>IF(B96=""," ",A95+1)</f>
        <v xml:space="preserve"> </v>
      </c>
      <c r="B96" s="340"/>
      <c r="C96" s="336"/>
      <c r="D96" s="339"/>
      <c r="E96" s="341"/>
      <c r="F96" s="342"/>
      <c r="G96" s="327"/>
      <c r="H96" s="320"/>
      <c r="I96" s="320"/>
      <c r="J96" s="335"/>
      <c r="K96" s="336"/>
      <c r="L96" s="337"/>
      <c r="M96" s="338"/>
    </row>
    <row r="97" spans="1:13" ht="14.1" customHeight="1">
      <c r="A97" s="320" t="str">
        <f>IF(B97=""," ",#REF!+1)</f>
        <v xml:space="preserve"> </v>
      </c>
      <c r="B97" s="340"/>
      <c r="C97" s="336"/>
      <c r="D97" s="339"/>
      <c r="E97" s="341"/>
      <c r="F97" s="342"/>
      <c r="G97" s="327"/>
      <c r="H97" s="320"/>
      <c r="I97" s="320"/>
      <c r="J97" s="335"/>
      <c r="K97" s="336"/>
      <c r="L97" s="337"/>
      <c r="M97" s="338"/>
    </row>
    <row r="98" spans="1:13" ht="14.1" customHeight="1">
      <c r="A98" s="320" t="str">
        <f>IF(B98=""," ",#REF!+1)</f>
        <v xml:space="preserve"> </v>
      </c>
      <c r="B98" s="340"/>
      <c r="C98" s="336"/>
      <c r="D98" s="339"/>
      <c r="E98" s="341"/>
      <c r="F98" s="342"/>
      <c r="G98" s="327"/>
      <c r="H98" s="320"/>
      <c r="I98" s="320"/>
      <c r="J98" s="335"/>
      <c r="K98" s="336"/>
      <c r="L98" s="337"/>
      <c r="M98" s="338"/>
    </row>
    <row r="99" spans="1:13" ht="14.1" customHeight="1">
      <c r="A99" s="320" t="str">
        <f>IF(B99=""," ",#REF!+1)</f>
        <v xml:space="preserve"> </v>
      </c>
      <c r="B99" s="340"/>
      <c r="C99" s="336"/>
      <c r="D99" s="339"/>
      <c r="E99" s="341"/>
      <c r="F99" s="342"/>
      <c r="G99" s="327"/>
      <c r="H99" s="320"/>
      <c r="I99" s="320"/>
      <c r="J99" s="335"/>
      <c r="K99" s="336"/>
      <c r="L99" s="337"/>
      <c r="M99" s="338"/>
    </row>
    <row r="100" spans="1:13" ht="14.1" customHeight="1">
      <c r="A100" s="320" t="str">
        <f>IF(B100=""," ",#REF!+1)</f>
        <v xml:space="preserve"> </v>
      </c>
      <c r="B100" s="340"/>
      <c r="C100" s="336"/>
      <c r="D100" s="339"/>
      <c r="E100" s="341"/>
      <c r="F100" s="342"/>
      <c r="G100" s="327"/>
      <c r="H100" s="320"/>
      <c r="I100" s="320"/>
      <c r="J100" s="335"/>
      <c r="K100" s="336"/>
      <c r="L100" s="337"/>
      <c r="M100" s="338"/>
    </row>
    <row r="101" spans="1:13">
      <c r="B101" s="314" t="s">
        <v>1684</v>
      </c>
    </row>
    <row r="102" spans="1:13">
      <c r="B102" s="314" t="s">
        <v>1691</v>
      </c>
    </row>
    <row r="104" spans="1:13" s="22" customFormat="1">
      <c r="A104" s="88"/>
      <c r="B104" s="23" t="s">
        <v>1186</v>
      </c>
      <c r="C104" s="22" t="s">
        <v>1316</v>
      </c>
    </row>
    <row r="105" spans="1:13" s="22" customFormat="1">
      <c r="A105" s="88"/>
      <c r="B105" s="23"/>
    </row>
    <row r="106" spans="1:13">
      <c r="B106" s="22" t="s">
        <v>332</v>
      </c>
      <c r="C106" s="22" t="s">
        <v>1720</v>
      </c>
      <c r="D106" s="314" t="s">
        <v>329</v>
      </c>
    </row>
  </sheetData>
  <mergeCells count="48">
    <mergeCell ref="A2:B2"/>
    <mergeCell ref="A3:B3"/>
    <mergeCell ref="A4:B4"/>
    <mergeCell ref="H2:J2"/>
    <mergeCell ref="C2:G2"/>
    <mergeCell ref="C3:G3"/>
    <mergeCell ref="C4:G4"/>
    <mergeCell ref="H4:I4"/>
    <mergeCell ref="H3:I3"/>
    <mergeCell ref="A5:A6"/>
    <mergeCell ref="B5:C5"/>
    <mergeCell ref="K33:M33"/>
    <mergeCell ref="K8:M8"/>
    <mergeCell ref="K12:M12"/>
    <mergeCell ref="I5:J5"/>
    <mergeCell ref="D5:H5"/>
    <mergeCell ref="K7:M7"/>
    <mergeCell ref="K5:M6"/>
    <mergeCell ref="K9:M9"/>
    <mergeCell ref="K14:M14"/>
    <mergeCell ref="K15:M15"/>
    <mergeCell ref="K10:M10"/>
    <mergeCell ref="K11:M11"/>
    <mergeCell ref="K13:M13"/>
    <mergeCell ref="K18:M18"/>
    <mergeCell ref="K21:M21"/>
    <mergeCell ref="K24:M24"/>
    <mergeCell ref="K27:M27"/>
    <mergeCell ref="K30:M30"/>
    <mergeCell ref="K69:M69"/>
    <mergeCell ref="K36:M36"/>
    <mergeCell ref="K39:M39"/>
    <mergeCell ref="K42:M42"/>
    <mergeCell ref="K45:M45"/>
    <mergeCell ref="K48:M48"/>
    <mergeCell ref="K51:M51"/>
    <mergeCell ref="K54:M54"/>
    <mergeCell ref="K57:M57"/>
    <mergeCell ref="K60:M60"/>
    <mergeCell ref="K63:M63"/>
    <mergeCell ref="K66:M66"/>
    <mergeCell ref="K72:M72"/>
    <mergeCell ref="K75:M75"/>
    <mergeCell ref="K94:M94"/>
    <mergeCell ref="K78:M78"/>
    <mergeCell ref="K81:M81"/>
    <mergeCell ref="K84:M84"/>
    <mergeCell ref="K89:M89"/>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pageSetUpPr fitToPage="1"/>
  </sheetPr>
  <dimension ref="A1:P110"/>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46"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0" style="16" hidden="1" customWidth="1"/>
    <col min="17" max="16384" width="9" style="16"/>
  </cols>
  <sheetData>
    <row r="1" spans="1:16" ht="12" customHeight="1">
      <c r="B1" s="47"/>
    </row>
    <row r="2" spans="1:16" ht="12" customHeight="1">
      <c r="A2" s="643" t="s">
        <v>602</v>
      </c>
      <c r="B2" s="644"/>
      <c r="C2" s="643" t="s">
        <v>36</v>
      </c>
      <c r="D2" s="651"/>
      <c r="E2" s="651"/>
      <c r="F2" s="651"/>
      <c r="G2" s="644"/>
      <c r="H2" s="643"/>
      <c r="I2" s="651"/>
      <c r="J2" s="644"/>
      <c r="K2" s="37"/>
      <c r="L2" s="38" t="s">
        <v>37</v>
      </c>
      <c r="M2" s="38" t="s">
        <v>38</v>
      </c>
    </row>
    <row r="3" spans="1:16" ht="12" customHeight="1">
      <c r="A3" s="647"/>
      <c r="B3" s="648"/>
      <c r="C3" s="652" t="s">
        <v>1412</v>
      </c>
      <c r="D3" s="653"/>
      <c r="E3" s="653"/>
      <c r="F3" s="653"/>
      <c r="G3" s="654"/>
      <c r="H3" s="643" t="s">
        <v>39</v>
      </c>
      <c r="I3" s="644"/>
      <c r="J3" s="39">
        <f>COUNT(A7:A100)</f>
        <v>53</v>
      </c>
      <c r="K3" s="38" t="s">
        <v>40</v>
      </c>
      <c r="L3" s="40">
        <v>38629</v>
      </c>
      <c r="M3" s="41" t="s">
        <v>56</v>
      </c>
      <c r="O3" s="16" t="s">
        <v>41</v>
      </c>
      <c r="P3" s="16" t="s">
        <v>42</v>
      </c>
    </row>
    <row r="4" spans="1:16" ht="12" customHeight="1">
      <c r="A4" s="649" t="s">
        <v>43</v>
      </c>
      <c r="B4" s="650"/>
      <c r="C4" s="649" t="s">
        <v>1413</v>
      </c>
      <c r="D4" s="655"/>
      <c r="E4" s="655"/>
      <c r="F4" s="655"/>
      <c r="G4" s="650"/>
      <c r="H4" s="643" t="s">
        <v>44</v>
      </c>
      <c r="I4" s="644"/>
      <c r="J4" s="39">
        <f>SUM(G7:G100)</f>
        <v>536</v>
      </c>
      <c r="K4" s="38" t="s">
        <v>45</v>
      </c>
      <c r="L4" s="40">
        <v>38762</v>
      </c>
      <c r="M4" s="42" t="s">
        <v>1407</v>
      </c>
      <c r="O4" s="16" t="s">
        <v>1400</v>
      </c>
      <c r="P4" s="16" t="s">
        <v>569</v>
      </c>
    </row>
    <row r="5" spans="1:16" ht="12" customHeight="1">
      <c r="A5" s="645" t="s">
        <v>1442</v>
      </c>
      <c r="B5" s="643" t="s">
        <v>46</v>
      </c>
      <c r="C5" s="651"/>
      <c r="D5" s="662" t="s">
        <v>47</v>
      </c>
      <c r="E5" s="651"/>
      <c r="F5" s="651"/>
      <c r="G5" s="651"/>
      <c r="H5" s="651"/>
      <c r="I5" s="643" t="s">
        <v>604</v>
      </c>
      <c r="J5" s="644"/>
      <c r="K5" s="656" t="s">
        <v>48</v>
      </c>
      <c r="L5" s="657"/>
      <c r="M5" s="658"/>
      <c r="P5" s="16" t="s">
        <v>605</v>
      </c>
    </row>
    <row r="6" spans="1:16" ht="12" customHeight="1">
      <c r="A6" s="646"/>
      <c r="B6" s="38" t="s">
        <v>49</v>
      </c>
      <c r="C6" s="35" t="s">
        <v>50</v>
      </c>
      <c r="D6" s="43" t="s">
        <v>42</v>
      </c>
      <c r="E6" s="44" t="s">
        <v>51</v>
      </c>
      <c r="F6" s="45" t="s">
        <v>52</v>
      </c>
      <c r="G6" s="38" t="s">
        <v>606</v>
      </c>
      <c r="H6" s="36" t="s">
        <v>53</v>
      </c>
      <c r="I6" s="36" t="s">
        <v>607</v>
      </c>
      <c r="J6" s="36" t="s">
        <v>608</v>
      </c>
      <c r="K6" s="659"/>
      <c r="L6" s="660"/>
      <c r="M6" s="661"/>
      <c r="P6" s="16" t="s">
        <v>609</v>
      </c>
    </row>
    <row r="7" spans="1:16" ht="12" customHeight="1">
      <c r="A7" s="42">
        <v>1</v>
      </c>
      <c r="B7" s="66" t="s">
        <v>66</v>
      </c>
      <c r="C7" s="24" t="s">
        <v>1362</v>
      </c>
      <c r="D7" s="68" t="s">
        <v>548</v>
      </c>
      <c r="E7" s="51">
        <v>7</v>
      </c>
      <c r="F7" s="58"/>
      <c r="G7" s="20">
        <f t="shared" ref="G7:G58" si="0">IF(D7="DATE",4,IF(D7="CHAR",E7,IF(D7="SMALLINT",2,IF(D7="INTEGER",4,IF(D7="TIMESTAMP",10,IF(D7="TIME",3,0))))))</f>
        <v>7</v>
      </c>
      <c r="H7" s="53" t="s">
        <v>547</v>
      </c>
      <c r="I7" s="53" t="s">
        <v>547</v>
      </c>
      <c r="J7" s="59"/>
      <c r="K7" s="609" t="s">
        <v>1414</v>
      </c>
      <c r="L7" s="610"/>
      <c r="M7" s="611"/>
      <c r="P7" s="16" t="s">
        <v>558</v>
      </c>
    </row>
    <row r="8" spans="1:16" ht="12" customHeight="1">
      <c r="A8" s="42">
        <f>IF(B8=""," ",A7+1)</f>
        <v>2</v>
      </c>
      <c r="B8" s="48" t="s">
        <v>1441</v>
      </c>
      <c r="C8" s="49" t="s">
        <v>1415</v>
      </c>
      <c r="D8" s="50" t="s">
        <v>1416</v>
      </c>
      <c r="E8" s="51">
        <v>3</v>
      </c>
      <c r="F8" s="58"/>
      <c r="G8" s="20">
        <f t="shared" si="0"/>
        <v>3</v>
      </c>
      <c r="H8" s="53" t="s">
        <v>1392</v>
      </c>
      <c r="I8" s="53" t="s">
        <v>1363</v>
      </c>
      <c r="J8" s="59"/>
      <c r="K8" s="599" t="s">
        <v>1417</v>
      </c>
      <c r="L8" s="600"/>
      <c r="M8" s="601"/>
      <c r="P8" s="16" t="s">
        <v>1418</v>
      </c>
    </row>
    <row r="9" spans="1:16" ht="12" customHeight="1">
      <c r="A9" s="42">
        <f t="shared" ref="A9:A59" si="1">IF(B9=""," ",A8+1)</f>
        <v>3</v>
      </c>
      <c r="B9" s="66" t="s">
        <v>121</v>
      </c>
      <c r="C9" s="76" t="s">
        <v>1443</v>
      </c>
      <c r="D9" s="65" t="s">
        <v>580</v>
      </c>
      <c r="E9" s="51">
        <v>2</v>
      </c>
      <c r="F9" s="58"/>
      <c r="G9" s="20">
        <f t="shared" si="0"/>
        <v>2</v>
      </c>
      <c r="H9" s="53" t="s">
        <v>581</v>
      </c>
      <c r="I9" s="53" t="s">
        <v>581</v>
      </c>
      <c r="J9" s="59"/>
      <c r="K9" s="609" t="s">
        <v>1419</v>
      </c>
      <c r="L9" s="610"/>
      <c r="M9" s="611"/>
      <c r="P9" s="16" t="s">
        <v>1420</v>
      </c>
    </row>
    <row r="10" spans="1:16" ht="12" customHeight="1">
      <c r="A10" s="42">
        <f t="shared" si="1"/>
        <v>4</v>
      </c>
      <c r="B10" s="66" t="s">
        <v>119</v>
      </c>
      <c r="C10" s="24" t="s">
        <v>1421</v>
      </c>
      <c r="D10" s="65" t="s">
        <v>1422</v>
      </c>
      <c r="E10" s="51">
        <v>4</v>
      </c>
      <c r="F10" s="58"/>
      <c r="G10" s="20">
        <f t="shared" si="0"/>
        <v>4</v>
      </c>
      <c r="H10" s="53" t="s">
        <v>576</v>
      </c>
      <c r="I10" s="53" t="s">
        <v>581</v>
      </c>
      <c r="J10" s="59"/>
      <c r="K10" s="609" t="s">
        <v>120</v>
      </c>
      <c r="L10" s="610"/>
      <c r="M10" s="611"/>
      <c r="P10" s="16" t="s">
        <v>1423</v>
      </c>
    </row>
    <row r="11" spans="1:16" ht="12" customHeight="1">
      <c r="A11" s="42">
        <f t="shared" si="1"/>
        <v>5</v>
      </c>
      <c r="B11" s="64" t="s">
        <v>129</v>
      </c>
      <c r="C11" s="24" t="s">
        <v>1424</v>
      </c>
      <c r="D11" s="72" t="s">
        <v>1425</v>
      </c>
      <c r="E11" s="51">
        <v>2</v>
      </c>
      <c r="F11" s="58"/>
      <c r="G11" s="20">
        <f t="shared" si="0"/>
        <v>2</v>
      </c>
      <c r="H11" s="53" t="s">
        <v>582</v>
      </c>
      <c r="I11" s="53"/>
      <c r="J11" s="59"/>
      <c r="K11" s="609" t="s">
        <v>130</v>
      </c>
      <c r="L11" s="610"/>
      <c r="M11" s="611"/>
      <c r="P11" s="16" t="s">
        <v>1426</v>
      </c>
    </row>
    <row r="12" spans="1:16" ht="12" customHeight="1">
      <c r="A12" s="42">
        <f t="shared" si="1"/>
        <v>6</v>
      </c>
      <c r="B12" s="66" t="s">
        <v>125</v>
      </c>
      <c r="C12" s="24" t="s">
        <v>126</v>
      </c>
      <c r="D12" s="72" t="s">
        <v>523</v>
      </c>
      <c r="E12" s="51">
        <v>3</v>
      </c>
      <c r="F12" s="58"/>
      <c r="G12" s="20">
        <f t="shared" si="0"/>
        <v>3</v>
      </c>
      <c r="H12" s="53" t="s">
        <v>583</v>
      </c>
      <c r="I12" s="53"/>
      <c r="J12" s="59"/>
      <c r="K12" s="609" t="s">
        <v>127</v>
      </c>
      <c r="L12" s="610"/>
      <c r="M12" s="611"/>
      <c r="P12" s="16" t="s">
        <v>55</v>
      </c>
    </row>
    <row r="13" spans="1:16" ht="12" customHeight="1">
      <c r="A13" s="42">
        <f t="shared" si="1"/>
        <v>7</v>
      </c>
      <c r="B13" s="64" t="s">
        <v>180</v>
      </c>
      <c r="C13" s="24" t="s">
        <v>181</v>
      </c>
      <c r="D13" s="72" t="s">
        <v>523</v>
      </c>
      <c r="E13" s="51">
        <v>5</v>
      </c>
      <c r="F13" s="58"/>
      <c r="G13" s="20">
        <f t="shared" si="0"/>
        <v>5</v>
      </c>
      <c r="H13" s="53" t="s">
        <v>583</v>
      </c>
      <c r="I13" s="53"/>
      <c r="J13" s="59"/>
      <c r="K13" s="609" t="s">
        <v>182</v>
      </c>
      <c r="L13" s="610"/>
      <c r="M13" s="611"/>
    </row>
    <row r="14" spans="1:16" ht="12" customHeight="1">
      <c r="A14" s="42">
        <f t="shared" si="1"/>
        <v>8</v>
      </c>
      <c r="B14" s="64" t="s">
        <v>183</v>
      </c>
      <c r="C14" s="24" t="s">
        <v>184</v>
      </c>
      <c r="D14" s="77" t="s">
        <v>523</v>
      </c>
      <c r="E14" s="51">
        <v>5</v>
      </c>
      <c r="F14" s="58"/>
      <c r="G14" s="20">
        <f t="shared" si="0"/>
        <v>5</v>
      </c>
      <c r="H14" s="53" t="s">
        <v>583</v>
      </c>
      <c r="I14" s="53"/>
      <c r="J14" s="59"/>
      <c r="K14" s="609" t="s">
        <v>185</v>
      </c>
      <c r="L14" s="610"/>
      <c r="M14" s="611"/>
    </row>
    <row r="15" spans="1:16" ht="12" customHeight="1">
      <c r="A15" s="42">
        <f t="shared" si="1"/>
        <v>9</v>
      </c>
      <c r="B15" s="64" t="s">
        <v>1446</v>
      </c>
      <c r="C15" s="24" t="s">
        <v>149</v>
      </c>
      <c r="D15" s="72" t="s">
        <v>1427</v>
      </c>
      <c r="E15" s="51">
        <v>8</v>
      </c>
      <c r="F15" s="58"/>
      <c r="G15" s="20">
        <f>IF(D15="DATE",4,IF(D15="CHAR",E15,IF(D15="SMALLINT",2,IF(D15="INTEGER",4,IF(D15="TIMESTAMP",10,IF(D15="TIME",3,0))))))</f>
        <v>8</v>
      </c>
      <c r="H15" s="53" t="s">
        <v>1406</v>
      </c>
      <c r="I15" s="53"/>
      <c r="J15" s="59"/>
      <c r="K15" s="609" t="s">
        <v>1445</v>
      </c>
      <c r="L15" s="610"/>
      <c r="M15" s="611"/>
    </row>
    <row r="16" spans="1:16" ht="12" customHeight="1">
      <c r="A16" s="42">
        <f t="shared" si="1"/>
        <v>10</v>
      </c>
      <c r="B16" s="64" t="s">
        <v>529</v>
      </c>
      <c r="C16" s="24" t="s">
        <v>584</v>
      </c>
      <c r="D16" s="72" t="s">
        <v>1427</v>
      </c>
      <c r="E16" s="51">
        <v>8</v>
      </c>
      <c r="F16" s="58"/>
      <c r="G16" s="20">
        <f t="shared" si="0"/>
        <v>8</v>
      </c>
      <c r="H16" s="53" t="s">
        <v>1406</v>
      </c>
      <c r="I16" s="53"/>
      <c r="J16" s="59"/>
      <c r="K16" s="609" t="s">
        <v>530</v>
      </c>
      <c r="L16" s="610"/>
      <c r="M16" s="611"/>
    </row>
    <row r="17" spans="1:13" ht="12" customHeight="1">
      <c r="A17" s="42">
        <f t="shared" si="1"/>
        <v>11</v>
      </c>
      <c r="B17" s="48" t="s">
        <v>79</v>
      </c>
      <c r="C17" s="49" t="s">
        <v>586</v>
      </c>
      <c r="D17" s="78" t="s">
        <v>1367</v>
      </c>
      <c r="E17" s="51">
        <v>8</v>
      </c>
      <c r="F17" s="58"/>
      <c r="G17" s="20">
        <f>IF(D17="DATE",4,IF(D17="CHAR",E17,IF(D17="SMALLINT",2,IF(D17="INTEGER",4,IF(D17="TIMESTAMP",10,IF(D17="TIME",3,0))))))</f>
        <v>8</v>
      </c>
      <c r="H17" s="53" t="s">
        <v>1368</v>
      </c>
      <c r="I17" s="53"/>
      <c r="J17" s="59"/>
      <c r="K17" s="599" t="s">
        <v>80</v>
      </c>
      <c r="L17" s="600"/>
      <c r="M17" s="601"/>
    </row>
    <row r="18" spans="1:13" ht="12" customHeight="1">
      <c r="A18" s="42">
        <f t="shared" si="1"/>
        <v>12</v>
      </c>
      <c r="B18" s="48" t="s">
        <v>77</v>
      </c>
      <c r="C18" s="49" t="s">
        <v>585</v>
      </c>
      <c r="D18" s="78" t="s">
        <v>1367</v>
      </c>
      <c r="E18" s="51">
        <v>8</v>
      </c>
      <c r="F18" s="58"/>
      <c r="G18" s="20">
        <f t="shared" si="0"/>
        <v>8</v>
      </c>
      <c r="H18" s="53" t="s">
        <v>1368</v>
      </c>
      <c r="I18" s="53"/>
      <c r="J18" s="59"/>
      <c r="K18" s="599" t="s">
        <v>78</v>
      </c>
      <c r="L18" s="600"/>
      <c r="M18" s="601"/>
    </row>
    <row r="19" spans="1:13" ht="12" customHeight="1">
      <c r="A19" s="42">
        <f t="shared" si="1"/>
        <v>13</v>
      </c>
      <c r="B19" s="64" t="s">
        <v>186</v>
      </c>
      <c r="C19" s="24" t="s">
        <v>588</v>
      </c>
      <c r="D19" s="72" t="s">
        <v>1367</v>
      </c>
      <c r="E19" s="51">
        <v>8</v>
      </c>
      <c r="F19" s="58"/>
      <c r="G19" s="20">
        <f>IF(D19="DATE",4,IF(D19="CHAR",E19,IF(D19="SMALLINT",2,IF(D19="INTEGER",4,IF(D19="TIMESTAMP",10,IF(D19="TIME",3,0))))))</f>
        <v>8</v>
      </c>
      <c r="H19" s="53" t="s">
        <v>1368</v>
      </c>
      <c r="I19" s="53"/>
      <c r="J19" s="59"/>
      <c r="K19" s="609" t="s">
        <v>187</v>
      </c>
      <c r="L19" s="610"/>
      <c r="M19" s="611"/>
    </row>
    <row r="20" spans="1:13" ht="12" customHeight="1">
      <c r="A20" s="42">
        <f t="shared" si="1"/>
        <v>14</v>
      </c>
      <c r="B20" s="64" t="s">
        <v>188</v>
      </c>
      <c r="C20" s="24" t="s">
        <v>587</v>
      </c>
      <c r="D20" s="72" t="s">
        <v>1367</v>
      </c>
      <c r="E20" s="51">
        <v>8</v>
      </c>
      <c r="F20" s="58"/>
      <c r="G20" s="20">
        <f t="shared" si="0"/>
        <v>8</v>
      </c>
      <c r="H20" s="53" t="s">
        <v>1368</v>
      </c>
      <c r="I20" s="53"/>
      <c r="J20" s="59"/>
      <c r="K20" s="609" t="s">
        <v>189</v>
      </c>
      <c r="L20" s="610"/>
      <c r="M20" s="611"/>
    </row>
    <row r="21" spans="1:13" ht="12" customHeight="1">
      <c r="A21" s="42">
        <f t="shared" si="1"/>
        <v>15</v>
      </c>
      <c r="B21" s="64" t="s">
        <v>162</v>
      </c>
      <c r="C21" s="24" t="s">
        <v>163</v>
      </c>
      <c r="D21" s="72" t="s">
        <v>1367</v>
      </c>
      <c r="E21" s="51">
        <v>8</v>
      </c>
      <c r="F21" s="58"/>
      <c r="G21" s="20">
        <f>IF(D21="DATE",4,IF(D21="CHAR",E21,IF(D21="SMALLINT",2,IF(D21="INTEGER",4,IF(D21="TIMESTAMP",10,IF(D21="TIME",3,0))))))</f>
        <v>8</v>
      </c>
      <c r="H21" s="53" t="s">
        <v>1368</v>
      </c>
      <c r="I21" s="53"/>
      <c r="J21" s="59"/>
      <c r="K21" s="609" t="s">
        <v>164</v>
      </c>
      <c r="L21" s="610"/>
      <c r="M21" s="611"/>
    </row>
    <row r="22" spans="1:13" ht="12" customHeight="1">
      <c r="A22" s="42">
        <f t="shared" si="1"/>
        <v>16</v>
      </c>
      <c r="B22" s="64" t="s">
        <v>165</v>
      </c>
      <c r="C22" s="24" t="s">
        <v>166</v>
      </c>
      <c r="D22" s="72" t="s">
        <v>1367</v>
      </c>
      <c r="E22" s="51">
        <v>8</v>
      </c>
      <c r="F22" s="58"/>
      <c r="G22" s="20">
        <f t="shared" si="0"/>
        <v>8</v>
      </c>
      <c r="H22" s="53" t="s">
        <v>1368</v>
      </c>
      <c r="I22" s="53"/>
      <c r="J22" s="59"/>
      <c r="K22" s="609" t="s">
        <v>167</v>
      </c>
      <c r="L22" s="610"/>
      <c r="M22" s="611"/>
    </row>
    <row r="23" spans="1:13" ht="12" customHeight="1">
      <c r="A23" s="42">
        <f t="shared" si="1"/>
        <v>17</v>
      </c>
      <c r="B23" s="48" t="s">
        <v>115</v>
      </c>
      <c r="C23" s="49" t="s">
        <v>590</v>
      </c>
      <c r="D23" s="79" t="s">
        <v>1367</v>
      </c>
      <c r="E23" s="51">
        <v>8</v>
      </c>
      <c r="F23" s="58"/>
      <c r="G23" s="20">
        <f>IF(D23="DATE",4,IF(D23="CHAR",E23,IF(D23="SMALLINT",2,IF(D23="INTEGER",4,IF(D23="TIMESTAMP",10,IF(D23="TIME",3,0))))))</f>
        <v>8</v>
      </c>
      <c r="H23" s="53" t="s">
        <v>1368</v>
      </c>
      <c r="I23" s="53"/>
      <c r="J23" s="59"/>
      <c r="K23" s="599" t="s">
        <v>116</v>
      </c>
      <c r="L23" s="600"/>
      <c r="M23" s="601"/>
    </row>
    <row r="24" spans="1:13" ht="12" customHeight="1">
      <c r="A24" s="42">
        <f t="shared" si="1"/>
        <v>18</v>
      </c>
      <c r="B24" s="48" t="s">
        <v>113</v>
      </c>
      <c r="C24" s="49" t="s">
        <v>589</v>
      </c>
      <c r="D24" s="78" t="s">
        <v>1367</v>
      </c>
      <c r="E24" s="51">
        <v>8</v>
      </c>
      <c r="F24" s="58"/>
      <c r="G24" s="20">
        <f t="shared" si="0"/>
        <v>8</v>
      </c>
      <c r="H24" s="53" t="s">
        <v>1368</v>
      </c>
      <c r="I24" s="53"/>
      <c r="J24" s="59"/>
      <c r="K24" s="599" t="s">
        <v>114</v>
      </c>
      <c r="L24" s="600"/>
      <c r="M24" s="601"/>
    </row>
    <row r="25" spans="1:13" ht="12" customHeight="1">
      <c r="A25" s="42">
        <f t="shared" si="1"/>
        <v>19</v>
      </c>
      <c r="B25" s="64" t="s">
        <v>202</v>
      </c>
      <c r="C25" s="24" t="s">
        <v>591</v>
      </c>
      <c r="D25" s="77" t="s">
        <v>1367</v>
      </c>
      <c r="E25" s="51">
        <v>8</v>
      </c>
      <c r="F25" s="58"/>
      <c r="G25" s="20">
        <f t="shared" si="0"/>
        <v>8</v>
      </c>
      <c r="H25" s="53" t="s">
        <v>1368</v>
      </c>
      <c r="I25" s="53"/>
      <c r="J25" s="59"/>
      <c r="K25" s="609" t="s">
        <v>203</v>
      </c>
      <c r="L25" s="610"/>
      <c r="M25" s="611"/>
    </row>
    <row r="26" spans="1:13" ht="12" customHeight="1">
      <c r="A26" s="42">
        <f t="shared" si="1"/>
        <v>20</v>
      </c>
      <c r="B26" s="64" t="s">
        <v>204</v>
      </c>
      <c r="C26" s="24" t="s">
        <v>592</v>
      </c>
      <c r="D26" s="77" t="s">
        <v>1367</v>
      </c>
      <c r="E26" s="51">
        <v>8</v>
      </c>
      <c r="F26" s="58"/>
      <c r="G26" s="20">
        <f t="shared" si="0"/>
        <v>8</v>
      </c>
      <c r="H26" s="53" t="s">
        <v>1368</v>
      </c>
      <c r="I26" s="53"/>
      <c r="J26" s="59"/>
      <c r="K26" s="609" t="s">
        <v>205</v>
      </c>
      <c r="L26" s="610"/>
      <c r="M26" s="611"/>
    </row>
    <row r="27" spans="1:13" ht="39.950000000000003" customHeight="1">
      <c r="A27" s="42">
        <f t="shared" si="1"/>
        <v>21</v>
      </c>
      <c r="B27" s="64" t="s">
        <v>1428</v>
      </c>
      <c r="C27" s="24" t="s">
        <v>1444</v>
      </c>
      <c r="D27" s="80" t="s">
        <v>55</v>
      </c>
      <c r="E27" s="51" t="s">
        <v>65</v>
      </c>
      <c r="F27" s="58"/>
      <c r="G27" s="20">
        <f t="shared" si="0"/>
        <v>2</v>
      </c>
      <c r="H27" s="53" t="s">
        <v>1368</v>
      </c>
      <c r="I27" s="53"/>
      <c r="J27" s="59"/>
      <c r="K27" s="749" t="s">
        <v>1429</v>
      </c>
      <c r="L27" s="755"/>
      <c r="M27" s="756"/>
    </row>
    <row r="28" spans="1:13" ht="12" customHeight="1">
      <c r="A28" s="42">
        <f t="shared" si="1"/>
        <v>22</v>
      </c>
      <c r="B28" s="64" t="s">
        <v>150</v>
      </c>
      <c r="C28" s="24" t="s">
        <v>151</v>
      </c>
      <c r="D28" s="72" t="s">
        <v>533</v>
      </c>
      <c r="E28" s="51">
        <v>24</v>
      </c>
      <c r="F28" s="58"/>
      <c r="G28" s="20">
        <f t="shared" si="0"/>
        <v>24</v>
      </c>
      <c r="H28" s="53" t="s">
        <v>1368</v>
      </c>
      <c r="I28" s="53"/>
      <c r="J28" s="59"/>
      <c r="K28" s="609" t="s">
        <v>152</v>
      </c>
      <c r="L28" s="610"/>
      <c r="M28" s="611"/>
    </row>
    <row r="29" spans="1:13" ht="12" customHeight="1">
      <c r="A29" s="42">
        <f t="shared" si="1"/>
        <v>23</v>
      </c>
      <c r="B29" s="64" t="s">
        <v>153</v>
      </c>
      <c r="C29" s="24" t="s">
        <v>154</v>
      </c>
      <c r="D29" s="72" t="s">
        <v>533</v>
      </c>
      <c r="E29" s="51">
        <v>24</v>
      </c>
      <c r="F29" s="58"/>
      <c r="G29" s="20">
        <f t="shared" si="0"/>
        <v>24</v>
      </c>
      <c r="H29" s="53" t="s">
        <v>1368</v>
      </c>
      <c r="I29" s="53"/>
      <c r="J29" s="59"/>
      <c r="K29" s="609" t="s">
        <v>155</v>
      </c>
      <c r="L29" s="610"/>
      <c r="M29" s="611"/>
    </row>
    <row r="30" spans="1:13" ht="12" customHeight="1">
      <c r="A30" s="42">
        <f t="shared" si="1"/>
        <v>24</v>
      </c>
      <c r="B30" s="48" t="s">
        <v>87</v>
      </c>
      <c r="C30" s="49" t="s">
        <v>88</v>
      </c>
      <c r="D30" s="79" t="s">
        <v>533</v>
      </c>
      <c r="E30" s="51">
        <v>24</v>
      </c>
      <c r="F30" s="58"/>
      <c r="G30" s="20">
        <f t="shared" si="0"/>
        <v>24</v>
      </c>
      <c r="H30" s="53" t="s">
        <v>1368</v>
      </c>
      <c r="I30" s="53"/>
      <c r="J30" s="59"/>
      <c r="K30" s="599" t="s">
        <v>89</v>
      </c>
      <c r="L30" s="600"/>
      <c r="M30" s="601"/>
    </row>
    <row r="31" spans="1:13" ht="12" customHeight="1">
      <c r="A31" s="42">
        <f t="shared" si="1"/>
        <v>25</v>
      </c>
      <c r="B31" s="48" t="s">
        <v>110</v>
      </c>
      <c r="C31" s="49" t="s">
        <v>111</v>
      </c>
      <c r="D31" s="79" t="s">
        <v>533</v>
      </c>
      <c r="E31" s="51">
        <v>24</v>
      </c>
      <c r="F31" s="58"/>
      <c r="G31" s="20">
        <f t="shared" si="0"/>
        <v>24</v>
      </c>
      <c r="H31" s="53" t="s">
        <v>1368</v>
      </c>
      <c r="I31" s="53"/>
      <c r="J31" s="59"/>
      <c r="K31" s="599" t="s">
        <v>112</v>
      </c>
      <c r="L31" s="600"/>
      <c r="M31" s="601"/>
    </row>
    <row r="32" spans="1:13" ht="12" customHeight="1">
      <c r="A32" s="42">
        <f t="shared" si="1"/>
        <v>26</v>
      </c>
      <c r="B32" s="64" t="s">
        <v>190</v>
      </c>
      <c r="C32" s="24" t="s">
        <v>191</v>
      </c>
      <c r="D32" s="72" t="s">
        <v>533</v>
      </c>
      <c r="E32" s="51">
        <v>24</v>
      </c>
      <c r="F32" s="58"/>
      <c r="G32" s="20">
        <f t="shared" si="0"/>
        <v>24</v>
      </c>
      <c r="H32" s="53" t="s">
        <v>1368</v>
      </c>
      <c r="I32" s="53"/>
      <c r="J32" s="59"/>
      <c r="K32" s="609" t="s">
        <v>192</v>
      </c>
      <c r="L32" s="610"/>
      <c r="M32" s="611"/>
    </row>
    <row r="33" spans="1:13" ht="12" customHeight="1">
      <c r="A33" s="42">
        <f t="shared" si="1"/>
        <v>27</v>
      </c>
      <c r="B33" s="64" t="s">
        <v>193</v>
      </c>
      <c r="C33" s="24" t="s">
        <v>194</v>
      </c>
      <c r="D33" s="72" t="s">
        <v>533</v>
      </c>
      <c r="E33" s="51">
        <v>24</v>
      </c>
      <c r="F33" s="58"/>
      <c r="G33" s="20">
        <f t="shared" si="0"/>
        <v>24</v>
      </c>
      <c r="H33" s="53" t="s">
        <v>1368</v>
      </c>
      <c r="I33" s="53"/>
      <c r="J33" s="59"/>
      <c r="K33" s="609" t="s">
        <v>195</v>
      </c>
      <c r="L33" s="610"/>
      <c r="M33" s="611"/>
    </row>
    <row r="34" spans="1:13" ht="12" customHeight="1">
      <c r="A34" s="42">
        <f t="shared" si="1"/>
        <v>28</v>
      </c>
      <c r="B34" s="64" t="s">
        <v>174</v>
      </c>
      <c r="C34" s="24" t="s">
        <v>175</v>
      </c>
      <c r="D34" s="72" t="s">
        <v>533</v>
      </c>
      <c r="E34" s="51">
        <v>8</v>
      </c>
      <c r="F34" s="58"/>
      <c r="G34" s="20">
        <f>IF(D34="DATE",4,IF(D34="CHAR",E34,IF(D34="SMALLINT",2,IF(D34="INTEGER",4,IF(D34="TIMESTAMP",10,IF(D34="TIME",3,0))))))</f>
        <v>8</v>
      </c>
      <c r="H34" s="53" t="s">
        <v>1368</v>
      </c>
      <c r="I34" s="53"/>
      <c r="J34" s="59"/>
      <c r="K34" s="609" t="s">
        <v>176</v>
      </c>
      <c r="L34" s="610"/>
      <c r="M34" s="611"/>
    </row>
    <row r="35" spans="1:13" ht="12" customHeight="1">
      <c r="A35" s="42">
        <f t="shared" si="1"/>
        <v>29</v>
      </c>
      <c r="B35" s="64" t="s">
        <v>177</v>
      </c>
      <c r="C35" s="24" t="s">
        <v>178</v>
      </c>
      <c r="D35" s="72" t="s">
        <v>533</v>
      </c>
      <c r="E35" s="51">
        <v>8</v>
      </c>
      <c r="F35" s="58"/>
      <c r="G35" s="20">
        <f>IF(D35="DATE",4,IF(D35="CHAR",E35,IF(D35="SMALLINT",2,IF(D35="INTEGER",4,IF(D35="TIMESTAMP",10,IF(D35="TIME",3,0))))))</f>
        <v>8</v>
      </c>
      <c r="H35" s="53" t="s">
        <v>1368</v>
      </c>
      <c r="I35" s="53"/>
      <c r="J35" s="59"/>
      <c r="K35" s="609" t="s">
        <v>179</v>
      </c>
      <c r="L35" s="610"/>
      <c r="M35" s="611"/>
    </row>
    <row r="36" spans="1:13" ht="12" customHeight="1">
      <c r="A36" s="42">
        <f t="shared" si="1"/>
        <v>30</v>
      </c>
      <c r="B36" s="64" t="s">
        <v>156</v>
      </c>
      <c r="C36" s="24" t="s">
        <v>157</v>
      </c>
      <c r="D36" s="72" t="s">
        <v>533</v>
      </c>
      <c r="E36" s="51">
        <v>8</v>
      </c>
      <c r="F36" s="58"/>
      <c r="G36" s="20">
        <f t="shared" si="0"/>
        <v>8</v>
      </c>
      <c r="H36" s="53" t="s">
        <v>1368</v>
      </c>
      <c r="I36" s="53"/>
      <c r="J36" s="59"/>
      <c r="K36" s="609" t="s">
        <v>158</v>
      </c>
      <c r="L36" s="610"/>
      <c r="M36" s="611"/>
    </row>
    <row r="37" spans="1:13" ht="12" customHeight="1">
      <c r="A37" s="42">
        <f t="shared" si="1"/>
        <v>31</v>
      </c>
      <c r="B37" s="64" t="s">
        <v>159</v>
      </c>
      <c r="C37" s="24" t="s">
        <v>160</v>
      </c>
      <c r="D37" s="72" t="s">
        <v>533</v>
      </c>
      <c r="E37" s="51">
        <v>8</v>
      </c>
      <c r="F37" s="58"/>
      <c r="G37" s="20">
        <f t="shared" si="0"/>
        <v>8</v>
      </c>
      <c r="H37" s="53" t="s">
        <v>1368</v>
      </c>
      <c r="I37" s="53"/>
      <c r="J37" s="59"/>
      <c r="K37" s="609" t="s">
        <v>161</v>
      </c>
      <c r="L37" s="610"/>
      <c r="M37" s="611"/>
    </row>
    <row r="38" spans="1:13" ht="12" customHeight="1">
      <c r="A38" s="42">
        <f t="shared" si="1"/>
        <v>32</v>
      </c>
      <c r="B38" s="64" t="s">
        <v>168</v>
      </c>
      <c r="C38" s="24" t="s">
        <v>169</v>
      </c>
      <c r="D38" s="72" t="s">
        <v>533</v>
      </c>
      <c r="E38" s="51">
        <v>8</v>
      </c>
      <c r="F38" s="58"/>
      <c r="G38" s="20">
        <f>IF(D38="DATE",4,IF(D38="CHAR",E38,IF(D38="SMALLINT",2,IF(D38="INTEGER",4,IF(D38="TIMESTAMP",10,IF(D38="TIME",3,0))))))</f>
        <v>8</v>
      </c>
      <c r="H38" s="53" t="s">
        <v>1368</v>
      </c>
      <c r="I38" s="53"/>
      <c r="J38" s="59"/>
      <c r="K38" s="609" t="s">
        <v>170</v>
      </c>
      <c r="L38" s="610"/>
      <c r="M38" s="611"/>
    </row>
    <row r="39" spans="1:13" ht="12" customHeight="1">
      <c r="A39" s="42">
        <f t="shared" si="1"/>
        <v>33</v>
      </c>
      <c r="B39" s="64" t="s">
        <v>171</v>
      </c>
      <c r="C39" s="24" t="s">
        <v>172</v>
      </c>
      <c r="D39" s="72" t="s">
        <v>533</v>
      </c>
      <c r="E39" s="51">
        <v>8</v>
      </c>
      <c r="F39" s="58"/>
      <c r="G39" s="20">
        <f>IF(D39="DATE",4,IF(D39="CHAR",E39,IF(D39="SMALLINT",2,IF(D39="INTEGER",4,IF(D39="TIMESTAMP",10,IF(D39="TIME",3,0))))))</f>
        <v>8</v>
      </c>
      <c r="H39" s="53" t="s">
        <v>1368</v>
      </c>
      <c r="I39" s="53"/>
      <c r="J39" s="59"/>
      <c r="K39" s="609" t="s">
        <v>173</v>
      </c>
      <c r="L39" s="610"/>
      <c r="M39" s="611"/>
    </row>
    <row r="40" spans="1:13" ht="12" customHeight="1">
      <c r="A40" s="42">
        <f t="shared" si="1"/>
        <v>34</v>
      </c>
      <c r="B40" s="64" t="s">
        <v>137</v>
      </c>
      <c r="C40" s="24" t="s">
        <v>138</v>
      </c>
      <c r="D40" s="72" t="s">
        <v>533</v>
      </c>
      <c r="E40" s="51">
        <v>8</v>
      </c>
      <c r="F40" s="58"/>
      <c r="G40" s="20">
        <f>IF(D40="DATE",4,IF(D40="CHAR",E40,IF(D40="SMALLINT",2,IF(D40="INTEGER",4,IF(D40="TIMESTAMP",10,IF(D40="TIME",3,0))))))</f>
        <v>8</v>
      </c>
      <c r="H40" s="53" t="s">
        <v>1368</v>
      </c>
      <c r="I40" s="53"/>
      <c r="J40" s="59"/>
      <c r="K40" s="609" t="s">
        <v>139</v>
      </c>
      <c r="L40" s="610"/>
      <c r="M40" s="611"/>
    </row>
    <row r="41" spans="1:13" ht="12" customHeight="1">
      <c r="A41" s="42">
        <f t="shared" si="1"/>
        <v>35</v>
      </c>
      <c r="B41" s="64" t="s">
        <v>140</v>
      </c>
      <c r="C41" s="24" t="s">
        <v>141</v>
      </c>
      <c r="D41" s="72" t="s">
        <v>533</v>
      </c>
      <c r="E41" s="51">
        <v>8</v>
      </c>
      <c r="F41" s="58"/>
      <c r="G41" s="20">
        <f>IF(D41="DATE",4,IF(D41="CHAR",E41,IF(D41="SMALLINT",2,IF(D41="INTEGER",4,IF(D41="TIMESTAMP",10,IF(D41="TIME",3,0))))))</f>
        <v>8</v>
      </c>
      <c r="H41" s="53" t="s">
        <v>1368</v>
      </c>
      <c r="I41" s="53"/>
      <c r="J41" s="59"/>
      <c r="K41" s="609" t="s">
        <v>142</v>
      </c>
      <c r="L41" s="610"/>
      <c r="M41" s="611"/>
    </row>
    <row r="42" spans="1:13" ht="12" customHeight="1">
      <c r="A42" s="42">
        <f t="shared" si="1"/>
        <v>36</v>
      </c>
      <c r="B42" s="48" t="s">
        <v>81</v>
      </c>
      <c r="C42" s="49" t="s">
        <v>82</v>
      </c>
      <c r="D42" s="79" t="s">
        <v>533</v>
      </c>
      <c r="E42" s="51">
        <v>8</v>
      </c>
      <c r="F42" s="58"/>
      <c r="G42" s="20">
        <f t="shared" si="0"/>
        <v>8</v>
      </c>
      <c r="H42" s="53" t="s">
        <v>1368</v>
      </c>
      <c r="I42" s="53"/>
      <c r="J42" s="59"/>
      <c r="K42" s="599" t="s">
        <v>83</v>
      </c>
      <c r="L42" s="600"/>
      <c r="M42" s="601"/>
    </row>
    <row r="43" spans="1:13" ht="12" customHeight="1">
      <c r="A43" s="42">
        <f t="shared" si="1"/>
        <v>37</v>
      </c>
      <c r="B43" s="48" t="s">
        <v>84</v>
      </c>
      <c r="C43" s="49" t="s">
        <v>85</v>
      </c>
      <c r="D43" s="79" t="s">
        <v>533</v>
      </c>
      <c r="E43" s="51">
        <v>8</v>
      </c>
      <c r="F43" s="58"/>
      <c r="G43" s="20">
        <f t="shared" si="0"/>
        <v>8</v>
      </c>
      <c r="H43" s="53" t="s">
        <v>1368</v>
      </c>
      <c r="I43" s="53"/>
      <c r="J43" s="59"/>
      <c r="K43" s="599" t="s">
        <v>86</v>
      </c>
      <c r="L43" s="600"/>
      <c r="M43" s="601"/>
    </row>
    <row r="44" spans="1:13" ht="12" customHeight="1">
      <c r="A44" s="42">
        <f t="shared" si="1"/>
        <v>38</v>
      </c>
      <c r="B44" s="64" t="s">
        <v>131</v>
      </c>
      <c r="C44" s="24" t="s">
        <v>132</v>
      </c>
      <c r="D44" s="72" t="s">
        <v>533</v>
      </c>
      <c r="E44" s="51">
        <v>8</v>
      </c>
      <c r="F44" s="58"/>
      <c r="G44" s="20">
        <f>IF(D44="DATE",4,IF(D44="CHAR",E44,IF(D44="SMALLINT",2,IF(D44="INTEGER",4,IF(D44="TIMESTAMP",10,IF(D44="TIME",3,0))))))</f>
        <v>8</v>
      </c>
      <c r="H44" s="53" t="s">
        <v>1368</v>
      </c>
      <c r="I44" s="53"/>
      <c r="J44" s="59"/>
      <c r="K44" s="609" t="s">
        <v>133</v>
      </c>
      <c r="L44" s="610"/>
      <c r="M44" s="611"/>
    </row>
    <row r="45" spans="1:13" ht="12" customHeight="1">
      <c r="A45" s="42">
        <f t="shared" si="1"/>
        <v>39</v>
      </c>
      <c r="B45" s="64" t="s">
        <v>134</v>
      </c>
      <c r="C45" s="24" t="s">
        <v>135</v>
      </c>
      <c r="D45" s="72" t="s">
        <v>533</v>
      </c>
      <c r="E45" s="51">
        <v>8</v>
      </c>
      <c r="F45" s="58"/>
      <c r="G45" s="20">
        <f>IF(D45="DATE",4,IF(D45="CHAR",E45,IF(D45="SMALLINT",2,IF(D45="INTEGER",4,IF(D45="TIMESTAMP",10,IF(D45="TIME",3,0))))))</f>
        <v>8</v>
      </c>
      <c r="H45" s="53" t="s">
        <v>1368</v>
      </c>
      <c r="I45" s="53"/>
      <c r="J45" s="59"/>
      <c r="K45" s="609" t="s">
        <v>136</v>
      </c>
      <c r="L45" s="610"/>
      <c r="M45" s="611"/>
    </row>
    <row r="46" spans="1:13" ht="12" customHeight="1">
      <c r="A46" s="42">
        <f t="shared" si="1"/>
        <v>40</v>
      </c>
      <c r="B46" s="64" t="s">
        <v>212</v>
      </c>
      <c r="C46" s="24" t="s">
        <v>213</v>
      </c>
      <c r="D46" s="72" t="s">
        <v>533</v>
      </c>
      <c r="E46" s="51">
        <v>8</v>
      </c>
      <c r="F46" s="58"/>
      <c r="G46" s="20">
        <f>IF(D46="DATE",4,IF(D46="CHAR",E46,IF(D46="SMALLINT",2,IF(D46="INTEGER",4,IF(D46="TIMESTAMP",10,IF(D46="TIME",3,0))))))</f>
        <v>8</v>
      </c>
      <c r="H46" s="53" t="s">
        <v>1368</v>
      </c>
      <c r="I46" s="53"/>
      <c r="J46" s="59"/>
      <c r="K46" s="609" t="s">
        <v>214</v>
      </c>
      <c r="L46" s="610"/>
      <c r="M46" s="611"/>
    </row>
    <row r="47" spans="1:13" ht="12" customHeight="1">
      <c r="A47" s="42">
        <f t="shared" si="1"/>
        <v>41</v>
      </c>
      <c r="B47" s="64" t="s">
        <v>215</v>
      </c>
      <c r="C47" s="24" t="s">
        <v>216</v>
      </c>
      <c r="D47" s="72" t="s">
        <v>533</v>
      </c>
      <c r="E47" s="51">
        <v>8</v>
      </c>
      <c r="F47" s="58"/>
      <c r="G47" s="20">
        <f>IF(D47="DATE",4,IF(D47="CHAR",E47,IF(D47="SMALLINT",2,IF(D47="INTEGER",4,IF(D47="TIMESTAMP",10,IF(D47="TIME",3,0))))))</f>
        <v>8</v>
      </c>
      <c r="H47" s="53" t="s">
        <v>1368</v>
      </c>
      <c r="I47" s="53"/>
      <c r="J47" s="59"/>
      <c r="K47" s="609" t="s">
        <v>217</v>
      </c>
      <c r="L47" s="610"/>
      <c r="M47" s="611"/>
    </row>
    <row r="48" spans="1:13" ht="12" customHeight="1">
      <c r="A48" s="42">
        <f t="shared" si="1"/>
        <v>42</v>
      </c>
      <c r="B48" s="64" t="s">
        <v>196</v>
      </c>
      <c r="C48" s="24" t="s">
        <v>197</v>
      </c>
      <c r="D48" s="72" t="s">
        <v>533</v>
      </c>
      <c r="E48" s="51">
        <v>8</v>
      </c>
      <c r="F48" s="58"/>
      <c r="G48" s="20">
        <f t="shared" si="0"/>
        <v>8</v>
      </c>
      <c r="H48" s="53" t="s">
        <v>1368</v>
      </c>
      <c r="I48" s="53"/>
      <c r="J48" s="59"/>
      <c r="K48" s="609" t="s">
        <v>198</v>
      </c>
      <c r="L48" s="610"/>
      <c r="M48" s="611"/>
    </row>
    <row r="49" spans="1:13" ht="12" customHeight="1">
      <c r="A49" s="42">
        <f t="shared" si="1"/>
        <v>43</v>
      </c>
      <c r="B49" s="64" t="s">
        <v>199</v>
      </c>
      <c r="C49" s="24" t="s">
        <v>200</v>
      </c>
      <c r="D49" s="72" t="s">
        <v>533</v>
      </c>
      <c r="E49" s="51">
        <v>8</v>
      </c>
      <c r="F49" s="58"/>
      <c r="G49" s="20">
        <f t="shared" si="0"/>
        <v>8</v>
      </c>
      <c r="H49" s="53" t="s">
        <v>1368</v>
      </c>
      <c r="I49" s="53"/>
      <c r="J49" s="59"/>
      <c r="K49" s="609" t="s">
        <v>201</v>
      </c>
      <c r="L49" s="610"/>
      <c r="M49" s="611"/>
    </row>
    <row r="50" spans="1:13" ht="12" customHeight="1">
      <c r="A50" s="42">
        <f t="shared" si="1"/>
        <v>44</v>
      </c>
      <c r="B50" s="64" t="s">
        <v>206</v>
      </c>
      <c r="C50" s="24" t="s">
        <v>207</v>
      </c>
      <c r="D50" s="72" t="s">
        <v>533</v>
      </c>
      <c r="E50" s="51">
        <v>8</v>
      </c>
      <c r="F50" s="58"/>
      <c r="G50" s="20">
        <f>IF(D50="DATE",4,IF(D50="CHAR",E50,IF(D50="SMALLINT",2,IF(D50="INTEGER",4,IF(D50="TIMESTAMP",10,IF(D50="TIME",3,0))))))</f>
        <v>8</v>
      </c>
      <c r="H50" s="53" t="s">
        <v>1368</v>
      </c>
      <c r="I50" s="53"/>
      <c r="J50" s="59"/>
      <c r="K50" s="609" t="s">
        <v>208</v>
      </c>
      <c r="L50" s="610"/>
      <c r="M50" s="611"/>
    </row>
    <row r="51" spans="1:13" ht="12" customHeight="1">
      <c r="A51" s="42">
        <f t="shared" si="1"/>
        <v>45</v>
      </c>
      <c r="B51" s="64" t="s">
        <v>209</v>
      </c>
      <c r="C51" s="24" t="s">
        <v>210</v>
      </c>
      <c r="D51" s="72" t="s">
        <v>533</v>
      </c>
      <c r="E51" s="51">
        <v>8</v>
      </c>
      <c r="F51" s="58"/>
      <c r="G51" s="20">
        <f>IF(D51="DATE",4,IF(D51="CHAR",E51,IF(D51="SMALLINT",2,IF(D51="INTEGER",4,IF(D51="TIMESTAMP",10,IF(D51="TIME",3,0))))))</f>
        <v>8</v>
      </c>
      <c r="H51" s="53" t="s">
        <v>1368</v>
      </c>
      <c r="I51" s="53"/>
      <c r="J51" s="59"/>
      <c r="K51" s="609" t="s">
        <v>211</v>
      </c>
      <c r="L51" s="610"/>
      <c r="M51" s="611"/>
    </row>
    <row r="52" spans="1:13" ht="12" customHeight="1">
      <c r="A52" s="42">
        <f t="shared" si="1"/>
        <v>46</v>
      </c>
      <c r="B52" s="64" t="s">
        <v>143</v>
      </c>
      <c r="C52" s="24" t="s">
        <v>144</v>
      </c>
      <c r="D52" s="72" t="s">
        <v>533</v>
      </c>
      <c r="E52" s="51">
        <v>16</v>
      </c>
      <c r="F52" s="58"/>
      <c r="G52" s="20">
        <f t="shared" si="0"/>
        <v>16</v>
      </c>
      <c r="H52" s="53" t="s">
        <v>583</v>
      </c>
      <c r="I52" s="53"/>
      <c r="J52" s="59"/>
      <c r="K52" s="609" t="s">
        <v>145</v>
      </c>
      <c r="L52" s="610"/>
      <c r="M52" s="611"/>
    </row>
    <row r="53" spans="1:13" ht="12" customHeight="1">
      <c r="A53" s="42">
        <f t="shared" si="1"/>
        <v>47</v>
      </c>
      <c r="B53" s="64" t="s">
        <v>146</v>
      </c>
      <c r="C53" s="24" t="s">
        <v>147</v>
      </c>
      <c r="D53" s="72" t="s">
        <v>533</v>
      </c>
      <c r="E53" s="51">
        <v>16</v>
      </c>
      <c r="F53" s="58"/>
      <c r="G53" s="20">
        <f t="shared" si="0"/>
        <v>16</v>
      </c>
      <c r="H53" s="53" t="s">
        <v>583</v>
      </c>
      <c r="I53" s="53"/>
      <c r="J53" s="59"/>
      <c r="K53" s="609" t="s">
        <v>148</v>
      </c>
      <c r="L53" s="610"/>
      <c r="M53" s="611"/>
    </row>
    <row r="54" spans="1:13" ht="12" customHeight="1">
      <c r="A54" s="42">
        <f t="shared" si="1"/>
        <v>48</v>
      </c>
      <c r="B54" s="66" t="s">
        <v>122</v>
      </c>
      <c r="C54" s="24" t="s">
        <v>123</v>
      </c>
      <c r="D54" s="72" t="s">
        <v>533</v>
      </c>
      <c r="E54" s="51">
        <v>60</v>
      </c>
      <c r="F54" s="58"/>
      <c r="G54" s="20">
        <f t="shared" si="0"/>
        <v>60</v>
      </c>
      <c r="H54" s="53" t="s">
        <v>581</v>
      </c>
      <c r="I54" s="53"/>
      <c r="J54" s="59"/>
      <c r="K54" s="609" t="s">
        <v>124</v>
      </c>
      <c r="L54" s="610"/>
      <c r="M54" s="611"/>
    </row>
    <row r="55" spans="1:13" ht="27" customHeight="1">
      <c r="A55" s="42">
        <f t="shared" si="1"/>
        <v>49</v>
      </c>
      <c r="B55" s="66" t="s">
        <v>117</v>
      </c>
      <c r="C55" s="24" t="s">
        <v>118</v>
      </c>
      <c r="D55" s="77" t="s">
        <v>523</v>
      </c>
      <c r="E55" s="51">
        <v>1</v>
      </c>
      <c r="F55" s="58"/>
      <c r="G55" s="20">
        <f t="shared" si="0"/>
        <v>1</v>
      </c>
      <c r="H55" s="53" t="s">
        <v>1392</v>
      </c>
      <c r="I55" s="53"/>
      <c r="J55" s="59"/>
      <c r="K55" s="749" t="s">
        <v>1430</v>
      </c>
      <c r="L55" s="755"/>
      <c r="M55" s="756"/>
    </row>
    <row r="56" spans="1:13" ht="12" customHeight="1">
      <c r="A56" s="42">
        <f t="shared" si="1"/>
        <v>50</v>
      </c>
      <c r="B56" s="64" t="s">
        <v>26</v>
      </c>
      <c r="C56" s="24" t="s">
        <v>1399</v>
      </c>
      <c r="D56" s="72" t="s">
        <v>519</v>
      </c>
      <c r="E56" s="51"/>
      <c r="F56" s="58"/>
      <c r="G56" s="20">
        <f t="shared" si="0"/>
        <v>4</v>
      </c>
      <c r="H56" s="53" t="s">
        <v>1400</v>
      </c>
      <c r="I56" s="53" t="s">
        <v>1400</v>
      </c>
      <c r="J56" s="59"/>
      <c r="K56" s="609" t="s">
        <v>1409</v>
      </c>
      <c r="L56" s="610"/>
      <c r="M56" s="611"/>
    </row>
    <row r="57" spans="1:13" ht="12" customHeight="1">
      <c r="A57" s="42">
        <f t="shared" si="1"/>
        <v>51</v>
      </c>
      <c r="B57" s="64" t="s">
        <v>27</v>
      </c>
      <c r="C57" s="24" t="s">
        <v>1401</v>
      </c>
      <c r="D57" s="72" t="s">
        <v>1402</v>
      </c>
      <c r="E57" s="51"/>
      <c r="F57" s="58"/>
      <c r="G57" s="20">
        <f t="shared" si="0"/>
        <v>4</v>
      </c>
      <c r="H57" s="53" t="s">
        <v>1403</v>
      </c>
      <c r="I57" s="53"/>
      <c r="J57" s="59"/>
      <c r="K57" s="609" t="s">
        <v>1410</v>
      </c>
      <c r="L57" s="610"/>
      <c r="M57" s="611"/>
    </row>
    <row r="58" spans="1:13" ht="12" customHeight="1">
      <c r="A58" s="42">
        <f t="shared" si="1"/>
        <v>52</v>
      </c>
      <c r="B58" s="64" t="s">
        <v>1083</v>
      </c>
      <c r="C58" s="24" t="s">
        <v>1084</v>
      </c>
      <c r="D58" s="72" t="s">
        <v>506</v>
      </c>
      <c r="E58" s="51">
        <v>8</v>
      </c>
      <c r="F58" s="58"/>
      <c r="G58" s="20">
        <f t="shared" si="0"/>
        <v>8</v>
      </c>
      <c r="H58" s="53" t="s">
        <v>1432</v>
      </c>
      <c r="I58" s="53"/>
      <c r="J58" s="59"/>
      <c r="K58" s="609" t="s">
        <v>1086</v>
      </c>
      <c r="L58" s="610"/>
      <c r="M58" s="611"/>
    </row>
    <row r="59" spans="1:13" ht="12" customHeight="1">
      <c r="A59" s="42">
        <f t="shared" si="1"/>
        <v>53</v>
      </c>
      <c r="B59" s="64" t="s">
        <v>1724</v>
      </c>
      <c r="C59" s="24" t="s">
        <v>1404</v>
      </c>
      <c r="D59" s="65" t="s">
        <v>1405</v>
      </c>
      <c r="E59" s="51"/>
      <c r="F59" s="58"/>
      <c r="G59" s="20">
        <f>IF(D59="DATE",4,IF(D59="CHAR",E59,IF(D59="SMALLINT",2,IF(D59="INTEGER",4,IF(D59="TIMESTAMP",10,IF(D59="TIME",3,0))))))</f>
        <v>10</v>
      </c>
      <c r="H59" s="53" t="s">
        <v>1406</v>
      </c>
      <c r="I59" s="42"/>
      <c r="J59" s="59"/>
      <c r="K59" s="749"/>
      <c r="L59" s="610"/>
      <c r="M59" s="611"/>
    </row>
    <row r="60" spans="1:13" ht="12" customHeight="1">
      <c r="A60" s="42"/>
      <c r="B60" s="71"/>
      <c r="C60" s="13"/>
      <c r="D60" s="72"/>
      <c r="E60" s="73"/>
      <c r="F60" s="74"/>
      <c r="G60" s="20"/>
      <c r="H60" s="42"/>
      <c r="I60" s="42"/>
      <c r="J60" s="59"/>
      <c r="K60" s="749"/>
      <c r="L60" s="755"/>
      <c r="M60" s="756"/>
    </row>
    <row r="61" spans="1:13">
      <c r="A61" s="42" t="str">
        <f>IF(B101=""," ",#REF!+1)</f>
        <v xml:space="preserve"> </v>
      </c>
      <c r="B61" s="71"/>
      <c r="C61" s="13"/>
      <c r="D61" s="72"/>
      <c r="E61" s="73"/>
      <c r="F61" s="74"/>
      <c r="G61" s="20"/>
      <c r="H61" s="42"/>
      <c r="I61" s="42"/>
      <c r="J61" s="59"/>
      <c r="K61" s="609"/>
      <c r="L61" s="610"/>
      <c r="M61" s="611"/>
    </row>
    <row r="62" spans="1:13">
      <c r="A62" s="42"/>
      <c r="B62" s="71"/>
      <c r="C62" s="13"/>
      <c r="D62" s="72"/>
      <c r="E62" s="73"/>
      <c r="F62" s="74"/>
      <c r="G62" s="20"/>
      <c r="H62" s="42"/>
      <c r="I62" s="42"/>
      <c r="J62" s="59"/>
      <c r="K62" s="609"/>
      <c r="L62" s="610"/>
      <c r="M62" s="611"/>
    </row>
    <row r="63" spans="1:13">
      <c r="A63" s="42" t="str">
        <f>IF(B63=""," ",A62+1)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2" spans="1:13">
      <c r="B102" s="16" t="s">
        <v>1691</v>
      </c>
    </row>
    <row r="104" spans="1:13">
      <c r="B104" s="16" t="s">
        <v>1692</v>
      </c>
      <c r="C104" s="16" t="s">
        <v>1693</v>
      </c>
      <c r="D104" s="16" t="s">
        <v>1695</v>
      </c>
    </row>
    <row r="105" spans="1:13">
      <c r="D105" s="16" t="s">
        <v>1694</v>
      </c>
    </row>
    <row r="106" spans="1:13">
      <c r="D106" s="16" t="s">
        <v>1726</v>
      </c>
    </row>
    <row r="107" spans="1:13">
      <c r="C107" s="16" t="s">
        <v>1720</v>
      </c>
      <c r="D107" s="16" t="s">
        <v>1724</v>
      </c>
    </row>
    <row r="108" spans="1:13">
      <c r="C108" s="16" t="s">
        <v>1725</v>
      </c>
    </row>
    <row r="110" spans="1:13">
      <c r="B110" s="75" t="s">
        <v>799</v>
      </c>
      <c r="C110" s="16" t="s">
        <v>1411</v>
      </c>
    </row>
  </sheetData>
  <mergeCells count="92">
    <mergeCell ref="K84:M84"/>
    <mergeCell ref="K97:M97"/>
    <mergeCell ref="K98:M98"/>
    <mergeCell ref="K100:M100"/>
    <mergeCell ref="K15:M15"/>
    <mergeCell ref="K17:M17"/>
    <mergeCell ref="K34:M34"/>
    <mergeCell ref="K35:M35"/>
    <mergeCell ref="K95:M95"/>
    <mergeCell ref="K96:M96"/>
    <mergeCell ref="K87:M87"/>
    <mergeCell ref="K33:M33"/>
    <mergeCell ref="K32:M32"/>
    <mergeCell ref="K31:M31"/>
    <mergeCell ref="K52:M52"/>
    <mergeCell ref="K41:M41"/>
    <mergeCell ref="K5:M6"/>
    <mergeCell ref="K68:M68"/>
    <mergeCell ref="K71:M71"/>
    <mergeCell ref="K72:M72"/>
    <mergeCell ref="K75:M75"/>
    <mergeCell ref="K9:M9"/>
    <mergeCell ref="K12:M12"/>
    <mergeCell ref="K11:M11"/>
    <mergeCell ref="K22:M22"/>
    <mergeCell ref="K26:M26"/>
    <mergeCell ref="K21:M21"/>
    <mergeCell ref="K18:M18"/>
    <mergeCell ref="K13:M13"/>
    <mergeCell ref="K7:M7"/>
    <mergeCell ref="K10:M10"/>
    <mergeCell ref="K23:M23"/>
    <mergeCell ref="A5:A6"/>
    <mergeCell ref="H3:I3"/>
    <mergeCell ref="H4:I4"/>
    <mergeCell ref="D5:H5"/>
    <mergeCell ref="B5:C5"/>
    <mergeCell ref="I5:J5"/>
    <mergeCell ref="A2:B2"/>
    <mergeCell ref="A3:B3"/>
    <mergeCell ref="A4:B4"/>
    <mergeCell ref="H2:J2"/>
    <mergeCell ref="C2:G2"/>
    <mergeCell ref="C3:G3"/>
    <mergeCell ref="C4:G4"/>
    <mergeCell ref="K8:M8"/>
    <mergeCell ref="K40:M40"/>
    <mergeCell ref="K19:M19"/>
    <mergeCell ref="K20:M20"/>
    <mergeCell ref="K36:M36"/>
    <mergeCell ref="K39:M39"/>
    <mergeCell ref="K37:M37"/>
    <mergeCell ref="K38:M38"/>
    <mergeCell ref="K25:M25"/>
    <mergeCell ref="K24:M24"/>
    <mergeCell ref="K28:M28"/>
    <mergeCell ref="K27:M27"/>
    <mergeCell ref="K29:M29"/>
    <mergeCell ref="K30:M30"/>
    <mergeCell ref="K42:M42"/>
    <mergeCell ref="K45:M45"/>
    <mergeCell ref="K46:M46"/>
    <mergeCell ref="K14:M14"/>
    <mergeCell ref="K16:M16"/>
    <mergeCell ref="K49:M49"/>
    <mergeCell ref="K50:M50"/>
    <mergeCell ref="K48:M48"/>
    <mergeCell ref="K51:M51"/>
    <mergeCell ref="K43:M43"/>
    <mergeCell ref="K47:M47"/>
    <mergeCell ref="K44:M44"/>
    <mergeCell ref="K53:M53"/>
    <mergeCell ref="K54:M54"/>
    <mergeCell ref="K55:M55"/>
    <mergeCell ref="K99:M99"/>
    <mergeCell ref="K61:M61"/>
    <mergeCell ref="K62:M62"/>
    <mergeCell ref="K56:M56"/>
    <mergeCell ref="K57:M57"/>
    <mergeCell ref="K59:M59"/>
    <mergeCell ref="K76:M76"/>
    <mergeCell ref="K88:M88"/>
    <mergeCell ref="K91:M91"/>
    <mergeCell ref="K92:M92"/>
    <mergeCell ref="K79:M79"/>
    <mergeCell ref="K80:M80"/>
    <mergeCell ref="K83:M83"/>
    <mergeCell ref="K60:M60"/>
    <mergeCell ref="K63:M63"/>
    <mergeCell ref="K64:M64"/>
    <mergeCell ref="K67:M67"/>
    <mergeCell ref="K58:M58"/>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4">
    <pageSetUpPr fitToPage="1"/>
  </sheetPr>
  <dimension ref="A1:R117"/>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customWidth="1"/>
    <col min="2" max="2" width="28.625" style="22" customWidth="1"/>
    <col min="3" max="3" width="13.375" style="22" customWidth="1"/>
    <col min="4" max="4" width="9.375" style="22" customWidth="1"/>
    <col min="5" max="5" width="4.875" style="22" bestFit="1" customWidth="1"/>
    <col min="6" max="6" width="4.75" style="22" bestFit="1" customWidth="1"/>
    <col min="7" max="7" width="6.125" style="22" bestFit="1" customWidth="1"/>
    <col min="8" max="8" width="4.75" style="22" bestFit="1" customWidth="1"/>
    <col min="9" max="9" width="4.75" style="22" customWidth="1"/>
    <col min="10" max="11" width="9.625" style="22" customWidth="1"/>
    <col min="12" max="12" width="10.25" style="22" customWidth="1"/>
    <col min="13" max="13" width="10.125" style="22" customWidth="1"/>
    <col min="14" max="14" width="9" style="22"/>
    <col min="15" max="16" width="0" style="22" hidden="1" customWidth="1"/>
    <col min="17" max="16384" width="9" style="22"/>
  </cols>
  <sheetData>
    <row r="1" spans="1:18">
      <c r="B1" s="47"/>
    </row>
    <row r="2" spans="1:18">
      <c r="A2" s="670" t="s">
        <v>230</v>
      </c>
      <c r="B2" s="671"/>
      <c r="C2" s="670" t="s">
        <v>36</v>
      </c>
      <c r="D2" s="676"/>
      <c r="E2" s="676"/>
      <c r="F2" s="676"/>
      <c r="G2" s="671"/>
      <c r="H2" s="670"/>
      <c r="I2" s="676"/>
      <c r="J2" s="671"/>
      <c r="K2" s="81"/>
      <c r="L2" s="82" t="s">
        <v>37</v>
      </c>
      <c r="M2" s="82" t="s">
        <v>38</v>
      </c>
    </row>
    <row r="3" spans="1:18">
      <c r="A3" s="672"/>
      <c r="B3" s="673"/>
      <c r="C3" s="750" t="s">
        <v>32</v>
      </c>
      <c r="D3" s="751"/>
      <c r="E3" s="751"/>
      <c r="F3" s="751"/>
      <c r="G3" s="752"/>
      <c r="H3" s="670" t="s">
        <v>39</v>
      </c>
      <c r="I3" s="671"/>
      <c r="J3" s="83">
        <f>COUNT(A7:A95)</f>
        <v>16</v>
      </c>
      <c r="K3" s="82" t="s">
        <v>40</v>
      </c>
      <c r="L3" s="84">
        <v>38629</v>
      </c>
      <c r="M3" s="41" t="s">
        <v>56</v>
      </c>
      <c r="O3" s="22" t="s">
        <v>41</v>
      </c>
      <c r="P3" s="22" t="s">
        <v>42</v>
      </c>
    </row>
    <row r="4" spans="1:18">
      <c r="A4" s="674" t="s">
        <v>43</v>
      </c>
      <c r="B4" s="675"/>
      <c r="C4" s="674" t="s">
        <v>1478</v>
      </c>
      <c r="D4" s="753"/>
      <c r="E4" s="753"/>
      <c r="F4" s="753"/>
      <c r="G4" s="675"/>
      <c r="H4" s="670" t="s">
        <v>44</v>
      </c>
      <c r="I4" s="671"/>
      <c r="J4" s="83">
        <f>SUM(G7:G95)</f>
        <v>170</v>
      </c>
      <c r="K4" s="82" t="s">
        <v>45</v>
      </c>
      <c r="L4" s="40">
        <v>39107</v>
      </c>
      <c r="M4" s="42" t="s">
        <v>675</v>
      </c>
      <c r="O4" s="22" t="s">
        <v>1358</v>
      </c>
      <c r="P4" s="22" t="s">
        <v>1359</v>
      </c>
    </row>
    <row r="5" spans="1:18">
      <c r="A5" s="683" t="s">
        <v>1360</v>
      </c>
      <c r="B5" s="670" t="s">
        <v>46</v>
      </c>
      <c r="C5" s="676"/>
      <c r="D5" s="691" t="s">
        <v>47</v>
      </c>
      <c r="E5" s="676"/>
      <c r="F5" s="676"/>
      <c r="G5" s="676"/>
      <c r="H5" s="676"/>
      <c r="I5" s="670" t="s">
        <v>604</v>
      </c>
      <c r="J5" s="671"/>
      <c r="K5" s="685" t="s">
        <v>48</v>
      </c>
      <c r="L5" s="686"/>
      <c r="M5" s="687"/>
      <c r="P5" s="22" t="s">
        <v>605</v>
      </c>
    </row>
    <row r="6" spans="1:18">
      <c r="A6" s="684"/>
      <c r="B6" s="82" t="s">
        <v>49</v>
      </c>
      <c r="C6" s="30" t="s">
        <v>50</v>
      </c>
      <c r="D6" s="85" t="s">
        <v>42</v>
      </c>
      <c r="E6" s="86" t="s">
        <v>51</v>
      </c>
      <c r="F6" s="87" t="s">
        <v>52</v>
      </c>
      <c r="G6" s="82" t="s">
        <v>606</v>
      </c>
      <c r="H6" s="29" t="s">
        <v>53</v>
      </c>
      <c r="I6" s="29" t="s">
        <v>607</v>
      </c>
      <c r="J6" s="29" t="s">
        <v>608</v>
      </c>
      <c r="K6" s="688"/>
      <c r="L6" s="689"/>
      <c r="M6" s="690"/>
      <c r="P6" s="22" t="s">
        <v>609</v>
      </c>
    </row>
    <row r="7" spans="1:18">
      <c r="A7" s="89">
        <v>1</v>
      </c>
      <c r="B7" s="48" t="s">
        <v>74</v>
      </c>
      <c r="C7" s="49" t="s">
        <v>1361</v>
      </c>
      <c r="D7" s="50" t="s">
        <v>1164</v>
      </c>
      <c r="E7" s="51">
        <v>16</v>
      </c>
      <c r="F7" s="245"/>
      <c r="G7" s="21">
        <f>IF(D7="DATE",4,IF(D7="CHAR",E7,IF(D7="SMALLINT",2,IF(D7="INTEGER",4,IF(D7="TIMESTAMP",10,IF(D7="TIME",3,0))))))</f>
        <v>16</v>
      </c>
      <c r="H7" s="89" t="s">
        <v>1377</v>
      </c>
      <c r="I7" s="91" t="s">
        <v>1377</v>
      </c>
      <c r="J7" s="246"/>
      <c r="K7" s="599"/>
      <c r="L7" s="600"/>
      <c r="M7" s="601"/>
    </row>
    <row r="8" spans="1:18" ht="11.25" customHeight="1">
      <c r="A8" s="42">
        <f t="shared" ref="A8:A20" si="0">IF(B8=""," ",A7+1)</f>
        <v>2</v>
      </c>
      <c r="B8" s="93" t="s">
        <v>680</v>
      </c>
      <c r="C8" s="49" t="s">
        <v>1362</v>
      </c>
      <c r="D8" s="97" t="s">
        <v>506</v>
      </c>
      <c r="E8" s="98">
        <v>7</v>
      </c>
      <c r="F8" s="99"/>
      <c r="G8" s="21">
        <f>IF(D8="DATE",4,IF(D8="CHAR",E8,IF(D8="SMALLINT",2,IF(D8="INTEGER",4,IF(D8="TIMESTAMP",10,IF(D8="TIME",3,0))))))</f>
        <v>7</v>
      </c>
      <c r="H8" s="89" t="s">
        <v>547</v>
      </c>
      <c r="I8" s="89" t="s">
        <v>547</v>
      </c>
      <c r="J8" s="92"/>
      <c r="K8" s="847"/>
      <c r="L8" s="847"/>
      <c r="M8" s="847"/>
      <c r="P8" s="22" t="s">
        <v>55</v>
      </c>
    </row>
    <row r="9" spans="1:18" ht="12" customHeight="1">
      <c r="A9" s="42">
        <f t="shared" si="0"/>
        <v>3</v>
      </c>
      <c r="B9" s="93" t="s">
        <v>485</v>
      </c>
      <c r="C9" s="26" t="s">
        <v>486</v>
      </c>
      <c r="D9" s="97" t="s">
        <v>533</v>
      </c>
      <c r="E9" s="98">
        <v>24</v>
      </c>
      <c r="F9" s="99"/>
      <c r="G9" s="21">
        <f>IF(D9="DATE",4,IF(D9="CHAR",E9,IF(D9="SMALLINT",2,IF(D9="INTEGER",4,IF(D9="TIMESTAMP",10,IF(D9="TIME",3,0))))))</f>
        <v>24</v>
      </c>
      <c r="H9" s="89" t="s">
        <v>547</v>
      </c>
      <c r="I9" s="89" t="s">
        <v>547</v>
      </c>
      <c r="J9" s="92"/>
      <c r="K9" s="669"/>
      <c r="L9" s="603"/>
      <c r="M9" s="604"/>
    </row>
    <row r="10" spans="1:18" ht="11.25" customHeight="1">
      <c r="A10" s="42">
        <f t="shared" si="0"/>
        <v>4</v>
      </c>
      <c r="B10" s="93" t="s">
        <v>483</v>
      </c>
      <c r="C10" s="26" t="s">
        <v>484</v>
      </c>
      <c r="D10" s="97" t="s">
        <v>533</v>
      </c>
      <c r="E10" s="98">
        <v>12</v>
      </c>
      <c r="F10" s="99"/>
      <c r="G10" s="21">
        <f>IF(D10="DATE",4,IF(D10="CHAR",E10,IF(D10="SMALLINT",2,IF(D10="INTEGER",4,IF(D10="TIMESTAMP",10,IF(D10="TIME",3,0))))))</f>
        <v>12</v>
      </c>
      <c r="H10" s="89" t="s">
        <v>547</v>
      </c>
      <c r="I10" s="89"/>
      <c r="J10" s="92"/>
      <c r="K10" s="847"/>
      <c r="L10" s="847"/>
      <c r="M10" s="847"/>
    </row>
    <row r="11" spans="1:18">
      <c r="A11" s="42">
        <f t="shared" si="0"/>
        <v>5</v>
      </c>
      <c r="B11" s="93" t="s">
        <v>482</v>
      </c>
      <c r="C11" s="26" t="s">
        <v>76</v>
      </c>
      <c r="D11" s="97" t="s">
        <v>533</v>
      </c>
      <c r="E11" s="98">
        <v>12</v>
      </c>
      <c r="F11" s="99"/>
      <c r="G11" s="21">
        <f>IF(D11="DATE",4,IF(D11="CHAR",E11,IF(D11="SMALLINT",2,IF(D11="INTEGER",4,IF(D11="TIMESTAMP",10,IF(D11="TIME",3,0))))))</f>
        <v>12</v>
      </c>
      <c r="H11" s="89" t="s">
        <v>547</v>
      </c>
      <c r="I11" s="89"/>
      <c r="J11" s="92"/>
      <c r="K11" s="847"/>
      <c r="L11" s="847"/>
      <c r="M11" s="847"/>
      <c r="P11" s="22" t="s">
        <v>563</v>
      </c>
    </row>
    <row r="12" spans="1:18" ht="11.25" customHeight="1">
      <c r="A12" s="42">
        <f t="shared" si="0"/>
        <v>6</v>
      </c>
      <c r="B12" s="100" t="s">
        <v>1167</v>
      </c>
      <c r="C12" s="297" t="s">
        <v>1169</v>
      </c>
      <c r="D12" s="298" t="s">
        <v>533</v>
      </c>
      <c r="E12" s="299">
        <v>12</v>
      </c>
      <c r="F12" s="300"/>
      <c r="G12" s="301">
        <v>12</v>
      </c>
      <c r="H12" s="296" t="s">
        <v>528</v>
      </c>
      <c r="I12" s="302"/>
      <c r="J12" s="303"/>
      <c r="K12" s="848"/>
      <c r="L12" s="849"/>
      <c r="M12" s="850"/>
      <c r="N12" s="304"/>
      <c r="O12" s="304"/>
      <c r="P12" s="304"/>
      <c r="Q12" s="304"/>
      <c r="R12" s="304"/>
    </row>
    <row r="13" spans="1:18" ht="11.25" customHeight="1">
      <c r="A13" s="42">
        <f t="shared" si="0"/>
        <v>7</v>
      </c>
      <c r="B13" s="100" t="s">
        <v>1188</v>
      </c>
      <c r="C13" s="297" t="s">
        <v>1189</v>
      </c>
      <c r="D13" s="298" t="s">
        <v>533</v>
      </c>
      <c r="E13" s="299">
        <v>24</v>
      </c>
      <c r="F13" s="300"/>
      <c r="G13" s="301">
        <v>24</v>
      </c>
      <c r="H13" s="296" t="s">
        <v>528</v>
      </c>
      <c r="I13" s="302"/>
      <c r="J13" s="303"/>
      <c r="K13" s="848"/>
      <c r="L13" s="849"/>
      <c r="M13" s="850"/>
      <c r="N13" s="304"/>
      <c r="O13" s="304"/>
      <c r="P13" s="304"/>
      <c r="Q13" s="304"/>
      <c r="R13" s="304"/>
    </row>
    <row r="14" spans="1:18" ht="11.25" customHeight="1">
      <c r="A14" s="42">
        <f t="shared" si="0"/>
        <v>8</v>
      </c>
      <c r="B14" s="100" t="s">
        <v>1190</v>
      </c>
      <c r="C14" s="305" t="s">
        <v>706</v>
      </c>
      <c r="D14" s="306" t="s">
        <v>287</v>
      </c>
      <c r="E14" s="307">
        <v>2</v>
      </c>
      <c r="F14" s="308"/>
      <c r="G14" s="301">
        <v>2</v>
      </c>
      <c r="H14" s="296" t="s">
        <v>288</v>
      </c>
      <c r="I14" s="296"/>
      <c r="J14" s="309"/>
      <c r="K14" s="848"/>
      <c r="L14" s="849"/>
      <c r="M14" s="850"/>
      <c r="N14" s="304"/>
      <c r="O14" s="304"/>
      <c r="P14" s="304"/>
      <c r="Q14" s="304"/>
      <c r="R14" s="304"/>
    </row>
    <row r="15" spans="1:18" ht="11.25" customHeight="1">
      <c r="A15" s="42">
        <f t="shared" si="0"/>
        <v>9</v>
      </c>
      <c r="B15" s="100" t="s">
        <v>1451</v>
      </c>
      <c r="C15" s="305" t="s">
        <v>1450</v>
      </c>
      <c r="D15" s="306" t="s">
        <v>533</v>
      </c>
      <c r="E15" s="307">
        <v>3</v>
      </c>
      <c r="F15" s="308"/>
      <c r="G15" s="301">
        <v>3</v>
      </c>
      <c r="H15" s="296" t="s">
        <v>1379</v>
      </c>
      <c r="I15" s="296"/>
      <c r="J15" s="309"/>
      <c r="K15" s="851"/>
      <c r="L15" s="852"/>
      <c r="M15" s="853"/>
      <c r="N15" s="304"/>
      <c r="O15" s="304"/>
      <c r="P15" s="304" t="s">
        <v>1378</v>
      </c>
      <c r="Q15" s="304"/>
      <c r="R15" s="304"/>
    </row>
    <row r="16" spans="1:18" ht="11.25" customHeight="1">
      <c r="A16" s="42">
        <f t="shared" si="0"/>
        <v>10</v>
      </c>
      <c r="B16" s="100" t="s">
        <v>1185</v>
      </c>
      <c r="C16" s="305" t="s">
        <v>707</v>
      </c>
      <c r="D16" s="306" t="s">
        <v>569</v>
      </c>
      <c r="E16" s="307">
        <v>24</v>
      </c>
      <c r="F16" s="308"/>
      <c r="G16" s="301">
        <v>24</v>
      </c>
      <c r="H16" s="296" t="s">
        <v>1400</v>
      </c>
      <c r="I16" s="296"/>
      <c r="J16" s="309"/>
      <c r="K16" s="854"/>
      <c r="L16" s="855"/>
      <c r="M16" s="856"/>
      <c r="N16" s="304"/>
      <c r="O16" s="304"/>
      <c r="P16" s="304"/>
      <c r="Q16" s="304"/>
      <c r="R16" s="304"/>
    </row>
    <row r="17" spans="1:13">
      <c r="A17" s="42">
        <f t="shared" si="0"/>
        <v>11</v>
      </c>
      <c r="B17" s="64" t="s">
        <v>26</v>
      </c>
      <c r="C17" s="24" t="s">
        <v>1399</v>
      </c>
      <c r="D17" s="65" t="s">
        <v>519</v>
      </c>
      <c r="E17" s="51"/>
      <c r="F17" s="58"/>
      <c r="G17" s="21">
        <f t="shared" ref="G17:G22" si="1">IF(D17="DATE",4,IF(D17="CHAR",E17,IF(D17="SMALLINT",2,IF(D17="INTEGER",4,IF(D17="TIMESTAMP",10,IF(D17="TIME",3,0))))))</f>
        <v>4</v>
      </c>
      <c r="H17" s="89" t="s">
        <v>1400</v>
      </c>
      <c r="I17" s="89" t="s">
        <v>1400</v>
      </c>
      <c r="J17" s="165"/>
      <c r="K17" s="632" t="s">
        <v>1409</v>
      </c>
      <c r="L17" s="633"/>
      <c r="M17" s="634"/>
    </row>
    <row r="18" spans="1:13">
      <c r="A18" s="42">
        <f t="shared" si="0"/>
        <v>12</v>
      </c>
      <c r="B18" s="64" t="s">
        <v>27</v>
      </c>
      <c r="C18" s="24" t="s">
        <v>1401</v>
      </c>
      <c r="D18" s="65" t="s">
        <v>1402</v>
      </c>
      <c r="E18" s="51"/>
      <c r="F18" s="58"/>
      <c r="G18" s="21">
        <f t="shared" si="1"/>
        <v>4</v>
      </c>
      <c r="H18" s="89" t="s">
        <v>1403</v>
      </c>
      <c r="I18" s="53"/>
      <c r="J18" s="165"/>
      <c r="K18" s="632" t="s">
        <v>1410</v>
      </c>
      <c r="L18" s="633"/>
      <c r="M18" s="634"/>
    </row>
    <row r="19" spans="1:13" s="16" customFormat="1" ht="12" customHeight="1">
      <c r="A19" s="42">
        <f t="shared" si="0"/>
        <v>13</v>
      </c>
      <c r="B19" s="64" t="s">
        <v>1083</v>
      </c>
      <c r="C19" s="24" t="s">
        <v>1111</v>
      </c>
      <c r="D19" s="72" t="s">
        <v>1431</v>
      </c>
      <c r="E19" s="51">
        <v>8</v>
      </c>
      <c r="F19" s="58"/>
      <c r="G19" s="21">
        <f t="shared" si="1"/>
        <v>8</v>
      </c>
      <c r="H19" s="53" t="s">
        <v>1432</v>
      </c>
      <c r="I19" s="53"/>
      <c r="J19" s="59"/>
      <c r="K19" s="609" t="s">
        <v>1112</v>
      </c>
      <c r="L19" s="610"/>
      <c r="M19" s="611"/>
    </row>
    <row r="20" spans="1:13">
      <c r="A20" s="42">
        <f t="shared" si="0"/>
        <v>14</v>
      </c>
      <c r="B20" s="93" t="s">
        <v>1724</v>
      </c>
      <c r="C20" s="26" t="s">
        <v>1404</v>
      </c>
      <c r="D20" s="94" t="s">
        <v>1405</v>
      </c>
      <c r="E20" s="95"/>
      <c r="F20" s="90"/>
      <c r="G20" s="21">
        <f t="shared" si="1"/>
        <v>10</v>
      </c>
      <c r="H20" s="91" t="s">
        <v>1406</v>
      </c>
      <c r="I20" s="89"/>
      <c r="J20" s="92"/>
      <c r="K20" s="602"/>
      <c r="L20" s="603"/>
      <c r="M20" s="604"/>
    </row>
    <row r="21" spans="1:13" ht="40.5" customHeight="1">
      <c r="A21" s="89">
        <f>IF(B21=""," ",A20+1)</f>
        <v>15</v>
      </c>
      <c r="B21" s="96" t="s">
        <v>525</v>
      </c>
      <c r="C21" s="31" t="s">
        <v>292</v>
      </c>
      <c r="D21" s="97" t="s">
        <v>523</v>
      </c>
      <c r="E21" s="98">
        <v>7</v>
      </c>
      <c r="F21" s="99"/>
      <c r="G21" s="21">
        <f t="shared" si="1"/>
        <v>7</v>
      </c>
      <c r="H21" s="89" t="s">
        <v>528</v>
      </c>
      <c r="I21" s="89" t="s">
        <v>528</v>
      </c>
      <c r="J21" s="92"/>
      <c r="K21" s="602" t="s">
        <v>1737</v>
      </c>
      <c r="L21" s="603"/>
      <c r="M21" s="604"/>
    </row>
    <row r="22" spans="1:13" ht="30" customHeight="1">
      <c r="A22" s="89">
        <f>IF(B22=""," ",A21+1)</f>
        <v>16</v>
      </c>
      <c r="B22" s="96" t="s">
        <v>1735</v>
      </c>
      <c r="C22" s="31" t="s">
        <v>1736</v>
      </c>
      <c r="D22" s="97" t="s">
        <v>523</v>
      </c>
      <c r="E22" s="98">
        <v>1</v>
      </c>
      <c r="F22" s="99"/>
      <c r="G22" s="21">
        <f t="shared" si="1"/>
        <v>1</v>
      </c>
      <c r="H22" s="89" t="s">
        <v>528</v>
      </c>
      <c r="I22" s="89"/>
      <c r="J22" s="92"/>
      <c r="K22" s="602" t="s">
        <v>1738</v>
      </c>
      <c r="L22" s="603"/>
      <c r="M22" s="604"/>
    </row>
    <row r="23" spans="1:13">
      <c r="A23" s="89" t="str">
        <f>IF(B23=""," ",A22+1)</f>
        <v xml:space="preserve"> </v>
      </c>
      <c r="B23" s="96"/>
      <c r="C23" s="31"/>
      <c r="D23" s="97"/>
      <c r="E23" s="98"/>
      <c r="F23" s="99"/>
      <c r="G23" s="21"/>
      <c r="H23" s="89"/>
      <c r="I23" s="89"/>
      <c r="J23" s="92"/>
      <c r="K23" s="602"/>
      <c r="L23" s="603"/>
      <c r="M23" s="604"/>
    </row>
    <row r="24" spans="1:13">
      <c r="A24" s="89" t="str">
        <f>IF(B24=""," ",#REF!+1)</f>
        <v xml:space="preserve"> </v>
      </c>
      <c r="B24" s="66"/>
      <c r="C24" s="31"/>
      <c r="D24" s="97"/>
      <c r="E24" s="98"/>
      <c r="F24" s="99"/>
      <c r="G24" s="21"/>
      <c r="H24" s="89"/>
      <c r="I24" s="89"/>
      <c r="J24" s="92"/>
      <c r="K24" s="31"/>
      <c r="L24" s="32"/>
      <c r="M24" s="33"/>
    </row>
    <row r="25" spans="1:13">
      <c r="A25" s="89" t="str">
        <f>IF(B25=""," ",#REF!+1)</f>
        <v xml:space="preserve"> </v>
      </c>
      <c r="B25" s="96"/>
      <c r="C25" s="31"/>
      <c r="D25" s="97"/>
      <c r="E25" s="98"/>
      <c r="F25" s="99"/>
      <c r="G25" s="21"/>
      <c r="H25" s="89"/>
      <c r="I25" s="89"/>
      <c r="J25" s="92"/>
      <c r="K25" s="31"/>
      <c r="L25" s="32"/>
      <c r="M25" s="33"/>
    </row>
    <row r="26" spans="1:13">
      <c r="A26" s="89" t="str">
        <f>IF(B26=""," ",#REF!+1)</f>
        <v xml:space="preserve"> </v>
      </c>
      <c r="B26" s="96"/>
      <c r="C26" s="31"/>
      <c r="D26" s="97"/>
      <c r="E26" s="98"/>
      <c r="F26" s="99"/>
      <c r="G26" s="21"/>
      <c r="H26" s="89"/>
      <c r="I26" s="89"/>
      <c r="J26" s="92"/>
      <c r="K26" s="31"/>
      <c r="L26" s="32"/>
      <c r="M26" s="33"/>
    </row>
    <row r="27" spans="1:13">
      <c r="A27" s="89" t="str">
        <f t="shared" ref="A27:A35" si="2">IF(B27=""," ",A26+1)</f>
        <v xml:space="preserve"> </v>
      </c>
      <c r="B27" s="96"/>
      <c r="C27" s="31"/>
      <c r="D27" s="97"/>
      <c r="E27" s="98"/>
      <c r="F27" s="99"/>
      <c r="G27" s="21"/>
      <c r="H27" s="89"/>
      <c r="I27" s="89"/>
      <c r="J27" s="92"/>
      <c r="K27" s="31"/>
      <c r="L27" s="32"/>
      <c r="M27" s="33"/>
    </row>
    <row r="28" spans="1:13">
      <c r="A28" s="89" t="str">
        <f t="shared" si="2"/>
        <v xml:space="preserve"> </v>
      </c>
      <c r="B28" s="96"/>
      <c r="C28" s="31"/>
      <c r="D28" s="97"/>
      <c r="E28" s="98"/>
      <c r="F28" s="99"/>
      <c r="G28" s="21"/>
      <c r="H28" s="89"/>
      <c r="I28" s="89"/>
      <c r="J28" s="92"/>
      <c r="K28" s="31"/>
      <c r="L28" s="32"/>
      <c r="M28" s="33"/>
    </row>
    <row r="29" spans="1:13">
      <c r="A29" s="89" t="str">
        <f t="shared" si="2"/>
        <v xml:space="preserve"> </v>
      </c>
      <c r="B29" s="96"/>
      <c r="C29" s="31"/>
      <c r="D29" s="97"/>
      <c r="E29" s="98"/>
      <c r="F29" s="99"/>
      <c r="G29" s="21"/>
      <c r="H29" s="89"/>
      <c r="I29" s="89"/>
      <c r="J29" s="92"/>
      <c r="K29" s="31"/>
      <c r="L29" s="32"/>
      <c r="M29" s="33"/>
    </row>
    <row r="30" spans="1:13">
      <c r="A30" s="89" t="str">
        <f>IF(B30=""," ",A29+1)</f>
        <v xml:space="preserve"> </v>
      </c>
      <c r="B30" s="96"/>
      <c r="C30" s="31"/>
      <c r="D30" s="97"/>
      <c r="E30" s="98"/>
      <c r="F30" s="99"/>
      <c r="G30" s="21"/>
      <c r="H30" s="89"/>
      <c r="I30" s="89"/>
      <c r="J30" s="92"/>
      <c r="K30" s="31"/>
      <c r="L30" s="32"/>
      <c r="M30" s="33"/>
    </row>
    <row r="31" spans="1:13">
      <c r="A31" s="89" t="str">
        <f t="shared" si="2"/>
        <v xml:space="preserve"> </v>
      </c>
      <c r="B31" s="96"/>
      <c r="C31" s="31"/>
      <c r="D31" s="97"/>
      <c r="E31" s="98"/>
      <c r="F31" s="99"/>
      <c r="G31" s="21"/>
      <c r="H31" s="89"/>
      <c r="I31" s="89"/>
      <c r="J31" s="92"/>
      <c r="K31" s="31"/>
      <c r="L31" s="32"/>
      <c r="M31" s="33"/>
    </row>
    <row r="32" spans="1:13">
      <c r="A32" s="89" t="str">
        <f t="shared" si="2"/>
        <v xml:space="preserve"> </v>
      </c>
      <c r="B32" s="96"/>
      <c r="C32" s="31"/>
      <c r="D32" s="97"/>
      <c r="E32" s="98"/>
      <c r="F32" s="99"/>
      <c r="G32" s="21"/>
      <c r="H32" s="89"/>
      <c r="I32" s="89"/>
      <c r="J32" s="92"/>
      <c r="K32" s="31"/>
      <c r="L32" s="32"/>
      <c r="M32" s="33"/>
    </row>
    <row r="33" spans="1:13">
      <c r="A33" s="89" t="str">
        <f t="shared" si="2"/>
        <v xml:space="preserve"> </v>
      </c>
      <c r="B33" s="96"/>
      <c r="C33" s="31"/>
      <c r="D33" s="97"/>
      <c r="E33" s="98"/>
      <c r="F33" s="99"/>
      <c r="G33" s="21"/>
      <c r="H33" s="89"/>
      <c r="I33" s="89"/>
      <c r="J33" s="92"/>
      <c r="K33" s="31"/>
      <c r="L33" s="32"/>
      <c r="M33" s="33"/>
    </row>
    <row r="34" spans="1:13">
      <c r="A34" s="89" t="str">
        <f t="shared" si="2"/>
        <v xml:space="preserve"> </v>
      </c>
      <c r="B34" s="96"/>
      <c r="C34" s="31"/>
      <c r="D34" s="97"/>
      <c r="E34" s="98"/>
      <c r="F34" s="99"/>
      <c r="G34" s="21"/>
      <c r="H34" s="89"/>
      <c r="I34" s="89"/>
      <c r="J34" s="92"/>
      <c r="K34" s="31"/>
      <c r="L34" s="32"/>
      <c r="M34" s="33"/>
    </row>
    <row r="35" spans="1:13">
      <c r="A35" s="89" t="str">
        <f t="shared" si="2"/>
        <v xml:space="preserve"> </v>
      </c>
      <c r="B35" s="96"/>
      <c r="C35" s="31"/>
      <c r="D35" s="97"/>
      <c r="E35" s="98"/>
      <c r="F35" s="99"/>
      <c r="G35" s="21"/>
      <c r="H35" s="89"/>
      <c r="I35" s="89"/>
      <c r="J35" s="92"/>
      <c r="K35" s="31"/>
      <c r="L35" s="32"/>
      <c r="M35" s="33"/>
    </row>
    <row r="36" spans="1:13">
      <c r="A36" s="42" t="str">
        <f>IF(B36=""," ",A35+1)</f>
        <v xml:space="preserve"> </v>
      </c>
      <c r="B36" s="71"/>
      <c r="C36" s="13"/>
      <c r="D36" s="72"/>
      <c r="E36" s="73"/>
      <c r="F36" s="74"/>
      <c r="G36" s="20"/>
      <c r="H36" s="42"/>
      <c r="I36" s="42"/>
      <c r="J36" s="59"/>
      <c r="K36" s="609"/>
      <c r="L36" s="610"/>
      <c r="M36" s="611"/>
    </row>
    <row r="37" spans="1:13">
      <c r="A37" s="42" t="str">
        <f>IF(B37=""," ",#REF!+1)</f>
        <v xml:space="preserve"> </v>
      </c>
      <c r="B37" s="71"/>
      <c r="C37" s="13"/>
      <c r="D37" s="72"/>
      <c r="E37" s="73"/>
      <c r="F37" s="74"/>
      <c r="G37" s="20"/>
      <c r="H37" s="42"/>
      <c r="I37" s="42"/>
      <c r="J37" s="59"/>
      <c r="K37" s="609"/>
      <c r="L37" s="610"/>
      <c r="M37" s="611"/>
    </row>
    <row r="38" spans="1:13">
      <c r="A38" s="42" t="str">
        <f>IF(B38=""," ",#REF!+1)</f>
        <v xml:space="preserve"> </v>
      </c>
      <c r="B38" s="71"/>
      <c r="C38" s="13"/>
      <c r="D38" s="72"/>
      <c r="E38" s="73"/>
      <c r="F38" s="74"/>
      <c r="G38" s="20"/>
      <c r="H38" s="42"/>
      <c r="I38" s="42"/>
      <c r="J38" s="59"/>
      <c r="K38" s="13"/>
      <c r="L38" s="14"/>
      <c r="M38" s="15"/>
    </row>
    <row r="39" spans="1:13">
      <c r="A39" s="42" t="str">
        <f>IF(B39=""," ",A38+1)</f>
        <v xml:space="preserve"> </v>
      </c>
      <c r="B39" s="71"/>
      <c r="C39" s="13"/>
      <c r="D39" s="72"/>
      <c r="E39" s="73"/>
      <c r="F39" s="74"/>
      <c r="G39" s="20"/>
      <c r="H39" s="42"/>
      <c r="I39" s="42"/>
      <c r="J39" s="59"/>
      <c r="K39" s="13"/>
      <c r="L39" s="14"/>
      <c r="M39" s="15"/>
    </row>
    <row r="40" spans="1:13">
      <c r="A40" s="42" t="str">
        <f>IF(B40=""," ",A39+1)</f>
        <v xml:space="preserve"> </v>
      </c>
      <c r="B40" s="71"/>
      <c r="C40" s="13"/>
      <c r="D40" s="72"/>
      <c r="E40" s="73"/>
      <c r="F40" s="74"/>
      <c r="G40" s="20"/>
      <c r="H40" s="42"/>
      <c r="I40" s="42"/>
      <c r="J40" s="59"/>
      <c r="K40" s="609"/>
      <c r="L40" s="610"/>
      <c r="M40" s="611"/>
    </row>
    <row r="41" spans="1:13">
      <c r="A41" s="42" t="str">
        <f>IF(B41=""," ",#REF!+1)</f>
        <v xml:space="preserve"> </v>
      </c>
      <c r="B41" s="71"/>
      <c r="C41" s="13"/>
      <c r="D41" s="72"/>
      <c r="E41" s="73"/>
      <c r="F41" s="74"/>
      <c r="G41" s="20"/>
      <c r="H41" s="42"/>
      <c r="I41" s="42"/>
      <c r="J41" s="59"/>
      <c r="K41" s="609"/>
      <c r="L41" s="610"/>
      <c r="M41" s="611"/>
    </row>
    <row r="42" spans="1:13">
      <c r="A42" s="42" t="str">
        <f>IF(B42=""," ",#REF!+1)</f>
        <v xml:space="preserve"> </v>
      </c>
      <c r="B42" s="71"/>
      <c r="C42" s="13"/>
      <c r="D42" s="72"/>
      <c r="E42" s="73"/>
      <c r="F42" s="74"/>
      <c r="G42" s="20"/>
      <c r="H42" s="42"/>
      <c r="I42" s="42"/>
      <c r="J42" s="59"/>
      <c r="K42" s="13"/>
      <c r="L42" s="14"/>
      <c r="M42" s="15"/>
    </row>
    <row r="43" spans="1:13">
      <c r="A43" s="42" t="str">
        <f>IF(B43=""," ",A42+1)</f>
        <v xml:space="preserve"> </v>
      </c>
      <c r="B43" s="71"/>
      <c r="C43" s="13"/>
      <c r="D43" s="72"/>
      <c r="E43" s="73"/>
      <c r="F43" s="74"/>
      <c r="G43" s="20"/>
      <c r="H43" s="42"/>
      <c r="I43" s="42"/>
      <c r="J43" s="59"/>
      <c r="K43" s="13"/>
      <c r="L43" s="14"/>
      <c r="M43" s="15"/>
    </row>
    <row r="44" spans="1:13">
      <c r="A44" s="42" t="str">
        <f>IF(B44=""," ",A43+1)</f>
        <v xml:space="preserve"> </v>
      </c>
      <c r="B44" s="71"/>
      <c r="C44" s="13"/>
      <c r="D44" s="72"/>
      <c r="E44" s="73"/>
      <c r="F44" s="74"/>
      <c r="G44" s="20"/>
      <c r="H44" s="42"/>
      <c r="I44" s="42"/>
      <c r="J44" s="59"/>
      <c r="K44" s="609"/>
      <c r="L44" s="610"/>
      <c r="M44" s="611"/>
    </row>
    <row r="45" spans="1:13">
      <c r="A45" s="42" t="str">
        <f>IF(B45=""," ",#REF!+1)</f>
        <v xml:space="preserve"> </v>
      </c>
      <c r="B45" s="71"/>
      <c r="C45" s="13"/>
      <c r="D45" s="72"/>
      <c r="E45" s="73"/>
      <c r="F45" s="74"/>
      <c r="G45" s="20"/>
      <c r="H45" s="42"/>
      <c r="I45" s="42"/>
      <c r="J45" s="59"/>
      <c r="K45" s="609"/>
      <c r="L45" s="610"/>
      <c r="M45" s="611"/>
    </row>
    <row r="46" spans="1:13">
      <c r="A46" s="42" t="str">
        <f>IF(B46=""," ",#REF!+1)</f>
        <v xml:space="preserve"> </v>
      </c>
      <c r="B46" s="71"/>
      <c r="C46" s="13"/>
      <c r="D46" s="72"/>
      <c r="E46" s="73"/>
      <c r="F46" s="74"/>
      <c r="G46" s="20"/>
      <c r="H46" s="42"/>
      <c r="I46" s="42"/>
      <c r="J46" s="59"/>
      <c r="K46" s="13"/>
      <c r="L46" s="14"/>
      <c r="M46" s="15"/>
    </row>
    <row r="47" spans="1:13">
      <c r="A47" s="42" t="str">
        <f>IF(B47=""," ",A46+1)</f>
        <v xml:space="preserve"> </v>
      </c>
      <c r="B47" s="71"/>
      <c r="C47" s="13"/>
      <c r="D47" s="72"/>
      <c r="E47" s="73"/>
      <c r="F47" s="74"/>
      <c r="G47" s="20"/>
      <c r="H47" s="42"/>
      <c r="I47" s="42"/>
      <c r="J47" s="59"/>
      <c r="K47" s="13"/>
      <c r="L47" s="14"/>
      <c r="M47" s="15"/>
    </row>
    <row r="48" spans="1:13">
      <c r="A48" s="42" t="str">
        <f>IF(B48=""," ",A47+1)</f>
        <v xml:space="preserve"> </v>
      </c>
      <c r="B48" s="71"/>
      <c r="C48" s="13"/>
      <c r="D48" s="72"/>
      <c r="E48" s="73"/>
      <c r="F48" s="74"/>
      <c r="G48" s="20"/>
      <c r="H48" s="42"/>
      <c r="I48" s="42"/>
      <c r="J48" s="59"/>
      <c r="K48" s="609"/>
      <c r="L48" s="610"/>
      <c r="M48" s="611"/>
    </row>
    <row r="49" spans="1:13">
      <c r="A49" s="42" t="str">
        <f>IF(B49=""," ",#REF!+1)</f>
        <v xml:space="preserve"> </v>
      </c>
      <c r="B49" s="71"/>
      <c r="C49" s="13"/>
      <c r="D49" s="72"/>
      <c r="E49" s="73"/>
      <c r="F49" s="74"/>
      <c r="G49" s="20"/>
      <c r="H49" s="42"/>
      <c r="I49" s="42"/>
      <c r="J49" s="59"/>
      <c r="K49" s="609"/>
      <c r="L49" s="610"/>
      <c r="M49" s="611"/>
    </row>
    <row r="50" spans="1:13">
      <c r="A50" s="42" t="str">
        <f>IF(B50=""," ",#REF!+1)</f>
        <v xml:space="preserve"> </v>
      </c>
      <c r="B50" s="71"/>
      <c r="C50" s="13"/>
      <c r="D50" s="72"/>
      <c r="E50" s="73"/>
      <c r="F50" s="74"/>
      <c r="G50" s="20"/>
      <c r="H50" s="42"/>
      <c r="I50" s="42"/>
      <c r="J50" s="59"/>
      <c r="K50" s="13"/>
      <c r="L50" s="14"/>
      <c r="M50" s="15"/>
    </row>
    <row r="51" spans="1:13">
      <c r="A51" s="42" t="str">
        <f>IF(B51=""," ",A50+1)</f>
        <v xml:space="preserve"> </v>
      </c>
      <c r="B51" s="71"/>
      <c r="C51" s="13"/>
      <c r="D51" s="72"/>
      <c r="E51" s="73"/>
      <c r="F51" s="74"/>
      <c r="G51" s="20"/>
      <c r="H51" s="42"/>
      <c r="I51" s="42"/>
      <c r="J51" s="59"/>
      <c r="K51" s="13"/>
      <c r="L51" s="14"/>
      <c r="M51" s="15"/>
    </row>
    <row r="52" spans="1:13">
      <c r="A52" s="42" t="str">
        <f>IF(B52=""," ",A51+1)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609"/>
      <c r="L53" s="610"/>
      <c r="M53" s="611"/>
    </row>
    <row r="54" spans="1:13">
      <c r="A54" s="42" t="str">
        <f>IF(B54=""," ",#REF!+1)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13"/>
      <c r="L55" s="14"/>
      <c r="M55" s="15"/>
    </row>
    <row r="56" spans="1:13">
      <c r="A56" s="42" t="str">
        <f>IF(B56=""," ",A55+1)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609"/>
      <c r="L57" s="610"/>
      <c r="M57" s="611"/>
    </row>
    <row r="58" spans="1:13">
      <c r="A58" s="42" t="str">
        <f>IF(B58=""," ",#REF!+1)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13"/>
      <c r="L59" s="14"/>
      <c r="M59" s="15"/>
    </row>
    <row r="60" spans="1:13">
      <c r="A60" s="42" t="str">
        <f>IF(B60=""," ",A59+1)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13"/>
      <c r="L95" s="14"/>
      <c r="M95" s="15"/>
    </row>
    <row r="97" spans="1:11">
      <c r="B97" s="16" t="s">
        <v>1691</v>
      </c>
      <c r="C97" s="16"/>
      <c r="D97" s="16"/>
      <c r="E97" s="16"/>
      <c r="F97" s="16"/>
      <c r="G97" s="16"/>
      <c r="H97" s="16"/>
      <c r="I97" s="16"/>
      <c r="J97" s="16"/>
      <c r="K97" s="16"/>
    </row>
    <row r="98" spans="1:11">
      <c r="B98" s="16"/>
      <c r="C98" s="16"/>
      <c r="D98" s="16"/>
      <c r="E98" s="16"/>
      <c r="F98" s="16"/>
      <c r="G98" s="16"/>
      <c r="H98" s="16"/>
      <c r="I98" s="16"/>
      <c r="J98" s="16"/>
      <c r="K98" s="16"/>
    </row>
    <row r="99" spans="1:11">
      <c r="B99" s="16" t="s">
        <v>1692</v>
      </c>
      <c r="C99" s="16" t="s">
        <v>1693</v>
      </c>
      <c r="D99" s="16" t="s">
        <v>1695</v>
      </c>
      <c r="E99" s="16"/>
      <c r="F99" s="16"/>
      <c r="G99" s="16"/>
      <c r="H99" s="16"/>
      <c r="I99" s="16"/>
      <c r="J99" s="16"/>
      <c r="K99" s="16"/>
    </row>
    <row r="100" spans="1:11">
      <c r="B100" s="16"/>
      <c r="C100" s="16"/>
      <c r="D100" s="16" t="s">
        <v>1694</v>
      </c>
      <c r="E100" s="16"/>
      <c r="F100" s="16"/>
      <c r="G100" s="16"/>
      <c r="H100" s="16"/>
      <c r="I100" s="16"/>
      <c r="J100" s="16"/>
      <c r="K100" s="16"/>
    </row>
    <row r="101" spans="1:11">
      <c r="C101" s="16"/>
      <c r="D101" s="16" t="s">
        <v>1726</v>
      </c>
    </row>
    <row r="102" spans="1:11">
      <c r="C102" s="16" t="s">
        <v>1720</v>
      </c>
      <c r="D102" s="16" t="s">
        <v>1724</v>
      </c>
    </row>
    <row r="103" spans="1:11">
      <c r="C103" s="16" t="s">
        <v>1725</v>
      </c>
      <c r="D103" s="16"/>
    </row>
    <row r="105" spans="1:11" s="16" customFormat="1">
      <c r="A105" s="46"/>
      <c r="B105" s="75" t="s">
        <v>1463</v>
      </c>
      <c r="C105" s="16" t="s">
        <v>1411</v>
      </c>
    </row>
    <row r="106" spans="1:11" s="16" customFormat="1">
      <c r="A106" s="46"/>
      <c r="B106" s="75"/>
    </row>
    <row r="107" spans="1:11">
      <c r="B107" s="310" t="s">
        <v>708</v>
      </c>
      <c r="C107" s="22" t="s">
        <v>722</v>
      </c>
    </row>
    <row r="108" spans="1:11">
      <c r="B108" s="310"/>
      <c r="C108" s="22" t="s">
        <v>721</v>
      </c>
    </row>
    <row r="109" spans="1:11">
      <c r="C109" s="22" t="s">
        <v>709</v>
      </c>
    </row>
    <row r="110" spans="1:11">
      <c r="C110" s="22" t="s">
        <v>710</v>
      </c>
    </row>
    <row r="111" spans="1:11">
      <c r="C111" s="22" t="s">
        <v>720</v>
      </c>
    </row>
    <row r="112" spans="1:11">
      <c r="C112" s="22" t="s">
        <v>719</v>
      </c>
    </row>
    <row r="114" spans="2:5">
      <c r="B114" s="22" t="s">
        <v>1730</v>
      </c>
      <c r="C114" s="22" t="s">
        <v>1720</v>
      </c>
      <c r="D114" s="22" t="s">
        <v>1739</v>
      </c>
    </row>
    <row r="115" spans="2:5">
      <c r="D115" s="22" t="s">
        <v>1740</v>
      </c>
    </row>
    <row r="117" spans="2:5">
      <c r="B117" s="22" t="s">
        <v>268</v>
      </c>
      <c r="C117" s="22" t="s">
        <v>269</v>
      </c>
      <c r="E117" s="22" t="s">
        <v>525</v>
      </c>
    </row>
  </sheetData>
  <mergeCells count="61">
    <mergeCell ref="K77:M77"/>
    <mergeCell ref="K80:M80"/>
    <mergeCell ref="K81:M81"/>
    <mergeCell ref="K92:M92"/>
    <mergeCell ref="K93:M93"/>
    <mergeCell ref="K84:M84"/>
    <mergeCell ref="K85:M85"/>
    <mergeCell ref="K88:M88"/>
    <mergeCell ref="K89:M89"/>
    <mergeCell ref="K69:M69"/>
    <mergeCell ref="K72:M72"/>
    <mergeCell ref="K73:M73"/>
    <mergeCell ref="K76:M76"/>
    <mergeCell ref="K61:M61"/>
    <mergeCell ref="K64:M64"/>
    <mergeCell ref="K65:M65"/>
    <mergeCell ref="K68:M68"/>
    <mergeCell ref="K53:M53"/>
    <mergeCell ref="K56:M56"/>
    <mergeCell ref="K57:M57"/>
    <mergeCell ref="K60:M60"/>
    <mergeCell ref="K45:M45"/>
    <mergeCell ref="K48:M48"/>
    <mergeCell ref="K49:M49"/>
    <mergeCell ref="K52:M52"/>
    <mergeCell ref="K40:M40"/>
    <mergeCell ref="K41:M41"/>
    <mergeCell ref="K44:M44"/>
    <mergeCell ref="K21:M21"/>
    <mergeCell ref="K22:M22"/>
    <mergeCell ref="K23:M23"/>
    <mergeCell ref="K36:M36"/>
    <mergeCell ref="K12:M12"/>
    <mergeCell ref="K13:M13"/>
    <mergeCell ref="K17:M17"/>
    <mergeCell ref="K14:M14"/>
    <mergeCell ref="K37:M37"/>
    <mergeCell ref="K18:M18"/>
    <mergeCell ref="K20:M20"/>
    <mergeCell ref="K19:M19"/>
    <mergeCell ref="K15:M15"/>
    <mergeCell ref="K16:M16"/>
    <mergeCell ref="A2:B2"/>
    <mergeCell ref="A3:B3"/>
    <mergeCell ref="A4:B4"/>
    <mergeCell ref="H2:J2"/>
    <mergeCell ref="C2:G2"/>
    <mergeCell ref="C3:G3"/>
    <mergeCell ref="C4:G4"/>
    <mergeCell ref="H4:I4"/>
    <mergeCell ref="H3:I3"/>
    <mergeCell ref="K10:M10"/>
    <mergeCell ref="K11:M11"/>
    <mergeCell ref="K9:M9"/>
    <mergeCell ref="A5:A6"/>
    <mergeCell ref="B5:C5"/>
    <mergeCell ref="K5:M6"/>
    <mergeCell ref="I5:J5"/>
    <mergeCell ref="D5:H5"/>
    <mergeCell ref="K8:M8"/>
    <mergeCell ref="K7:M7"/>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3">
    <pageSetUpPr fitToPage="1"/>
  </sheetPr>
  <dimension ref="A1:P106"/>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customWidth="1"/>
    <col min="2" max="2" width="28.625" style="22" customWidth="1"/>
    <col min="3" max="3" width="13.375" style="22" customWidth="1"/>
    <col min="4" max="4" width="9.375" style="22" customWidth="1"/>
    <col min="5" max="5" width="4.875" style="22" bestFit="1" customWidth="1"/>
    <col min="6" max="6" width="4.75" style="22" bestFit="1" customWidth="1"/>
    <col min="7" max="7" width="6.125" style="22" bestFit="1" customWidth="1"/>
    <col min="8" max="8" width="4.75" style="22" bestFit="1" customWidth="1"/>
    <col min="9" max="9" width="4.75" style="22" customWidth="1"/>
    <col min="10" max="11" width="9.625" style="22" customWidth="1"/>
    <col min="12" max="12" width="10.25" style="22" customWidth="1"/>
    <col min="13" max="13" width="10.125" style="22" customWidth="1"/>
    <col min="14" max="14" width="9" style="22"/>
    <col min="15" max="16" width="0" style="22" hidden="1" customWidth="1"/>
    <col min="17" max="16384" width="9" style="22"/>
  </cols>
  <sheetData>
    <row r="1" spans="1:16">
      <c r="B1" s="47"/>
    </row>
    <row r="2" spans="1:16">
      <c r="A2" s="670" t="s">
        <v>602</v>
      </c>
      <c r="B2" s="671"/>
      <c r="C2" s="670" t="s">
        <v>36</v>
      </c>
      <c r="D2" s="676"/>
      <c r="E2" s="676"/>
      <c r="F2" s="676"/>
      <c r="G2" s="671"/>
      <c r="H2" s="670"/>
      <c r="I2" s="676"/>
      <c r="J2" s="671"/>
      <c r="K2" s="81"/>
      <c r="L2" s="82" t="s">
        <v>37</v>
      </c>
      <c r="M2" s="82" t="s">
        <v>38</v>
      </c>
    </row>
    <row r="3" spans="1:16">
      <c r="A3" s="672"/>
      <c r="B3" s="673"/>
      <c r="C3" s="750" t="s">
        <v>1314</v>
      </c>
      <c r="D3" s="751"/>
      <c r="E3" s="751"/>
      <c r="F3" s="751"/>
      <c r="G3" s="752"/>
      <c r="H3" s="670" t="s">
        <v>39</v>
      </c>
      <c r="I3" s="671"/>
      <c r="J3" s="83">
        <f>COUNT(A7:A100)</f>
        <v>7</v>
      </c>
      <c r="K3" s="82" t="s">
        <v>40</v>
      </c>
      <c r="L3" s="84">
        <v>38751</v>
      </c>
      <c r="M3" s="41" t="s">
        <v>675</v>
      </c>
      <c r="O3" s="22" t="s">
        <v>41</v>
      </c>
      <c r="P3" s="22" t="s">
        <v>42</v>
      </c>
    </row>
    <row r="4" spans="1:16">
      <c r="A4" s="674" t="s">
        <v>43</v>
      </c>
      <c r="B4" s="675"/>
      <c r="C4" s="674" t="s">
        <v>1515</v>
      </c>
      <c r="D4" s="753"/>
      <c r="E4" s="753"/>
      <c r="F4" s="753"/>
      <c r="G4" s="675"/>
      <c r="H4" s="670" t="s">
        <v>44</v>
      </c>
      <c r="I4" s="671"/>
      <c r="J4" s="83">
        <f>SUM(G7:G100)</f>
        <v>77</v>
      </c>
      <c r="K4" s="82" t="s">
        <v>45</v>
      </c>
      <c r="L4" s="84">
        <v>38763</v>
      </c>
      <c r="M4" s="89" t="s">
        <v>1407</v>
      </c>
      <c r="O4" s="22" t="s">
        <v>574</v>
      </c>
      <c r="P4" s="22" t="s">
        <v>524</v>
      </c>
    </row>
    <row r="5" spans="1:16">
      <c r="A5" s="683" t="s">
        <v>603</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ht="12.75" customHeight="1">
      <c r="A7" s="89">
        <v>1</v>
      </c>
      <c r="B7" s="48" t="s">
        <v>1315</v>
      </c>
      <c r="C7" s="49" t="s">
        <v>307</v>
      </c>
      <c r="D7" s="78" t="s">
        <v>1164</v>
      </c>
      <c r="E7" s="98">
        <v>3</v>
      </c>
      <c r="F7" s="99"/>
      <c r="G7" s="21">
        <f t="shared" ref="G7:G12" si="0">IF(D7="DATE",4,IF(D7="CHAR",E7,IF(D7="SMALLINT",2,IF(D7="INTEGER",4,IF(D7="TIMESTAMP",10,IF(D7="TIME",3,0))))))</f>
        <v>3</v>
      </c>
      <c r="H7" s="89" t="s">
        <v>1377</v>
      </c>
      <c r="I7" s="89" t="s">
        <v>1377</v>
      </c>
      <c r="J7" s="92"/>
      <c r="K7" s="602"/>
      <c r="L7" s="603"/>
      <c r="M7" s="604"/>
    </row>
    <row r="8" spans="1:16" ht="12.75" customHeight="1">
      <c r="A8" s="42">
        <f t="shared" ref="A8:A13" si="1">IF(B8=""," ",A7+1)</f>
        <v>2</v>
      </c>
      <c r="B8" s="48" t="s">
        <v>308</v>
      </c>
      <c r="C8" s="49" t="s">
        <v>310</v>
      </c>
      <c r="D8" s="78" t="s">
        <v>1164</v>
      </c>
      <c r="E8" s="98">
        <v>16</v>
      </c>
      <c r="F8" s="99"/>
      <c r="G8" s="21">
        <f t="shared" si="0"/>
        <v>16</v>
      </c>
      <c r="H8" s="89" t="s">
        <v>1377</v>
      </c>
      <c r="I8" s="89"/>
      <c r="J8" s="92"/>
      <c r="K8" s="666"/>
      <c r="L8" s="667"/>
      <c r="M8" s="668"/>
    </row>
    <row r="9" spans="1:16" ht="12.75" customHeight="1">
      <c r="A9" s="42">
        <f t="shared" si="1"/>
        <v>3</v>
      </c>
      <c r="B9" s="48" t="s">
        <v>309</v>
      </c>
      <c r="C9" s="49" t="s">
        <v>311</v>
      </c>
      <c r="D9" s="78" t="s">
        <v>1164</v>
      </c>
      <c r="E9" s="98">
        <v>32</v>
      </c>
      <c r="F9" s="99"/>
      <c r="G9" s="21">
        <f t="shared" si="0"/>
        <v>32</v>
      </c>
      <c r="H9" s="89" t="s">
        <v>1377</v>
      </c>
      <c r="I9" s="89"/>
      <c r="J9" s="92"/>
      <c r="K9" s="666"/>
      <c r="L9" s="667"/>
      <c r="M9" s="668"/>
    </row>
    <row r="10" spans="1:16">
      <c r="A10" s="42">
        <f t="shared" si="1"/>
        <v>4</v>
      </c>
      <c r="B10" s="93" t="s">
        <v>26</v>
      </c>
      <c r="C10" s="26" t="s">
        <v>1399</v>
      </c>
      <c r="D10" s="65" t="s">
        <v>519</v>
      </c>
      <c r="E10" s="95"/>
      <c r="F10" s="90"/>
      <c r="G10" s="21">
        <f t="shared" si="0"/>
        <v>4</v>
      </c>
      <c r="H10" s="89" t="s">
        <v>1400</v>
      </c>
      <c r="I10" s="89" t="s">
        <v>1400</v>
      </c>
      <c r="J10" s="170"/>
      <c r="K10" s="26" t="s">
        <v>1409</v>
      </c>
      <c r="L10" s="153"/>
      <c r="M10" s="154"/>
    </row>
    <row r="11" spans="1:16">
      <c r="A11" s="42">
        <f t="shared" si="1"/>
        <v>5</v>
      </c>
      <c r="B11" s="93" t="s">
        <v>27</v>
      </c>
      <c r="C11" s="26" t="s">
        <v>1401</v>
      </c>
      <c r="D11" s="65" t="s">
        <v>1402</v>
      </c>
      <c r="E11" s="95"/>
      <c r="F11" s="90"/>
      <c r="G11" s="21">
        <f t="shared" si="0"/>
        <v>4</v>
      </c>
      <c r="H11" s="89" t="s">
        <v>1403</v>
      </c>
      <c r="I11" s="91"/>
      <c r="J11" s="170"/>
      <c r="K11" s="26" t="s">
        <v>1410</v>
      </c>
      <c r="L11" s="153"/>
      <c r="M11" s="154"/>
    </row>
    <row r="12" spans="1:16" s="16" customFormat="1" ht="12" customHeight="1">
      <c r="A12" s="42">
        <f t="shared" si="1"/>
        <v>6</v>
      </c>
      <c r="B12" s="64" t="s">
        <v>1083</v>
      </c>
      <c r="C12" s="24" t="s">
        <v>1111</v>
      </c>
      <c r="D12" s="72" t="s">
        <v>1431</v>
      </c>
      <c r="E12" s="51">
        <v>8</v>
      </c>
      <c r="F12" s="58"/>
      <c r="G12" s="20">
        <f t="shared" si="0"/>
        <v>8</v>
      </c>
      <c r="H12" s="53" t="s">
        <v>1432</v>
      </c>
      <c r="I12" s="53"/>
      <c r="J12" s="59"/>
      <c r="K12" s="609" t="s">
        <v>1112</v>
      </c>
      <c r="L12" s="610"/>
      <c r="M12" s="611"/>
    </row>
    <row r="13" spans="1:16">
      <c r="A13" s="42">
        <f t="shared" si="1"/>
        <v>7</v>
      </c>
      <c r="B13" s="93" t="s">
        <v>1724</v>
      </c>
      <c r="C13" s="26" t="s">
        <v>1404</v>
      </c>
      <c r="D13" s="94" t="s">
        <v>1405</v>
      </c>
      <c r="E13" s="95"/>
      <c r="F13" s="90"/>
      <c r="G13" s="21">
        <f>IF(D13="DATE",4,IF(D13="CHAR",E13,IF(D13="SMALLINT",2,IF(D13="INTEGER",4,IF(D13="TIMESTAMP",10,IF(D13="TIME",3,0))))))</f>
        <v>10</v>
      </c>
      <c r="H13" s="91" t="s">
        <v>1406</v>
      </c>
      <c r="I13" s="89"/>
      <c r="J13" s="92"/>
      <c r="K13" s="602"/>
      <c r="L13" s="603"/>
      <c r="M13" s="604"/>
    </row>
    <row r="14" spans="1:16">
      <c r="A14" s="89"/>
      <c r="B14" s="93"/>
      <c r="C14" s="26"/>
      <c r="D14" s="97"/>
      <c r="E14" s="98"/>
      <c r="F14" s="90"/>
      <c r="G14" s="241"/>
      <c r="H14" s="91"/>
      <c r="I14" s="91"/>
      <c r="J14" s="170"/>
      <c r="K14" s="663"/>
      <c r="L14" s="664"/>
      <c r="M14" s="665"/>
    </row>
    <row r="15" spans="1:16">
      <c r="A15" s="89"/>
      <c r="B15" s="93"/>
      <c r="C15" s="26"/>
      <c r="D15" s="94"/>
      <c r="E15" s="95"/>
      <c r="F15" s="90"/>
      <c r="G15" s="241"/>
      <c r="H15" s="91"/>
      <c r="I15" s="91"/>
      <c r="J15" s="170"/>
      <c r="K15" s="26"/>
      <c r="L15" s="153"/>
      <c r="M15" s="154"/>
    </row>
    <row r="16" spans="1:16">
      <c r="A16" s="89"/>
      <c r="B16" s="93"/>
      <c r="C16" s="26"/>
      <c r="D16" s="94"/>
      <c r="E16" s="95"/>
      <c r="F16" s="90"/>
      <c r="G16" s="241"/>
      <c r="H16" s="91"/>
      <c r="I16" s="91"/>
      <c r="J16" s="170"/>
      <c r="K16" s="26"/>
      <c r="L16" s="153"/>
      <c r="M16" s="154"/>
    </row>
    <row r="17" spans="1:13">
      <c r="A17" s="89"/>
      <c r="B17" s="93"/>
      <c r="C17" s="26"/>
      <c r="D17" s="94"/>
      <c r="E17" s="95"/>
      <c r="F17" s="90"/>
      <c r="G17" s="241"/>
      <c r="H17" s="91"/>
      <c r="I17" s="91"/>
      <c r="J17" s="170"/>
      <c r="K17" s="663"/>
      <c r="L17" s="664"/>
      <c r="M17" s="665"/>
    </row>
    <row r="18" spans="1:13">
      <c r="A18" s="89" t="str">
        <f>IF(B18=""," ",A17+1)</f>
        <v xml:space="preserve"> </v>
      </c>
      <c r="B18" s="93"/>
      <c r="C18" s="26"/>
      <c r="D18" s="94"/>
      <c r="E18" s="95"/>
      <c r="F18" s="90"/>
      <c r="G18" s="241"/>
      <c r="H18" s="91"/>
      <c r="I18" s="91"/>
      <c r="J18" s="170"/>
      <c r="K18" s="663"/>
      <c r="L18" s="664"/>
      <c r="M18" s="665"/>
    </row>
    <row r="19" spans="1:13">
      <c r="A19" s="89" t="str">
        <f>IF(B19=""," ",A18+1)</f>
        <v xml:space="preserve"> </v>
      </c>
      <c r="B19" s="93"/>
      <c r="C19" s="26"/>
      <c r="D19" s="97"/>
      <c r="E19" s="98"/>
      <c r="F19" s="99"/>
      <c r="G19" s="21"/>
      <c r="H19" s="89"/>
      <c r="I19" s="89"/>
      <c r="J19" s="92"/>
      <c r="K19" s="602"/>
      <c r="L19" s="692"/>
      <c r="M19" s="693"/>
    </row>
    <row r="20" spans="1:13">
      <c r="A20" s="89" t="str">
        <f>IF(B20=""," ",#REF!+1)</f>
        <v xml:space="preserve"> </v>
      </c>
      <c r="B20" s="93"/>
      <c r="C20" s="26"/>
      <c r="D20" s="94"/>
      <c r="E20" s="95"/>
      <c r="F20" s="99"/>
      <c r="G20" s="21"/>
      <c r="H20" s="89"/>
      <c r="I20" s="89"/>
      <c r="J20" s="92"/>
      <c r="K20" s="669"/>
      <c r="L20" s="603"/>
      <c r="M20" s="604"/>
    </row>
    <row r="21" spans="1:13">
      <c r="A21" s="89" t="str">
        <f>IF(B21=""," ",A20+1)</f>
        <v xml:space="preserve"> </v>
      </c>
      <c r="B21" s="93"/>
      <c r="C21" s="26"/>
      <c r="D21" s="94"/>
      <c r="E21" s="95"/>
      <c r="F21" s="99"/>
      <c r="G21" s="21"/>
      <c r="H21" s="89"/>
      <c r="I21" s="89"/>
      <c r="J21" s="92"/>
      <c r="K21" s="669"/>
      <c r="L21" s="603"/>
      <c r="M21" s="604"/>
    </row>
    <row r="22" spans="1:13">
      <c r="A22" s="89" t="str">
        <f>IF(B22=""," ",#REF!+1)</f>
        <v xml:space="preserve"> </v>
      </c>
      <c r="B22" s="96"/>
      <c r="C22" s="31"/>
      <c r="D22" s="97"/>
      <c r="E22" s="98"/>
      <c r="F22" s="99"/>
      <c r="G22" s="21"/>
      <c r="H22" s="89"/>
      <c r="I22" s="89"/>
      <c r="J22" s="92"/>
      <c r="K22" s="31"/>
      <c r="L22" s="32"/>
      <c r="M22" s="33"/>
    </row>
    <row r="23" spans="1:13">
      <c r="A23" s="89" t="str">
        <f>IF(B23=""," ",A22+1)</f>
        <v xml:space="preserve"> </v>
      </c>
      <c r="B23" s="96"/>
      <c r="C23" s="31"/>
      <c r="D23" s="97"/>
      <c r="E23" s="98"/>
      <c r="F23" s="99"/>
      <c r="G23" s="21"/>
      <c r="H23" s="89"/>
      <c r="I23" s="89"/>
      <c r="J23" s="92"/>
      <c r="K23" s="31"/>
      <c r="L23" s="32"/>
      <c r="M23" s="33"/>
    </row>
    <row r="24" spans="1:13">
      <c r="A24" s="89" t="str">
        <f>IF(B24=""," ",A23+1)</f>
        <v xml:space="preserve"> </v>
      </c>
      <c r="B24" s="66"/>
      <c r="C24" s="31"/>
      <c r="D24" s="97"/>
      <c r="E24" s="98"/>
      <c r="F24" s="99"/>
      <c r="G24" s="21"/>
      <c r="H24" s="89"/>
      <c r="I24" s="89"/>
      <c r="J24" s="92"/>
      <c r="K24" s="31"/>
      <c r="L24" s="32"/>
      <c r="M24" s="33"/>
    </row>
    <row r="25" spans="1:13">
      <c r="A25" s="89" t="str">
        <f>IF(B25=""," ",#REF!+1)</f>
        <v xml:space="preserve"> </v>
      </c>
      <c r="B25" s="96"/>
      <c r="C25" s="31"/>
      <c r="D25" s="97"/>
      <c r="E25" s="98"/>
      <c r="F25" s="99"/>
      <c r="G25" s="21"/>
      <c r="H25" s="89"/>
      <c r="I25" s="89"/>
      <c r="J25" s="92"/>
      <c r="K25" s="31"/>
      <c r="L25" s="32"/>
      <c r="M25" s="33"/>
    </row>
    <row r="26" spans="1:13">
      <c r="A26" s="89" t="str">
        <f>IF(B26=""," ",#REF!+1)</f>
        <v xml:space="preserve"> </v>
      </c>
      <c r="B26" s="96"/>
      <c r="C26" s="31"/>
      <c r="D26" s="97"/>
      <c r="E26" s="98"/>
      <c r="F26" s="99"/>
      <c r="G26" s="21"/>
      <c r="H26" s="89"/>
      <c r="I26" s="89"/>
      <c r="J26" s="92"/>
      <c r="K26" s="31"/>
      <c r="L26" s="32"/>
      <c r="M26" s="33"/>
    </row>
    <row r="27" spans="1:13">
      <c r="A27" s="89" t="str">
        <f t="shared" ref="A27:A36" si="2">IF(B27=""," ",A26+1)</f>
        <v xml:space="preserve"> </v>
      </c>
      <c r="B27" s="96"/>
      <c r="C27" s="31"/>
      <c r="D27" s="97"/>
      <c r="E27" s="98"/>
      <c r="F27" s="99"/>
      <c r="G27" s="21"/>
      <c r="H27" s="89"/>
      <c r="I27" s="89"/>
      <c r="J27" s="92"/>
      <c r="K27" s="31"/>
      <c r="L27" s="32"/>
      <c r="M27" s="33"/>
    </row>
    <row r="28" spans="1:13">
      <c r="A28" s="89" t="str">
        <f t="shared" si="2"/>
        <v xml:space="preserve"> </v>
      </c>
      <c r="B28" s="96"/>
      <c r="C28" s="31"/>
      <c r="D28" s="97"/>
      <c r="E28" s="98"/>
      <c r="F28" s="99"/>
      <c r="G28" s="21"/>
      <c r="H28" s="89"/>
      <c r="I28" s="89"/>
      <c r="J28" s="92"/>
      <c r="K28" s="31"/>
      <c r="L28" s="32"/>
      <c r="M28" s="33"/>
    </row>
    <row r="29" spans="1:13">
      <c r="A29" s="89" t="str">
        <f t="shared" si="2"/>
        <v xml:space="preserve"> </v>
      </c>
      <c r="B29" s="96"/>
      <c r="C29" s="31"/>
      <c r="D29" s="97"/>
      <c r="E29" s="98"/>
      <c r="F29" s="99"/>
      <c r="G29" s="21"/>
      <c r="H29" s="89"/>
      <c r="I29" s="89"/>
      <c r="J29" s="92"/>
      <c r="K29" s="31"/>
      <c r="L29" s="32"/>
      <c r="M29" s="33"/>
    </row>
    <row r="30" spans="1:13">
      <c r="A30" s="89" t="str">
        <f t="shared" si="2"/>
        <v xml:space="preserve"> </v>
      </c>
      <c r="B30" s="96"/>
      <c r="C30" s="31"/>
      <c r="D30" s="97"/>
      <c r="E30" s="98"/>
      <c r="F30" s="99"/>
      <c r="G30" s="21"/>
      <c r="H30" s="89"/>
      <c r="I30" s="89"/>
      <c r="J30" s="92"/>
      <c r="K30" s="31"/>
      <c r="L30" s="32"/>
      <c r="M30" s="33"/>
    </row>
    <row r="31" spans="1:13">
      <c r="A31" s="89" t="str">
        <f t="shared" si="2"/>
        <v xml:space="preserve"> </v>
      </c>
      <c r="B31" s="96"/>
      <c r="C31" s="31"/>
      <c r="D31" s="97"/>
      <c r="E31" s="98"/>
      <c r="F31" s="99"/>
      <c r="G31" s="21"/>
      <c r="H31" s="89"/>
      <c r="I31" s="89"/>
      <c r="J31" s="92"/>
      <c r="K31" s="31"/>
      <c r="L31" s="32"/>
      <c r="M31" s="33"/>
    </row>
    <row r="32" spans="1:13">
      <c r="A32" s="89" t="str">
        <f t="shared" si="2"/>
        <v xml:space="preserve"> </v>
      </c>
      <c r="B32" s="96"/>
      <c r="C32" s="31"/>
      <c r="D32" s="97"/>
      <c r="E32" s="98"/>
      <c r="F32" s="99"/>
      <c r="G32" s="21"/>
      <c r="H32" s="89"/>
      <c r="I32" s="89"/>
      <c r="J32" s="92"/>
      <c r="K32" s="31"/>
      <c r="L32" s="32"/>
      <c r="M32" s="33"/>
    </row>
    <row r="33" spans="1:13">
      <c r="A33" s="89" t="str">
        <f t="shared" si="2"/>
        <v xml:space="preserve"> </v>
      </c>
      <c r="B33" s="96"/>
      <c r="C33" s="31"/>
      <c r="D33" s="97"/>
      <c r="E33" s="98"/>
      <c r="F33" s="99"/>
      <c r="G33" s="21"/>
      <c r="H33" s="89"/>
      <c r="I33" s="89"/>
      <c r="J33" s="92"/>
      <c r="K33" s="31"/>
      <c r="L33" s="32"/>
      <c r="M33" s="33"/>
    </row>
    <row r="34" spans="1:13" ht="12" customHeight="1">
      <c r="A34" s="89" t="str">
        <f t="shared" si="2"/>
        <v xml:space="preserve"> </v>
      </c>
      <c r="B34" s="96"/>
      <c r="C34" s="31"/>
      <c r="D34" s="97"/>
      <c r="E34" s="98"/>
      <c r="F34" s="99"/>
      <c r="G34" s="21"/>
      <c r="H34" s="89"/>
      <c r="I34" s="89"/>
      <c r="J34" s="92"/>
      <c r="K34" s="31"/>
      <c r="L34" s="32"/>
      <c r="M34" s="33"/>
    </row>
    <row r="35" spans="1:13" ht="12" customHeight="1">
      <c r="A35" s="89" t="str">
        <f t="shared" si="2"/>
        <v xml:space="preserve"> </v>
      </c>
      <c r="B35" s="96"/>
      <c r="C35" s="31"/>
      <c r="D35" s="97"/>
      <c r="E35" s="98"/>
      <c r="F35" s="99"/>
      <c r="G35" s="21"/>
      <c r="H35" s="89"/>
      <c r="I35" s="89"/>
      <c r="J35" s="92"/>
      <c r="K35" s="31"/>
      <c r="L35" s="32"/>
      <c r="M35" s="33"/>
    </row>
    <row r="36" spans="1:13" ht="12" customHeight="1">
      <c r="A36" s="89" t="str">
        <f t="shared" si="2"/>
        <v xml:space="preserve"> </v>
      </c>
      <c r="B36" s="96"/>
      <c r="C36" s="31"/>
      <c r="D36" s="97"/>
      <c r="E36" s="98"/>
      <c r="F36" s="99"/>
      <c r="G36" s="21"/>
      <c r="H36" s="89"/>
      <c r="I36" s="89"/>
      <c r="J36" s="92"/>
      <c r="K36" s="669"/>
      <c r="L36" s="603"/>
      <c r="M36" s="604"/>
    </row>
    <row r="37" spans="1:13" ht="12" customHeight="1">
      <c r="A37" s="89" t="str">
        <f>IF(B37=""," ",#REF!+1)</f>
        <v xml:space="preserve"> </v>
      </c>
      <c r="B37" s="96"/>
      <c r="C37" s="31"/>
      <c r="D37" s="97"/>
      <c r="E37" s="98"/>
      <c r="F37" s="99"/>
      <c r="G37" s="21"/>
      <c r="H37" s="89"/>
      <c r="I37" s="89"/>
      <c r="J37" s="92"/>
      <c r="K37" s="669"/>
      <c r="L37" s="603"/>
      <c r="M37" s="604"/>
    </row>
    <row r="38" spans="1:13" ht="12" customHeight="1">
      <c r="A38" s="89" t="str">
        <f>IF(B38=""," ",#REF!+1)</f>
        <v xml:space="preserve"> </v>
      </c>
      <c r="B38" s="96"/>
      <c r="C38" s="31"/>
      <c r="D38" s="97"/>
      <c r="E38" s="98"/>
      <c r="F38" s="99"/>
      <c r="G38" s="21"/>
      <c r="H38" s="89"/>
      <c r="I38" s="89"/>
      <c r="J38" s="92"/>
      <c r="K38" s="31"/>
      <c r="L38" s="32"/>
      <c r="M38" s="33"/>
    </row>
    <row r="39" spans="1:13" ht="12" customHeight="1">
      <c r="A39" s="89" t="str">
        <f>IF(B39=""," ",A38+1)</f>
        <v xml:space="preserve"> </v>
      </c>
      <c r="B39" s="96"/>
      <c r="C39" s="31"/>
      <c r="D39" s="97"/>
      <c r="E39" s="98"/>
      <c r="F39" s="99"/>
      <c r="G39" s="21"/>
      <c r="H39" s="89"/>
      <c r="I39" s="89"/>
      <c r="J39" s="92"/>
      <c r="K39" s="31"/>
      <c r="L39" s="32"/>
      <c r="M39" s="33"/>
    </row>
    <row r="40" spans="1:13" ht="12" customHeight="1">
      <c r="A40" s="89" t="str">
        <f>IF(B40=""," ",A39+1)</f>
        <v xml:space="preserve"> </v>
      </c>
      <c r="B40" s="96"/>
      <c r="C40" s="31"/>
      <c r="D40" s="97"/>
      <c r="E40" s="98"/>
      <c r="F40" s="99"/>
      <c r="G40" s="21"/>
      <c r="H40" s="89"/>
      <c r="I40" s="89"/>
      <c r="J40" s="92"/>
      <c r="K40" s="669"/>
      <c r="L40" s="603"/>
      <c r="M40" s="604"/>
    </row>
    <row r="41" spans="1:13" ht="12" customHeight="1">
      <c r="A41" s="89" t="str">
        <f>IF(B41=""," ",#REF!+1)</f>
        <v xml:space="preserve"> </v>
      </c>
      <c r="B41" s="96"/>
      <c r="C41" s="31"/>
      <c r="D41" s="97"/>
      <c r="E41" s="98"/>
      <c r="F41" s="99"/>
      <c r="G41" s="21"/>
      <c r="H41" s="89"/>
      <c r="I41" s="89"/>
      <c r="J41" s="92"/>
      <c r="K41" s="669"/>
      <c r="L41" s="603"/>
      <c r="M41" s="604"/>
    </row>
    <row r="42" spans="1:13" ht="12" customHeight="1">
      <c r="A42" s="89" t="str">
        <f>IF(B42=""," ",#REF!+1)</f>
        <v xml:space="preserve"> </v>
      </c>
      <c r="B42" s="96"/>
      <c r="C42" s="31"/>
      <c r="D42" s="97"/>
      <c r="E42" s="98"/>
      <c r="F42" s="99"/>
      <c r="G42" s="21"/>
      <c r="H42" s="89"/>
      <c r="I42" s="89"/>
      <c r="J42" s="92"/>
      <c r="K42" s="31"/>
      <c r="L42" s="32"/>
      <c r="M42" s="33"/>
    </row>
    <row r="43" spans="1:13" ht="12" customHeight="1">
      <c r="A43" s="89" t="str">
        <f>IF(B43=""," ",A42+1)</f>
        <v xml:space="preserve"> </v>
      </c>
      <c r="B43" s="96"/>
      <c r="C43" s="31"/>
      <c r="D43" s="97"/>
      <c r="E43" s="98"/>
      <c r="F43" s="99"/>
      <c r="G43" s="21"/>
      <c r="H43" s="89"/>
      <c r="I43" s="89"/>
      <c r="J43" s="92"/>
      <c r="K43" s="31"/>
      <c r="L43" s="32"/>
      <c r="M43" s="33"/>
    </row>
    <row r="44" spans="1:13" ht="12" customHeight="1">
      <c r="A44" s="89" t="str">
        <f>IF(B44=""," ",A43+1)</f>
        <v xml:space="preserve"> </v>
      </c>
      <c r="B44" s="96"/>
      <c r="C44" s="31"/>
      <c r="D44" s="97"/>
      <c r="E44" s="98"/>
      <c r="F44" s="99"/>
      <c r="G44" s="21"/>
      <c r="H44" s="89"/>
      <c r="I44" s="89"/>
      <c r="J44" s="92"/>
      <c r="K44" s="669"/>
      <c r="L44" s="603"/>
      <c r="M44" s="604"/>
    </row>
    <row r="45" spans="1:13" ht="12" customHeight="1">
      <c r="A45" s="89" t="str">
        <f>IF(B45=""," ",#REF!+1)</f>
        <v xml:space="preserve"> </v>
      </c>
      <c r="B45" s="96"/>
      <c r="C45" s="31"/>
      <c r="D45" s="97"/>
      <c r="E45" s="98"/>
      <c r="F45" s="99"/>
      <c r="G45" s="21"/>
      <c r="H45" s="89"/>
      <c r="I45" s="89"/>
      <c r="J45" s="92"/>
      <c r="K45" s="669"/>
      <c r="L45" s="603"/>
      <c r="M45" s="604"/>
    </row>
    <row r="46" spans="1:13" ht="12" customHeight="1">
      <c r="A46" s="89" t="str">
        <f>IF(B46=""," ",#REF!+1)</f>
        <v xml:space="preserve"> </v>
      </c>
      <c r="B46" s="96"/>
      <c r="C46" s="31"/>
      <c r="D46" s="97"/>
      <c r="E46" s="98"/>
      <c r="F46" s="99"/>
      <c r="G46" s="21"/>
      <c r="H46" s="89"/>
      <c r="I46" s="89"/>
      <c r="J46" s="92"/>
      <c r="K46" s="31"/>
      <c r="L46" s="32"/>
      <c r="M46" s="33"/>
    </row>
    <row r="47" spans="1:13" ht="12" customHeight="1">
      <c r="A47" s="89" t="str">
        <f>IF(B47=""," ",A46+1)</f>
        <v xml:space="preserve"> </v>
      </c>
      <c r="B47" s="96"/>
      <c r="C47" s="31"/>
      <c r="D47" s="97"/>
      <c r="E47" s="98"/>
      <c r="F47" s="99"/>
      <c r="G47" s="21"/>
      <c r="H47" s="89"/>
      <c r="I47" s="89"/>
      <c r="J47" s="92"/>
      <c r="K47" s="31"/>
      <c r="L47" s="32"/>
      <c r="M47" s="33"/>
    </row>
    <row r="48" spans="1:13" ht="12" customHeight="1">
      <c r="A48" s="89" t="str">
        <f>IF(B48=""," ",A47+1)</f>
        <v xml:space="preserve"> </v>
      </c>
      <c r="B48" s="96"/>
      <c r="C48" s="31"/>
      <c r="D48" s="97"/>
      <c r="E48" s="98"/>
      <c r="F48" s="99"/>
      <c r="G48" s="21"/>
      <c r="H48" s="89"/>
      <c r="I48" s="89"/>
      <c r="J48" s="92"/>
      <c r="K48" s="669"/>
      <c r="L48" s="603"/>
      <c r="M48" s="604"/>
    </row>
    <row r="49" spans="1:13" ht="12" customHeight="1">
      <c r="A49" s="89" t="str">
        <f>IF(B49=""," ",#REF!+1)</f>
        <v xml:space="preserve"> </v>
      </c>
      <c r="B49" s="96"/>
      <c r="C49" s="31"/>
      <c r="D49" s="97"/>
      <c r="E49" s="98"/>
      <c r="F49" s="99"/>
      <c r="G49" s="21"/>
      <c r="H49" s="89"/>
      <c r="I49" s="89"/>
      <c r="J49" s="92"/>
      <c r="K49" s="669"/>
      <c r="L49" s="603"/>
      <c r="M49" s="604"/>
    </row>
    <row r="50" spans="1:13" ht="12" customHeight="1">
      <c r="A50" s="89" t="str">
        <f>IF(B50=""," ",#REF!+1)</f>
        <v xml:space="preserve"> </v>
      </c>
      <c r="B50" s="96"/>
      <c r="C50" s="31"/>
      <c r="D50" s="97"/>
      <c r="E50" s="98"/>
      <c r="F50" s="99"/>
      <c r="G50" s="21"/>
      <c r="H50" s="89"/>
      <c r="I50" s="89"/>
      <c r="J50" s="92"/>
      <c r="K50" s="31"/>
      <c r="L50" s="32"/>
      <c r="M50" s="33"/>
    </row>
    <row r="51" spans="1:13" ht="12" customHeight="1">
      <c r="A51" s="89" t="str">
        <f>IF(B51=""," ",A50+1)</f>
        <v xml:space="preserve"> </v>
      </c>
      <c r="B51" s="96"/>
      <c r="C51" s="31"/>
      <c r="D51" s="97"/>
      <c r="E51" s="98"/>
      <c r="F51" s="99"/>
      <c r="G51" s="21"/>
      <c r="H51" s="89"/>
      <c r="I51" s="89"/>
      <c r="J51" s="92"/>
      <c r="K51" s="31"/>
      <c r="L51" s="32"/>
      <c r="M51" s="33"/>
    </row>
    <row r="52" spans="1:13" ht="12" customHeight="1">
      <c r="A52" s="89" t="str">
        <f>IF(B52=""," ",A51+1)</f>
        <v xml:space="preserve"> </v>
      </c>
      <c r="B52" s="96"/>
      <c r="C52" s="31"/>
      <c r="D52" s="97"/>
      <c r="E52" s="98"/>
      <c r="F52" s="99"/>
      <c r="G52" s="21"/>
      <c r="H52" s="89"/>
      <c r="I52" s="89"/>
      <c r="J52" s="92"/>
      <c r="K52" s="669"/>
      <c r="L52" s="603"/>
      <c r="M52" s="604"/>
    </row>
    <row r="53" spans="1:13" ht="12" customHeight="1">
      <c r="A53" s="89" t="str">
        <f>IF(B53=""," ",#REF!+1)</f>
        <v xml:space="preserve"> </v>
      </c>
      <c r="B53" s="96"/>
      <c r="C53" s="31"/>
      <c r="D53" s="97"/>
      <c r="E53" s="98"/>
      <c r="F53" s="99"/>
      <c r="G53" s="21"/>
      <c r="H53" s="89"/>
      <c r="I53" s="89"/>
      <c r="J53" s="92"/>
      <c r="K53" s="669"/>
      <c r="L53" s="603"/>
      <c r="M53" s="604"/>
    </row>
    <row r="54" spans="1:13" ht="12" customHeight="1">
      <c r="A54" s="89" t="str">
        <f>IF(B54=""," ",#REF!+1)</f>
        <v xml:space="preserve"> </v>
      </c>
      <c r="B54" s="96"/>
      <c r="C54" s="31"/>
      <c r="D54" s="97"/>
      <c r="E54" s="98"/>
      <c r="F54" s="99"/>
      <c r="G54" s="21"/>
      <c r="H54" s="89"/>
      <c r="I54" s="89"/>
      <c r="J54" s="92"/>
      <c r="K54" s="31"/>
      <c r="L54" s="32"/>
      <c r="M54" s="33"/>
    </row>
    <row r="55" spans="1:13" ht="12" customHeight="1">
      <c r="A55" s="89" t="str">
        <f>IF(B55=""," ",A54+1)</f>
        <v xml:space="preserve"> </v>
      </c>
      <c r="B55" s="96"/>
      <c r="C55" s="31"/>
      <c r="D55" s="97"/>
      <c r="E55" s="98"/>
      <c r="F55" s="99"/>
      <c r="G55" s="21"/>
      <c r="H55" s="89"/>
      <c r="I55" s="89"/>
      <c r="J55" s="92"/>
      <c r="K55" s="31"/>
      <c r="L55" s="32"/>
      <c r="M55" s="33"/>
    </row>
    <row r="56" spans="1:13" ht="12" customHeight="1">
      <c r="A56" s="89" t="str">
        <f>IF(B56=""," ",A55+1)</f>
        <v xml:space="preserve"> </v>
      </c>
      <c r="B56" s="96"/>
      <c r="C56" s="31"/>
      <c r="D56" s="97"/>
      <c r="E56" s="98"/>
      <c r="F56" s="99"/>
      <c r="G56" s="21"/>
      <c r="H56" s="89"/>
      <c r="I56" s="89"/>
      <c r="J56" s="92"/>
      <c r="K56" s="669"/>
      <c r="L56" s="603"/>
      <c r="M56" s="604"/>
    </row>
    <row r="57" spans="1:13" ht="12" customHeight="1">
      <c r="A57" s="89" t="str">
        <f>IF(B57=""," ",#REF!+1)</f>
        <v xml:space="preserve"> </v>
      </c>
      <c r="B57" s="96"/>
      <c r="C57" s="31"/>
      <c r="D57" s="97"/>
      <c r="E57" s="98"/>
      <c r="F57" s="99"/>
      <c r="G57" s="21"/>
      <c r="H57" s="89"/>
      <c r="I57" s="89"/>
      <c r="J57" s="92"/>
      <c r="K57" s="669"/>
      <c r="L57" s="603"/>
      <c r="M57" s="604"/>
    </row>
    <row r="58" spans="1:13" ht="12" customHeight="1">
      <c r="A58" s="89" t="str">
        <f>IF(B58=""," ",#REF!+1)</f>
        <v xml:space="preserve"> </v>
      </c>
      <c r="B58" s="96"/>
      <c r="C58" s="31"/>
      <c r="D58" s="97"/>
      <c r="E58" s="98"/>
      <c r="F58" s="99"/>
      <c r="G58" s="21"/>
      <c r="H58" s="89"/>
      <c r="I58" s="89"/>
      <c r="J58" s="92"/>
      <c r="K58" s="31"/>
      <c r="L58" s="32"/>
      <c r="M58" s="33"/>
    </row>
    <row r="59" spans="1:13" ht="12" customHeight="1">
      <c r="A59" s="89" t="str">
        <f>IF(B59=""," ",A58+1)</f>
        <v xml:space="preserve"> </v>
      </c>
      <c r="B59" s="96"/>
      <c r="C59" s="31"/>
      <c r="D59" s="97"/>
      <c r="E59" s="98"/>
      <c r="F59" s="99"/>
      <c r="G59" s="21"/>
      <c r="H59" s="89"/>
      <c r="I59" s="89"/>
      <c r="J59" s="92"/>
      <c r="K59" s="31"/>
      <c r="L59" s="32"/>
      <c r="M59" s="33"/>
    </row>
    <row r="60" spans="1:13" ht="12" customHeight="1">
      <c r="A60" s="89" t="str">
        <f>IF(B60=""," ",A59+1)</f>
        <v xml:space="preserve"> </v>
      </c>
      <c r="B60" s="96"/>
      <c r="C60" s="31"/>
      <c r="D60" s="97"/>
      <c r="E60" s="98"/>
      <c r="F60" s="99"/>
      <c r="G60" s="21"/>
      <c r="H60" s="89"/>
      <c r="I60" s="89"/>
      <c r="J60" s="92"/>
      <c r="K60" s="669"/>
      <c r="L60" s="603"/>
      <c r="M60" s="604"/>
    </row>
    <row r="61" spans="1:13" ht="12" customHeight="1">
      <c r="A61" s="89" t="str">
        <f>IF(B61=""," ",#REF!+1)</f>
        <v xml:space="preserve"> </v>
      </c>
      <c r="B61" s="96"/>
      <c r="C61" s="31"/>
      <c r="D61" s="97"/>
      <c r="E61" s="98"/>
      <c r="F61" s="99"/>
      <c r="G61" s="21"/>
      <c r="H61" s="89"/>
      <c r="I61" s="89"/>
      <c r="J61" s="92"/>
      <c r="K61" s="669"/>
      <c r="L61" s="603"/>
      <c r="M61" s="604"/>
    </row>
    <row r="62" spans="1:13" ht="12" customHeight="1">
      <c r="A62" s="89" t="str">
        <f>IF(B62=""," ",#REF!+1)</f>
        <v xml:space="preserve"> </v>
      </c>
      <c r="B62" s="96"/>
      <c r="C62" s="31"/>
      <c r="D62" s="97"/>
      <c r="E62" s="98"/>
      <c r="F62" s="99"/>
      <c r="G62" s="21"/>
      <c r="H62" s="89"/>
      <c r="I62" s="89"/>
      <c r="J62" s="92"/>
      <c r="K62" s="31"/>
      <c r="L62" s="32"/>
      <c r="M62" s="33"/>
    </row>
    <row r="63" spans="1:13" ht="12" customHeight="1">
      <c r="A63" s="89" t="str">
        <f>IF(B63=""," ",A62+1)</f>
        <v xml:space="preserve"> </v>
      </c>
      <c r="B63" s="96"/>
      <c r="C63" s="31"/>
      <c r="D63" s="97"/>
      <c r="E63" s="98"/>
      <c r="F63" s="99"/>
      <c r="G63" s="21"/>
      <c r="H63" s="89"/>
      <c r="I63" s="89"/>
      <c r="J63" s="92"/>
      <c r="K63" s="31"/>
      <c r="L63" s="32"/>
      <c r="M63" s="33"/>
    </row>
    <row r="64" spans="1:13">
      <c r="A64" s="89" t="str">
        <f>IF(B64=""," ",A63+1)</f>
        <v xml:space="preserve"> </v>
      </c>
      <c r="B64" s="96"/>
      <c r="C64" s="31"/>
      <c r="D64" s="97"/>
      <c r="E64" s="98"/>
      <c r="F64" s="99"/>
      <c r="G64" s="21"/>
      <c r="H64" s="89"/>
      <c r="I64" s="89"/>
      <c r="J64" s="92"/>
      <c r="K64" s="669"/>
      <c r="L64" s="603"/>
      <c r="M64" s="604"/>
    </row>
    <row r="65" spans="1:13">
      <c r="A65" s="89" t="str">
        <f>IF(B65=""," ",#REF!+1)</f>
        <v xml:space="preserve"> </v>
      </c>
      <c r="B65" s="96"/>
      <c r="C65" s="31"/>
      <c r="D65" s="97"/>
      <c r="E65" s="98"/>
      <c r="F65" s="99"/>
      <c r="G65" s="21"/>
      <c r="H65" s="89"/>
      <c r="I65" s="89"/>
      <c r="J65" s="92"/>
      <c r="K65" s="669"/>
      <c r="L65" s="603"/>
      <c r="M65" s="604"/>
    </row>
    <row r="66" spans="1:13">
      <c r="A66" s="89" t="str">
        <f>IF(B66=""," ",#REF!+1)</f>
        <v xml:space="preserve"> </v>
      </c>
      <c r="B66" s="96"/>
      <c r="C66" s="31"/>
      <c r="D66" s="97"/>
      <c r="E66" s="98"/>
      <c r="F66" s="99"/>
      <c r="G66" s="21"/>
      <c r="H66" s="89"/>
      <c r="I66" s="89"/>
      <c r="J66" s="92"/>
      <c r="K66" s="31"/>
      <c r="L66" s="32"/>
      <c r="M66" s="33"/>
    </row>
    <row r="67" spans="1:13">
      <c r="A67" s="89" t="str">
        <f>IF(B67=""," ",A66+1)</f>
        <v xml:space="preserve"> </v>
      </c>
      <c r="B67" s="96"/>
      <c r="C67" s="31"/>
      <c r="D67" s="97"/>
      <c r="E67" s="98"/>
      <c r="F67" s="99"/>
      <c r="G67" s="21"/>
      <c r="H67" s="89"/>
      <c r="I67" s="89"/>
      <c r="J67" s="92"/>
      <c r="K67" s="31"/>
      <c r="L67" s="32"/>
      <c r="M67" s="33"/>
    </row>
    <row r="68" spans="1:13">
      <c r="A68" s="89" t="str">
        <f>IF(B68=""," ",A67+1)</f>
        <v xml:space="preserve"> </v>
      </c>
      <c r="B68" s="96"/>
      <c r="C68" s="31"/>
      <c r="D68" s="97"/>
      <c r="E68" s="98"/>
      <c r="F68" s="99"/>
      <c r="G68" s="21"/>
      <c r="H68" s="89"/>
      <c r="I68" s="89"/>
      <c r="J68" s="92"/>
      <c r="K68" s="669"/>
      <c r="L68" s="603"/>
      <c r="M68" s="604"/>
    </row>
    <row r="69" spans="1:13">
      <c r="A69" s="89" t="str">
        <f>IF(B69=""," ",#REF!+1)</f>
        <v xml:space="preserve"> </v>
      </c>
      <c r="B69" s="96"/>
      <c r="C69" s="31"/>
      <c r="D69" s="97"/>
      <c r="E69" s="98"/>
      <c r="F69" s="99"/>
      <c r="G69" s="21"/>
      <c r="H69" s="89"/>
      <c r="I69" s="89"/>
      <c r="J69" s="92"/>
      <c r="K69" s="669"/>
      <c r="L69" s="603"/>
      <c r="M69" s="604"/>
    </row>
    <row r="70" spans="1:13">
      <c r="A70" s="89" t="str">
        <f>IF(B70=""," ",#REF!+1)</f>
        <v xml:space="preserve"> </v>
      </c>
      <c r="B70" s="96"/>
      <c r="C70" s="31"/>
      <c r="D70" s="97"/>
      <c r="E70" s="98"/>
      <c r="F70" s="99"/>
      <c r="G70" s="21"/>
      <c r="H70" s="89"/>
      <c r="I70" s="89"/>
      <c r="J70" s="92"/>
      <c r="K70" s="31"/>
      <c r="L70" s="32"/>
      <c r="M70" s="33"/>
    </row>
    <row r="71" spans="1:13">
      <c r="A71" s="89" t="str">
        <f>IF(B71=""," ",A70+1)</f>
        <v xml:space="preserve"> </v>
      </c>
      <c r="B71" s="96"/>
      <c r="C71" s="31"/>
      <c r="D71" s="97"/>
      <c r="E71" s="98"/>
      <c r="F71" s="99"/>
      <c r="G71" s="21"/>
      <c r="H71" s="89"/>
      <c r="I71" s="89"/>
      <c r="J71" s="92"/>
      <c r="K71" s="31"/>
      <c r="L71" s="32"/>
      <c r="M71" s="33"/>
    </row>
    <row r="72" spans="1:13">
      <c r="A72" s="89" t="str">
        <f>IF(B72=""," ",A71+1)</f>
        <v xml:space="preserve"> </v>
      </c>
      <c r="B72" s="96"/>
      <c r="C72" s="31"/>
      <c r="D72" s="97"/>
      <c r="E72" s="98"/>
      <c r="F72" s="99"/>
      <c r="G72" s="21"/>
      <c r="H72" s="89"/>
      <c r="I72" s="89"/>
      <c r="J72" s="92"/>
      <c r="K72" s="669"/>
      <c r="L72" s="603"/>
      <c r="M72" s="604"/>
    </row>
    <row r="73" spans="1:13">
      <c r="A73" s="89" t="str">
        <f>IF(B73=""," ",#REF!+1)</f>
        <v xml:space="preserve"> </v>
      </c>
      <c r="B73" s="96"/>
      <c r="C73" s="31"/>
      <c r="D73" s="97"/>
      <c r="E73" s="98"/>
      <c r="F73" s="99"/>
      <c r="G73" s="21"/>
      <c r="H73" s="89"/>
      <c r="I73" s="89"/>
      <c r="J73" s="92"/>
      <c r="K73" s="669"/>
      <c r="L73" s="603"/>
      <c r="M73" s="604"/>
    </row>
    <row r="74" spans="1:13">
      <c r="A74" s="89" t="str">
        <f>IF(B74=""," ",#REF!+1)</f>
        <v xml:space="preserve"> </v>
      </c>
      <c r="B74" s="96"/>
      <c r="C74" s="31"/>
      <c r="D74" s="97"/>
      <c r="E74" s="98"/>
      <c r="F74" s="99"/>
      <c r="G74" s="21"/>
      <c r="H74" s="89"/>
      <c r="I74" s="89"/>
      <c r="J74" s="92"/>
      <c r="K74" s="31"/>
      <c r="L74" s="32"/>
      <c r="M74" s="33"/>
    </row>
    <row r="75" spans="1:13">
      <c r="A75" s="89" t="str">
        <f>IF(B75=""," ",A74+1)</f>
        <v xml:space="preserve"> </v>
      </c>
      <c r="B75" s="96"/>
      <c r="C75" s="31"/>
      <c r="D75" s="97"/>
      <c r="E75" s="98"/>
      <c r="F75" s="99"/>
      <c r="G75" s="21"/>
      <c r="H75" s="89"/>
      <c r="I75" s="89"/>
      <c r="J75" s="92"/>
      <c r="K75" s="31"/>
      <c r="L75" s="32"/>
      <c r="M75" s="33"/>
    </row>
    <row r="76" spans="1:13">
      <c r="A76" s="89" t="str">
        <f>IF(B76=""," ",A75+1)</f>
        <v xml:space="preserve"> </v>
      </c>
      <c r="B76" s="96"/>
      <c r="C76" s="31"/>
      <c r="D76" s="97"/>
      <c r="E76" s="98"/>
      <c r="F76" s="99"/>
      <c r="G76" s="21"/>
      <c r="H76" s="89"/>
      <c r="I76" s="89"/>
      <c r="J76" s="92"/>
      <c r="K76" s="669"/>
      <c r="L76" s="603"/>
      <c r="M76" s="604"/>
    </row>
    <row r="77" spans="1:13">
      <c r="A77" s="89" t="str">
        <f>IF(B77=""," ",#REF!+1)</f>
        <v xml:space="preserve"> </v>
      </c>
      <c r="B77" s="96"/>
      <c r="C77" s="31"/>
      <c r="D77" s="97"/>
      <c r="E77" s="98"/>
      <c r="F77" s="99"/>
      <c r="G77" s="21"/>
      <c r="H77" s="89"/>
      <c r="I77" s="89"/>
      <c r="J77" s="92"/>
      <c r="K77" s="669"/>
      <c r="L77" s="603"/>
      <c r="M77" s="604"/>
    </row>
    <row r="78" spans="1:13">
      <c r="A78" s="89" t="str">
        <f>IF(B78=""," ",#REF!+1)</f>
        <v xml:space="preserve"> </v>
      </c>
      <c r="B78" s="96"/>
      <c r="C78" s="31"/>
      <c r="D78" s="97"/>
      <c r="E78" s="98"/>
      <c r="F78" s="99"/>
      <c r="G78" s="21"/>
      <c r="H78" s="89"/>
      <c r="I78" s="89"/>
      <c r="J78" s="92"/>
      <c r="K78" s="31"/>
      <c r="L78" s="32"/>
      <c r="M78" s="33"/>
    </row>
    <row r="79" spans="1:13">
      <c r="A79" s="89" t="str">
        <f>IF(B79=""," ",A78+1)</f>
        <v xml:space="preserve"> </v>
      </c>
      <c r="B79" s="96"/>
      <c r="C79" s="31"/>
      <c r="D79" s="97"/>
      <c r="E79" s="98"/>
      <c r="F79" s="99"/>
      <c r="G79" s="21"/>
      <c r="H79" s="89"/>
      <c r="I79" s="89"/>
      <c r="J79" s="92"/>
      <c r="K79" s="31"/>
      <c r="L79" s="32"/>
      <c r="M79" s="33"/>
    </row>
    <row r="80" spans="1:13">
      <c r="A80" s="89" t="str">
        <f>IF(B80=""," ",A79+1)</f>
        <v xml:space="preserve"> </v>
      </c>
      <c r="B80" s="96"/>
      <c r="C80" s="31"/>
      <c r="D80" s="97"/>
      <c r="E80" s="98"/>
      <c r="F80" s="99"/>
      <c r="G80" s="21"/>
      <c r="H80" s="89"/>
      <c r="I80" s="89"/>
      <c r="J80" s="92"/>
      <c r="K80" s="669"/>
      <c r="L80" s="603"/>
      <c r="M80" s="604"/>
    </row>
    <row r="81" spans="1:13">
      <c r="A81" s="89" t="str">
        <f>IF(B81=""," ",#REF!+1)</f>
        <v xml:space="preserve"> </v>
      </c>
      <c r="B81" s="96"/>
      <c r="C81" s="31"/>
      <c r="D81" s="97"/>
      <c r="E81" s="98"/>
      <c r="F81" s="99"/>
      <c r="G81" s="21"/>
      <c r="H81" s="89"/>
      <c r="I81" s="89"/>
      <c r="J81" s="92"/>
      <c r="K81" s="669"/>
      <c r="L81" s="603"/>
      <c r="M81" s="604"/>
    </row>
    <row r="82" spans="1:13">
      <c r="A82" s="89" t="str">
        <f>IF(B82=""," ",#REF!+1)</f>
        <v xml:space="preserve"> </v>
      </c>
      <c r="B82" s="96"/>
      <c r="C82" s="31"/>
      <c r="D82" s="97"/>
      <c r="E82" s="98"/>
      <c r="F82" s="99"/>
      <c r="G82" s="21"/>
      <c r="H82" s="89"/>
      <c r="I82" s="89"/>
      <c r="J82" s="92"/>
      <c r="K82" s="31"/>
      <c r="L82" s="32"/>
      <c r="M82" s="33"/>
    </row>
    <row r="83" spans="1:13">
      <c r="A83" s="89" t="str">
        <f>IF(B83=""," ",A82+1)</f>
        <v xml:space="preserve"> </v>
      </c>
      <c r="B83" s="96"/>
      <c r="C83" s="31"/>
      <c r="D83" s="97"/>
      <c r="E83" s="98"/>
      <c r="F83" s="99"/>
      <c r="G83" s="21"/>
      <c r="H83" s="89"/>
      <c r="I83" s="89"/>
      <c r="J83" s="92"/>
      <c r="K83" s="31"/>
      <c r="L83" s="32"/>
      <c r="M83" s="33"/>
    </row>
    <row r="84" spans="1:13">
      <c r="A84" s="89" t="str">
        <f>IF(B84=""," ",A83+1)</f>
        <v xml:space="preserve"> </v>
      </c>
      <c r="B84" s="96"/>
      <c r="C84" s="31"/>
      <c r="D84" s="97"/>
      <c r="E84" s="98"/>
      <c r="F84" s="99"/>
      <c r="G84" s="21"/>
      <c r="H84" s="89"/>
      <c r="I84" s="89"/>
      <c r="J84" s="92"/>
      <c r="K84" s="669"/>
      <c r="L84" s="603"/>
      <c r="M84" s="604"/>
    </row>
    <row r="85" spans="1:13">
      <c r="A85" s="89" t="str">
        <f>IF(B85=""," ",#REF!+1)</f>
        <v xml:space="preserve"> </v>
      </c>
      <c r="B85" s="96"/>
      <c r="C85" s="31"/>
      <c r="D85" s="97"/>
      <c r="E85" s="98"/>
      <c r="F85" s="99"/>
      <c r="G85" s="21"/>
      <c r="H85" s="89"/>
      <c r="I85" s="89"/>
      <c r="J85" s="92"/>
      <c r="K85" s="669"/>
      <c r="L85" s="603"/>
      <c r="M85" s="604"/>
    </row>
    <row r="86" spans="1:13">
      <c r="A86" s="89" t="str">
        <f>IF(B86=""," ",#REF!+1)</f>
        <v xml:space="preserve"> </v>
      </c>
      <c r="B86" s="96"/>
      <c r="C86" s="31"/>
      <c r="D86" s="97"/>
      <c r="E86" s="98"/>
      <c r="F86" s="99"/>
      <c r="G86" s="21"/>
      <c r="H86" s="89"/>
      <c r="I86" s="89"/>
      <c r="J86" s="92"/>
      <c r="K86" s="31"/>
      <c r="L86" s="32"/>
      <c r="M86" s="33"/>
    </row>
    <row r="87" spans="1:13">
      <c r="A87" s="89" t="str">
        <f>IF(B87=""," ",A86+1)</f>
        <v xml:space="preserve"> </v>
      </c>
      <c r="B87" s="96"/>
      <c r="C87" s="31"/>
      <c r="D87" s="97"/>
      <c r="E87" s="98"/>
      <c r="F87" s="99"/>
      <c r="G87" s="21"/>
      <c r="H87" s="89"/>
      <c r="I87" s="89"/>
      <c r="J87" s="92"/>
      <c r="K87" s="31"/>
      <c r="L87" s="32"/>
      <c r="M87" s="33"/>
    </row>
    <row r="88" spans="1:13">
      <c r="A88" s="89" t="str">
        <f>IF(B88=""," ",A87+1)</f>
        <v xml:space="preserve"> </v>
      </c>
      <c r="B88" s="96"/>
      <c r="C88" s="31"/>
      <c r="D88" s="97"/>
      <c r="E88" s="98"/>
      <c r="F88" s="99"/>
      <c r="G88" s="21"/>
      <c r="H88" s="89"/>
      <c r="I88" s="89"/>
      <c r="J88" s="92"/>
      <c r="K88" s="669"/>
      <c r="L88" s="603"/>
      <c r="M88" s="604"/>
    </row>
    <row r="89" spans="1:13">
      <c r="A89" s="89" t="str">
        <f>IF(B89=""," ",#REF!+1)</f>
        <v xml:space="preserve"> </v>
      </c>
      <c r="B89" s="96"/>
      <c r="C89" s="31"/>
      <c r="D89" s="97"/>
      <c r="E89" s="98"/>
      <c r="F89" s="99"/>
      <c r="G89" s="21"/>
      <c r="H89" s="89"/>
      <c r="I89" s="89"/>
      <c r="J89" s="92"/>
      <c r="K89" s="669"/>
      <c r="L89" s="603"/>
      <c r="M89" s="604"/>
    </row>
    <row r="90" spans="1:13">
      <c r="A90" s="89" t="str">
        <f>IF(B90=""," ",#REF!+1)</f>
        <v xml:space="preserve"> </v>
      </c>
      <c r="B90" s="96"/>
      <c r="C90" s="31"/>
      <c r="D90" s="97"/>
      <c r="E90" s="98"/>
      <c r="F90" s="99"/>
      <c r="G90" s="21"/>
      <c r="H90" s="89"/>
      <c r="I90" s="89"/>
      <c r="J90" s="92"/>
      <c r="K90" s="31"/>
      <c r="L90" s="32"/>
      <c r="M90" s="33"/>
    </row>
    <row r="91" spans="1:13">
      <c r="A91" s="89" t="str">
        <f>IF(B91=""," ",A90+1)</f>
        <v xml:space="preserve"> </v>
      </c>
      <c r="B91" s="96"/>
      <c r="C91" s="31"/>
      <c r="D91" s="97"/>
      <c r="E91" s="98"/>
      <c r="F91" s="99"/>
      <c r="G91" s="21"/>
      <c r="H91" s="89"/>
      <c r="I91" s="89"/>
      <c r="J91" s="92"/>
      <c r="K91" s="31"/>
      <c r="L91" s="32"/>
      <c r="M91" s="33"/>
    </row>
    <row r="92" spans="1:13">
      <c r="A92" s="89" t="str">
        <f>IF(B92=""," ",A91+1)</f>
        <v xml:space="preserve"> </v>
      </c>
      <c r="B92" s="96"/>
      <c r="C92" s="31"/>
      <c r="D92" s="97"/>
      <c r="E92" s="98"/>
      <c r="F92" s="99"/>
      <c r="G92" s="21"/>
      <c r="H92" s="89"/>
      <c r="I92" s="89"/>
      <c r="J92" s="92"/>
      <c r="K92" s="669"/>
      <c r="L92" s="603"/>
      <c r="M92" s="604"/>
    </row>
    <row r="93" spans="1:13">
      <c r="A93" s="89" t="str">
        <f>IF(B93=""," ",#REF!+1)</f>
        <v xml:space="preserve"> </v>
      </c>
      <c r="B93" s="96"/>
      <c r="C93" s="31"/>
      <c r="D93" s="97"/>
      <c r="E93" s="98"/>
      <c r="F93" s="99"/>
      <c r="G93" s="21"/>
      <c r="H93" s="89"/>
      <c r="I93" s="89"/>
      <c r="J93" s="92"/>
      <c r="K93" s="669"/>
      <c r="L93" s="603"/>
      <c r="M93" s="604"/>
    </row>
    <row r="94" spans="1:13">
      <c r="A94" s="89" t="str">
        <f>IF(B94=""," ",#REF!+1)</f>
        <v xml:space="preserve"> </v>
      </c>
      <c r="B94" s="96"/>
      <c r="C94" s="31"/>
      <c r="D94" s="97"/>
      <c r="E94" s="98"/>
      <c r="F94" s="99"/>
      <c r="G94" s="21"/>
      <c r="H94" s="89"/>
      <c r="I94" s="89"/>
      <c r="J94" s="92"/>
      <c r="K94" s="31"/>
      <c r="L94" s="32"/>
      <c r="M94" s="33"/>
    </row>
    <row r="95" spans="1:13">
      <c r="A95" s="89" t="str">
        <f>IF(B95=""," ",A94+1)</f>
        <v xml:space="preserve"> </v>
      </c>
      <c r="B95" s="96"/>
      <c r="C95" s="31"/>
      <c r="D95" s="97"/>
      <c r="E95" s="98"/>
      <c r="F95" s="99"/>
      <c r="G95" s="21"/>
      <c r="H95" s="89"/>
      <c r="I95" s="89"/>
      <c r="J95" s="92"/>
      <c r="K95" s="31"/>
      <c r="L95" s="32"/>
      <c r="M95" s="33"/>
    </row>
    <row r="96" spans="1:13">
      <c r="A96" s="89" t="str">
        <f>IF(B96=""," ",A95+1)</f>
        <v xml:space="preserve"> </v>
      </c>
      <c r="B96" s="96"/>
      <c r="C96" s="31"/>
      <c r="D96" s="97"/>
      <c r="E96" s="98"/>
      <c r="F96" s="99"/>
      <c r="G96" s="21"/>
      <c r="H96" s="89"/>
      <c r="I96" s="89"/>
      <c r="J96" s="92"/>
      <c r="K96" s="669"/>
      <c r="L96" s="603"/>
      <c r="M96" s="604"/>
    </row>
    <row r="97" spans="1:13">
      <c r="A97" s="89" t="str">
        <f>IF(B97=""," ",#REF!+1)</f>
        <v xml:space="preserve"> </v>
      </c>
      <c r="B97" s="96"/>
      <c r="C97" s="31"/>
      <c r="D97" s="97"/>
      <c r="E97" s="98"/>
      <c r="F97" s="99"/>
      <c r="G97" s="21"/>
      <c r="H97" s="89"/>
      <c r="I97" s="89"/>
      <c r="J97" s="92"/>
      <c r="K97" s="669"/>
      <c r="L97" s="603"/>
      <c r="M97" s="604"/>
    </row>
    <row r="98" spans="1:13">
      <c r="A98" s="89" t="str">
        <f>IF(B98=""," ",#REF!+1)</f>
        <v xml:space="preserve"> </v>
      </c>
      <c r="B98" s="96"/>
      <c r="C98" s="31"/>
      <c r="D98" s="97"/>
      <c r="E98" s="98"/>
      <c r="F98" s="99"/>
      <c r="G98" s="21"/>
      <c r="H98" s="89"/>
      <c r="I98" s="89"/>
      <c r="J98" s="92"/>
      <c r="K98" s="31"/>
      <c r="L98" s="32"/>
      <c r="M98" s="33"/>
    </row>
    <row r="99" spans="1:13">
      <c r="A99" s="89" t="str">
        <f>IF(B99=""," ",A98+1)</f>
        <v xml:space="preserve"> </v>
      </c>
      <c r="B99" s="96"/>
      <c r="C99" s="31"/>
      <c r="D99" s="97"/>
      <c r="E99" s="98"/>
      <c r="F99" s="99"/>
      <c r="G99" s="21"/>
      <c r="H99" s="89"/>
      <c r="I99" s="89"/>
      <c r="J99" s="92"/>
      <c r="K99" s="31"/>
      <c r="L99" s="32"/>
      <c r="M99" s="33"/>
    </row>
    <row r="100" spans="1:13">
      <c r="A100" s="89" t="str">
        <f>IF(B100=""," ",A99+1)</f>
        <v xml:space="preserve"> </v>
      </c>
      <c r="B100" s="96"/>
      <c r="C100" s="31"/>
      <c r="D100" s="97"/>
      <c r="E100" s="98"/>
      <c r="F100" s="99"/>
      <c r="G100" s="21"/>
      <c r="H100" s="89"/>
      <c r="I100" s="89"/>
      <c r="J100" s="92"/>
      <c r="K100" s="31"/>
      <c r="L100" s="32"/>
      <c r="M100" s="33"/>
    </row>
    <row r="102" spans="1:13">
      <c r="B102" s="22" t="s">
        <v>1691</v>
      </c>
    </row>
    <row r="104" spans="1:13">
      <c r="B104" s="23" t="s">
        <v>948</v>
      </c>
      <c r="C104" s="22" t="s">
        <v>1316</v>
      </c>
    </row>
    <row r="106" spans="1:13" s="16" customFormat="1">
      <c r="A106" s="46"/>
      <c r="B106" s="75" t="s">
        <v>273</v>
      </c>
      <c r="C106" s="16" t="s">
        <v>1411</v>
      </c>
    </row>
  </sheetData>
  <mergeCells count="57">
    <mergeCell ref="K7:M7"/>
    <mergeCell ref="K13:M13"/>
    <mergeCell ref="K14:M14"/>
    <mergeCell ref="K9:M9"/>
    <mergeCell ref="K8:M8"/>
    <mergeCell ref="K36:M36"/>
    <mergeCell ref="K12:M12"/>
    <mergeCell ref="A2:B2"/>
    <mergeCell ref="A3:B3"/>
    <mergeCell ref="A4:B4"/>
    <mergeCell ref="H2:J2"/>
    <mergeCell ref="C2:G2"/>
    <mergeCell ref="C3:G3"/>
    <mergeCell ref="C4:G4"/>
    <mergeCell ref="H4:I4"/>
    <mergeCell ref="H3:I3"/>
    <mergeCell ref="K20:M20"/>
    <mergeCell ref="K21:M21"/>
    <mergeCell ref="K17:M17"/>
    <mergeCell ref="K18:M18"/>
    <mergeCell ref="K19:M19"/>
    <mergeCell ref="A5:A6"/>
    <mergeCell ref="B5:C5"/>
    <mergeCell ref="K5:M6"/>
    <mergeCell ref="I5:J5"/>
    <mergeCell ref="D5:H5"/>
    <mergeCell ref="K60:M60"/>
    <mergeCell ref="K37:M37"/>
    <mergeCell ref="K40:M40"/>
    <mergeCell ref="K41:M41"/>
    <mergeCell ref="K44:M44"/>
    <mergeCell ref="K45:M45"/>
    <mergeCell ref="K48:M48"/>
    <mergeCell ref="K49:M49"/>
    <mergeCell ref="K52:M52"/>
    <mergeCell ref="K53:M53"/>
    <mergeCell ref="K56:M56"/>
    <mergeCell ref="K57:M57"/>
    <mergeCell ref="K84:M84"/>
    <mergeCell ref="K61:M61"/>
    <mergeCell ref="K64:M64"/>
    <mergeCell ref="K65:M65"/>
    <mergeCell ref="K68:M68"/>
    <mergeCell ref="K69:M69"/>
    <mergeCell ref="K72:M72"/>
    <mergeCell ref="K73:M73"/>
    <mergeCell ref="K76:M76"/>
    <mergeCell ref="K77:M77"/>
    <mergeCell ref="K80:M80"/>
    <mergeCell ref="K81:M81"/>
    <mergeCell ref="K97:M97"/>
    <mergeCell ref="K85:M85"/>
    <mergeCell ref="K88:M88"/>
    <mergeCell ref="K89:M89"/>
    <mergeCell ref="K92:M92"/>
    <mergeCell ref="K93:M93"/>
    <mergeCell ref="K96:M96"/>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4">
    <pageSetUpPr fitToPage="1"/>
  </sheetPr>
  <dimension ref="A1:P112"/>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customWidth="1"/>
    <col min="2" max="2" width="28.625" style="22" customWidth="1"/>
    <col min="3" max="3" width="13.375" style="22" customWidth="1"/>
    <col min="4" max="4" width="9.375" style="22" customWidth="1"/>
    <col min="5" max="5" width="4.875" style="22" bestFit="1" customWidth="1"/>
    <col min="6" max="6" width="4.75" style="22" bestFit="1" customWidth="1"/>
    <col min="7" max="7" width="6.125" style="22" bestFit="1" customWidth="1"/>
    <col min="8" max="8" width="4.75" style="22" bestFit="1" customWidth="1"/>
    <col min="9" max="9" width="4.75" style="22" customWidth="1"/>
    <col min="10" max="11" width="9.625" style="22" customWidth="1"/>
    <col min="12" max="13" width="10.25" style="22" customWidth="1"/>
    <col min="14" max="14" width="9" style="22"/>
    <col min="15" max="16" width="0" style="22" hidden="1" customWidth="1"/>
    <col min="17" max="16384" width="9" style="22"/>
  </cols>
  <sheetData>
    <row r="1" spans="1:16">
      <c r="B1" s="47"/>
      <c r="C1" s="247" t="s">
        <v>383</v>
      </c>
    </row>
    <row r="2" spans="1:16">
      <c r="A2" s="670" t="s">
        <v>230</v>
      </c>
      <c r="B2" s="671"/>
      <c r="C2" s="670" t="s">
        <v>36</v>
      </c>
      <c r="D2" s="676"/>
      <c r="E2" s="676"/>
      <c r="F2" s="676"/>
      <c r="G2" s="671"/>
      <c r="H2" s="670"/>
      <c r="I2" s="676"/>
      <c r="J2" s="671"/>
      <c r="K2" s="81"/>
      <c r="L2" s="82" t="s">
        <v>37</v>
      </c>
      <c r="M2" s="82" t="s">
        <v>38</v>
      </c>
    </row>
    <row r="3" spans="1:16">
      <c r="A3" s="672"/>
      <c r="B3" s="673"/>
      <c r="C3" s="857" t="s">
        <v>792</v>
      </c>
      <c r="D3" s="858"/>
      <c r="E3" s="858"/>
      <c r="F3" s="858"/>
      <c r="G3" s="859"/>
      <c r="H3" s="670" t="s">
        <v>39</v>
      </c>
      <c r="I3" s="671"/>
      <c r="J3" s="83">
        <f>COUNT(A7:A100)</f>
        <v>10</v>
      </c>
      <c r="K3" s="82" t="s">
        <v>40</v>
      </c>
      <c r="L3" s="84">
        <v>38637</v>
      </c>
      <c r="M3" s="41" t="s">
        <v>532</v>
      </c>
      <c r="O3" s="22" t="s">
        <v>41</v>
      </c>
      <c r="P3" s="22" t="s">
        <v>42</v>
      </c>
    </row>
    <row r="4" spans="1:16">
      <c r="A4" s="674" t="s">
        <v>43</v>
      </c>
      <c r="B4" s="675"/>
      <c r="C4" s="860" t="s">
        <v>1468</v>
      </c>
      <c r="D4" s="861"/>
      <c r="E4" s="861"/>
      <c r="F4" s="861"/>
      <c r="G4" s="862"/>
      <c r="H4" s="670" t="s">
        <v>44</v>
      </c>
      <c r="I4" s="671"/>
      <c r="J4" s="83">
        <f>SUM(G7:G100)</f>
        <v>127</v>
      </c>
      <c r="K4" s="82" t="s">
        <v>45</v>
      </c>
      <c r="L4" s="40">
        <v>38762</v>
      </c>
      <c r="M4" s="42" t="s">
        <v>1407</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c r="A7" s="89">
        <v>1</v>
      </c>
      <c r="B7" s="48" t="s">
        <v>598</v>
      </c>
      <c r="C7" s="49" t="s">
        <v>793</v>
      </c>
      <c r="D7" s="78" t="s">
        <v>548</v>
      </c>
      <c r="E7" s="98">
        <v>16</v>
      </c>
      <c r="F7" s="99"/>
      <c r="G7" s="20">
        <f t="shared" ref="G7:G14" si="0">IF(D7="DATE",4,IF(D7="CHAR",E7,IF(D7="SMALLINT",2,IF(D7="INTEGER",4,IF(D7="TIMESTAMP",10,IF(D7="TIME",3,0))))))</f>
        <v>16</v>
      </c>
      <c r="H7" s="89" t="s">
        <v>547</v>
      </c>
      <c r="I7" s="89" t="s">
        <v>547</v>
      </c>
      <c r="J7" s="92"/>
      <c r="K7" s="599"/>
      <c r="L7" s="600"/>
      <c r="M7" s="601"/>
      <c r="P7" s="22" t="s">
        <v>565</v>
      </c>
    </row>
    <row r="8" spans="1:16" s="113" customFormat="1" ht="12" customHeight="1">
      <c r="A8" s="42">
        <f t="shared" ref="A8:A16" si="1">IF(B8=""," ",A7+1)</f>
        <v>2</v>
      </c>
      <c r="B8" s="66" t="s">
        <v>794</v>
      </c>
      <c r="C8" s="125" t="s">
        <v>796</v>
      </c>
      <c r="D8" s="126" t="s">
        <v>1164</v>
      </c>
      <c r="E8" s="127">
        <v>40</v>
      </c>
      <c r="F8" s="123"/>
      <c r="G8" s="20">
        <f t="shared" si="0"/>
        <v>40</v>
      </c>
      <c r="H8" s="41" t="s">
        <v>599</v>
      </c>
      <c r="I8" s="41"/>
      <c r="J8" s="124"/>
      <c r="K8" s="595"/>
      <c r="L8" s="596"/>
      <c r="M8" s="597"/>
    </row>
    <row r="9" spans="1:16" s="113" customFormat="1" ht="12" customHeight="1">
      <c r="A9" s="42">
        <f t="shared" si="1"/>
        <v>3</v>
      </c>
      <c r="B9" s="66" t="s">
        <v>795</v>
      </c>
      <c r="C9" s="125" t="s">
        <v>797</v>
      </c>
      <c r="D9" s="126" t="s">
        <v>533</v>
      </c>
      <c r="E9" s="127">
        <v>20</v>
      </c>
      <c r="F9" s="123"/>
      <c r="G9" s="20">
        <f t="shared" si="0"/>
        <v>20</v>
      </c>
      <c r="H9" s="41" t="s">
        <v>1377</v>
      </c>
      <c r="I9" s="41"/>
      <c r="J9" s="124"/>
      <c r="K9" s="595"/>
      <c r="L9" s="596"/>
      <c r="M9" s="597"/>
    </row>
    <row r="10" spans="1:16">
      <c r="A10" s="42">
        <f t="shared" si="1"/>
        <v>4</v>
      </c>
      <c r="B10" s="48" t="s">
        <v>74</v>
      </c>
      <c r="C10" s="49" t="s">
        <v>1361</v>
      </c>
      <c r="D10" s="78" t="s">
        <v>1164</v>
      </c>
      <c r="E10" s="98">
        <v>16</v>
      </c>
      <c r="F10" s="99"/>
      <c r="G10" s="20">
        <f>IF(D10="DATE",4,IF(D10="CHAR",E10,IF(D10="SMALLINT",2,IF(D10="INTEGER",4,IF(D10="TIMESTAMP",10,IF(D10="TIME",3,0))))))</f>
        <v>16</v>
      </c>
      <c r="H10" s="89" t="s">
        <v>1377</v>
      </c>
      <c r="I10" s="89" t="s">
        <v>1377</v>
      </c>
      <c r="J10" s="92"/>
      <c r="K10" s="599"/>
      <c r="L10" s="600"/>
      <c r="M10" s="601"/>
    </row>
    <row r="11" spans="1:16">
      <c r="A11" s="42">
        <f t="shared" si="1"/>
        <v>5</v>
      </c>
      <c r="B11" s="48" t="s">
        <v>66</v>
      </c>
      <c r="C11" s="49" t="s">
        <v>1362</v>
      </c>
      <c r="D11" s="78" t="s">
        <v>548</v>
      </c>
      <c r="E11" s="98">
        <v>7</v>
      </c>
      <c r="F11" s="99"/>
      <c r="G11" s="20">
        <f t="shared" si="0"/>
        <v>7</v>
      </c>
      <c r="H11" s="89" t="s">
        <v>547</v>
      </c>
      <c r="I11" s="89" t="s">
        <v>547</v>
      </c>
      <c r="J11" s="92"/>
      <c r="K11" s="599"/>
      <c r="L11" s="600"/>
      <c r="M11" s="601"/>
    </row>
    <row r="12" spans="1:16" s="163" customFormat="1" ht="12" customHeight="1">
      <c r="A12" s="42">
        <f t="shared" si="1"/>
        <v>6</v>
      </c>
      <c r="B12" s="156" t="s">
        <v>837</v>
      </c>
      <c r="C12" s="157" t="s">
        <v>838</v>
      </c>
      <c r="D12" s="158" t="s">
        <v>829</v>
      </c>
      <c r="E12" s="159" t="s">
        <v>65</v>
      </c>
      <c r="F12" s="160"/>
      <c r="G12" s="20">
        <f t="shared" si="0"/>
        <v>2</v>
      </c>
      <c r="H12" s="161" t="s">
        <v>1340</v>
      </c>
      <c r="I12" s="155"/>
      <c r="J12" s="162"/>
      <c r="K12" s="863" t="s">
        <v>801</v>
      </c>
      <c r="L12" s="864"/>
      <c r="M12" s="865"/>
    </row>
    <row r="13" spans="1:16">
      <c r="A13" s="42">
        <f t="shared" si="1"/>
        <v>7</v>
      </c>
      <c r="B13" s="64" t="s">
        <v>26</v>
      </c>
      <c r="C13" s="24" t="s">
        <v>1399</v>
      </c>
      <c r="D13" s="72" t="s">
        <v>519</v>
      </c>
      <c r="E13" s="73"/>
      <c r="F13" s="74"/>
      <c r="G13" s="20">
        <f t="shared" si="0"/>
        <v>4</v>
      </c>
      <c r="H13" s="89" t="s">
        <v>1400</v>
      </c>
      <c r="I13" s="42" t="s">
        <v>1400</v>
      </c>
      <c r="J13" s="59"/>
      <c r="K13" s="609" t="s">
        <v>1409</v>
      </c>
      <c r="L13" s="610"/>
      <c r="M13" s="611"/>
    </row>
    <row r="14" spans="1:16">
      <c r="A14" s="42">
        <f t="shared" si="1"/>
        <v>8</v>
      </c>
      <c r="B14" s="64" t="s">
        <v>27</v>
      </c>
      <c r="C14" s="24" t="s">
        <v>1401</v>
      </c>
      <c r="D14" s="72" t="s">
        <v>1402</v>
      </c>
      <c r="E14" s="73"/>
      <c r="F14" s="74"/>
      <c r="G14" s="20">
        <f t="shared" si="0"/>
        <v>4</v>
      </c>
      <c r="H14" s="89" t="s">
        <v>1403</v>
      </c>
      <c r="I14" s="42"/>
      <c r="J14" s="59"/>
      <c r="K14" s="609" t="s">
        <v>1410</v>
      </c>
      <c r="L14" s="610"/>
      <c r="M14" s="611"/>
    </row>
    <row r="15" spans="1:16" s="16" customFormat="1" ht="12" customHeight="1">
      <c r="A15" s="42">
        <f t="shared" si="1"/>
        <v>9</v>
      </c>
      <c r="B15" s="64" t="s">
        <v>1083</v>
      </c>
      <c r="C15" s="24" t="s">
        <v>1111</v>
      </c>
      <c r="D15" s="72" t="s">
        <v>1431</v>
      </c>
      <c r="E15" s="51">
        <v>8</v>
      </c>
      <c r="F15" s="58"/>
      <c r="G15" s="21">
        <f>IF(D15="DATE",4,IF(D15="CHAR",E15,IF(D15="SMALLINT",2,IF(D15="INTEGER",4,IF(D15="TIMESTAMP",10,IF(D15="TIME",3,0))))))</f>
        <v>8</v>
      </c>
      <c r="H15" s="53" t="s">
        <v>1432</v>
      </c>
      <c r="I15" s="53"/>
      <c r="J15" s="59"/>
      <c r="K15" s="609" t="s">
        <v>1112</v>
      </c>
      <c r="L15" s="610"/>
      <c r="M15" s="611"/>
    </row>
    <row r="16" spans="1:16">
      <c r="A16" s="42">
        <f t="shared" si="1"/>
        <v>10</v>
      </c>
      <c r="B16" s="93" t="s">
        <v>1724</v>
      </c>
      <c r="C16" s="26" t="s">
        <v>1404</v>
      </c>
      <c r="D16" s="94" t="s">
        <v>1405</v>
      </c>
      <c r="E16" s="95"/>
      <c r="F16" s="90"/>
      <c r="G16" s="21">
        <f>IF(D16="DATE",4,IF(D16="CHAR",E16,IF(D16="SMALLINT",2,IF(D16="INTEGER",4,IF(D16="TIMESTAMP",10,IF(D16="TIME",3,0))))))</f>
        <v>10</v>
      </c>
      <c r="H16" s="91" t="s">
        <v>1406</v>
      </c>
      <c r="I16" s="89"/>
      <c r="J16" s="92"/>
      <c r="K16" s="602"/>
      <c r="L16" s="603"/>
      <c r="M16" s="604"/>
    </row>
    <row r="17" spans="1:13">
      <c r="A17" s="89"/>
      <c r="B17" s="93"/>
      <c r="C17" s="26"/>
      <c r="D17" s="94"/>
      <c r="E17" s="95"/>
      <c r="F17" s="90"/>
      <c r="G17" s="21"/>
      <c r="H17" s="91"/>
      <c r="I17" s="89"/>
      <c r="J17" s="92"/>
      <c r="K17" s="669"/>
      <c r="L17" s="603"/>
      <c r="M17" s="604"/>
    </row>
    <row r="18" spans="1:13">
      <c r="A18" s="89"/>
      <c r="B18" s="96"/>
      <c r="C18" s="31"/>
      <c r="D18" s="97"/>
      <c r="E18" s="98"/>
      <c r="F18" s="99"/>
      <c r="G18" s="20"/>
      <c r="H18" s="89"/>
      <c r="I18" s="89"/>
      <c r="J18" s="92"/>
      <c r="K18" s="34"/>
      <c r="L18" s="32"/>
      <c r="M18" s="33"/>
    </row>
    <row r="19" spans="1:13">
      <c r="A19" s="89"/>
      <c r="B19" s="96"/>
      <c r="C19" s="31"/>
      <c r="D19" s="97"/>
      <c r="E19" s="98"/>
      <c r="F19" s="99"/>
      <c r="G19" s="20"/>
      <c r="H19" s="89"/>
      <c r="I19" s="89"/>
      <c r="J19" s="92"/>
      <c r="K19" s="31"/>
      <c r="L19" s="32"/>
      <c r="M19" s="33"/>
    </row>
    <row r="20" spans="1:13">
      <c r="A20" s="89"/>
      <c r="B20" s="96"/>
      <c r="C20" s="31"/>
      <c r="D20" s="97"/>
      <c r="E20" s="98"/>
      <c r="F20" s="99"/>
      <c r="G20" s="20"/>
      <c r="H20" s="89"/>
      <c r="I20" s="89"/>
      <c r="J20" s="92"/>
      <c r="K20" s="31"/>
      <c r="L20" s="32"/>
      <c r="M20" s="33"/>
    </row>
    <row r="21" spans="1:13">
      <c r="A21" s="89"/>
      <c r="B21" s="96"/>
      <c r="C21" s="31"/>
      <c r="D21" s="97"/>
      <c r="E21" s="98"/>
      <c r="F21" s="99"/>
      <c r="G21" s="20"/>
      <c r="H21" s="89"/>
      <c r="I21" s="89"/>
      <c r="J21" s="92"/>
      <c r="K21" s="31"/>
      <c r="L21" s="32"/>
      <c r="M21" s="33"/>
    </row>
    <row r="22" spans="1:13">
      <c r="A22" s="89"/>
      <c r="B22" s="96"/>
      <c r="C22" s="31"/>
      <c r="D22" s="97"/>
      <c r="E22" s="98"/>
      <c r="F22" s="99"/>
      <c r="G22" s="20"/>
      <c r="H22" s="89"/>
      <c r="I22" s="89"/>
      <c r="J22" s="92"/>
      <c r="K22" s="31"/>
      <c r="L22" s="32"/>
      <c r="M22" s="33"/>
    </row>
    <row r="23" spans="1:13">
      <c r="A23" s="89"/>
      <c r="B23" s="96"/>
      <c r="C23" s="31"/>
      <c r="D23" s="97"/>
      <c r="E23" s="98"/>
      <c r="F23" s="99"/>
      <c r="G23" s="20"/>
      <c r="H23" s="89"/>
      <c r="I23" s="89"/>
      <c r="J23" s="92"/>
      <c r="K23" s="31"/>
      <c r="L23" s="32"/>
      <c r="M23" s="33"/>
    </row>
    <row r="24" spans="1:13">
      <c r="A24" s="89"/>
      <c r="B24" s="96"/>
      <c r="C24" s="31"/>
      <c r="D24" s="97"/>
      <c r="E24" s="98"/>
      <c r="F24" s="99"/>
      <c r="G24" s="20"/>
      <c r="H24" s="89"/>
      <c r="I24" s="89"/>
      <c r="J24" s="92"/>
      <c r="K24" s="31"/>
      <c r="L24" s="32"/>
      <c r="M24" s="33"/>
    </row>
    <row r="25" spans="1:13">
      <c r="A25" s="89"/>
      <c r="B25" s="96"/>
      <c r="C25" s="31"/>
      <c r="D25" s="97"/>
      <c r="E25" s="98"/>
      <c r="F25" s="99"/>
      <c r="G25" s="20"/>
      <c r="H25" s="89"/>
      <c r="I25" s="89"/>
      <c r="J25" s="92"/>
      <c r="K25" s="31"/>
      <c r="L25" s="32"/>
      <c r="M25" s="33"/>
    </row>
    <row r="26" spans="1:13">
      <c r="A26" s="89"/>
      <c r="B26" s="96"/>
      <c r="C26" s="31"/>
      <c r="D26" s="97"/>
      <c r="E26" s="98"/>
      <c r="F26" s="99"/>
      <c r="G26" s="20"/>
      <c r="H26" s="89"/>
      <c r="I26" s="89"/>
      <c r="J26" s="92"/>
      <c r="K26" s="31"/>
      <c r="L26" s="32"/>
      <c r="M26" s="33"/>
    </row>
    <row r="27" spans="1:13">
      <c r="A27" s="89"/>
      <c r="B27" s="96"/>
      <c r="C27" s="31"/>
      <c r="D27" s="97"/>
      <c r="E27" s="98"/>
      <c r="F27" s="99"/>
      <c r="G27" s="20"/>
      <c r="H27" s="89"/>
      <c r="I27" s="89"/>
      <c r="J27" s="92"/>
      <c r="K27" s="31"/>
      <c r="L27" s="32"/>
      <c r="M27" s="33"/>
    </row>
    <row r="28" spans="1:13">
      <c r="A28" s="89"/>
      <c r="B28" s="96"/>
      <c r="C28" s="31"/>
      <c r="D28" s="97"/>
      <c r="E28" s="98"/>
      <c r="F28" s="99"/>
      <c r="G28" s="20"/>
      <c r="H28" s="89"/>
      <c r="I28" s="89"/>
      <c r="J28" s="92"/>
      <c r="K28" s="31"/>
      <c r="L28" s="32"/>
      <c r="M28" s="33"/>
    </row>
    <row r="29" spans="1:13">
      <c r="A29" s="89"/>
      <c r="B29" s="66"/>
      <c r="C29" s="31"/>
      <c r="D29" s="97"/>
      <c r="E29" s="98"/>
      <c r="F29" s="99"/>
      <c r="G29" s="20"/>
      <c r="H29" s="89"/>
      <c r="I29" s="89"/>
      <c r="J29" s="92"/>
      <c r="K29" s="31"/>
      <c r="L29" s="32"/>
      <c r="M29" s="33"/>
    </row>
    <row r="30" spans="1:13">
      <c r="A30" s="89"/>
      <c r="B30" s="96"/>
      <c r="C30" s="31"/>
      <c r="D30" s="97"/>
      <c r="E30" s="98"/>
      <c r="F30" s="99"/>
      <c r="G30" s="20"/>
      <c r="H30" s="89"/>
      <c r="I30" s="89"/>
      <c r="J30" s="92"/>
      <c r="K30" s="31"/>
      <c r="L30" s="32"/>
      <c r="M30" s="33"/>
    </row>
    <row r="31" spans="1:13">
      <c r="A31" s="89"/>
      <c r="B31" s="96"/>
      <c r="C31" s="31"/>
      <c r="D31" s="97"/>
      <c r="E31" s="98"/>
      <c r="F31" s="99"/>
      <c r="G31" s="20"/>
      <c r="H31" s="89"/>
      <c r="I31" s="89"/>
      <c r="J31" s="92"/>
      <c r="K31" s="31"/>
      <c r="L31" s="32"/>
      <c r="M31" s="33"/>
    </row>
    <row r="32" spans="1:13">
      <c r="A32" s="89"/>
      <c r="B32" s="96"/>
      <c r="C32" s="31"/>
      <c r="D32" s="97"/>
      <c r="E32" s="98"/>
      <c r="F32" s="99"/>
      <c r="G32" s="20"/>
      <c r="H32" s="89"/>
      <c r="I32" s="89"/>
      <c r="J32" s="92"/>
      <c r="K32" s="31"/>
      <c r="L32" s="32"/>
      <c r="M32" s="33"/>
    </row>
    <row r="33" spans="1:13">
      <c r="A33" s="89"/>
      <c r="B33" s="96"/>
      <c r="C33" s="31"/>
      <c r="D33" s="97"/>
      <c r="E33" s="98"/>
      <c r="F33" s="99"/>
      <c r="G33" s="20"/>
      <c r="H33" s="89"/>
      <c r="I33" s="89"/>
      <c r="J33" s="92"/>
      <c r="K33" s="31"/>
      <c r="L33" s="32"/>
      <c r="M33" s="33"/>
    </row>
    <row r="34" spans="1:13">
      <c r="A34" s="89"/>
      <c r="B34" s="96"/>
      <c r="C34" s="31"/>
      <c r="D34" s="97"/>
      <c r="E34" s="98"/>
      <c r="F34" s="99"/>
      <c r="G34" s="20"/>
      <c r="H34" s="89"/>
      <c r="I34" s="89"/>
      <c r="J34" s="92"/>
      <c r="K34" s="31"/>
      <c r="L34" s="32"/>
      <c r="M34" s="33"/>
    </row>
    <row r="35" spans="1:13">
      <c r="A35" s="89"/>
      <c r="B35" s="96"/>
      <c r="C35" s="31"/>
      <c r="D35" s="97"/>
      <c r="E35" s="98"/>
      <c r="F35" s="99"/>
      <c r="G35" s="21"/>
      <c r="H35" s="89"/>
      <c r="I35" s="89"/>
      <c r="J35" s="92"/>
      <c r="K35" s="31"/>
      <c r="L35" s="32"/>
      <c r="M35" s="33"/>
    </row>
    <row r="36" spans="1:13">
      <c r="A36" s="89"/>
      <c r="B36" s="96"/>
      <c r="C36" s="31"/>
      <c r="D36" s="97"/>
      <c r="E36" s="98"/>
      <c r="F36" s="99"/>
      <c r="G36" s="21"/>
      <c r="H36" s="89"/>
      <c r="I36" s="89"/>
      <c r="J36" s="92"/>
      <c r="K36" s="31"/>
      <c r="L36" s="32"/>
      <c r="M36" s="33"/>
    </row>
    <row r="37" spans="1:13">
      <c r="A37" s="89" t="str">
        <f>IF(B37=""," ",A36+1)</f>
        <v xml:space="preserve"> </v>
      </c>
      <c r="B37" s="96"/>
      <c r="C37" s="31"/>
      <c r="D37" s="97"/>
      <c r="E37" s="98"/>
      <c r="F37" s="99"/>
      <c r="G37" s="21"/>
      <c r="H37" s="89"/>
      <c r="I37" s="89"/>
      <c r="J37" s="92"/>
      <c r="K37" s="31"/>
      <c r="L37" s="32"/>
      <c r="M37" s="33"/>
    </row>
    <row r="38" spans="1:13">
      <c r="A38" s="89" t="str">
        <f>IF(B38=""," ",A37+1)</f>
        <v xml:space="preserve"> </v>
      </c>
      <c r="B38" s="96"/>
      <c r="C38" s="31"/>
      <c r="D38" s="97"/>
      <c r="E38" s="98"/>
      <c r="F38" s="99"/>
      <c r="G38" s="21"/>
      <c r="H38" s="89"/>
      <c r="I38" s="89"/>
      <c r="J38" s="92"/>
      <c r="K38" s="31"/>
      <c r="L38" s="32"/>
      <c r="M38" s="33"/>
    </row>
    <row r="39" spans="1:13">
      <c r="A39" s="89" t="str">
        <f>IF(B39=""," ",A38+1)</f>
        <v xml:space="preserve"> </v>
      </c>
      <c r="B39" s="96"/>
      <c r="C39" s="31"/>
      <c r="D39" s="97"/>
      <c r="E39" s="98"/>
      <c r="F39" s="99"/>
      <c r="G39" s="21"/>
      <c r="H39" s="89"/>
      <c r="I39" s="89"/>
      <c r="J39" s="92"/>
      <c r="K39" s="31"/>
      <c r="L39" s="32"/>
      <c r="M39" s="33"/>
    </row>
    <row r="40" spans="1:13">
      <c r="A40" s="89" t="str">
        <f>IF(B40=""," ",A39+1)</f>
        <v xml:space="preserve"> </v>
      </c>
      <c r="B40" s="96"/>
      <c r="C40" s="31"/>
      <c r="D40" s="97"/>
      <c r="E40" s="98"/>
      <c r="F40" s="99"/>
      <c r="G40" s="21"/>
      <c r="H40" s="89"/>
      <c r="I40" s="89"/>
      <c r="J40" s="92"/>
      <c r="K40" s="31"/>
      <c r="L40" s="32"/>
      <c r="M40" s="33"/>
    </row>
    <row r="41" spans="1:13">
      <c r="A41" s="42" t="str">
        <f>IF(B41=""," ",A40+1)</f>
        <v xml:space="preserve"> </v>
      </c>
      <c r="B41" s="71"/>
      <c r="C41" s="13"/>
      <c r="D41" s="72"/>
      <c r="E41" s="73"/>
      <c r="F41" s="74"/>
      <c r="G41" s="20"/>
      <c r="H41" s="42"/>
      <c r="I41" s="42"/>
      <c r="J41" s="59"/>
      <c r="K41" s="609"/>
      <c r="L41" s="610"/>
      <c r="M41" s="611"/>
    </row>
    <row r="42" spans="1:13">
      <c r="A42" s="42" t="str">
        <f>IF(B42=""," ",#REF!+1)</f>
        <v xml:space="preserve"> </v>
      </c>
      <c r="B42" s="71"/>
      <c r="C42" s="13"/>
      <c r="D42" s="72"/>
      <c r="E42" s="73"/>
      <c r="F42" s="74"/>
      <c r="G42" s="20"/>
      <c r="H42" s="42"/>
      <c r="I42" s="42"/>
      <c r="J42" s="59"/>
      <c r="K42" s="609"/>
      <c r="L42" s="610"/>
      <c r="M42" s="611"/>
    </row>
    <row r="43" spans="1:13">
      <c r="A43" s="42" t="str">
        <f>IF(B43=""," ",#REF!+1)</f>
        <v xml:space="preserve"> </v>
      </c>
      <c r="B43" s="71"/>
      <c r="C43" s="13"/>
      <c r="D43" s="72"/>
      <c r="E43" s="73"/>
      <c r="F43" s="74"/>
      <c r="G43" s="20"/>
      <c r="H43" s="42"/>
      <c r="I43" s="42"/>
      <c r="J43" s="59"/>
      <c r="K43" s="13"/>
      <c r="L43" s="14"/>
      <c r="M43" s="15"/>
    </row>
    <row r="44" spans="1:13">
      <c r="A44" s="42" t="str">
        <f>IF(B44=""," ",A43+1)</f>
        <v xml:space="preserve"> </v>
      </c>
      <c r="B44" s="71"/>
      <c r="C44" s="13"/>
      <c r="D44" s="72"/>
      <c r="E44" s="73"/>
      <c r="F44" s="74"/>
      <c r="G44" s="20"/>
      <c r="H44" s="42"/>
      <c r="I44" s="42"/>
      <c r="J44" s="59"/>
      <c r="K44" s="13"/>
      <c r="L44" s="14"/>
      <c r="M44" s="15"/>
    </row>
    <row r="45" spans="1:13">
      <c r="A45" s="42" t="str">
        <f>IF(B45=""," ",A44+1)</f>
        <v xml:space="preserve"> </v>
      </c>
      <c r="B45" s="71"/>
      <c r="C45" s="13"/>
      <c r="D45" s="72"/>
      <c r="E45" s="73"/>
      <c r="F45" s="74"/>
      <c r="G45" s="20"/>
      <c r="H45" s="42"/>
      <c r="I45" s="42"/>
      <c r="J45" s="59"/>
      <c r="K45" s="609"/>
      <c r="L45" s="610"/>
      <c r="M45" s="611"/>
    </row>
    <row r="46" spans="1:13">
      <c r="A46" s="42" t="str">
        <f>IF(B46=""," ",#REF!+1)</f>
        <v xml:space="preserve"> </v>
      </c>
      <c r="B46" s="71"/>
      <c r="C46" s="13"/>
      <c r="D46" s="72"/>
      <c r="E46" s="73"/>
      <c r="F46" s="74"/>
      <c r="G46" s="20"/>
      <c r="H46" s="42"/>
      <c r="I46" s="42"/>
      <c r="J46" s="59"/>
      <c r="K46" s="609"/>
      <c r="L46" s="610"/>
      <c r="M46" s="611"/>
    </row>
    <row r="47" spans="1:13">
      <c r="A47" s="42" t="str">
        <f>IF(B47=""," ",#REF!+1)</f>
        <v xml:space="preserve"> </v>
      </c>
      <c r="B47" s="71"/>
      <c r="C47" s="13"/>
      <c r="D47" s="72"/>
      <c r="E47" s="73"/>
      <c r="F47" s="74"/>
      <c r="G47" s="20"/>
      <c r="H47" s="42"/>
      <c r="I47" s="42"/>
      <c r="J47" s="59"/>
      <c r="K47" s="13"/>
      <c r="L47" s="14"/>
      <c r="M47" s="15"/>
    </row>
    <row r="48" spans="1:13">
      <c r="A48" s="42" t="str">
        <f>IF(B48=""," ",A47+1)</f>
        <v xml:space="preserve"> </v>
      </c>
      <c r="B48" s="71"/>
      <c r="C48" s="13"/>
      <c r="D48" s="72"/>
      <c r="E48" s="73"/>
      <c r="F48" s="74"/>
      <c r="G48" s="20"/>
      <c r="H48" s="42"/>
      <c r="I48" s="42"/>
      <c r="J48" s="59"/>
      <c r="K48" s="13"/>
      <c r="L48" s="14"/>
      <c r="M48" s="15"/>
    </row>
    <row r="49" spans="1:13">
      <c r="A49" s="42" t="str">
        <f>IF(B49=""," ",A48+1)</f>
        <v xml:space="preserve"> </v>
      </c>
      <c r="B49" s="71"/>
      <c r="C49" s="13"/>
      <c r="D49" s="72"/>
      <c r="E49" s="73"/>
      <c r="F49" s="74"/>
      <c r="G49" s="20"/>
      <c r="H49" s="42"/>
      <c r="I49" s="42"/>
      <c r="J49" s="59"/>
      <c r="K49" s="609"/>
      <c r="L49" s="610"/>
      <c r="M49" s="611"/>
    </row>
    <row r="50" spans="1:13">
      <c r="A50" s="42" t="str">
        <f>IF(B50=""," ",#REF!+1)</f>
        <v xml:space="preserve"> </v>
      </c>
      <c r="B50" s="71"/>
      <c r="C50" s="13"/>
      <c r="D50" s="72"/>
      <c r="E50" s="73"/>
      <c r="F50" s="74"/>
      <c r="G50" s="20"/>
      <c r="H50" s="42"/>
      <c r="I50" s="42"/>
      <c r="J50" s="59"/>
      <c r="K50" s="609"/>
      <c r="L50" s="610"/>
      <c r="M50" s="611"/>
    </row>
    <row r="51" spans="1:13">
      <c r="A51" s="42" t="str">
        <f>IF(B51=""," ",#REF!+1)</f>
        <v xml:space="preserve"> </v>
      </c>
      <c r="B51" s="71"/>
      <c r="C51" s="13"/>
      <c r="D51" s="72"/>
      <c r="E51" s="73"/>
      <c r="F51" s="74"/>
      <c r="G51" s="20"/>
      <c r="H51" s="42"/>
      <c r="I51" s="42"/>
      <c r="J51" s="59"/>
      <c r="K51" s="13"/>
      <c r="L51" s="14"/>
      <c r="M51" s="15"/>
    </row>
    <row r="52" spans="1:13">
      <c r="A52" s="42" t="str">
        <f>IF(B52=""," ",A51+1)</f>
        <v xml:space="preserve"> </v>
      </c>
      <c r="B52" s="71"/>
      <c r="C52" s="13"/>
      <c r="D52" s="72"/>
      <c r="E52" s="73"/>
      <c r="F52" s="74"/>
      <c r="G52" s="20"/>
      <c r="H52" s="42"/>
      <c r="I52" s="42"/>
      <c r="J52" s="59"/>
      <c r="K52" s="13"/>
      <c r="L52" s="14"/>
      <c r="M52" s="15"/>
    </row>
    <row r="53" spans="1:13">
      <c r="A53" s="42" t="str">
        <f>IF(B53=""," ",A52+1)</f>
        <v xml:space="preserve"> </v>
      </c>
      <c r="B53" s="71"/>
      <c r="C53" s="13"/>
      <c r="D53" s="72"/>
      <c r="E53" s="73"/>
      <c r="F53" s="74"/>
      <c r="G53" s="20"/>
      <c r="H53" s="42"/>
      <c r="I53" s="42"/>
      <c r="J53" s="59"/>
      <c r="K53" s="609"/>
      <c r="L53" s="610"/>
      <c r="M53" s="611"/>
    </row>
    <row r="54" spans="1:13">
      <c r="A54" s="42" t="str">
        <f>IF(B54=""," ",#REF!+1)</f>
        <v xml:space="preserve"> </v>
      </c>
      <c r="B54" s="71"/>
      <c r="C54" s="13"/>
      <c r="D54" s="72"/>
      <c r="E54" s="73"/>
      <c r="F54" s="74"/>
      <c r="G54" s="20"/>
      <c r="H54" s="42"/>
      <c r="I54" s="42"/>
      <c r="J54" s="59"/>
      <c r="K54" s="609"/>
      <c r="L54" s="610"/>
      <c r="M54" s="611"/>
    </row>
    <row r="55" spans="1:13">
      <c r="A55" s="42" t="str">
        <f>IF(B55=""," ",#REF!+1)</f>
        <v xml:space="preserve"> </v>
      </c>
      <c r="B55" s="71"/>
      <c r="C55" s="13"/>
      <c r="D55" s="72"/>
      <c r="E55" s="73"/>
      <c r="F55" s="74"/>
      <c r="G55" s="20"/>
      <c r="H55" s="42"/>
      <c r="I55" s="42"/>
      <c r="J55" s="59"/>
      <c r="K55" s="13"/>
      <c r="L55" s="14"/>
      <c r="M55" s="15"/>
    </row>
    <row r="56" spans="1:13">
      <c r="A56" s="42" t="str">
        <f>IF(B56=""," ",A55+1)</f>
        <v xml:space="preserve"> </v>
      </c>
      <c r="B56" s="71"/>
      <c r="C56" s="13"/>
      <c r="D56" s="72"/>
      <c r="E56" s="73"/>
      <c r="F56" s="74"/>
      <c r="G56" s="20"/>
      <c r="H56" s="42"/>
      <c r="I56" s="42"/>
      <c r="J56" s="59"/>
      <c r="K56" s="13"/>
      <c r="L56" s="14"/>
      <c r="M56" s="15"/>
    </row>
    <row r="57" spans="1:13">
      <c r="A57" s="42" t="str">
        <f>IF(B57=""," ",A56+1)</f>
        <v xml:space="preserve"> </v>
      </c>
      <c r="B57" s="71"/>
      <c r="C57" s="13"/>
      <c r="D57" s="72"/>
      <c r="E57" s="73"/>
      <c r="F57" s="74"/>
      <c r="G57" s="20"/>
      <c r="H57" s="42"/>
      <c r="I57" s="42"/>
      <c r="J57" s="59"/>
      <c r="K57" s="609"/>
      <c r="L57" s="610"/>
      <c r="M57" s="611"/>
    </row>
    <row r="58" spans="1:13">
      <c r="A58" s="42" t="str">
        <f>IF(B58=""," ",#REF!+1)</f>
        <v xml:space="preserve"> </v>
      </c>
      <c r="B58" s="71"/>
      <c r="C58" s="13"/>
      <c r="D58" s="72"/>
      <c r="E58" s="73"/>
      <c r="F58" s="74"/>
      <c r="G58" s="20"/>
      <c r="H58" s="42"/>
      <c r="I58" s="42"/>
      <c r="J58" s="59"/>
      <c r="K58" s="609"/>
      <c r="L58" s="610"/>
      <c r="M58" s="611"/>
    </row>
    <row r="59" spans="1:13">
      <c r="A59" s="42" t="str">
        <f>IF(B59=""," ",#REF!+1)</f>
        <v xml:space="preserve"> </v>
      </c>
      <c r="B59" s="71"/>
      <c r="C59" s="13"/>
      <c r="D59" s="72"/>
      <c r="E59" s="73"/>
      <c r="F59" s="74"/>
      <c r="G59" s="20"/>
      <c r="H59" s="42"/>
      <c r="I59" s="42"/>
      <c r="J59" s="59"/>
      <c r="K59" s="13"/>
      <c r="L59" s="14"/>
      <c r="M59" s="15"/>
    </row>
    <row r="60" spans="1:13">
      <c r="A60" s="42" t="str">
        <f>IF(B60=""," ",A59+1)</f>
        <v xml:space="preserve"> </v>
      </c>
      <c r="B60" s="71"/>
      <c r="C60" s="13"/>
      <c r="D60" s="72"/>
      <c r="E60" s="73"/>
      <c r="F60" s="74"/>
      <c r="G60" s="20"/>
      <c r="H60" s="42"/>
      <c r="I60" s="42"/>
      <c r="J60" s="59"/>
      <c r="K60" s="13"/>
      <c r="L60" s="14"/>
      <c r="M60" s="15"/>
    </row>
    <row r="61" spans="1:13">
      <c r="A61" s="42" t="str">
        <f>IF(B61=""," ",A60+1)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13"/>
      <c r="L99" s="14"/>
      <c r="M99" s="15"/>
    </row>
    <row r="100" spans="1:13">
      <c r="A100" s="42" t="str">
        <f>IF(B100=""," ",#REF!+1)</f>
        <v xml:space="preserve"> </v>
      </c>
      <c r="B100" s="71"/>
      <c r="C100" s="13"/>
      <c r="D100" s="72"/>
      <c r="E100" s="73"/>
      <c r="F100" s="74"/>
      <c r="G100" s="20"/>
      <c r="H100" s="42"/>
      <c r="I100" s="42"/>
      <c r="J100" s="59"/>
      <c r="K100" s="13"/>
      <c r="L100" s="14"/>
      <c r="M100" s="15"/>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c r="D107" s="16"/>
    </row>
    <row r="108" spans="1:13">
      <c r="B108" s="22" t="s">
        <v>798</v>
      </c>
      <c r="C108" s="16" t="s">
        <v>1720</v>
      </c>
      <c r="D108" s="16" t="s">
        <v>1724</v>
      </c>
    </row>
    <row r="109" spans="1:13">
      <c r="C109" s="16" t="s">
        <v>1725</v>
      </c>
      <c r="D109" s="16"/>
    </row>
    <row r="110" spans="1:13">
      <c r="C110" s="22" t="s">
        <v>1693</v>
      </c>
      <c r="D110" s="22" t="s">
        <v>1750</v>
      </c>
    </row>
    <row r="112" spans="1:13" s="16" customFormat="1">
      <c r="A112" s="46"/>
      <c r="B112" s="75" t="s">
        <v>799</v>
      </c>
      <c r="C112" s="16" t="s">
        <v>1411</v>
      </c>
    </row>
  </sheetData>
  <mergeCells count="55">
    <mergeCell ref="K97:M97"/>
    <mergeCell ref="K98:M98"/>
    <mergeCell ref="K89:M89"/>
    <mergeCell ref="K90:M90"/>
    <mergeCell ref="K93:M93"/>
    <mergeCell ref="K94:M94"/>
    <mergeCell ref="K81:M81"/>
    <mergeCell ref="K82:M82"/>
    <mergeCell ref="K85:M85"/>
    <mergeCell ref="K86:M86"/>
    <mergeCell ref="K73:M73"/>
    <mergeCell ref="K74:M74"/>
    <mergeCell ref="K77:M77"/>
    <mergeCell ref="K78:M78"/>
    <mergeCell ref="K65:M65"/>
    <mergeCell ref="K66:M66"/>
    <mergeCell ref="K69:M69"/>
    <mergeCell ref="K70:M70"/>
    <mergeCell ref="K57:M57"/>
    <mergeCell ref="K58:M58"/>
    <mergeCell ref="K61:M61"/>
    <mergeCell ref="K62:M62"/>
    <mergeCell ref="K49:M49"/>
    <mergeCell ref="K50:M50"/>
    <mergeCell ref="K53:M53"/>
    <mergeCell ref="K54:M54"/>
    <mergeCell ref="K41:M41"/>
    <mergeCell ref="K42:M42"/>
    <mergeCell ref="K45:M45"/>
    <mergeCell ref="K46:M46"/>
    <mergeCell ref="K17:M17"/>
    <mergeCell ref="K11:M11"/>
    <mergeCell ref="K13:M13"/>
    <mergeCell ref="K14:M14"/>
    <mergeCell ref="K16:M16"/>
    <mergeCell ref="K15:M15"/>
    <mergeCell ref="K12:M12"/>
    <mergeCell ref="C2:G2"/>
    <mergeCell ref="C3:G3"/>
    <mergeCell ref="C4:G4"/>
    <mergeCell ref="H4:I4"/>
    <mergeCell ref="A5:A6"/>
    <mergeCell ref="A2:B2"/>
    <mergeCell ref="A3:B3"/>
    <mergeCell ref="A4:B4"/>
    <mergeCell ref="B5:C5"/>
    <mergeCell ref="H3:I3"/>
    <mergeCell ref="H2:J2"/>
    <mergeCell ref="K10:M10"/>
    <mergeCell ref="K8:M8"/>
    <mergeCell ref="K5:M6"/>
    <mergeCell ref="I5:J5"/>
    <mergeCell ref="D5:H5"/>
    <mergeCell ref="K9:M9"/>
    <mergeCell ref="K7:M7"/>
  </mergeCells>
  <phoneticPr fontId="6"/>
  <dataValidations count="6">
    <dataValidation type="list" allowBlank="1" showInputMessage="1" showErrorMessage="1" sqref="H10:I11 H7:I7 H13:H14 I17:I28 H18:H28" xr:uid="{00000000-0002-0000-1500-000000000000}">
      <formula1>$O$4</formula1>
    </dataValidation>
    <dataValidation type="whole" imeMode="disabled" operator="greaterThan" allowBlank="1" showInputMessage="1" showErrorMessage="1" sqref="E7 E18:E28" xr:uid="{00000000-0002-0000-1500-000001000000}">
      <formula1>0</formula1>
    </dataValidation>
    <dataValidation type="whole" imeMode="disabled" operator="greaterThanOrEqual" allowBlank="1" showInputMessage="1" showErrorMessage="1" sqref="F10:F11 F7 F18:F28" xr:uid="{00000000-0002-0000-1500-000002000000}">
      <formula1>0</formula1>
    </dataValidation>
    <dataValidation type="textLength" imeMode="disabled" operator="lessThanOrEqual" allowBlank="1" showInputMessage="1" showErrorMessage="1" sqref="E4:G4" xr:uid="{00000000-0002-0000-1500-000003000000}">
      <formula1>8</formula1>
    </dataValidation>
    <dataValidation imeMode="disabled" allowBlank="1" showInputMessage="1" showErrorMessage="1" sqref="J17:J28 J7 J10:J11" xr:uid="{00000000-0002-0000-1500-000004000000}"/>
    <dataValidation type="list" allowBlank="1" showInputMessage="1" showErrorMessage="1" sqref="P7" xr:uid="{00000000-0002-0000-1500-000005000000}">
      <formula1>$P$4:$P$11</formula1>
    </dataValidation>
  </dataValidations>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4">
    <pageSetUpPr fitToPage="1"/>
  </sheetPr>
  <dimension ref="A1:P125"/>
  <sheetViews>
    <sheetView showGridLines="0" zoomScaleNormal="100" zoomScaleSheetLayoutView="100" workbookViewId="0">
      <pane ySplit="6" topLeftCell="A44" activePane="bottomLeft" state="frozen"/>
      <selection activeCell="A7" sqref="A7"/>
      <selection pane="bottomLeft" activeCell="D5" sqref="D5:H5"/>
    </sheetView>
  </sheetViews>
  <sheetFormatPr defaultRowHeight="12"/>
  <cols>
    <col min="1" max="1" width="3.875" style="46" customWidth="1"/>
    <col min="2" max="2" width="28.625" style="16" customWidth="1"/>
    <col min="3" max="3" width="13.375" style="16" customWidth="1"/>
    <col min="4" max="4" width="9.375" style="16" customWidth="1"/>
    <col min="5" max="5" width="4.875" style="16" bestFit="1" customWidth="1"/>
    <col min="6" max="6" width="4.75" style="16" bestFit="1" customWidth="1"/>
    <col min="7" max="7" width="6.125" style="16" bestFit="1" customWidth="1"/>
    <col min="8" max="8" width="4.75" style="16" bestFit="1" customWidth="1"/>
    <col min="9" max="9" width="4.75" style="16" customWidth="1"/>
    <col min="10" max="11" width="9.625" style="16" customWidth="1"/>
    <col min="12" max="12" width="10.25" style="16" customWidth="1"/>
    <col min="13" max="13" width="10.125" style="16" customWidth="1"/>
    <col min="14" max="14" width="9" style="16" customWidth="1"/>
    <col min="15" max="16" width="0" style="16" hidden="1" customWidth="1"/>
    <col min="17" max="16384" width="9" style="16"/>
  </cols>
  <sheetData>
    <row r="1" spans="1:16" ht="12" customHeight="1">
      <c r="B1" s="47"/>
    </row>
    <row r="2" spans="1:16" ht="12" customHeight="1">
      <c r="A2" s="643" t="s">
        <v>1104</v>
      </c>
      <c r="B2" s="644"/>
      <c r="C2" s="643" t="s">
        <v>36</v>
      </c>
      <c r="D2" s="651"/>
      <c r="E2" s="651"/>
      <c r="F2" s="651"/>
      <c r="G2" s="644"/>
      <c r="H2" s="643"/>
      <c r="I2" s="651"/>
      <c r="J2" s="644"/>
      <c r="K2" s="37"/>
      <c r="L2" s="38" t="s">
        <v>37</v>
      </c>
      <c r="M2" s="38" t="s">
        <v>38</v>
      </c>
    </row>
    <row r="3" spans="1:16" ht="12" customHeight="1">
      <c r="A3" s="647"/>
      <c r="B3" s="648"/>
      <c r="C3" s="652" t="s">
        <v>1356</v>
      </c>
      <c r="D3" s="653"/>
      <c r="E3" s="653"/>
      <c r="F3" s="653"/>
      <c r="G3" s="654"/>
      <c r="H3" s="643" t="s">
        <v>39</v>
      </c>
      <c r="I3" s="644"/>
      <c r="J3" s="39">
        <f>COUNT(A7:A100)</f>
        <v>48</v>
      </c>
      <c r="K3" s="38" t="s">
        <v>40</v>
      </c>
      <c r="L3" s="40">
        <v>38629</v>
      </c>
      <c r="M3" s="41" t="s">
        <v>56</v>
      </c>
      <c r="O3" s="16" t="s">
        <v>41</v>
      </c>
      <c r="P3" s="16" t="s">
        <v>42</v>
      </c>
    </row>
    <row r="4" spans="1:16" ht="12" customHeight="1">
      <c r="A4" s="649" t="s">
        <v>43</v>
      </c>
      <c r="B4" s="650"/>
      <c r="C4" s="649" t="s">
        <v>1357</v>
      </c>
      <c r="D4" s="655"/>
      <c r="E4" s="655"/>
      <c r="F4" s="655"/>
      <c r="G4" s="650"/>
      <c r="H4" s="643" t="s">
        <v>44</v>
      </c>
      <c r="I4" s="644"/>
      <c r="J4" s="39">
        <f>SUM(G7:G100)</f>
        <v>453</v>
      </c>
      <c r="K4" s="38" t="s">
        <v>45</v>
      </c>
      <c r="L4" s="40">
        <v>38789</v>
      </c>
      <c r="M4" s="42" t="s">
        <v>675</v>
      </c>
      <c r="O4" s="16" t="s">
        <v>1400</v>
      </c>
      <c r="P4" s="16" t="s">
        <v>569</v>
      </c>
    </row>
    <row r="5" spans="1:16" ht="12" customHeight="1">
      <c r="A5" s="645" t="s">
        <v>1442</v>
      </c>
      <c r="B5" s="643" t="s">
        <v>46</v>
      </c>
      <c r="C5" s="651"/>
      <c r="D5" s="662" t="s">
        <v>47</v>
      </c>
      <c r="E5" s="651"/>
      <c r="F5" s="651"/>
      <c r="G5" s="651"/>
      <c r="H5" s="651"/>
      <c r="I5" s="643" t="s">
        <v>604</v>
      </c>
      <c r="J5" s="644"/>
      <c r="K5" s="656" t="s">
        <v>48</v>
      </c>
      <c r="L5" s="657"/>
      <c r="M5" s="658"/>
      <c r="P5" s="16" t="s">
        <v>605</v>
      </c>
    </row>
    <row r="6" spans="1:16" ht="12" customHeight="1">
      <c r="A6" s="646"/>
      <c r="B6" s="38" t="s">
        <v>49</v>
      </c>
      <c r="C6" s="35" t="s">
        <v>50</v>
      </c>
      <c r="D6" s="43" t="s">
        <v>42</v>
      </c>
      <c r="E6" s="44" t="s">
        <v>51</v>
      </c>
      <c r="F6" s="45" t="s">
        <v>52</v>
      </c>
      <c r="G6" s="38" t="s">
        <v>606</v>
      </c>
      <c r="H6" s="36" t="s">
        <v>53</v>
      </c>
      <c r="I6" s="36" t="s">
        <v>607</v>
      </c>
      <c r="J6" s="36" t="s">
        <v>608</v>
      </c>
      <c r="K6" s="659"/>
      <c r="L6" s="660"/>
      <c r="M6" s="661"/>
      <c r="P6" s="16" t="s">
        <v>609</v>
      </c>
    </row>
    <row r="7" spans="1:16" ht="12" customHeight="1">
      <c r="A7" s="42">
        <v>1</v>
      </c>
      <c r="B7" s="48" t="s">
        <v>74</v>
      </c>
      <c r="C7" s="49" t="s">
        <v>1361</v>
      </c>
      <c r="D7" s="50" t="s">
        <v>1164</v>
      </c>
      <c r="E7" s="51">
        <v>16</v>
      </c>
      <c r="F7" s="52"/>
      <c r="G7" s="20">
        <f t="shared" ref="G7:G47" si="0">IF(D7="DATE",4,IF(D7="CHAR",E7,IF(D7="SMALLINT",2,IF(D7="INTEGER",4,IF(D7="TIMESTAMP",10,IF(D7="TIME",3,0))))))</f>
        <v>16</v>
      </c>
      <c r="H7" s="53" t="s">
        <v>1377</v>
      </c>
      <c r="I7" s="53" t="s">
        <v>1377</v>
      </c>
      <c r="J7" s="54"/>
      <c r="K7" s="599"/>
      <c r="L7" s="600"/>
      <c r="M7" s="601"/>
      <c r="N7" s="16" t="s">
        <v>1978</v>
      </c>
    </row>
    <row r="8" spans="1:16" ht="12" customHeight="1">
      <c r="A8" s="42">
        <f>IF(B8=""," ",A7+1)</f>
        <v>2</v>
      </c>
      <c r="B8" s="48" t="s">
        <v>66</v>
      </c>
      <c r="C8" s="49" t="s">
        <v>1362</v>
      </c>
      <c r="D8" s="50" t="s">
        <v>506</v>
      </c>
      <c r="E8" s="51">
        <v>7</v>
      </c>
      <c r="F8" s="58"/>
      <c r="G8" s="20">
        <f t="shared" si="0"/>
        <v>7</v>
      </c>
      <c r="H8" s="53" t="s">
        <v>547</v>
      </c>
      <c r="I8" s="53" t="s">
        <v>547</v>
      </c>
      <c r="J8" s="54"/>
      <c r="K8" s="599"/>
      <c r="L8" s="600"/>
      <c r="M8" s="601"/>
      <c r="N8" s="16" t="s">
        <v>1978</v>
      </c>
      <c r="P8" s="16" t="s">
        <v>55</v>
      </c>
    </row>
    <row r="9" spans="1:16" ht="12" customHeight="1">
      <c r="A9" s="42">
        <f t="shared" ref="A9:A54" si="1">IF(B9=""," ",A8+1)</f>
        <v>3</v>
      </c>
      <c r="B9" s="48" t="s">
        <v>1117</v>
      </c>
      <c r="C9" s="49" t="s">
        <v>802</v>
      </c>
      <c r="D9" s="50" t="s">
        <v>548</v>
      </c>
      <c r="E9" s="51">
        <v>36</v>
      </c>
      <c r="F9" s="58"/>
      <c r="G9" s="20">
        <f>IF(D9="DATE",4,IF(D9="CHAR",E9,IF(D9="SMALLINT",2,IF(D9="INTEGER",4,IF(D9="TIMESTAMP",10,IF(D9="TIME",3,0))))))</f>
        <v>36</v>
      </c>
      <c r="H9" s="53" t="s">
        <v>547</v>
      </c>
      <c r="I9" s="42"/>
      <c r="J9" s="59"/>
      <c r="K9" s="599" t="s">
        <v>1113</v>
      </c>
      <c r="L9" s="600"/>
      <c r="M9" s="601"/>
      <c r="N9" s="16" t="s">
        <v>1978</v>
      </c>
    </row>
    <row r="10" spans="1:16" ht="12" customHeight="1">
      <c r="A10" s="42">
        <f t="shared" si="1"/>
        <v>4</v>
      </c>
      <c r="B10" s="48" t="s">
        <v>1118</v>
      </c>
      <c r="C10" s="49" t="s">
        <v>676</v>
      </c>
      <c r="D10" s="50" t="s">
        <v>548</v>
      </c>
      <c r="E10" s="51">
        <v>46</v>
      </c>
      <c r="F10" s="58"/>
      <c r="G10" s="20">
        <f t="shared" si="0"/>
        <v>46</v>
      </c>
      <c r="H10" s="53" t="s">
        <v>547</v>
      </c>
      <c r="I10" s="42"/>
      <c r="J10" s="59"/>
      <c r="K10" s="599" t="s">
        <v>1114</v>
      </c>
      <c r="L10" s="600"/>
      <c r="M10" s="601"/>
      <c r="N10" s="16" t="s">
        <v>1978</v>
      </c>
    </row>
    <row r="11" spans="1:16" ht="12" customHeight="1">
      <c r="A11" s="42">
        <f t="shared" si="1"/>
        <v>5</v>
      </c>
      <c r="B11" s="48" t="s">
        <v>1119</v>
      </c>
      <c r="C11" s="49" t="s">
        <v>803</v>
      </c>
      <c r="D11" s="50" t="s">
        <v>548</v>
      </c>
      <c r="E11" s="51">
        <v>16</v>
      </c>
      <c r="F11" s="58"/>
      <c r="G11" s="20">
        <f>IF(D11="DATE",4,IF(D11="CHAR",E11,IF(D11="SMALLINT",2,IF(D11="INTEGER",4,IF(D11="TIMESTAMP",10,IF(D11="TIME",3,0))))))</f>
        <v>16</v>
      </c>
      <c r="H11" s="53" t="s">
        <v>547</v>
      </c>
      <c r="I11" s="42"/>
      <c r="J11" s="59"/>
      <c r="K11" s="599" t="s">
        <v>1115</v>
      </c>
      <c r="L11" s="600"/>
      <c r="M11" s="601"/>
      <c r="N11" s="16" t="s">
        <v>1978</v>
      </c>
      <c r="P11" s="16" t="s">
        <v>563</v>
      </c>
    </row>
    <row r="12" spans="1:16" ht="12" customHeight="1">
      <c r="A12" s="42">
        <f t="shared" si="1"/>
        <v>6</v>
      </c>
      <c r="B12" s="48" t="s">
        <v>1120</v>
      </c>
      <c r="C12" s="49" t="s">
        <v>804</v>
      </c>
      <c r="D12" s="50" t="s">
        <v>548</v>
      </c>
      <c r="E12" s="51">
        <v>20</v>
      </c>
      <c r="F12" s="58"/>
      <c r="G12" s="20">
        <f>IF(D12="DATE",4,IF(D12="CHAR",E12,IF(D12="SMALLINT",2,IF(D12="INTEGER",4,IF(D12="TIMESTAMP",10,IF(D12="TIME",3,0))))))</f>
        <v>20</v>
      </c>
      <c r="H12" s="53" t="s">
        <v>547</v>
      </c>
      <c r="I12" s="42"/>
      <c r="J12" s="59"/>
      <c r="K12" s="599" t="s">
        <v>1116</v>
      </c>
      <c r="L12" s="600"/>
      <c r="M12" s="601"/>
      <c r="N12" s="16" t="s">
        <v>1978</v>
      </c>
      <c r="P12" s="16" t="s">
        <v>563</v>
      </c>
    </row>
    <row r="13" spans="1:16" ht="12" customHeight="1">
      <c r="A13" s="42">
        <f t="shared" si="1"/>
        <v>7</v>
      </c>
      <c r="B13" s="48" t="s">
        <v>1121</v>
      </c>
      <c r="C13" s="49" t="s">
        <v>805</v>
      </c>
      <c r="D13" s="50" t="s">
        <v>548</v>
      </c>
      <c r="E13" s="51">
        <v>50</v>
      </c>
      <c r="F13" s="58"/>
      <c r="G13" s="20">
        <f>IF(D13="DATE",4,IF(D13="CHAR",E13,IF(D13="SMALLINT",2,IF(D13="INTEGER",4,IF(D13="TIMESTAMP",10,IF(D13="TIME",3,0))))))</f>
        <v>50</v>
      </c>
      <c r="H13" s="53" t="s">
        <v>547</v>
      </c>
      <c r="I13" s="42"/>
      <c r="J13" s="59"/>
      <c r="K13" s="599" t="s">
        <v>1123</v>
      </c>
      <c r="L13" s="600"/>
      <c r="M13" s="601"/>
      <c r="N13" s="16" t="s">
        <v>1978</v>
      </c>
      <c r="P13" s="16" t="s">
        <v>563</v>
      </c>
    </row>
    <row r="14" spans="1:16" ht="12" customHeight="1">
      <c r="A14" s="42">
        <f t="shared" si="1"/>
        <v>8</v>
      </c>
      <c r="B14" s="48" t="s">
        <v>1122</v>
      </c>
      <c r="C14" s="49" t="s">
        <v>806</v>
      </c>
      <c r="D14" s="50" t="s">
        <v>548</v>
      </c>
      <c r="E14" s="51">
        <v>20</v>
      </c>
      <c r="F14" s="58"/>
      <c r="G14" s="20">
        <f t="shared" si="0"/>
        <v>20</v>
      </c>
      <c r="H14" s="53" t="s">
        <v>547</v>
      </c>
      <c r="I14" s="42"/>
      <c r="J14" s="59"/>
      <c r="K14" s="599" t="s">
        <v>1124</v>
      </c>
      <c r="L14" s="600"/>
      <c r="M14" s="601"/>
      <c r="N14" s="16" t="s">
        <v>1978</v>
      </c>
      <c r="P14" s="16" t="s">
        <v>563</v>
      </c>
    </row>
    <row r="15" spans="1:16" ht="12" customHeight="1">
      <c r="A15" s="42">
        <f t="shared" si="1"/>
        <v>9</v>
      </c>
      <c r="B15" s="48" t="s">
        <v>1125</v>
      </c>
      <c r="C15" s="49" t="s">
        <v>807</v>
      </c>
      <c r="D15" s="50" t="s">
        <v>1371</v>
      </c>
      <c r="E15" s="51">
        <v>36</v>
      </c>
      <c r="F15" s="58"/>
      <c r="G15" s="20">
        <f t="shared" si="0"/>
        <v>36</v>
      </c>
      <c r="H15" s="53" t="s">
        <v>1370</v>
      </c>
      <c r="I15" s="42"/>
      <c r="J15" s="59"/>
      <c r="K15" s="866" t="s">
        <v>1125</v>
      </c>
      <c r="L15" s="867"/>
      <c r="M15" s="868"/>
      <c r="N15" s="16" t="s">
        <v>1978</v>
      </c>
      <c r="P15" s="16" t="s">
        <v>808</v>
      </c>
    </row>
    <row r="16" spans="1:16" ht="12" customHeight="1">
      <c r="A16" s="42">
        <f t="shared" si="1"/>
        <v>10</v>
      </c>
      <c r="B16" s="48" t="s">
        <v>1126</v>
      </c>
      <c r="C16" s="49" t="s">
        <v>809</v>
      </c>
      <c r="D16" s="50" t="s">
        <v>1371</v>
      </c>
      <c r="E16" s="51">
        <v>46</v>
      </c>
      <c r="F16" s="58"/>
      <c r="G16" s="20">
        <f>IF(D16="DATE",4,IF(D16="CHAR",E16,IF(D16="SMALLINT",2,IF(D16="INTEGER",4,IF(D16="TIMESTAMP",10,IF(D16="TIME",3,0))))))</f>
        <v>46</v>
      </c>
      <c r="H16" s="53" t="s">
        <v>1370</v>
      </c>
      <c r="I16" s="42"/>
      <c r="J16" s="59"/>
      <c r="K16" s="866" t="s">
        <v>1126</v>
      </c>
      <c r="L16" s="867"/>
      <c r="M16" s="868"/>
      <c r="N16" s="16" t="s">
        <v>1978</v>
      </c>
      <c r="P16" s="16" t="s">
        <v>808</v>
      </c>
    </row>
    <row r="17" spans="1:14" ht="12" customHeight="1">
      <c r="A17" s="42">
        <f t="shared" si="1"/>
        <v>11</v>
      </c>
      <c r="B17" s="48" t="s">
        <v>810</v>
      </c>
      <c r="C17" s="49" t="s">
        <v>811</v>
      </c>
      <c r="D17" s="50" t="s">
        <v>1371</v>
      </c>
      <c r="E17" s="51">
        <v>7</v>
      </c>
      <c r="F17" s="52"/>
      <c r="G17" s="20">
        <f t="shared" si="0"/>
        <v>7</v>
      </c>
      <c r="H17" s="53" t="s">
        <v>1370</v>
      </c>
      <c r="I17" s="53"/>
      <c r="J17" s="60"/>
      <c r="K17" s="628" t="s">
        <v>1697</v>
      </c>
      <c r="L17" s="629"/>
      <c r="M17" s="630"/>
      <c r="N17" s="16" t="s">
        <v>1978</v>
      </c>
    </row>
    <row r="18" spans="1:14" ht="12" customHeight="1">
      <c r="A18" s="42">
        <f t="shared" si="1"/>
        <v>12</v>
      </c>
      <c r="B18" s="48" t="s">
        <v>220</v>
      </c>
      <c r="C18" s="49" t="s">
        <v>1364</v>
      </c>
      <c r="D18" s="50" t="s">
        <v>1367</v>
      </c>
      <c r="E18" s="51">
        <v>7</v>
      </c>
      <c r="F18" s="58"/>
      <c r="G18" s="20">
        <f t="shared" si="0"/>
        <v>7</v>
      </c>
      <c r="H18" s="53" t="s">
        <v>1368</v>
      </c>
      <c r="I18" s="42"/>
      <c r="J18" s="59"/>
      <c r="K18" s="609" t="s">
        <v>1698</v>
      </c>
      <c r="L18" s="610"/>
      <c r="M18" s="611"/>
      <c r="N18" s="16" t="s">
        <v>1978</v>
      </c>
    </row>
    <row r="19" spans="1:14" ht="12" customHeight="1">
      <c r="A19" s="42">
        <f t="shared" si="1"/>
        <v>13</v>
      </c>
      <c r="B19" s="48" t="s">
        <v>1127</v>
      </c>
      <c r="C19" s="49" t="s">
        <v>812</v>
      </c>
      <c r="D19" s="50" t="s">
        <v>548</v>
      </c>
      <c r="E19" s="51">
        <v>7</v>
      </c>
      <c r="F19" s="58"/>
      <c r="G19" s="20">
        <f t="shared" si="0"/>
        <v>7</v>
      </c>
      <c r="H19" s="53" t="s">
        <v>547</v>
      </c>
      <c r="I19" s="42"/>
      <c r="J19" s="59"/>
      <c r="K19" s="609" t="s">
        <v>1128</v>
      </c>
      <c r="L19" s="610"/>
      <c r="M19" s="611"/>
      <c r="N19" s="16" t="s">
        <v>1978</v>
      </c>
    </row>
    <row r="20" spans="1:14" ht="12" customHeight="1">
      <c r="A20" s="42">
        <f t="shared" si="1"/>
        <v>14</v>
      </c>
      <c r="B20" s="48" t="s">
        <v>813</v>
      </c>
      <c r="C20" s="49" t="s">
        <v>814</v>
      </c>
      <c r="D20" s="78" t="s">
        <v>527</v>
      </c>
      <c r="E20" s="73">
        <v>2</v>
      </c>
      <c r="F20" s="74"/>
      <c r="G20" s="20">
        <f>IF(D20="DATE",4,IF(D20="CHAR",E20,IF(D20="SMALLINT",2,IF(D20="INTEGER",4,IF(D20="TIMESTAMP",10,IF(D20="TIME",3,0))))))</f>
        <v>2</v>
      </c>
      <c r="H20" s="41" t="s">
        <v>573</v>
      </c>
      <c r="I20" s="42"/>
      <c r="J20" s="59"/>
      <c r="K20" s="628"/>
      <c r="L20" s="629"/>
      <c r="M20" s="630"/>
      <c r="N20" s="16" t="s">
        <v>1978</v>
      </c>
    </row>
    <row r="21" spans="1:14" ht="12" customHeight="1">
      <c r="A21" s="42">
        <f t="shared" si="1"/>
        <v>15</v>
      </c>
      <c r="B21" s="48" t="s">
        <v>1129</v>
      </c>
      <c r="C21" s="49" t="s">
        <v>815</v>
      </c>
      <c r="D21" s="78" t="s">
        <v>524</v>
      </c>
      <c r="E21" s="73">
        <v>1</v>
      </c>
      <c r="F21" s="74"/>
      <c r="G21" s="20">
        <f t="shared" si="0"/>
        <v>1</v>
      </c>
      <c r="H21" s="41" t="s">
        <v>574</v>
      </c>
      <c r="I21" s="42"/>
      <c r="J21" s="59"/>
      <c r="K21" s="628" t="s">
        <v>1130</v>
      </c>
      <c r="L21" s="629"/>
      <c r="M21" s="630"/>
      <c r="N21" s="16" t="s">
        <v>1978</v>
      </c>
    </row>
    <row r="22" spans="1:14" ht="12" customHeight="1">
      <c r="A22" s="42">
        <f t="shared" si="1"/>
        <v>16</v>
      </c>
      <c r="B22" s="64" t="s">
        <v>229</v>
      </c>
      <c r="C22" s="24" t="s">
        <v>816</v>
      </c>
      <c r="D22" s="65" t="s">
        <v>55</v>
      </c>
      <c r="E22" s="51" t="s">
        <v>65</v>
      </c>
      <c r="F22" s="58"/>
      <c r="G22" s="20">
        <f t="shared" si="0"/>
        <v>2</v>
      </c>
      <c r="H22" s="53" t="s">
        <v>574</v>
      </c>
      <c r="I22" s="42"/>
      <c r="J22" s="59"/>
      <c r="K22" s="743" t="s">
        <v>526</v>
      </c>
      <c r="L22" s="744"/>
      <c r="M22" s="745"/>
      <c r="N22" s="16" t="s">
        <v>1978</v>
      </c>
    </row>
    <row r="23" spans="1:14" ht="12" customHeight="1">
      <c r="A23" s="42">
        <f t="shared" si="1"/>
        <v>17</v>
      </c>
      <c r="B23" s="48" t="s">
        <v>222</v>
      </c>
      <c r="C23" s="49" t="s">
        <v>223</v>
      </c>
      <c r="D23" s="50" t="s">
        <v>549</v>
      </c>
      <c r="E23" s="51">
        <v>40</v>
      </c>
      <c r="F23" s="58"/>
      <c r="G23" s="20">
        <f t="shared" si="0"/>
        <v>40</v>
      </c>
      <c r="H23" s="53" t="s">
        <v>1369</v>
      </c>
      <c r="I23" s="42"/>
      <c r="J23" s="59"/>
      <c r="K23" s="628" t="s">
        <v>678</v>
      </c>
      <c r="L23" s="629"/>
      <c r="M23" s="630"/>
      <c r="N23" s="16" t="s">
        <v>1979</v>
      </c>
    </row>
    <row r="24" spans="1:14" ht="12" customHeight="1">
      <c r="A24" s="42">
        <f t="shared" si="1"/>
        <v>18</v>
      </c>
      <c r="B24" s="66" t="s">
        <v>226</v>
      </c>
      <c r="C24" s="24" t="s">
        <v>817</v>
      </c>
      <c r="D24" s="65" t="s">
        <v>55</v>
      </c>
      <c r="E24" s="51" t="s">
        <v>65</v>
      </c>
      <c r="F24" s="58"/>
      <c r="G24" s="20">
        <f t="shared" si="0"/>
        <v>2</v>
      </c>
      <c r="H24" s="53" t="s">
        <v>1370</v>
      </c>
      <c r="I24" s="42"/>
      <c r="J24" s="59"/>
      <c r="K24" s="743" t="s">
        <v>679</v>
      </c>
      <c r="L24" s="744"/>
      <c r="M24" s="745"/>
      <c r="N24" s="16" t="s">
        <v>2012</v>
      </c>
    </row>
    <row r="25" spans="1:14" ht="87" customHeight="1">
      <c r="A25" s="42">
        <f t="shared" si="1"/>
        <v>19</v>
      </c>
      <c r="B25" s="66" t="s">
        <v>227</v>
      </c>
      <c r="C25" s="24" t="s">
        <v>228</v>
      </c>
      <c r="D25" s="65" t="s">
        <v>1371</v>
      </c>
      <c r="E25" s="51">
        <v>1</v>
      </c>
      <c r="F25" s="58"/>
      <c r="G25" s="20">
        <f t="shared" si="0"/>
        <v>1</v>
      </c>
      <c r="H25" s="53" t="s">
        <v>1370</v>
      </c>
      <c r="I25" s="42"/>
      <c r="J25" s="59"/>
      <c r="K25" s="749" t="s">
        <v>1372</v>
      </c>
      <c r="L25" s="610"/>
      <c r="M25" s="611"/>
      <c r="N25" s="16" t="s">
        <v>2005</v>
      </c>
    </row>
    <row r="26" spans="1:14" ht="12" customHeight="1">
      <c r="A26" s="42">
        <f t="shared" si="1"/>
        <v>20</v>
      </c>
      <c r="B26" s="66" t="s">
        <v>224</v>
      </c>
      <c r="C26" s="24" t="s">
        <v>1373</v>
      </c>
      <c r="D26" s="65" t="s">
        <v>1374</v>
      </c>
      <c r="E26" s="51">
        <v>2</v>
      </c>
      <c r="F26" s="58"/>
      <c r="G26" s="20">
        <f t="shared" si="0"/>
        <v>2</v>
      </c>
      <c r="H26" s="53" t="s">
        <v>1375</v>
      </c>
      <c r="I26" s="42"/>
      <c r="J26" s="59"/>
      <c r="K26" s="609"/>
      <c r="L26" s="610"/>
      <c r="M26" s="611"/>
      <c r="N26" s="16" t="s">
        <v>1978</v>
      </c>
    </row>
    <row r="27" spans="1:14" ht="12" customHeight="1">
      <c r="A27" s="42">
        <f t="shared" si="1"/>
        <v>21</v>
      </c>
      <c r="B27" s="66" t="s">
        <v>225</v>
      </c>
      <c r="C27" s="24" t="s">
        <v>1376</v>
      </c>
      <c r="D27" s="65" t="s">
        <v>1374</v>
      </c>
      <c r="E27" s="51">
        <v>2</v>
      </c>
      <c r="F27" s="58"/>
      <c r="G27" s="20">
        <f t="shared" si="0"/>
        <v>2</v>
      </c>
      <c r="H27" s="53" t="s">
        <v>1375</v>
      </c>
      <c r="I27" s="42"/>
      <c r="J27" s="59"/>
      <c r="K27" s="609"/>
      <c r="L27" s="610"/>
      <c r="M27" s="611"/>
      <c r="N27" s="16" t="s">
        <v>1978</v>
      </c>
    </row>
    <row r="28" spans="1:14" ht="12" customHeight="1">
      <c r="A28" s="42">
        <f t="shared" si="1"/>
        <v>22</v>
      </c>
      <c r="B28" s="66" t="s">
        <v>1131</v>
      </c>
      <c r="C28" s="24" t="s">
        <v>818</v>
      </c>
      <c r="D28" s="65" t="s">
        <v>980</v>
      </c>
      <c r="E28" s="51">
        <v>1</v>
      </c>
      <c r="F28" s="58"/>
      <c r="G28" s="20">
        <f t="shared" si="0"/>
        <v>1</v>
      </c>
      <c r="H28" s="53" t="s">
        <v>981</v>
      </c>
      <c r="I28" s="42"/>
      <c r="J28" s="59"/>
      <c r="K28" s="609" t="s">
        <v>1132</v>
      </c>
      <c r="L28" s="610"/>
      <c r="M28" s="611"/>
      <c r="N28" s="16" t="s">
        <v>2013</v>
      </c>
    </row>
    <row r="29" spans="1:14" ht="12" customHeight="1">
      <c r="A29" s="42">
        <f t="shared" si="1"/>
        <v>23</v>
      </c>
      <c r="B29" s="66" t="s">
        <v>489</v>
      </c>
      <c r="C29" s="24" t="s">
        <v>819</v>
      </c>
      <c r="D29" s="65" t="s">
        <v>1422</v>
      </c>
      <c r="E29" s="51">
        <v>1</v>
      </c>
      <c r="F29" s="58"/>
      <c r="G29" s="20">
        <f t="shared" si="0"/>
        <v>1</v>
      </c>
      <c r="H29" s="53" t="s">
        <v>576</v>
      </c>
      <c r="I29" s="42"/>
      <c r="J29" s="59"/>
      <c r="K29" s="609" t="s">
        <v>1133</v>
      </c>
      <c r="L29" s="610"/>
      <c r="M29" s="611"/>
      <c r="N29" s="16" t="s">
        <v>2006</v>
      </c>
    </row>
    <row r="30" spans="1:14" ht="12" customHeight="1">
      <c r="A30" s="42">
        <f t="shared" si="1"/>
        <v>24</v>
      </c>
      <c r="B30" s="66" t="s">
        <v>1134</v>
      </c>
      <c r="C30" s="24" t="s">
        <v>820</v>
      </c>
      <c r="D30" s="65" t="s">
        <v>821</v>
      </c>
      <c r="E30" s="51"/>
      <c r="F30" s="58"/>
      <c r="G30" s="20">
        <f t="shared" si="0"/>
        <v>4</v>
      </c>
      <c r="H30" s="53" t="s">
        <v>573</v>
      </c>
      <c r="I30" s="42"/>
      <c r="J30" s="59"/>
      <c r="K30" s="13"/>
      <c r="L30" s="14"/>
      <c r="M30" s="15"/>
      <c r="N30" s="16" t="s">
        <v>1978</v>
      </c>
    </row>
    <row r="31" spans="1:14" ht="12" customHeight="1">
      <c r="A31" s="42">
        <f t="shared" si="1"/>
        <v>25</v>
      </c>
      <c r="B31" s="66" t="s">
        <v>1135</v>
      </c>
      <c r="C31" s="24" t="s">
        <v>822</v>
      </c>
      <c r="D31" s="65" t="s">
        <v>821</v>
      </c>
      <c r="E31" s="51"/>
      <c r="F31" s="58"/>
      <c r="G31" s="20">
        <f t="shared" si="0"/>
        <v>4</v>
      </c>
      <c r="H31" s="53" t="s">
        <v>573</v>
      </c>
      <c r="I31" s="42"/>
      <c r="J31" s="59"/>
      <c r="K31" s="13"/>
      <c r="L31" s="14"/>
      <c r="M31" s="15"/>
      <c r="N31" s="16" t="s">
        <v>1978</v>
      </c>
    </row>
    <row r="32" spans="1:14" ht="12" customHeight="1">
      <c r="A32" s="42">
        <f t="shared" si="1"/>
        <v>26</v>
      </c>
      <c r="B32" s="66" t="s">
        <v>1136</v>
      </c>
      <c r="C32" s="24" t="s">
        <v>823</v>
      </c>
      <c r="D32" s="65" t="s">
        <v>821</v>
      </c>
      <c r="E32" s="51"/>
      <c r="F32" s="58"/>
      <c r="G32" s="20">
        <f t="shared" si="0"/>
        <v>4</v>
      </c>
      <c r="H32" s="53" t="s">
        <v>573</v>
      </c>
      <c r="I32" s="42"/>
      <c r="J32" s="59"/>
      <c r="K32" s="13"/>
      <c r="L32" s="14"/>
      <c r="M32" s="15"/>
      <c r="N32" s="16" t="s">
        <v>1978</v>
      </c>
    </row>
    <row r="33" spans="1:16" ht="12" customHeight="1">
      <c r="A33" s="42">
        <f t="shared" si="1"/>
        <v>27</v>
      </c>
      <c r="B33" s="66" t="s">
        <v>1137</v>
      </c>
      <c r="C33" s="24" t="s">
        <v>824</v>
      </c>
      <c r="D33" s="65" t="s">
        <v>825</v>
      </c>
      <c r="E33" s="51">
        <v>1</v>
      </c>
      <c r="F33" s="58"/>
      <c r="G33" s="20">
        <f t="shared" si="0"/>
        <v>1</v>
      </c>
      <c r="H33" s="53" t="s">
        <v>826</v>
      </c>
      <c r="I33" s="42"/>
      <c r="J33" s="59"/>
      <c r="K33" s="13" t="s">
        <v>1138</v>
      </c>
      <c r="L33" s="14"/>
      <c r="M33" s="15"/>
      <c r="N33" s="16" t="s">
        <v>1972</v>
      </c>
    </row>
    <row r="34" spans="1:16" ht="12" customHeight="1">
      <c r="A34" s="42">
        <f t="shared" si="1"/>
        <v>28</v>
      </c>
      <c r="B34" s="66" t="s">
        <v>1139</v>
      </c>
      <c r="C34" s="24" t="s">
        <v>827</v>
      </c>
      <c r="D34" s="65" t="s">
        <v>1378</v>
      </c>
      <c r="E34" s="51"/>
      <c r="F34" s="58"/>
      <c r="G34" s="20">
        <f t="shared" si="0"/>
        <v>2</v>
      </c>
      <c r="H34" s="53" t="s">
        <v>1379</v>
      </c>
      <c r="I34" s="42"/>
      <c r="J34" s="59"/>
      <c r="K34" s="13" t="s">
        <v>1141</v>
      </c>
      <c r="L34" s="14"/>
      <c r="M34" s="15"/>
      <c r="N34" s="16" t="s">
        <v>2007</v>
      </c>
    </row>
    <row r="35" spans="1:16" ht="12" customHeight="1">
      <c r="A35" s="42">
        <f t="shared" si="1"/>
        <v>29</v>
      </c>
      <c r="B35" s="66" t="s">
        <v>1140</v>
      </c>
      <c r="C35" s="24" t="s">
        <v>828</v>
      </c>
      <c r="D35" s="65" t="s">
        <v>1427</v>
      </c>
      <c r="E35" s="51">
        <v>12</v>
      </c>
      <c r="F35" s="58"/>
      <c r="G35" s="20">
        <f>IF(D35="DATE",4,IF(D35="CHAR",E35,IF(D35="SMALLINT",2,IF(D35="INTEGER",4,IF(D35="TIMESTAMP",10,IF(D35="TIME",3,0))))))</f>
        <v>12</v>
      </c>
      <c r="H35" s="53" t="s">
        <v>1406</v>
      </c>
      <c r="I35" s="42"/>
      <c r="J35" s="59"/>
      <c r="K35" s="13" t="s">
        <v>1142</v>
      </c>
      <c r="L35" s="14"/>
      <c r="M35" s="15"/>
      <c r="N35" s="16" t="s">
        <v>1996</v>
      </c>
    </row>
    <row r="36" spans="1:16" s="163" customFormat="1" ht="12" customHeight="1">
      <c r="A36" s="42">
        <f t="shared" si="1"/>
        <v>30</v>
      </c>
      <c r="B36" s="156" t="s">
        <v>837</v>
      </c>
      <c r="C36" s="157" t="s">
        <v>838</v>
      </c>
      <c r="D36" s="158" t="s">
        <v>829</v>
      </c>
      <c r="E36" s="159" t="s">
        <v>65</v>
      </c>
      <c r="F36" s="160"/>
      <c r="G36" s="20">
        <f>IF(D36="DATE",4,IF(D36="CHAR",E36,IF(D36="SMALLINT",2,IF(D36="INTEGER",4,IF(D36="TIMESTAMP",10,IF(D36="TIME",3,0))))))</f>
        <v>2</v>
      </c>
      <c r="H36" s="161" t="s">
        <v>1340</v>
      </c>
      <c r="I36" s="155"/>
      <c r="J36" s="162"/>
      <c r="K36" s="863" t="s">
        <v>801</v>
      </c>
      <c r="L36" s="864"/>
      <c r="M36" s="865"/>
      <c r="N36" s="16" t="s">
        <v>1995</v>
      </c>
    </row>
    <row r="37" spans="1:16" ht="39.950000000000003" customHeight="1">
      <c r="A37" s="42">
        <f t="shared" si="1"/>
        <v>31</v>
      </c>
      <c r="B37" s="48" t="s">
        <v>221</v>
      </c>
      <c r="C37" s="49" t="s">
        <v>830</v>
      </c>
      <c r="D37" s="50" t="s">
        <v>1164</v>
      </c>
      <c r="E37" s="51">
        <v>1</v>
      </c>
      <c r="F37" s="58"/>
      <c r="G37" s="20">
        <f t="shared" si="0"/>
        <v>1</v>
      </c>
      <c r="H37" s="53" t="s">
        <v>1377</v>
      </c>
      <c r="I37" s="42"/>
      <c r="J37" s="59"/>
      <c r="K37" s="599" t="s">
        <v>831</v>
      </c>
      <c r="L37" s="600"/>
      <c r="M37" s="601"/>
      <c r="N37" s="16" t="s">
        <v>1994</v>
      </c>
    </row>
    <row r="38" spans="1:16" ht="50.1" customHeight="1">
      <c r="A38" s="42">
        <f t="shared" si="1"/>
        <v>32</v>
      </c>
      <c r="B38" s="64" t="s">
        <v>1408</v>
      </c>
      <c r="C38" s="24" t="s">
        <v>832</v>
      </c>
      <c r="D38" s="68" t="s">
        <v>1382</v>
      </c>
      <c r="E38" s="51">
        <v>1</v>
      </c>
      <c r="F38" s="58"/>
      <c r="G38" s="20">
        <f t="shared" si="0"/>
        <v>1</v>
      </c>
      <c r="H38" s="53" t="s">
        <v>1379</v>
      </c>
      <c r="I38" s="42"/>
      <c r="J38" s="59"/>
      <c r="K38" s="749" t="s">
        <v>1268</v>
      </c>
      <c r="L38" s="755"/>
      <c r="M38" s="756"/>
      <c r="N38" s="16" t="s">
        <v>1993</v>
      </c>
      <c r="P38" s="16" t="s">
        <v>1380</v>
      </c>
    </row>
    <row r="39" spans="1:16" ht="12" customHeight="1">
      <c r="A39" s="42">
        <f t="shared" si="1"/>
        <v>33</v>
      </c>
      <c r="B39" s="69" t="s">
        <v>1381</v>
      </c>
      <c r="C39" s="24" t="s">
        <v>2011</v>
      </c>
      <c r="D39" s="65" t="s">
        <v>1382</v>
      </c>
      <c r="E39" s="51">
        <v>8</v>
      </c>
      <c r="F39" s="58"/>
      <c r="G39" s="20">
        <f t="shared" si="0"/>
        <v>8</v>
      </c>
      <c r="H39" s="53" t="s">
        <v>1379</v>
      </c>
      <c r="I39" s="42"/>
      <c r="J39" s="59"/>
      <c r="K39" s="749" t="s">
        <v>28</v>
      </c>
      <c r="L39" s="755"/>
      <c r="M39" s="756"/>
      <c r="N39" s="16" t="s">
        <v>1977</v>
      </c>
    </row>
    <row r="40" spans="1:16" ht="12" customHeight="1">
      <c r="A40" s="42">
        <f t="shared" si="1"/>
        <v>34</v>
      </c>
      <c r="B40" s="69" t="s">
        <v>1383</v>
      </c>
      <c r="C40" s="24" t="s">
        <v>593</v>
      </c>
      <c r="D40" s="65" t="s">
        <v>524</v>
      </c>
      <c r="E40" s="51">
        <v>8</v>
      </c>
      <c r="F40" s="58"/>
      <c r="G40" s="20">
        <f t="shared" si="0"/>
        <v>8</v>
      </c>
      <c r="H40" s="53" t="s">
        <v>574</v>
      </c>
      <c r="I40" s="42"/>
      <c r="J40" s="59"/>
      <c r="K40" s="749" t="s">
        <v>29</v>
      </c>
      <c r="L40" s="755"/>
      <c r="M40" s="756"/>
      <c r="N40" s="16" t="s">
        <v>1977</v>
      </c>
      <c r="P40" s="16" t="s">
        <v>550</v>
      </c>
    </row>
    <row r="41" spans="1:16" ht="39.950000000000003" customHeight="1">
      <c r="A41" s="42">
        <f t="shared" si="1"/>
        <v>35</v>
      </c>
      <c r="B41" s="64" t="s">
        <v>2</v>
      </c>
      <c r="C41" s="24" t="s">
        <v>3</v>
      </c>
      <c r="D41" s="65" t="s">
        <v>833</v>
      </c>
      <c r="E41" s="51"/>
      <c r="F41" s="58"/>
      <c r="G41" s="20">
        <f t="shared" si="0"/>
        <v>2</v>
      </c>
      <c r="H41" s="53" t="s">
        <v>1384</v>
      </c>
      <c r="I41" s="42"/>
      <c r="J41" s="59"/>
      <c r="K41" s="749" t="s">
        <v>780</v>
      </c>
      <c r="L41" s="755"/>
      <c r="M41" s="756"/>
      <c r="N41" s="16" t="s">
        <v>1993</v>
      </c>
    </row>
    <row r="42" spans="1:16" ht="87" customHeight="1">
      <c r="A42" s="42">
        <f t="shared" si="1"/>
        <v>36</v>
      </c>
      <c r="B42" s="64" t="s">
        <v>596</v>
      </c>
      <c r="C42" s="24" t="s">
        <v>1385</v>
      </c>
      <c r="D42" s="65" t="s">
        <v>834</v>
      </c>
      <c r="E42" s="51">
        <v>1</v>
      </c>
      <c r="F42" s="58"/>
      <c r="G42" s="20">
        <f t="shared" si="0"/>
        <v>1</v>
      </c>
      <c r="H42" s="53" t="s">
        <v>1386</v>
      </c>
      <c r="I42" s="42"/>
      <c r="J42" s="59"/>
      <c r="K42" s="749" t="s">
        <v>1665</v>
      </c>
      <c r="L42" s="755"/>
      <c r="M42" s="756"/>
      <c r="N42" s="16" t="s">
        <v>1976</v>
      </c>
    </row>
    <row r="43" spans="1:16" ht="24.75" customHeight="1">
      <c r="A43" s="42">
        <f t="shared" si="1"/>
        <v>37</v>
      </c>
      <c r="B43" s="64" t="s">
        <v>1337</v>
      </c>
      <c r="C43" s="70" t="s">
        <v>1387</v>
      </c>
      <c r="D43" s="25" t="s">
        <v>1388</v>
      </c>
      <c r="E43" s="51">
        <v>1</v>
      </c>
      <c r="F43" s="58"/>
      <c r="G43" s="20">
        <f t="shared" si="0"/>
        <v>1</v>
      </c>
      <c r="H43" s="53" t="s">
        <v>30</v>
      </c>
      <c r="I43" s="42"/>
      <c r="J43" s="59"/>
      <c r="K43" s="869" t="s">
        <v>1338</v>
      </c>
      <c r="L43" s="870"/>
      <c r="M43" s="871"/>
      <c r="N43" s="16" t="s">
        <v>1975</v>
      </c>
    </row>
    <row r="44" spans="1:16" ht="53.25" customHeight="1">
      <c r="A44" s="42">
        <f t="shared" si="1"/>
        <v>38</v>
      </c>
      <c r="B44" s="48" t="s">
        <v>4</v>
      </c>
      <c r="C44" s="49" t="s">
        <v>835</v>
      </c>
      <c r="D44" s="50" t="s">
        <v>548</v>
      </c>
      <c r="E44" s="51">
        <v>1</v>
      </c>
      <c r="F44" s="58"/>
      <c r="G44" s="20">
        <f t="shared" si="0"/>
        <v>1</v>
      </c>
      <c r="H44" s="53" t="s">
        <v>547</v>
      </c>
      <c r="I44" s="42"/>
      <c r="J44" s="59"/>
      <c r="K44" s="599" t="s">
        <v>1339</v>
      </c>
      <c r="L44" s="600"/>
      <c r="M44" s="601"/>
      <c r="N44" s="585" t="s">
        <v>2016</v>
      </c>
    </row>
    <row r="45" spans="1:16" ht="61.5" customHeight="1">
      <c r="A45" s="42">
        <f t="shared" si="1"/>
        <v>39</v>
      </c>
      <c r="B45" s="48" t="s">
        <v>1701</v>
      </c>
      <c r="C45" s="49" t="s">
        <v>1389</v>
      </c>
      <c r="D45" s="50" t="s">
        <v>524</v>
      </c>
      <c r="E45" s="51">
        <v>1</v>
      </c>
      <c r="F45" s="58"/>
      <c r="G45" s="20">
        <f t="shared" si="0"/>
        <v>1</v>
      </c>
      <c r="H45" s="53" t="s">
        <v>574</v>
      </c>
      <c r="I45" s="42"/>
      <c r="J45" s="59"/>
      <c r="K45" s="599" t="s">
        <v>1702</v>
      </c>
      <c r="L45" s="600"/>
      <c r="M45" s="601"/>
      <c r="N45" s="16" t="s">
        <v>1993</v>
      </c>
    </row>
    <row r="46" spans="1:16" ht="50.1" customHeight="1">
      <c r="A46" s="42">
        <f t="shared" si="1"/>
        <v>40</v>
      </c>
      <c r="B46" s="48" t="s">
        <v>1704</v>
      </c>
      <c r="C46" s="49" t="s">
        <v>1390</v>
      </c>
      <c r="D46" s="50" t="s">
        <v>1164</v>
      </c>
      <c r="E46" s="51">
        <v>1</v>
      </c>
      <c r="F46" s="58"/>
      <c r="G46" s="20">
        <f t="shared" si="0"/>
        <v>1</v>
      </c>
      <c r="H46" s="53" t="s">
        <v>1377</v>
      </c>
      <c r="I46" s="42"/>
      <c r="J46" s="59"/>
      <c r="K46" s="599" t="s">
        <v>1710</v>
      </c>
      <c r="L46" s="600"/>
      <c r="M46" s="601"/>
      <c r="N46" s="16" t="s">
        <v>1974</v>
      </c>
    </row>
    <row r="47" spans="1:16" ht="50.1" customHeight="1">
      <c r="A47" s="42">
        <f t="shared" si="1"/>
        <v>41</v>
      </c>
      <c r="B47" s="48" t="s">
        <v>1718</v>
      </c>
      <c r="C47" s="49" t="s">
        <v>1391</v>
      </c>
      <c r="D47" s="50" t="s">
        <v>1416</v>
      </c>
      <c r="E47" s="51">
        <v>1</v>
      </c>
      <c r="F47" s="58"/>
      <c r="G47" s="20">
        <f t="shared" si="0"/>
        <v>1</v>
      </c>
      <c r="H47" s="53" t="s">
        <v>1392</v>
      </c>
      <c r="I47" s="42"/>
      <c r="J47" s="59"/>
      <c r="K47" s="599" t="s">
        <v>1719</v>
      </c>
      <c r="L47" s="600"/>
      <c r="M47" s="601"/>
      <c r="N47" s="16" t="s">
        <v>1993</v>
      </c>
    </row>
    <row r="48" spans="1:16" ht="50.1" customHeight="1">
      <c r="A48" s="42">
        <f t="shared" si="1"/>
        <v>42</v>
      </c>
      <c r="B48" s="48" t="s">
        <v>1642</v>
      </c>
      <c r="C48" s="49" t="s">
        <v>1393</v>
      </c>
      <c r="D48" s="50" t="s">
        <v>524</v>
      </c>
      <c r="E48" s="51">
        <v>1</v>
      </c>
      <c r="F48" s="58"/>
      <c r="G48" s="20">
        <f>IF(D48="DATE",4,IF(D48="CHAR",E48,IF(D48="SMALLINT",2,IF(D48="INTEGER",4,IF(D48="TIMESTAMP",10,IF(D48="TIME",3,0))))))</f>
        <v>1</v>
      </c>
      <c r="H48" s="53" t="s">
        <v>574</v>
      </c>
      <c r="I48" s="42"/>
      <c r="J48" s="59"/>
      <c r="K48" s="599" t="s">
        <v>1643</v>
      </c>
      <c r="L48" s="600"/>
      <c r="M48" s="601"/>
      <c r="N48" s="16" t="s">
        <v>2010</v>
      </c>
    </row>
    <row r="49" spans="1:14" ht="50.1" customHeight="1">
      <c r="A49" s="42">
        <f t="shared" si="1"/>
        <v>43</v>
      </c>
      <c r="B49" s="48" t="s">
        <v>1398</v>
      </c>
      <c r="C49" s="49" t="s">
        <v>1973</v>
      </c>
      <c r="D49" s="50" t="s">
        <v>524</v>
      </c>
      <c r="E49" s="51">
        <v>1</v>
      </c>
      <c r="F49" s="58"/>
      <c r="G49" s="20">
        <f>IF(D49="DATE",4,IF(D49="CHAR",E49,IF(D49="SMALLINT",2,IF(D49="INTEGER",4,IF(D49="TIMESTAMP",10,IF(D49="TIME",3,0))))))</f>
        <v>1</v>
      </c>
      <c r="H49" s="53" t="s">
        <v>574</v>
      </c>
      <c r="I49" s="42"/>
      <c r="J49" s="59"/>
      <c r="K49" s="599" t="s">
        <v>1099</v>
      </c>
      <c r="L49" s="600"/>
      <c r="M49" s="601"/>
      <c r="N49" s="16" t="s">
        <v>2008</v>
      </c>
    </row>
    <row r="50" spans="1:14" ht="12" customHeight="1">
      <c r="A50" s="42">
        <f t="shared" si="1"/>
        <v>44</v>
      </c>
      <c r="B50" s="48" t="s">
        <v>1097</v>
      </c>
      <c r="C50" s="49" t="s">
        <v>375</v>
      </c>
      <c r="D50" s="50" t="s">
        <v>219</v>
      </c>
      <c r="E50" s="51"/>
      <c r="F50" s="58"/>
      <c r="G50" s="20">
        <v>2</v>
      </c>
      <c r="H50" s="53" t="s">
        <v>1400</v>
      </c>
      <c r="I50" s="42"/>
      <c r="J50" s="59"/>
      <c r="K50" s="599" t="s">
        <v>1100</v>
      </c>
      <c r="L50" s="600"/>
      <c r="M50" s="601"/>
      <c r="N50" s="16" t="s">
        <v>2009</v>
      </c>
    </row>
    <row r="51" spans="1:14" ht="12" customHeight="1">
      <c r="A51" s="42">
        <f t="shared" si="1"/>
        <v>45</v>
      </c>
      <c r="B51" s="64" t="s">
        <v>26</v>
      </c>
      <c r="C51" s="24" t="s">
        <v>1399</v>
      </c>
      <c r="D51" s="65" t="s">
        <v>519</v>
      </c>
      <c r="E51" s="51"/>
      <c r="F51" s="58"/>
      <c r="G51" s="20">
        <f>IF(D51="DATE",4,IF(D51="CHAR",E51,IF(D51="SMALLINT",2,IF(D51="INTEGER",4,IF(D51="TIMESTAMP",10,IF(D51="TIME",3,0))))))</f>
        <v>4</v>
      </c>
      <c r="H51" s="53" t="s">
        <v>1400</v>
      </c>
      <c r="I51" s="42" t="s">
        <v>1400</v>
      </c>
      <c r="J51" s="59"/>
      <c r="K51" s="609" t="s">
        <v>1409</v>
      </c>
      <c r="L51" s="610"/>
      <c r="M51" s="611"/>
    </row>
    <row r="52" spans="1:14" ht="12" customHeight="1">
      <c r="A52" s="42">
        <f t="shared" si="1"/>
        <v>46</v>
      </c>
      <c r="B52" s="64" t="s">
        <v>27</v>
      </c>
      <c r="C52" s="24" t="s">
        <v>1401</v>
      </c>
      <c r="D52" s="65" t="s">
        <v>1402</v>
      </c>
      <c r="E52" s="51"/>
      <c r="F52" s="58"/>
      <c r="G52" s="20">
        <f>IF(D52="DATE",4,IF(D52="CHAR",E52,IF(D52="SMALLINT",2,IF(D52="INTEGER",4,IF(D52="TIMESTAMP",10,IF(D52="TIME",3,0))))))</f>
        <v>4</v>
      </c>
      <c r="H52" s="53" t="s">
        <v>1403</v>
      </c>
      <c r="I52" s="42"/>
      <c r="J52" s="59"/>
      <c r="K52" s="13" t="s">
        <v>1410</v>
      </c>
      <c r="L52" s="14"/>
      <c r="M52" s="15"/>
    </row>
    <row r="53" spans="1:14" ht="12" customHeight="1">
      <c r="A53" s="42">
        <f t="shared" si="1"/>
        <v>47</v>
      </c>
      <c r="B53" s="64" t="s">
        <v>1083</v>
      </c>
      <c r="C53" s="24" t="s">
        <v>1111</v>
      </c>
      <c r="D53" s="72" t="s">
        <v>1431</v>
      </c>
      <c r="E53" s="51">
        <v>8</v>
      </c>
      <c r="F53" s="58"/>
      <c r="G53" s="20">
        <f>IF(D53="DATE",4,IF(D53="CHAR",E53,IF(D53="SMALLINT",2,IF(D53="INTEGER",4,IF(D53="TIMESTAMP",10,IF(D53="TIME",3,0))))))</f>
        <v>8</v>
      </c>
      <c r="H53" s="53" t="s">
        <v>1432</v>
      </c>
      <c r="I53" s="53"/>
      <c r="J53" s="59"/>
      <c r="K53" s="13" t="s">
        <v>1112</v>
      </c>
      <c r="L53" s="14"/>
      <c r="M53" s="15"/>
    </row>
    <row r="54" spans="1:14" ht="14.1" customHeight="1">
      <c r="A54" s="42">
        <f t="shared" si="1"/>
        <v>48</v>
      </c>
      <c r="B54" s="64" t="s">
        <v>1724</v>
      </c>
      <c r="C54" s="24" t="s">
        <v>1404</v>
      </c>
      <c r="D54" s="65" t="s">
        <v>1405</v>
      </c>
      <c r="E54" s="51"/>
      <c r="F54" s="58"/>
      <c r="G54" s="20">
        <f>IF(D54="DATE",4,IF(D54="CHAR",E54,IF(D54="SMALLINT",2,IF(D54="INTEGER",4,IF(D54="TIMESTAMP",10,IF(D54="TIME",3,0))))))</f>
        <v>10</v>
      </c>
      <c r="H54" s="53" t="s">
        <v>1406</v>
      </c>
      <c r="I54" s="42"/>
      <c r="J54" s="59"/>
      <c r="K54" s="67"/>
      <c r="L54" s="14"/>
      <c r="M54" s="15"/>
    </row>
    <row r="55" spans="1:14" ht="14.1" customHeight="1">
      <c r="A55" s="42" t="str">
        <f>IF(B55=""," ",#REF!+1)</f>
        <v xml:space="preserve"> </v>
      </c>
      <c r="B55" s="71"/>
      <c r="C55" s="13"/>
      <c r="D55" s="72"/>
      <c r="E55" s="73"/>
      <c r="F55" s="74"/>
      <c r="G55" s="20"/>
      <c r="H55" s="42"/>
      <c r="I55" s="42"/>
      <c r="J55" s="59"/>
      <c r="K55" s="609"/>
      <c r="L55" s="610"/>
      <c r="M55" s="611"/>
    </row>
    <row r="56" spans="1:14" ht="14.1" customHeight="1">
      <c r="A56" s="42" t="str">
        <f>IF(B56=""," ",#REF!+1)</f>
        <v xml:space="preserve"> </v>
      </c>
      <c r="B56" s="71"/>
      <c r="C56" s="13"/>
      <c r="D56" s="72"/>
      <c r="E56" s="73"/>
      <c r="F56" s="74"/>
      <c r="G56" s="20"/>
      <c r="H56" s="42"/>
      <c r="I56" s="42"/>
      <c r="J56" s="59"/>
      <c r="K56" s="13"/>
      <c r="L56" s="14"/>
      <c r="M56" s="15"/>
    </row>
    <row r="57" spans="1:14" ht="14.1" customHeight="1">
      <c r="A57" s="42" t="str">
        <f>IF(B57=""," ",A56+1)</f>
        <v xml:space="preserve"> </v>
      </c>
      <c r="B57" s="71"/>
      <c r="C57" s="13"/>
      <c r="D57" s="72"/>
      <c r="E57" s="73"/>
      <c r="F57" s="74"/>
      <c r="G57" s="20"/>
      <c r="H57" s="42"/>
      <c r="I57" s="42"/>
      <c r="J57" s="59"/>
      <c r="K57" s="13"/>
      <c r="L57" s="14"/>
      <c r="M57" s="15"/>
    </row>
    <row r="58" spans="1:14" ht="14.1" customHeight="1">
      <c r="A58" s="42" t="str">
        <f>IF(B58=""," ",A57+1)</f>
        <v xml:space="preserve"> </v>
      </c>
      <c r="B58" s="71"/>
      <c r="C58" s="13"/>
      <c r="D58" s="72"/>
      <c r="E58" s="73"/>
      <c r="F58" s="74"/>
      <c r="G58" s="20"/>
      <c r="H58" s="42"/>
      <c r="I58" s="42"/>
      <c r="J58" s="59"/>
      <c r="K58" s="609"/>
      <c r="L58" s="610"/>
      <c r="M58" s="611"/>
    </row>
    <row r="59" spans="1:14" ht="14.1" customHeight="1">
      <c r="A59" s="42" t="str">
        <f>IF(B59=""," ",#REF!+1)</f>
        <v xml:space="preserve"> </v>
      </c>
      <c r="B59" s="71"/>
      <c r="C59" s="13"/>
      <c r="D59" s="72"/>
      <c r="E59" s="73"/>
      <c r="F59" s="74"/>
      <c r="G59" s="20"/>
      <c r="H59" s="42"/>
      <c r="I59" s="42"/>
      <c r="J59" s="59"/>
      <c r="K59" s="609"/>
      <c r="L59" s="610"/>
      <c r="M59" s="611"/>
    </row>
    <row r="60" spans="1:14" ht="14.1" customHeight="1">
      <c r="A60" s="42" t="str">
        <f>IF(B60=""," ",#REF!+1)</f>
        <v xml:space="preserve"> </v>
      </c>
      <c r="B60" s="71"/>
      <c r="C60" s="13"/>
      <c r="D60" s="72"/>
      <c r="E60" s="73"/>
      <c r="F60" s="74"/>
      <c r="G60" s="20"/>
      <c r="H60" s="42"/>
      <c r="I60" s="42"/>
      <c r="J60" s="59"/>
      <c r="K60" s="13"/>
      <c r="L60" s="14"/>
      <c r="M60" s="15"/>
    </row>
    <row r="61" spans="1:14" ht="14.1" customHeight="1">
      <c r="A61" s="42" t="str">
        <f>IF(B61=""," ",A60+1)</f>
        <v xml:space="preserve"> </v>
      </c>
      <c r="B61" s="71"/>
      <c r="C61" s="13"/>
      <c r="D61" s="72"/>
      <c r="E61" s="73"/>
      <c r="F61" s="74"/>
      <c r="G61" s="20"/>
      <c r="H61" s="42"/>
      <c r="I61" s="42"/>
      <c r="J61" s="59"/>
      <c r="K61" s="13"/>
      <c r="L61" s="14"/>
      <c r="M61" s="15"/>
    </row>
    <row r="62" spans="1:14" ht="14.1" customHeight="1">
      <c r="A62" s="42" t="str">
        <f>IF(B62=""," ",A61+1)</f>
        <v xml:space="preserve"> </v>
      </c>
      <c r="B62" s="71"/>
      <c r="C62" s="13"/>
      <c r="D62" s="72"/>
      <c r="E62" s="73"/>
      <c r="F62" s="74"/>
      <c r="G62" s="20"/>
      <c r="H62" s="42"/>
      <c r="I62" s="42"/>
      <c r="J62" s="59"/>
      <c r="K62" s="609"/>
      <c r="L62" s="610"/>
      <c r="M62" s="611"/>
    </row>
    <row r="63" spans="1:14" ht="14.1" customHeight="1">
      <c r="A63" s="42" t="str">
        <f>IF(B63=""," ",#REF!+1)</f>
        <v xml:space="preserve"> </v>
      </c>
      <c r="B63" s="71"/>
      <c r="C63" s="13"/>
      <c r="D63" s="72"/>
      <c r="E63" s="73"/>
      <c r="F63" s="74"/>
      <c r="G63" s="20"/>
      <c r="H63" s="42"/>
      <c r="I63" s="42"/>
      <c r="J63" s="59"/>
      <c r="K63" s="609"/>
      <c r="L63" s="610"/>
      <c r="M63" s="611"/>
    </row>
    <row r="64" spans="1:14" ht="14.1" customHeight="1">
      <c r="A64" s="42" t="str">
        <f>IF(B64=""," ",#REF!+1)</f>
        <v xml:space="preserve"> </v>
      </c>
      <c r="B64" s="71"/>
      <c r="C64" s="13"/>
      <c r="D64" s="72"/>
      <c r="E64" s="73"/>
      <c r="F64" s="74"/>
      <c r="G64" s="20"/>
      <c r="H64" s="42"/>
      <c r="I64" s="42"/>
      <c r="J64" s="59"/>
      <c r="K64" s="13"/>
      <c r="L64" s="14"/>
      <c r="M64" s="15"/>
    </row>
    <row r="65" spans="1:13" ht="14.1" customHeight="1">
      <c r="A65" s="42" t="str">
        <f>IF(B65=""," ",A64+1)</f>
        <v xml:space="preserve"> </v>
      </c>
      <c r="B65" s="71"/>
      <c r="C65" s="13"/>
      <c r="D65" s="72"/>
      <c r="E65" s="73"/>
      <c r="F65" s="74"/>
      <c r="G65" s="20"/>
      <c r="H65" s="42"/>
      <c r="I65" s="42"/>
      <c r="J65" s="59"/>
      <c r="K65" s="13"/>
      <c r="L65" s="14"/>
      <c r="M65" s="15"/>
    </row>
    <row r="66" spans="1:13" ht="14.1" customHeight="1">
      <c r="A66" s="42" t="str">
        <f>IF(B66=""," ",A65+1)</f>
        <v xml:space="preserve"> </v>
      </c>
      <c r="B66" s="71"/>
      <c r="C66" s="13"/>
      <c r="D66" s="72"/>
      <c r="E66" s="73"/>
      <c r="F66" s="74"/>
      <c r="G66" s="20"/>
      <c r="H66" s="42"/>
      <c r="I66" s="42"/>
      <c r="J66" s="59"/>
      <c r="K66" s="609"/>
      <c r="L66" s="610"/>
      <c r="M66" s="611"/>
    </row>
    <row r="67" spans="1:13" ht="14.1" customHeight="1">
      <c r="A67" s="42" t="str">
        <f>IF(B67=""," ",#REF!+1)</f>
        <v xml:space="preserve"> </v>
      </c>
      <c r="B67" s="71"/>
      <c r="C67" s="13"/>
      <c r="D67" s="72"/>
      <c r="E67" s="73"/>
      <c r="F67" s="74"/>
      <c r="G67" s="20"/>
      <c r="H67" s="42"/>
      <c r="I67" s="42"/>
      <c r="J67" s="59"/>
      <c r="K67" s="609"/>
      <c r="L67" s="610"/>
      <c r="M67" s="611"/>
    </row>
    <row r="68" spans="1:13" ht="14.1" customHeight="1">
      <c r="A68" s="42" t="str">
        <f>IF(B68=""," ",#REF!+1)</f>
        <v xml:space="preserve"> </v>
      </c>
      <c r="B68" s="71"/>
      <c r="C68" s="13"/>
      <c r="D68" s="72"/>
      <c r="E68" s="73"/>
      <c r="F68" s="74"/>
      <c r="G68" s="20"/>
      <c r="H68" s="42"/>
      <c r="I68" s="42"/>
      <c r="J68" s="59"/>
      <c r="K68" s="13"/>
      <c r="L68" s="14"/>
      <c r="M68" s="15"/>
    </row>
    <row r="69" spans="1:13" ht="14.1" customHeight="1">
      <c r="A69" s="42" t="str">
        <f>IF(B69=""," ",A68+1)</f>
        <v xml:space="preserve"> </v>
      </c>
      <c r="B69" s="71"/>
      <c r="C69" s="13"/>
      <c r="D69" s="72"/>
      <c r="E69" s="73"/>
      <c r="F69" s="74"/>
      <c r="G69" s="20"/>
      <c r="H69" s="42"/>
      <c r="I69" s="42"/>
      <c r="J69" s="59"/>
      <c r="K69" s="13"/>
      <c r="L69" s="14"/>
      <c r="M69" s="15"/>
    </row>
    <row r="70" spans="1:13" ht="14.1" customHeight="1">
      <c r="A70" s="42" t="str">
        <f>IF(B70=""," ",A69+1)</f>
        <v xml:space="preserve"> </v>
      </c>
      <c r="B70" s="71"/>
      <c r="C70" s="13"/>
      <c r="D70" s="72"/>
      <c r="E70" s="73"/>
      <c r="F70" s="74"/>
      <c r="G70" s="20"/>
      <c r="H70" s="42"/>
      <c r="I70" s="42"/>
      <c r="J70" s="59"/>
      <c r="K70" s="609"/>
      <c r="L70" s="610"/>
      <c r="M70" s="611"/>
    </row>
    <row r="71" spans="1:13" ht="14.1" customHeight="1">
      <c r="A71" s="42" t="str">
        <f>IF(B71=""," ",#REF!+1)</f>
        <v xml:space="preserve"> </v>
      </c>
      <c r="B71" s="71"/>
      <c r="C71" s="13"/>
      <c r="D71" s="72"/>
      <c r="E71" s="73"/>
      <c r="F71" s="74"/>
      <c r="G71" s="20"/>
      <c r="H71" s="42"/>
      <c r="I71" s="42"/>
      <c r="J71" s="59"/>
      <c r="K71" s="609"/>
      <c r="L71" s="610"/>
      <c r="M71" s="611"/>
    </row>
    <row r="72" spans="1:13" ht="14.1" customHeight="1">
      <c r="A72" s="42" t="str">
        <f>IF(B72=""," ",#REF!+1)</f>
        <v xml:space="preserve"> </v>
      </c>
      <c r="B72" s="71"/>
      <c r="C72" s="13"/>
      <c r="D72" s="72"/>
      <c r="E72" s="73"/>
      <c r="F72" s="74"/>
      <c r="G72" s="20"/>
      <c r="H72" s="42"/>
      <c r="I72" s="42"/>
      <c r="J72" s="59"/>
      <c r="K72" s="13"/>
      <c r="L72" s="14"/>
      <c r="M72" s="15"/>
    </row>
    <row r="73" spans="1:13" ht="14.1" customHeight="1">
      <c r="A73" s="42" t="str">
        <f>IF(B73=""," ",A72+1)</f>
        <v xml:space="preserve"> </v>
      </c>
      <c r="B73" s="71"/>
      <c r="C73" s="13"/>
      <c r="D73" s="72"/>
      <c r="E73" s="73"/>
      <c r="F73" s="74"/>
      <c r="G73" s="20"/>
      <c r="H73" s="42"/>
      <c r="I73" s="42"/>
      <c r="J73" s="59"/>
      <c r="K73" s="13"/>
      <c r="L73" s="14"/>
      <c r="M73" s="15"/>
    </row>
    <row r="74" spans="1:13" ht="14.1" customHeight="1">
      <c r="A74" s="42" t="str">
        <f>IF(B74=""," ",A73+1)</f>
        <v xml:space="preserve"> </v>
      </c>
      <c r="B74" s="71"/>
      <c r="C74" s="13"/>
      <c r="D74" s="72"/>
      <c r="E74" s="73"/>
      <c r="F74" s="74"/>
      <c r="G74" s="20"/>
      <c r="H74" s="42"/>
      <c r="I74" s="42"/>
      <c r="J74" s="59"/>
      <c r="K74" s="609"/>
      <c r="L74" s="610"/>
      <c r="M74" s="611"/>
    </row>
    <row r="75" spans="1:13" ht="14.1" customHeight="1">
      <c r="A75" s="42" t="str">
        <f>IF(B75=""," ",#REF!+1)</f>
        <v xml:space="preserve"> </v>
      </c>
      <c r="B75" s="71"/>
      <c r="C75" s="13"/>
      <c r="D75" s="72"/>
      <c r="E75" s="73"/>
      <c r="F75" s="74"/>
      <c r="G75" s="20"/>
      <c r="H75" s="42"/>
      <c r="I75" s="42"/>
      <c r="J75" s="59"/>
      <c r="K75" s="609"/>
      <c r="L75" s="610"/>
      <c r="M75" s="611"/>
    </row>
    <row r="76" spans="1:13" ht="14.1" customHeight="1">
      <c r="A76" s="42" t="str">
        <f>IF(B76=""," ",#REF!+1)</f>
        <v xml:space="preserve"> </v>
      </c>
      <c r="B76" s="71"/>
      <c r="C76" s="13"/>
      <c r="D76" s="72"/>
      <c r="E76" s="73"/>
      <c r="F76" s="74"/>
      <c r="G76" s="20"/>
      <c r="H76" s="42"/>
      <c r="I76" s="42"/>
      <c r="J76" s="59"/>
      <c r="K76" s="13"/>
      <c r="L76" s="14"/>
      <c r="M76" s="15"/>
    </row>
    <row r="77" spans="1:13" ht="14.1" customHeight="1">
      <c r="A77" s="42" t="str">
        <f>IF(B77=""," ",A76+1)</f>
        <v xml:space="preserve"> </v>
      </c>
      <c r="B77" s="71"/>
      <c r="C77" s="13"/>
      <c r="D77" s="72"/>
      <c r="E77" s="73"/>
      <c r="F77" s="74"/>
      <c r="G77" s="20"/>
      <c r="H77" s="42"/>
      <c r="I77" s="42"/>
      <c r="J77" s="59"/>
      <c r="K77" s="13"/>
      <c r="L77" s="14"/>
      <c r="M77" s="15"/>
    </row>
    <row r="78" spans="1:13" ht="14.1" customHeight="1">
      <c r="A78" s="42" t="str">
        <f>IF(B78=""," ",A77+1)</f>
        <v xml:space="preserve"> </v>
      </c>
      <c r="B78" s="71"/>
      <c r="C78" s="13"/>
      <c r="D78" s="72"/>
      <c r="E78" s="73"/>
      <c r="F78" s="74"/>
      <c r="G78" s="20"/>
      <c r="H78" s="42"/>
      <c r="I78" s="42"/>
      <c r="J78" s="59"/>
      <c r="K78" s="609"/>
      <c r="L78" s="610"/>
      <c r="M78" s="611"/>
    </row>
    <row r="79" spans="1:13" ht="14.1" customHeight="1">
      <c r="A79" s="42" t="str">
        <f>IF(B79=""," ",#REF!+1)</f>
        <v xml:space="preserve"> </v>
      </c>
      <c r="B79" s="71"/>
      <c r="C79" s="13"/>
      <c r="D79" s="72"/>
      <c r="E79" s="73"/>
      <c r="F79" s="74"/>
      <c r="G79" s="20"/>
      <c r="H79" s="42"/>
      <c r="I79" s="42"/>
      <c r="J79" s="59"/>
      <c r="K79" s="609"/>
      <c r="L79" s="610"/>
      <c r="M79" s="611"/>
    </row>
    <row r="80" spans="1:13" ht="14.1" customHeight="1">
      <c r="A80" s="42" t="str">
        <f>IF(B80=""," ",#REF!+1)</f>
        <v xml:space="preserve"> </v>
      </c>
      <c r="B80" s="71"/>
      <c r="C80" s="13"/>
      <c r="D80" s="72"/>
      <c r="E80" s="73"/>
      <c r="F80" s="74"/>
      <c r="G80" s="20"/>
      <c r="H80" s="42"/>
      <c r="I80" s="42"/>
      <c r="J80" s="59"/>
      <c r="K80" s="13"/>
      <c r="L80" s="14"/>
      <c r="M80" s="15"/>
    </row>
    <row r="81" spans="1:13" ht="14.1" customHeight="1">
      <c r="A81" s="42" t="str">
        <f>IF(B81=""," ",A80+1)</f>
        <v xml:space="preserve"> </v>
      </c>
      <c r="B81" s="71"/>
      <c r="C81" s="13"/>
      <c r="D81" s="72"/>
      <c r="E81" s="73"/>
      <c r="F81" s="74"/>
      <c r="G81" s="20"/>
      <c r="H81" s="42"/>
      <c r="I81" s="42"/>
      <c r="J81" s="59"/>
      <c r="K81" s="13"/>
      <c r="L81" s="14"/>
      <c r="M81" s="15"/>
    </row>
    <row r="82" spans="1:13" ht="14.1" customHeight="1">
      <c r="A82" s="42" t="str">
        <f>IF(B82=""," ",A81+1)</f>
        <v xml:space="preserve"> </v>
      </c>
      <c r="B82" s="71"/>
      <c r="C82" s="13"/>
      <c r="D82" s="72"/>
      <c r="E82" s="73"/>
      <c r="F82" s="74"/>
      <c r="G82" s="20"/>
      <c r="H82" s="42"/>
      <c r="I82" s="42"/>
      <c r="J82" s="59"/>
      <c r="K82" s="609"/>
      <c r="L82" s="610"/>
      <c r="M82" s="611"/>
    </row>
    <row r="83" spans="1:13" ht="14.1" customHeight="1">
      <c r="A83" s="42" t="str">
        <f>IF(B83=""," ",#REF!+1)</f>
        <v xml:space="preserve"> </v>
      </c>
      <c r="B83" s="71"/>
      <c r="C83" s="13"/>
      <c r="D83" s="72"/>
      <c r="E83" s="73"/>
      <c r="F83" s="74"/>
      <c r="G83" s="20"/>
      <c r="H83" s="42"/>
      <c r="I83" s="42"/>
      <c r="J83" s="59"/>
      <c r="K83" s="609"/>
      <c r="L83" s="610"/>
      <c r="M83" s="611"/>
    </row>
    <row r="84" spans="1:13" ht="14.1" customHeight="1">
      <c r="A84" s="42" t="str">
        <f>IF(B84=""," ",#REF!+1)</f>
        <v xml:space="preserve"> </v>
      </c>
      <c r="B84" s="71"/>
      <c r="C84" s="13"/>
      <c r="D84" s="72"/>
      <c r="E84" s="73"/>
      <c r="F84" s="74"/>
      <c r="G84" s="20"/>
      <c r="H84" s="42"/>
      <c r="I84" s="42"/>
      <c r="J84" s="59"/>
      <c r="K84" s="13"/>
      <c r="L84" s="14"/>
      <c r="M84" s="15"/>
    </row>
    <row r="85" spans="1:13" ht="14.1" customHeight="1">
      <c r="A85" s="42" t="str">
        <f>IF(B85=""," ",A84+1)</f>
        <v xml:space="preserve"> </v>
      </c>
      <c r="B85" s="71"/>
      <c r="C85" s="13"/>
      <c r="D85" s="72"/>
      <c r="E85" s="73"/>
      <c r="F85" s="74"/>
      <c r="G85" s="20"/>
      <c r="H85" s="42"/>
      <c r="I85" s="42"/>
      <c r="J85" s="59"/>
      <c r="K85" s="13"/>
      <c r="L85" s="14"/>
      <c r="M85" s="15"/>
    </row>
    <row r="86" spans="1:13" ht="14.1" customHeight="1">
      <c r="A86" s="42" t="str">
        <f>IF(B86=""," ",A85+1)</f>
        <v xml:space="preserve"> </v>
      </c>
      <c r="B86" s="71"/>
      <c r="C86" s="13"/>
      <c r="D86" s="72"/>
      <c r="E86" s="73"/>
      <c r="F86" s="74"/>
      <c r="G86" s="20"/>
      <c r="H86" s="42"/>
      <c r="I86" s="42"/>
      <c r="J86" s="59"/>
      <c r="K86" s="609"/>
      <c r="L86" s="610"/>
      <c r="M86" s="611"/>
    </row>
    <row r="87" spans="1:13" ht="14.1" customHeight="1">
      <c r="A87" s="42" t="str">
        <f>IF(B87=""," ",#REF!+1)</f>
        <v xml:space="preserve"> </v>
      </c>
      <c r="B87" s="71"/>
      <c r="C87" s="13"/>
      <c r="D87" s="72"/>
      <c r="E87" s="73"/>
      <c r="F87" s="74"/>
      <c r="G87" s="20"/>
      <c r="H87" s="42"/>
      <c r="I87" s="42"/>
      <c r="J87" s="59"/>
      <c r="K87" s="609"/>
      <c r="L87" s="610"/>
      <c r="M87" s="611"/>
    </row>
    <row r="88" spans="1:13" ht="14.1" customHeight="1">
      <c r="A88" s="42" t="str">
        <f>IF(B88=""," ",#REF!+1)</f>
        <v xml:space="preserve"> </v>
      </c>
      <c r="B88" s="71"/>
      <c r="C88" s="13"/>
      <c r="D88" s="72"/>
      <c r="E88" s="73"/>
      <c r="F88" s="74"/>
      <c r="G88" s="20"/>
      <c r="H88" s="42"/>
      <c r="I88" s="42"/>
      <c r="J88" s="59"/>
      <c r="K88" s="13"/>
      <c r="L88" s="14"/>
      <c r="M88" s="15"/>
    </row>
    <row r="89" spans="1:13" ht="14.1" customHeight="1">
      <c r="A89" s="42" t="str">
        <f>IF(B89=""," ",A88+1)</f>
        <v xml:space="preserve"> </v>
      </c>
      <c r="B89" s="71"/>
      <c r="C89" s="13"/>
      <c r="D89" s="72"/>
      <c r="E89" s="73"/>
      <c r="F89" s="74"/>
      <c r="G89" s="20"/>
      <c r="H89" s="42"/>
      <c r="I89" s="42"/>
      <c r="J89" s="59"/>
      <c r="K89" s="13"/>
      <c r="L89" s="14"/>
      <c r="M89" s="15"/>
    </row>
    <row r="90" spans="1:13" ht="14.1" customHeight="1">
      <c r="A90" s="42" t="str">
        <f>IF(B90=""," ",A89+1)</f>
        <v xml:space="preserve"> </v>
      </c>
      <c r="B90" s="71"/>
      <c r="C90" s="13"/>
      <c r="D90" s="72"/>
      <c r="E90" s="73"/>
      <c r="F90" s="74"/>
      <c r="G90" s="20"/>
      <c r="H90" s="42"/>
      <c r="I90" s="42"/>
      <c r="J90" s="59"/>
      <c r="K90" s="609"/>
      <c r="L90" s="610"/>
      <c r="M90" s="611"/>
    </row>
    <row r="91" spans="1:13" ht="14.1" customHeight="1">
      <c r="A91" s="42" t="str">
        <f>IF(B91=""," ",#REF!+1)</f>
        <v xml:space="preserve"> </v>
      </c>
      <c r="B91" s="71"/>
      <c r="C91" s="13"/>
      <c r="D91" s="72"/>
      <c r="E91" s="73"/>
      <c r="F91" s="74"/>
      <c r="G91" s="20"/>
      <c r="H91" s="42"/>
      <c r="I91" s="42"/>
      <c r="J91" s="59"/>
      <c r="K91" s="609"/>
      <c r="L91" s="610"/>
      <c r="M91" s="611"/>
    </row>
    <row r="92" spans="1:13" ht="14.1" customHeight="1">
      <c r="A92" s="42" t="str">
        <f>IF(B92=""," ",#REF!+1)</f>
        <v xml:space="preserve"> </v>
      </c>
      <c r="B92" s="71"/>
      <c r="C92" s="13"/>
      <c r="D92" s="72"/>
      <c r="E92" s="73"/>
      <c r="F92" s="74"/>
      <c r="G92" s="20"/>
      <c r="H92" s="42"/>
      <c r="I92" s="42"/>
      <c r="J92" s="59"/>
      <c r="K92" s="13"/>
      <c r="L92" s="14"/>
      <c r="M92" s="15"/>
    </row>
    <row r="93" spans="1:13" ht="14.1" customHeight="1">
      <c r="A93" s="42" t="str">
        <f>IF(B93=""," ",A92+1)</f>
        <v xml:space="preserve"> </v>
      </c>
      <c r="B93" s="71"/>
      <c r="C93" s="13"/>
      <c r="D93" s="72"/>
      <c r="E93" s="73"/>
      <c r="F93" s="74"/>
      <c r="G93" s="20"/>
      <c r="H93" s="42"/>
      <c r="I93" s="42"/>
      <c r="J93" s="59"/>
      <c r="K93" s="13"/>
      <c r="L93" s="14"/>
      <c r="M93" s="15"/>
    </row>
    <row r="94" spans="1:13" ht="14.1" customHeight="1">
      <c r="A94" s="42" t="str">
        <f>IF(B94=""," ",A93+1)</f>
        <v xml:space="preserve"> </v>
      </c>
      <c r="B94" s="71"/>
      <c r="C94" s="13"/>
      <c r="D94" s="72"/>
      <c r="E94" s="73"/>
      <c r="F94" s="74"/>
      <c r="G94" s="20"/>
      <c r="H94" s="42"/>
      <c r="I94" s="42"/>
      <c r="J94" s="59"/>
      <c r="K94" s="609"/>
      <c r="L94" s="610"/>
      <c r="M94" s="611"/>
    </row>
    <row r="95" spans="1:13" ht="14.1" customHeight="1">
      <c r="A95" s="42" t="str">
        <f>IF(B95=""," ",#REF!+1)</f>
        <v xml:space="preserve"> </v>
      </c>
      <c r="B95" s="71"/>
      <c r="C95" s="13"/>
      <c r="D95" s="72"/>
      <c r="E95" s="73"/>
      <c r="F95" s="74"/>
      <c r="G95" s="20"/>
      <c r="H95" s="42"/>
      <c r="I95" s="42"/>
      <c r="J95" s="59"/>
      <c r="K95" s="609"/>
      <c r="L95" s="610"/>
      <c r="M95" s="611"/>
    </row>
    <row r="96" spans="1:13" ht="14.1" customHeight="1">
      <c r="A96" s="42" t="str">
        <f>IF(B96=""," ",#REF!+1)</f>
        <v xml:space="preserve"> </v>
      </c>
      <c r="B96" s="71"/>
      <c r="C96" s="13"/>
      <c r="D96" s="72"/>
      <c r="E96" s="73"/>
      <c r="F96" s="74"/>
      <c r="G96" s="20"/>
      <c r="H96" s="42"/>
      <c r="I96" s="42"/>
      <c r="J96" s="59"/>
      <c r="K96" s="13"/>
      <c r="L96" s="14"/>
      <c r="M96" s="15"/>
    </row>
    <row r="97" spans="1:13" ht="14.1" customHeight="1">
      <c r="A97" s="42" t="str">
        <f>IF(B97=""," ",A96+1)</f>
        <v xml:space="preserve"> </v>
      </c>
      <c r="B97" s="71"/>
      <c r="C97" s="13"/>
      <c r="D97" s="72"/>
      <c r="E97" s="73"/>
      <c r="F97" s="74"/>
      <c r="G97" s="20"/>
      <c r="H97" s="42"/>
      <c r="I97" s="42"/>
      <c r="J97" s="59"/>
      <c r="K97" s="13"/>
      <c r="L97" s="14"/>
      <c r="M97" s="15"/>
    </row>
    <row r="98" spans="1:13" ht="14.1" customHeight="1">
      <c r="A98" s="42" t="str">
        <f>IF(B98=""," ",A97+1)</f>
        <v xml:space="preserve"> </v>
      </c>
      <c r="B98" s="71"/>
      <c r="C98" s="13"/>
      <c r="D98" s="72"/>
      <c r="E98" s="73"/>
      <c r="F98" s="74"/>
      <c r="G98" s="20"/>
      <c r="H98" s="42"/>
      <c r="I98" s="42"/>
      <c r="J98" s="59"/>
      <c r="K98" s="609"/>
      <c r="L98" s="610"/>
      <c r="M98" s="611"/>
    </row>
    <row r="99" spans="1:13" ht="14.1" customHeight="1">
      <c r="A99" s="42" t="str">
        <f>IF(B99=""," ",#REF!+1)</f>
        <v xml:space="preserve"> </v>
      </c>
      <c r="B99" s="71"/>
      <c r="C99" s="13"/>
      <c r="D99" s="72"/>
      <c r="E99" s="73"/>
      <c r="F99" s="74"/>
      <c r="G99" s="20"/>
      <c r="H99" s="42"/>
      <c r="I99" s="42"/>
      <c r="J99" s="59"/>
      <c r="K99" s="609"/>
      <c r="L99" s="610"/>
      <c r="M99" s="611"/>
    </row>
    <row r="100" spans="1:13" ht="14.1" customHeight="1">
      <c r="A100" s="42" t="str">
        <f>IF(B100=""," ",#REF!+1)</f>
        <v xml:space="preserve"> </v>
      </c>
      <c r="B100" s="71"/>
      <c r="C100" s="13"/>
      <c r="D100" s="72"/>
      <c r="E100" s="73"/>
      <c r="F100" s="74"/>
      <c r="G100" s="20"/>
      <c r="H100" s="42"/>
      <c r="I100" s="42"/>
      <c r="J100" s="59"/>
      <c r="K100" s="609"/>
      <c r="L100" s="610"/>
      <c r="M100" s="611"/>
    </row>
    <row r="102" spans="1:13">
      <c r="B102" s="16" t="s">
        <v>1691</v>
      </c>
    </row>
    <row r="104" spans="1:13">
      <c r="B104" s="16" t="s">
        <v>1692</v>
      </c>
      <c r="C104" s="16" t="s">
        <v>1693</v>
      </c>
      <c r="D104" s="16" t="s">
        <v>1695</v>
      </c>
    </row>
    <row r="105" spans="1:13">
      <c r="D105" s="16" t="s">
        <v>1694</v>
      </c>
    </row>
    <row r="106" spans="1:13">
      <c r="D106" s="16" t="s">
        <v>1726</v>
      </c>
    </row>
    <row r="107" spans="1:13">
      <c r="C107" s="16" t="s">
        <v>1693</v>
      </c>
      <c r="D107" s="16" t="s">
        <v>1696</v>
      </c>
    </row>
    <row r="108" spans="1:13">
      <c r="C108" s="16" t="s">
        <v>1693</v>
      </c>
      <c r="D108" s="16" t="s">
        <v>1699</v>
      </c>
    </row>
    <row r="109" spans="1:13">
      <c r="C109" s="16" t="s">
        <v>1720</v>
      </c>
      <c r="D109" s="16" t="s">
        <v>1700</v>
      </c>
    </row>
    <row r="110" spans="1:13">
      <c r="C110" s="16" t="s">
        <v>1720</v>
      </c>
      <c r="D110" s="16" t="s">
        <v>1703</v>
      </c>
    </row>
    <row r="111" spans="1:13">
      <c r="C111" s="16" t="s">
        <v>1720</v>
      </c>
      <c r="D111" s="16" t="s">
        <v>1711</v>
      </c>
    </row>
    <row r="112" spans="1:13">
      <c r="C112" s="16" t="s">
        <v>1725</v>
      </c>
    </row>
    <row r="114" spans="2:4">
      <c r="B114" s="16" t="s">
        <v>798</v>
      </c>
      <c r="C114" s="16" t="s">
        <v>1720</v>
      </c>
      <c r="D114" s="16" t="s">
        <v>1724</v>
      </c>
    </row>
    <row r="116" spans="2:4">
      <c r="B116" s="16" t="s">
        <v>800</v>
      </c>
      <c r="C116" s="16" t="s">
        <v>1720</v>
      </c>
      <c r="D116" s="16" t="s">
        <v>1644</v>
      </c>
    </row>
    <row r="117" spans="2:4">
      <c r="D117" s="16" t="s">
        <v>1645</v>
      </c>
    </row>
    <row r="119" spans="2:4">
      <c r="B119" s="75" t="s">
        <v>799</v>
      </c>
      <c r="C119" s="16" t="s">
        <v>1411</v>
      </c>
    </row>
    <row r="120" spans="2:4">
      <c r="B120" s="16" t="s">
        <v>836</v>
      </c>
    </row>
    <row r="121" spans="2:4">
      <c r="B121" s="75" t="s">
        <v>1269</v>
      </c>
      <c r="C121" s="16" t="s">
        <v>1270</v>
      </c>
      <c r="D121" s="16" t="s">
        <v>1271</v>
      </c>
    </row>
    <row r="123" spans="2:4">
      <c r="B123" s="16" t="s">
        <v>1186</v>
      </c>
      <c r="C123" s="16" t="s">
        <v>1270</v>
      </c>
      <c r="D123" s="16" t="s">
        <v>1666</v>
      </c>
    </row>
    <row r="125" spans="2:4">
      <c r="B125" s="16" t="s">
        <v>1098</v>
      </c>
      <c r="C125" s="16" t="s">
        <v>1720</v>
      </c>
      <c r="D125" s="16" t="s">
        <v>1096</v>
      </c>
    </row>
  </sheetData>
  <mergeCells count="77">
    <mergeCell ref="K17:M17"/>
    <mergeCell ref="K13:M13"/>
    <mergeCell ref="K15:M15"/>
    <mergeCell ref="K28:M28"/>
    <mergeCell ref="K26:M26"/>
    <mergeCell ref="K23:M23"/>
    <mergeCell ref="K14:M14"/>
    <mergeCell ref="K98:M98"/>
    <mergeCell ref="K100:M100"/>
    <mergeCell ref="K90:M90"/>
    <mergeCell ref="K91:M91"/>
    <mergeCell ref="K94:M94"/>
    <mergeCell ref="K95:M95"/>
    <mergeCell ref="K99:M99"/>
    <mergeCell ref="K82:M82"/>
    <mergeCell ref="K83:M83"/>
    <mergeCell ref="K86:M86"/>
    <mergeCell ref="K87:M87"/>
    <mergeCell ref="K74:M74"/>
    <mergeCell ref="K75:M75"/>
    <mergeCell ref="K78:M78"/>
    <mergeCell ref="K79:M79"/>
    <mergeCell ref="K66:M66"/>
    <mergeCell ref="K67:M67"/>
    <mergeCell ref="K70:M70"/>
    <mergeCell ref="K71:M71"/>
    <mergeCell ref="K58:M58"/>
    <mergeCell ref="K59:M59"/>
    <mergeCell ref="K62:M62"/>
    <mergeCell ref="K63:M63"/>
    <mergeCell ref="K43:M43"/>
    <mergeCell ref="K39:M39"/>
    <mergeCell ref="K40:M40"/>
    <mergeCell ref="K37:M37"/>
    <mergeCell ref="K41:M41"/>
    <mergeCell ref="K42:M42"/>
    <mergeCell ref="K38:M38"/>
    <mergeCell ref="K12:M12"/>
    <mergeCell ref="K36:M36"/>
    <mergeCell ref="K11:M11"/>
    <mergeCell ref="K5:M6"/>
    <mergeCell ref="I5:J5"/>
    <mergeCell ref="K8:M8"/>
    <mergeCell ref="K29:M29"/>
    <mergeCell ref="K16:M16"/>
    <mergeCell ref="K21:M21"/>
    <mergeCell ref="K19:M19"/>
    <mergeCell ref="K20:M20"/>
    <mergeCell ref="K27:M27"/>
    <mergeCell ref="K24:M24"/>
    <mergeCell ref="K18:M18"/>
    <mergeCell ref="K22:M22"/>
    <mergeCell ref="K25:M25"/>
    <mergeCell ref="A5:A6"/>
    <mergeCell ref="B5:C5"/>
    <mergeCell ref="K10:M10"/>
    <mergeCell ref="K7:M7"/>
    <mergeCell ref="K9:M9"/>
    <mergeCell ref="D5:H5"/>
    <mergeCell ref="A2:B2"/>
    <mergeCell ref="A3:B3"/>
    <mergeCell ref="A4:B4"/>
    <mergeCell ref="H2:J2"/>
    <mergeCell ref="C2:G2"/>
    <mergeCell ref="C3:G3"/>
    <mergeCell ref="C4:G4"/>
    <mergeCell ref="H4:I4"/>
    <mergeCell ref="H3:I3"/>
    <mergeCell ref="K49:M49"/>
    <mergeCell ref="K55:M55"/>
    <mergeCell ref="K44:M44"/>
    <mergeCell ref="K50:M50"/>
    <mergeCell ref="K51:M51"/>
    <mergeCell ref="K45:M45"/>
    <mergeCell ref="K46:M46"/>
    <mergeCell ref="K47:M47"/>
    <mergeCell ref="K48:M48"/>
  </mergeCells>
  <phoneticPr fontId="6"/>
  <pageMargins left="0.78740157480314965" right="0.19685039370078741" top="0.59055118110236227" bottom="0.59055118110236227" header="0.51181102362204722" footer="0.39370078740157483"/>
  <pageSetup paperSize="9" scale="68" fitToHeight="0" orientation="portrait" r:id="rId1"/>
  <headerFooter alignWithMargins="0">
    <oddFooter>&amp;C&amp;10&amp;P/&amp;N&amp;R&amp;10&amp;A</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5">
    <pageSetUpPr fitToPage="1"/>
  </sheetPr>
  <dimension ref="A1:P107"/>
  <sheetViews>
    <sheetView showGridLines="0" zoomScaleNormal="100" zoomScaleSheetLayoutView="100" workbookViewId="0">
      <pane ySplit="6" topLeftCell="A7" activePane="bottomLeft" state="frozen"/>
      <selection activeCell="A7" sqref="A7"/>
      <selection pane="bottomLeft" activeCell="D39" sqref="D39"/>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ht="12" customHeight="1">
      <c r="B1" s="47"/>
    </row>
    <row r="2" spans="1:16" ht="12" customHeight="1">
      <c r="A2" s="643" t="s">
        <v>602</v>
      </c>
      <c r="B2" s="644"/>
      <c r="C2" s="643" t="s">
        <v>36</v>
      </c>
      <c r="D2" s="651"/>
      <c r="E2" s="651"/>
      <c r="F2" s="651"/>
      <c r="G2" s="644"/>
      <c r="H2" s="643"/>
      <c r="I2" s="651"/>
      <c r="J2" s="644"/>
      <c r="K2" s="37"/>
      <c r="L2" s="38" t="s">
        <v>37</v>
      </c>
      <c r="M2" s="38" t="s">
        <v>38</v>
      </c>
    </row>
    <row r="3" spans="1:16" ht="12" customHeight="1">
      <c r="A3" s="647"/>
      <c r="B3" s="648"/>
      <c r="C3" s="652" t="s">
        <v>1604</v>
      </c>
      <c r="D3" s="653"/>
      <c r="E3" s="653"/>
      <c r="F3" s="653"/>
      <c r="G3" s="654"/>
      <c r="H3" s="643" t="s">
        <v>39</v>
      </c>
      <c r="I3" s="644"/>
      <c r="J3" s="39">
        <f>COUNT(A7:A100)</f>
        <v>12</v>
      </c>
      <c r="K3" s="38" t="s">
        <v>40</v>
      </c>
      <c r="L3" s="40">
        <v>38764</v>
      </c>
      <c r="M3" s="132" t="s">
        <v>1407</v>
      </c>
      <c r="O3" s="16" t="s">
        <v>41</v>
      </c>
      <c r="P3" s="16" t="s">
        <v>42</v>
      </c>
    </row>
    <row r="4" spans="1:16" ht="12" customHeight="1">
      <c r="A4" s="649" t="s">
        <v>43</v>
      </c>
      <c r="B4" s="650"/>
      <c r="C4" s="649" t="s">
        <v>1015</v>
      </c>
      <c r="D4" s="655"/>
      <c r="E4" s="655"/>
      <c r="F4" s="655"/>
      <c r="G4" s="650"/>
      <c r="H4" s="643" t="s">
        <v>44</v>
      </c>
      <c r="I4" s="644"/>
      <c r="J4" s="39">
        <f>SUM(G7:G100)</f>
        <v>139</v>
      </c>
      <c r="K4" s="38" t="s">
        <v>45</v>
      </c>
      <c r="L4" s="40">
        <v>38789</v>
      </c>
      <c r="M4" s="42" t="s">
        <v>1407</v>
      </c>
      <c r="O4" s="16" t="s">
        <v>1368</v>
      </c>
      <c r="P4" s="16" t="s">
        <v>1367</v>
      </c>
    </row>
    <row r="5" spans="1:16" ht="12" customHeight="1">
      <c r="A5" s="645" t="s">
        <v>1448</v>
      </c>
      <c r="B5" s="643" t="s">
        <v>46</v>
      </c>
      <c r="C5" s="651"/>
      <c r="D5" s="662" t="s">
        <v>47</v>
      </c>
      <c r="E5" s="651"/>
      <c r="F5" s="651"/>
      <c r="G5" s="651"/>
      <c r="H5" s="651"/>
      <c r="I5" s="643" t="s">
        <v>604</v>
      </c>
      <c r="J5" s="644"/>
      <c r="K5" s="656" t="s">
        <v>48</v>
      </c>
      <c r="L5" s="657"/>
      <c r="M5" s="658"/>
      <c r="P5" s="16" t="s">
        <v>605</v>
      </c>
    </row>
    <row r="6" spans="1:16" ht="12" customHeight="1">
      <c r="A6" s="646"/>
      <c r="B6" s="38" t="s">
        <v>49</v>
      </c>
      <c r="C6" s="35" t="s">
        <v>50</v>
      </c>
      <c r="D6" s="43" t="s">
        <v>42</v>
      </c>
      <c r="E6" s="44" t="s">
        <v>51</v>
      </c>
      <c r="F6" s="45" t="s">
        <v>52</v>
      </c>
      <c r="G6" s="38" t="s">
        <v>606</v>
      </c>
      <c r="H6" s="36" t="s">
        <v>53</v>
      </c>
      <c r="I6" s="36" t="s">
        <v>607</v>
      </c>
      <c r="J6" s="36" t="s">
        <v>608</v>
      </c>
      <c r="K6" s="659"/>
      <c r="L6" s="660"/>
      <c r="M6" s="661"/>
      <c r="P6" s="16" t="s">
        <v>609</v>
      </c>
    </row>
    <row r="7" spans="1:16" ht="12" customHeight="1">
      <c r="A7" s="42">
        <v>1</v>
      </c>
      <c r="B7" s="48" t="s">
        <v>1535</v>
      </c>
      <c r="C7" s="49" t="s">
        <v>306</v>
      </c>
      <c r="D7" s="78" t="s">
        <v>523</v>
      </c>
      <c r="E7" s="73">
        <v>8</v>
      </c>
      <c r="F7" s="74"/>
      <c r="G7" s="21">
        <f t="shared" ref="G7:G12" si="0">IF(D7="DATE",4,IF(D7="CHAR",E7,IF(D7="SMALLINT",2,IF(D7="INTEGER",4,IF(D7="TIMESTAMP",10,IF(D7="TIME",3,0))))))</f>
        <v>8</v>
      </c>
      <c r="H7" s="42" t="s">
        <v>1435</v>
      </c>
      <c r="I7" s="42" t="s">
        <v>1435</v>
      </c>
      <c r="J7" s="59"/>
      <c r="K7" s="599"/>
      <c r="L7" s="600"/>
      <c r="M7" s="601"/>
      <c r="P7" s="16" t="s">
        <v>1436</v>
      </c>
    </row>
    <row r="8" spans="1:16" ht="27" customHeight="1">
      <c r="A8" s="42">
        <f t="shared" ref="A8:A18" si="1">IF(B8=""," ",A7+1)</f>
        <v>2</v>
      </c>
      <c r="B8" s="48" t="s">
        <v>1605</v>
      </c>
      <c r="C8" s="49" t="s">
        <v>1612</v>
      </c>
      <c r="D8" s="78" t="s">
        <v>523</v>
      </c>
      <c r="E8" s="73">
        <v>10</v>
      </c>
      <c r="F8" s="74"/>
      <c r="G8" s="21">
        <f t="shared" si="0"/>
        <v>10</v>
      </c>
      <c r="H8" s="42" t="s">
        <v>884</v>
      </c>
      <c r="I8" s="42" t="s">
        <v>528</v>
      </c>
      <c r="J8" s="59"/>
      <c r="K8" s="599" t="s">
        <v>1752</v>
      </c>
      <c r="L8" s="600"/>
      <c r="M8" s="601"/>
      <c r="P8" s="16" t="s">
        <v>1150</v>
      </c>
    </row>
    <row r="9" spans="1:16" s="22" customFormat="1" ht="12" customHeight="1">
      <c r="A9" s="42">
        <f t="shared" si="1"/>
        <v>3</v>
      </c>
      <c r="B9" s="48" t="s">
        <v>1606</v>
      </c>
      <c r="C9" s="49" t="s">
        <v>1613</v>
      </c>
      <c r="D9" s="78" t="s">
        <v>523</v>
      </c>
      <c r="E9" s="98">
        <v>1</v>
      </c>
      <c r="F9" s="99"/>
      <c r="G9" s="21">
        <f t="shared" si="0"/>
        <v>1</v>
      </c>
      <c r="H9" s="42" t="s">
        <v>982</v>
      </c>
      <c r="I9" s="89"/>
      <c r="J9" s="92"/>
      <c r="K9" s="599"/>
      <c r="L9" s="600"/>
      <c r="M9" s="601"/>
      <c r="P9" s="22" t="s">
        <v>567</v>
      </c>
    </row>
    <row r="10" spans="1:16" ht="12" customHeight="1">
      <c r="A10" s="42">
        <f t="shared" si="1"/>
        <v>4</v>
      </c>
      <c r="B10" s="48" t="s">
        <v>1607</v>
      </c>
      <c r="C10" s="49" t="s">
        <v>1614</v>
      </c>
      <c r="D10" s="78" t="s">
        <v>523</v>
      </c>
      <c r="E10" s="73">
        <v>1</v>
      </c>
      <c r="F10" s="74"/>
      <c r="G10" s="21">
        <f t="shared" si="0"/>
        <v>1</v>
      </c>
      <c r="H10" s="42" t="s">
        <v>982</v>
      </c>
      <c r="I10" s="42"/>
      <c r="J10" s="59"/>
      <c r="K10" s="599"/>
      <c r="L10" s="600"/>
      <c r="M10" s="601"/>
      <c r="P10" s="16" t="s">
        <v>568</v>
      </c>
    </row>
    <row r="11" spans="1:16" ht="12" customHeight="1">
      <c r="A11" s="42">
        <f t="shared" si="1"/>
        <v>5</v>
      </c>
      <c r="B11" s="48" t="s">
        <v>1608</v>
      </c>
      <c r="C11" s="49" t="s">
        <v>1615</v>
      </c>
      <c r="D11" s="78" t="s">
        <v>523</v>
      </c>
      <c r="E11" s="73">
        <v>1</v>
      </c>
      <c r="F11" s="74"/>
      <c r="G11" s="21">
        <f t="shared" si="0"/>
        <v>1</v>
      </c>
      <c r="H11" s="42" t="s">
        <v>982</v>
      </c>
      <c r="I11" s="42"/>
      <c r="J11" s="59"/>
      <c r="K11" s="599"/>
      <c r="L11" s="600"/>
      <c r="M11" s="601"/>
      <c r="P11" s="16" t="s">
        <v>567</v>
      </c>
    </row>
    <row r="12" spans="1:16" s="22" customFormat="1" ht="12" customHeight="1">
      <c r="A12" s="42">
        <f t="shared" si="1"/>
        <v>6</v>
      </c>
      <c r="B12" s="64" t="s">
        <v>1609</v>
      </c>
      <c r="C12" s="24" t="s">
        <v>1616</v>
      </c>
      <c r="D12" s="65" t="s">
        <v>506</v>
      </c>
      <c r="E12" s="51">
        <v>1</v>
      </c>
      <c r="F12" s="58"/>
      <c r="G12" s="21">
        <f t="shared" si="0"/>
        <v>1</v>
      </c>
      <c r="H12" s="42" t="s">
        <v>910</v>
      </c>
      <c r="I12" s="53"/>
      <c r="J12" s="165"/>
      <c r="K12" s="872"/>
      <c r="L12" s="873"/>
      <c r="M12" s="874"/>
    </row>
    <row r="13" spans="1:16" s="22" customFormat="1" ht="12" customHeight="1">
      <c r="A13" s="42">
        <f t="shared" si="1"/>
        <v>7</v>
      </c>
      <c r="B13" s="93" t="s">
        <v>1610</v>
      </c>
      <c r="C13" s="26" t="s">
        <v>1617</v>
      </c>
      <c r="D13" s="94" t="s">
        <v>506</v>
      </c>
      <c r="E13" s="95">
        <v>1</v>
      </c>
      <c r="F13" s="90"/>
      <c r="G13" s="21">
        <f t="shared" ref="G13:G18" si="2">IF(D13="DATE",4,IF(D13="CHAR",E13,IF(D13="SMALLINT",2,IF(D13="INTEGER",4,IF(D13="TIMESTAMP",10,IF(D13="TIME",3,0))))))</f>
        <v>1</v>
      </c>
      <c r="H13" s="91" t="s">
        <v>1406</v>
      </c>
      <c r="I13" s="89"/>
      <c r="J13" s="92"/>
      <c r="K13" s="602"/>
      <c r="L13" s="692"/>
      <c r="M13" s="693"/>
    </row>
    <row r="14" spans="1:16" ht="12" customHeight="1">
      <c r="A14" s="42">
        <f t="shared" si="1"/>
        <v>8</v>
      </c>
      <c r="B14" s="100" t="s">
        <v>1611</v>
      </c>
      <c r="C14" s="137" t="s">
        <v>1618</v>
      </c>
      <c r="D14" s="78" t="s">
        <v>506</v>
      </c>
      <c r="E14" s="73">
        <v>100</v>
      </c>
      <c r="F14" s="74"/>
      <c r="G14" s="21">
        <f t="shared" si="2"/>
        <v>100</v>
      </c>
      <c r="H14" s="42" t="s">
        <v>982</v>
      </c>
      <c r="I14" s="42"/>
      <c r="J14" s="59"/>
      <c r="K14" s="628" t="s">
        <v>1753</v>
      </c>
      <c r="L14" s="629"/>
      <c r="M14" s="630"/>
    </row>
    <row r="15" spans="1:16" ht="12" customHeight="1">
      <c r="A15" s="42">
        <f t="shared" si="1"/>
        <v>9</v>
      </c>
      <c r="B15" s="71" t="s">
        <v>1545</v>
      </c>
      <c r="C15" s="24" t="s">
        <v>1552</v>
      </c>
      <c r="D15" s="72" t="s">
        <v>63</v>
      </c>
      <c r="E15" s="73"/>
      <c r="F15" s="74"/>
      <c r="G15" s="21">
        <f t="shared" si="2"/>
        <v>4</v>
      </c>
      <c r="H15" s="42" t="s">
        <v>982</v>
      </c>
      <c r="I15" s="42" t="s">
        <v>1435</v>
      </c>
      <c r="J15" s="59"/>
      <c r="K15" s="609"/>
      <c r="L15" s="610"/>
      <c r="M15" s="611"/>
    </row>
    <row r="16" spans="1:16" ht="12" customHeight="1">
      <c r="A16" s="42">
        <f t="shared" si="1"/>
        <v>10</v>
      </c>
      <c r="B16" s="71" t="s">
        <v>1546</v>
      </c>
      <c r="C16" s="24" t="s">
        <v>1549</v>
      </c>
      <c r="D16" s="72" t="s">
        <v>63</v>
      </c>
      <c r="E16" s="73"/>
      <c r="F16" s="74"/>
      <c r="G16" s="21">
        <f t="shared" si="2"/>
        <v>4</v>
      </c>
      <c r="H16" s="42" t="s">
        <v>982</v>
      </c>
      <c r="I16" s="42"/>
      <c r="J16" s="59"/>
      <c r="K16" s="609"/>
      <c r="L16" s="610"/>
      <c r="M16" s="611"/>
    </row>
    <row r="17" spans="1:13" ht="12" customHeight="1">
      <c r="A17" s="42">
        <f t="shared" si="1"/>
        <v>11</v>
      </c>
      <c r="B17" s="71" t="s">
        <v>1547</v>
      </c>
      <c r="C17" s="13" t="s">
        <v>1551</v>
      </c>
      <c r="D17" s="72" t="s">
        <v>63</v>
      </c>
      <c r="E17" s="73"/>
      <c r="F17" s="74"/>
      <c r="G17" s="21">
        <f t="shared" si="2"/>
        <v>4</v>
      </c>
      <c r="H17" s="42" t="s">
        <v>982</v>
      </c>
      <c r="I17" s="42"/>
      <c r="J17" s="59"/>
      <c r="K17" s="609"/>
      <c r="L17" s="610"/>
      <c r="M17" s="611"/>
    </row>
    <row r="18" spans="1:13" ht="12" customHeight="1">
      <c r="A18" s="42">
        <f t="shared" si="1"/>
        <v>12</v>
      </c>
      <c r="B18" s="71" t="s">
        <v>1548</v>
      </c>
      <c r="C18" s="13" t="s">
        <v>1550</v>
      </c>
      <c r="D18" s="72" t="s">
        <v>63</v>
      </c>
      <c r="E18" s="73"/>
      <c r="F18" s="74"/>
      <c r="G18" s="21">
        <f t="shared" si="2"/>
        <v>4</v>
      </c>
      <c r="H18" s="42" t="s">
        <v>982</v>
      </c>
      <c r="I18" s="42"/>
      <c r="J18" s="59"/>
      <c r="K18" s="609"/>
      <c r="L18" s="610"/>
      <c r="M18" s="611"/>
    </row>
    <row r="19" spans="1:13">
      <c r="A19" s="42"/>
      <c r="B19" s="71"/>
      <c r="C19" s="13"/>
      <c r="D19" s="72"/>
      <c r="E19" s="73"/>
      <c r="F19" s="74"/>
      <c r="G19" s="20"/>
      <c r="H19" s="42"/>
      <c r="I19" s="42"/>
      <c r="J19" s="59"/>
      <c r="K19" s="13"/>
      <c r="L19" s="14"/>
      <c r="M19" s="15"/>
    </row>
    <row r="20" spans="1:13">
      <c r="A20" s="89"/>
      <c r="B20" s="66"/>
      <c r="C20" s="31"/>
      <c r="D20" s="97"/>
      <c r="E20" s="98"/>
      <c r="F20" s="99"/>
      <c r="G20" s="20"/>
      <c r="H20" s="89"/>
      <c r="I20" s="89"/>
      <c r="J20" s="92"/>
      <c r="K20" s="31"/>
      <c r="L20" s="32"/>
      <c r="M20" s="33"/>
    </row>
    <row r="21" spans="1:13">
      <c r="A21" s="89"/>
      <c r="B21" s="96"/>
      <c r="C21" s="31"/>
      <c r="D21" s="97"/>
      <c r="E21" s="98"/>
      <c r="F21" s="99"/>
      <c r="G21" s="20"/>
      <c r="H21" s="89"/>
      <c r="I21" s="89"/>
      <c r="J21" s="92"/>
      <c r="K21" s="31"/>
      <c r="L21" s="32"/>
      <c r="M21" s="33"/>
    </row>
    <row r="22" spans="1:13">
      <c r="A22" s="89"/>
      <c r="B22" s="96"/>
      <c r="C22" s="31"/>
      <c r="D22" s="97"/>
      <c r="E22" s="98"/>
      <c r="F22" s="99"/>
      <c r="G22" s="20"/>
      <c r="H22" s="89"/>
      <c r="I22" s="89"/>
      <c r="J22" s="92"/>
      <c r="K22" s="31"/>
      <c r="L22" s="32"/>
      <c r="M22" s="33"/>
    </row>
    <row r="23" spans="1:13">
      <c r="A23" s="89"/>
      <c r="B23" s="96"/>
      <c r="C23" s="31"/>
      <c r="D23" s="97"/>
      <c r="E23" s="98"/>
      <c r="F23" s="99"/>
      <c r="G23" s="20"/>
      <c r="H23" s="89"/>
      <c r="I23" s="89"/>
      <c r="J23" s="92"/>
      <c r="K23" s="31"/>
      <c r="L23" s="32"/>
      <c r="M23" s="33"/>
    </row>
    <row r="24" spans="1:13">
      <c r="A24" s="89"/>
      <c r="B24" s="96"/>
      <c r="C24" s="31"/>
      <c r="D24" s="97"/>
      <c r="E24" s="98"/>
      <c r="F24" s="99"/>
      <c r="G24" s="20"/>
      <c r="H24" s="89"/>
      <c r="I24" s="89"/>
      <c r="J24" s="92"/>
      <c r="K24" s="31"/>
      <c r="L24" s="32"/>
      <c r="M24" s="33"/>
    </row>
    <row r="25" spans="1:13">
      <c r="A25" s="89"/>
      <c r="B25" s="96"/>
      <c r="C25" s="31"/>
      <c r="D25" s="97"/>
      <c r="E25" s="98"/>
      <c r="F25" s="99"/>
      <c r="G25" s="20"/>
      <c r="H25" s="89"/>
      <c r="I25" s="89"/>
      <c r="J25" s="92"/>
      <c r="K25" s="31"/>
      <c r="L25" s="32"/>
      <c r="M25" s="33"/>
    </row>
    <row r="26" spans="1:13">
      <c r="A26" s="89"/>
      <c r="B26" s="96"/>
      <c r="C26" s="31"/>
      <c r="D26" s="97"/>
      <c r="E26" s="98"/>
      <c r="F26" s="99"/>
      <c r="G26" s="20"/>
      <c r="H26" s="89"/>
      <c r="I26" s="89"/>
      <c r="J26" s="92"/>
      <c r="K26" s="31"/>
      <c r="L26" s="32"/>
      <c r="M26" s="33"/>
    </row>
    <row r="27" spans="1:13">
      <c r="A27" s="89"/>
      <c r="B27" s="96"/>
      <c r="C27" s="31"/>
      <c r="D27" s="97"/>
      <c r="E27" s="98"/>
      <c r="F27" s="99"/>
      <c r="G27" s="20"/>
      <c r="H27" s="89"/>
      <c r="I27" s="89"/>
      <c r="J27" s="92"/>
      <c r="K27" s="31"/>
      <c r="L27" s="32"/>
      <c r="M27" s="33"/>
    </row>
    <row r="28" spans="1:13">
      <c r="A28" s="89"/>
      <c r="B28" s="96"/>
      <c r="C28" s="31"/>
      <c r="D28" s="97"/>
      <c r="E28" s="98"/>
      <c r="F28" s="99"/>
      <c r="G28" s="20"/>
      <c r="H28" s="89"/>
      <c r="I28" s="89"/>
      <c r="J28" s="92"/>
      <c r="K28" s="31"/>
      <c r="L28" s="32"/>
      <c r="M28" s="33"/>
    </row>
    <row r="29" spans="1:13">
      <c r="A29" s="89"/>
      <c r="B29" s="96"/>
      <c r="C29" s="31"/>
      <c r="D29" s="97"/>
      <c r="E29" s="98"/>
      <c r="F29" s="99"/>
      <c r="G29" s="21"/>
      <c r="H29" s="89"/>
      <c r="I29" s="89"/>
      <c r="J29" s="92"/>
      <c r="K29" s="31"/>
      <c r="L29" s="32"/>
      <c r="M29" s="33"/>
    </row>
    <row r="30" spans="1:13">
      <c r="A30" s="89"/>
      <c r="B30" s="96"/>
      <c r="C30" s="31"/>
      <c r="D30" s="97"/>
      <c r="E30" s="98"/>
      <c r="F30" s="99"/>
      <c r="G30" s="21"/>
      <c r="H30" s="89"/>
      <c r="I30" s="89"/>
      <c r="J30" s="92"/>
      <c r="K30" s="31"/>
      <c r="L30" s="32"/>
      <c r="M30" s="33"/>
    </row>
    <row r="31" spans="1:13">
      <c r="A31" s="89"/>
      <c r="B31" s="96"/>
      <c r="C31" s="31"/>
      <c r="D31" s="97"/>
      <c r="E31" s="98"/>
      <c r="F31" s="99"/>
      <c r="G31" s="21"/>
      <c r="H31" s="89"/>
      <c r="I31" s="89"/>
      <c r="J31" s="92"/>
      <c r="K31" s="31"/>
      <c r="L31" s="32"/>
      <c r="M31" s="33"/>
    </row>
    <row r="32" spans="1:13">
      <c r="A32" s="42"/>
      <c r="B32" s="71"/>
      <c r="C32" s="13"/>
      <c r="D32" s="72"/>
      <c r="E32" s="73"/>
      <c r="F32" s="74"/>
      <c r="G32" s="20"/>
      <c r="H32" s="42"/>
      <c r="I32" s="42"/>
      <c r="J32" s="59"/>
      <c r="K32" s="609"/>
      <c r="L32" s="610"/>
      <c r="M32" s="611"/>
    </row>
    <row r="33" spans="1:13">
      <c r="A33" s="42"/>
      <c r="B33" s="71"/>
      <c r="C33" s="13"/>
      <c r="D33" s="72"/>
      <c r="E33" s="73"/>
      <c r="F33" s="74"/>
      <c r="G33" s="20"/>
      <c r="H33" s="42"/>
      <c r="I33" s="42"/>
      <c r="J33" s="59"/>
      <c r="K33" s="609"/>
      <c r="L33" s="610"/>
      <c r="M33" s="611"/>
    </row>
    <row r="34" spans="1:13">
      <c r="A34" s="42"/>
      <c r="B34" s="71"/>
      <c r="C34" s="13"/>
      <c r="D34" s="72"/>
      <c r="E34" s="73"/>
      <c r="F34" s="74"/>
      <c r="G34" s="20"/>
      <c r="H34" s="42"/>
      <c r="I34" s="42"/>
      <c r="J34" s="59"/>
      <c r="K34" s="13"/>
      <c r="L34" s="14"/>
      <c r="M34" s="15"/>
    </row>
    <row r="35" spans="1:13">
      <c r="A35" s="42"/>
      <c r="B35" s="71"/>
      <c r="C35" s="13"/>
      <c r="D35" s="72"/>
      <c r="E35" s="73"/>
      <c r="F35" s="74"/>
      <c r="G35" s="20"/>
      <c r="H35" s="42"/>
      <c r="I35" s="42"/>
      <c r="J35" s="59"/>
      <c r="K35" s="13"/>
      <c r="L35" s="14"/>
      <c r="M35" s="15"/>
    </row>
    <row r="36" spans="1:13">
      <c r="A36" s="42"/>
      <c r="B36" s="71"/>
      <c r="C36" s="13"/>
      <c r="D36" s="72"/>
      <c r="E36" s="73"/>
      <c r="F36" s="74"/>
      <c r="G36" s="20"/>
      <c r="H36" s="42"/>
      <c r="I36" s="42"/>
      <c r="J36" s="59"/>
      <c r="K36" s="609"/>
      <c r="L36" s="610"/>
      <c r="M36" s="611"/>
    </row>
    <row r="37" spans="1:13">
      <c r="A37" s="42"/>
      <c r="B37" s="71"/>
      <c r="C37" s="13"/>
      <c r="D37" s="72"/>
      <c r="E37" s="73"/>
      <c r="F37" s="74"/>
      <c r="G37" s="20"/>
      <c r="H37" s="42"/>
      <c r="I37" s="42"/>
      <c r="J37" s="59"/>
      <c r="K37" s="609"/>
      <c r="L37" s="610"/>
      <c r="M37" s="611"/>
    </row>
    <row r="38" spans="1:13">
      <c r="A38" s="42"/>
      <c r="B38" s="71"/>
      <c r="C38" s="13"/>
      <c r="D38" s="72"/>
      <c r="E38" s="73"/>
      <c r="F38" s="74"/>
      <c r="G38" s="20"/>
      <c r="H38" s="42"/>
      <c r="I38" s="42"/>
      <c r="J38" s="59"/>
      <c r="K38" s="13"/>
      <c r="L38" s="14"/>
      <c r="M38" s="15"/>
    </row>
    <row r="39" spans="1:13">
      <c r="A39" s="42"/>
      <c r="B39" s="71"/>
      <c r="C39" s="13"/>
      <c r="D39" s="72"/>
      <c r="E39" s="73"/>
      <c r="F39" s="74"/>
      <c r="G39" s="20"/>
      <c r="H39" s="42"/>
      <c r="I39" s="42"/>
      <c r="J39" s="59"/>
      <c r="K39" s="13"/>
      <c r="L39" s="14"/>
      <c r="M39" s="15"/>
    </row>
    <row r="40" spans="1:13">
      <c r="A40" s="42" t="str">
        <f>IF(B40=""," ",A39+1)</f>
        <v xml:space="preserve"> </v>
      </c>
      <c r="B40" s="71"/>
      <c r="C40" s="13"/>
      <c r="D40" s="72"/>
      <c r="E40" s="73"/>
      <c r="F40" s="74"/>
      <c r="G40" s="20"/>
      <c r="H40" s="42"/>
      <c r="I40" s="42"/>
      <c r="J40" s="59"/>
      <c r="K40" s="609"/>
      <c r="L40" s="610"/>
      <c r="M40" s="611"/>
    </row>
    <row r="41" spans="1:13">
      <c r="A41" s="42" t="str">
        <f>IF(B41=""," ",#REF!+1)</f>
        <v xml:space="preserve"> </v>
      </c>
      <c r="B41" s="71"/>
      <c r="C41" s="13"/>
      <c r="D41" s="72"/>
      <c r="E41" s="73"/>
      <c r="F41" s="74"/>
      <c r="G41" s="20"/>
      <c r="H41" s="42"/>
      <c r="I41" s="42"/>
      <c r="J41" s="59"/>
      <c r="K41" s="609"/>
      <c r="L41" s="610"/>
      <c r="M41" s="611"/>
    </row>
    <row r="42" spans="1:13">
      <c r="A42" s="42" t="str">
        <f>IF(B42=""," ",#REF!+1)</f>
        <v xml:space="preserve"> </v>
      </c>
      <c r="B42" s="71"/>
      <c r="C42" s="13"/>
      <c r="D42" s="72"/>
      <c r="E42" s="73"/>
      <c r="F42" s="74"/>
      <c r="G42" s="20"/>
      <c r="H42" s="42"/>
      <c r="I42" s="42"/>
      <c r="J42" s="59"/>
      <c r="K42" s="13"/>
      <c r="L42" s="14"/>
      <c r="M42" s="15"/>
    </row>
    <row r="43" spans="1:13">
      <c r="A43" s="42" t="str">
        <f>IF(B43=""," ",A42+1)</f>
        <v xml:space="preserve"> </v>
      </c>
      <c r="B43" s="71"/>
      <c r="C43" s="13"/>
      <c r="D43" s="72"/>
      <c r="E43" s="73"/>
      <c r="F43" s="74"/>
      <c r="G43" s="20"/>
      <c r="H43" s="42"/>
      <c r="I43" s="42"/>
      <c r="J43" s="59"/>
      <c r="K43" s="13"/>
      <c r="L43" s="14"/>
      <c r="M43" s="15"/>
    </row>
    <row r="44" spans="1:13">
      <c r="A44" s="42" t="str">
        <f>IF(B44=""," ",A43+1)</f>
        <v xml:space="preserve"> </v>
      </c>
      <c r="B44" s="71"/>
      <c r="C44" s="13"/>
      <c r="D44" s="72"/>
      <c r="E44" s="73"/>
      <c r="F44" s="74"/>
      <c r="G44" s="20"/>
      <c r="H44" s="42"/>
      <c r="I44" s="42"/>
      <c r="J44" s="59"/>
      <c r="K44" s="609"/>
      <c r="L44" s="610"/>
      <c r="M44" s="611"/>
    </row>
    <row r="45" spans="1:13">
      <c r="A45" s="42" t="str">
        <f>IF(B45=""," ",#REF!+1)</f>
        <v xml:space="preserve"> </v>
      </c>
      <c r="B45" s="71"/>
      <c r="C45" s="13"/>
      <c r="D45" s="72"/>
      <c r="E45" s="73"/>
      <c r="F45" s="74"/>
      <c r="G45" s="20"/>
      <c r="H45" s="42"/>
      <c r="I45" s="42"/>
      <c r="J45" s="59"/>
      <c r="K45" s="609"/>
      <c r="L45" s="610"/>
      <c r="M45" s="611"/>
    </row>
    <row r="46" spans="1:13">
      <c r="A46" s="42" t="str">
        <f>IF(B46=""," ",#REF!+1)</f>
        <v xml:space="preserve"> </v>
      </c>
      <c r="B46" s="71"/>
      <c r="C46" s="13"/>
      <c r="D46" s="72"/>
      <c r="E46" s="73"/>
      <c r="F46" s="74"/>
      <c r="G46" s="20"/>
      <c r="H46" s="42"/>
      <c r="I46" s="42"/>
      <c r="J46" s="59"/>
      <c r="K46" s="13"/>
      <c r="L46" s="14"/>
      <c r="M46" s="15"/>
    </row>
    <row r="47" spans="1:13">
      <c r="A47" s="42" t="str">
        <f>IF(B47=""," ",A46+1)</f>
        <v xml:space="preserve"> </v>
      </c>
      <c r="B47" s="71"/>
      <c r="C47" s="13"/>
      <c r="D47" s="72"/>
      <c r="E47" s="73"/>
      <c r="F47" s="74"/>
      <c r="G47" s="20"/>
      <c r="H47" s="42"/>
      <c r="I47" s="42"/>
      <c r="J47" s="59"/>
      <c r="K47" s="13"/>
      <c r="L47" s="14"/>
      <c r="M47" s="15"/>
    </row>
    <row r="48" spans="1:13">
      <c r="A48" s="42" t="str">
        <f>IF(B48=""," ",A47+1)</f>
        <v xml:space="preserve"> </v>
      </c>
      <c r="B48" s="71"/>
      <c r="C48" s="13"/>
      <c r="D48" s="72"/>
      <c r="E48" s="73"/>
      <c r="F48" s="74"/>
      <c r="G48" s="20"/>
      <c r="H48" s="42"/>
      <c r="I48" s="42"/>
      <c r="J48" s="59"/>
      <c r="K48" s="609"/>
      <c r="L48" s="610"/>
      <c r="M48" s="611"/>
    </row>
    <row r="49" spans="1:13">
      <c r="A49" s="42" t="str">
        <f>IF(B49=""," ",#REF!+1)</f>
        <v xml:space="preserve"> </v>
      </c>
      <c r="B49" s="71"/>
      <c r="C49" s="13"/>
      <c r="D49" s="72"/>
      <c r="E49" s="73"/>
      <c r="F49" s="74"/>
      <c r="G49" s="20"/>
      <c r="H49" s="42"/>
      <c r="I49" s="42"/>
      <c r="J49" s="59"/>
      <c r="K49" s="609"/>
      <c r="L49" s="610"/>
      <c r="M49" s="611"/>
    </row>
    <row r="50" spans="1:13">
      <c r="A50" s="42" t="str">
        <f>IF(B50=""," ",#REF!+1)</f>
        <v xml:space="preserve"> </v>
      </c>
      <c r="B50" s="71"/>
      <c r="C50" s="13"/>
      <c r="D50" s="72"/>
      <c r="E50" s="73"/>
      <c r="F50" s="74"/>
      <c r="G50" s="20"/>
      <c r="H50" s="42"/>
      <c r="I50" s="42"/>
      <c r="J50" s="59"/>
      <c r="K50" s="13"/>
      <c r="L50" s="14"/>
      <c r="M50" s="15"/>
    </row>
    <row r="51" spans="1:13">
      <c r="A51" s="42" t="str">
        <f>IF(B51=""," ",A50+1)</f>
        <v xml:space="preserve"> </v>
      </c>
      <c r="B51" s="71"/>
      <c r="C51" s="13"/>
      <c r="D51" s="72"/>
      <c r="E51" s="73"/>
      <c r="F51" s="74"/>
      <c r="G51" s="20"/>
      <c r="H51" s="42"/>
      <c r="I51" s="42"/>
      <c r="J51" s="59"/>
      <c r="K51" s="13"/>
      <c r="L51" s="14"/>
      <c r="M51" s="15"/>
    </row>
    <row r="52" spans="1:13">
      <c r="A52" s="42" t="str">
        <f>IF(B52=""," ",A51+1)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609"/>
      <c r="L53" s="610"/>
      <c r="M53" s="611"/>
    </row>
    <row r="54" spans="1:13">
      <c r="A54" s="42" t="str">
        <f>IF(B54=""," ",#REF!+1)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13"/>
      <c r="L55" s="14"/>
      <c r="M55" s="15"/>
    </row>
    <row r="56" spans="1:13">
      <c r="A56" s="42" t="str">
        <f>IF(B56=""," ",A55+1)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609"/>
      <c r="L57" s="610"/>
      <c r="M57" s="611"/>
    </row>
    <row r="58" spans="1:13">
      <c r="A58" s="42" t="str">
        <f>IF(B58=""," ",#REF!+1)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13"/>
      <c r="L59" s="14"/>
      <c r="M59" s="15"/>
    </row>
    <row r="60" spans="1:13">
      <c r="A60" s="42" t="str">
        <f>IF(B60=""," ",A59+1)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13"/>
      <c r="L94" s="14"/>
      <c r="M94" s="15"/>
    </row>
    <row r="95" spans="1:13">
      <c r="A95" s="42" t="str">
        <f t="shared" ref="A95:A100" si="3">IF(B95=""," ",A94+1)</f>
        <v xml:space="preserve"> </v>
      </c>
      <c r="B95" s="71"/>
      <c r="C95" s="13"/>
      <c r="D95" s="72"/>
      <c r="E95" s="73"/>
      <c r="F95" s="74"/>
      <c r="G95" s="20"/>
      <c r="H95" s="42"/>
      <c r="I95" s="42"/>
      <c r="J95" s="59"/>
      <c r="K95" s="13"/>
      <c r="L95" s="14"/>
      <c r="M95" s="15"/>
    </row>
    <row r="96" spans="1:13">
      <c r="A96" s="42" t="str">
        <f t="shared" si="3"/>
        <v xml:space="preserve"> </v>
      </c>
      <c r="B96" s="71"/>
      <c r="C96" s="13"/>
      <c r="D96" s="72"/>
      <c r="E96" s="73"/>
      <c r="F96" s="74"/>
      <c r="G96" s="20"/>
      <c r="H96" s="42"/>
      <c r="I96" s="42"/>
      <c r="J96" s="59"/>
      <c r="K96" s="13"/>
      <c r="L96" s="14"/>
      <c r="M96" s="15"/>
    </row>
    <row r="97" spans="1:13">
      <c r="A97" s="42" t="str">
        <f t="shared" si="3"/>
        <v xml:space="preserve"> </v>
      </c>
      <c r="B97" s="71"/>
      <c r="C97" s="13"/>
      <c r="D97" s="72"/>
      <c r="E97" s="73"/>
      <c r="F97" s="74"/>
      <c r="G97" s="20"/>
      <c r="H97" s="42"/>
      <c r="I97" s="42"/>
      <c r="J97" s="59"/>
      <c r="K97" s="13"/>
      <c r="L97" s="14"/>
      <c r="M97" s="15"/>
    </row>
    <row r="98" spans="1:13">
      <c r="A98" s="42" t="str">
        <f t="shared" si="3"/>
        <v xml:space="preserve"> </v>
      </c>
      <c r="B98" s="71"/>
      <c r="C98" s="13"/>
      <c r="D98" s="72"/>
      <c r="E98" s="73"/>
      <c r="F98" s="74"/>
      <c r="G98" s="20"/>
      <c r="H98" s="42"/>
      <c r="I98" s="42"/>
      <c r="J98" s="59"/>
      <c r="K98" s="13"/>
      <c r="L98" s="14"/>
      <c r="M98" s="15"/>
    </row>
    <row r="99" spans="1:13">
      <c r="A99" s="42" t="str">
        <f t="shared" si="3"/>
        <v xml:space="preserve"> </v>
      </c>
      <c r="B99" s="71"/>
      <c r="C99" s="13"/>
      <c r="D99" s="72"/>
      <c r="E99" s="73"/>
      <c r="F99" s="74"/>
      <c r="G99" s="20"/>
      <c r="H99" s="42"/>
      <c r="I99" s="42"/>
      <c r="J99" s="59"/>
      <c r="K99" s="13"/>
      <c r="L99" s="14"/>
      <c r="M99" s="15"/>
    </row>
    <row r="100" spans="1:13">
      <c r="A100" s="42" t="str">
        <f t="shared" si="3"/>
        <v xml:space="preserve"> </v>
      </c>
      <c r="B100" s="71"/>
      <c r="C100" s="13"/>
      <c r="D100" s="72"/>
      <c r="E100" s="73"/>
      <c r="F100" s="74"/>
      <c r="G100" s="20"/>
      <c r="H100" s="42"/>
      <c r="I100" s="42"/>
      <c r="J100" s="59"/>
      <c r="K100" s="13"/>
      <c r="L100" s="14"/>
      <c r="M100" s="15"/>
    </row>
    <row r="102" spans="1:13">
      <c r="B102" s="16" t="s">
        <v>1691</v>
      </c>
    </row>
    <row r="104" spans="1:13">
      <c r="B104" s="16" t="s">
        <v>1463</v>
      </c>
      <c r="C104" s="16" t="s">
        <v>1561</v>
      </c>
    </row>
    <row r="106" spans="1:13">
      <c r="B106" s="16" t="s">
        <v>1754</v>
      </c>
      <c r="C106" s="16" t="s">
        <v>1755</v>
      </c>
      <c r="D106" s="16" t="s">
        <v>1756</v>
      </c>
    </row>
    <row r="107" spans="1:13">
      <c r="C107" s="16" t="s">
        <v>760</v>
      </c>
      <c r="D107" s="16" t="s">
        <v>1611</v>
      </c>
      <c r="E107" s="16" t="s">
        <v>1757</v>
      </c>
    </row>
  </sheetData>
  <mergeCells count="58">
    <mergeCell ref="K81:M81"/>
    <mergeCell ref="K84:M84"/>
    <mergeCell ref="K93:M93"/>
    <mergeCell ref="K85:M85"/>
    <mergeCell ref="K88:M88"/>
    <mergeCell ref="K89:M89"/>
    <mergeCell ref="K92:M92"/>
    <mergeCell ref="K73:M73"/>
    <mergeCell ref="K76:M76"/>
    <mergeCell ref="K77:M77"/>
    <mergeCell ref="K80:M80"/>
    <mergeCell ref="K65:M65"/>
    <mergeCell ref="K68:M68"/>
    <mergeCell ref="K69:M69"/>
    <mergeCell ref="K72:M72"/>
    <mergeCell ref="K57:M57"/>
    <mergeCell ref="K60:M60"/>
    <mergeCell ref="K61:M61"/>
    <mergeCell ref="K64:M64"/>
    <mergeCell ref="K49:M49"/>
    <mergeCell ref="K52:M52"/>
    <mergeCell ref="K53:M53"/>
    <mergeCell ref="K56:M56"/>
    <mergeCell ref="K41:M41"/>
    <mergeCell ref="K44:M44"/>
    <mergeCell ref="K45:M45"/>
    <mergeCell ref="K48:M48"/>
    <mergeCell ref="K15:M15"/>
    <mergeCell ref="K16:M16"/>
    <mergeCell ref="K37:M37"/>
    <mergeCell ref="K40:M40"/>
    <mergeCell ref="K32:M32"/>
    <mergeCell ref="K33:M33"/>
    <mergeCell ref="K36:M36"/>
    <mergeCell ref="K17:M17"/>
    <mergeCell ref="K18:M18"/>
    <mergeCell ref="A5:A6"/>
    <mergeCell ref="B5:C5"/>
    <mergeCell ref="K5:M6"/>
    <mergeCell ref="I5:J5"/>
    <mergeCell ref="D5:H5"/>
    <mergeCell ref="H4:I4"/>
    <mergeCell ref="H3:I3"/>
    <mergeCell ref="A2:B2"/>
    <mergeCell ref="A3:B3"/>
    <mergeCell ref="A4:B4"/>
    <mergeCell ref="H2:J2"/>
    <mergeCell ref="C2:G2"/>
    <mergeCell ref="C3:G3"/>
    <mergeCell ref="C4:G4"/>
    <mergeCell ref="K7:M7"/>
    <mergeCell ref="K11:M11"/>
    <mergeCell ref="K14:M14"/>
    <mergeCell ref="K9:M9"/>
    <mergeCell ref="K10:M10"/>
    <mergeCell ref="K8:M8"/>
    <mergeCell ref="K12:M12"/>
    <mergeCell ref="K13:M13"/>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1">
    <pageSetUpPr fitToPage="1"/>
  </sheetPr>
  <dimension ref="A1:P147"/>
  <sheetViews>
    <sheetView showGridLines="0" zoomScaleNormal="100" zoomScaleSheetLayoutView="100" workbookViewId="0">
      <pane ySplit="6" topLeftCell="A34" activePane="bottomLeft" state="frozen"/>
      <selection activeCell="A7" sqref="A7"/>
      <selection pane="bottomLeft" activeCell="H31" sqref="H31"/>
    </sheetView>
  </sheetViews>
  <sheetFormatPr defaultRowHeight="12"/>
  <cols>
    <col min="1" max="1" width="3.875" style="112" customWidth="1"/>
    <col min="2" max="2" width="28.625" style="113" customWidth="1"/>
    <col min="3" max="3" width="13.375" style="113" customWidth="1"/>
    <col min="4" max="4" width="9.375" style="113" customWidth="1"/>
    <col min="5" max="5" width="4.875" style="113" bestFit="1" customWidth="1"/>
    <col min="6" max="6" width="4.75" style="113" bestFit="1" customWidth="1"/>
    <col min="7" max="7" width="6.125" style="113" bestFit="1" customWidth="1"/>
    <col min="8" max="8" width="4.75" style="113" bestFit="1" customWidth="1"/>
    <col min="9" max="9" width="4.75" style="113" customWidth="1"/>
    <col min="10" max="11" width="9.625" style="113" customWidth="1"/>
    <col min="12" max="13" width="10.25" style="113" customWidth="1"/>
    <col min="14" max="14" width="76.25" style="113" bestFit="1" customWidth="1"/>
    <col min="15" max="16" width="0" style="113" hidden="1" customWidth="1"/>
    <col min="17" max="16384" width="9" style="113"/>
  </cols>
  <sheetData>
    <row r="1" spans="1:16" ht="12" customHeight="1">
      <c r="B1" s="47"/>
    </row>
    <row r="2" spans="1:16" ht="12" customHeight="1">
      <c r="A2" s="592" t="s">
        <v>602</v>
      </c>
      <c r="B2" s="594"/>
      <c r="C2" s="592" t="s">
        <v>36</v>
      </c>
      <c r="D2" s="593"/>
      <c r="E2" s="593"/>
      <c r="F2" s="593"/>
      <c r="G2" s="594"/>
      <c r="H2" s="592"/>
      <c r="I2" s="593"/>
      <c r="J2" s="594"/>
      <c r="K2" s="115"/>
      <c r="L2" s="116" t="s">
        <v>37</v>
      </c>
      <c r="M2" s="116" t="s">
        <v>38</v>
      </c>
    </row>
    <row r="3" spans="1:16" ht="12" customHeight="1">
      <c r="A3" s="605"/>
      <c r="B3" s="606"/>
      <c r="C3" s="612" t="s">
        <v>1661</v>
      </c>
      <c r="D3" s="613"/>
      <c r="E3" s="613"/>
      <c r="F3" s="613"/>
      <c r="G3" s="614"/>
      <c r="H3" s="592" t="s">
        <v>39</v>
      </c>
      <c r="I3" s="594"/>
      <c r="J3" s="117">
        <f>COUNT(A7:A108)</f>
        <v>30</v>
      </c>
      <c r="K3" s="116" t="s">
        <v>40</v>
      </c>
      <c r="L3" s="118">
        <v>38629</v>
      </c>
      <c r="M3" s="41" t="s">
        <v>56</v>
      </c>
      <c r="O3" s="113" t="s">
        <v>41</v>
      </c>
      <c r="P3" s="113" t="s">
        <v>42</v>
      </c>
    </row>
    <row r="4" spans="1:16" ht="12" customHeight="1">
      <c r="A4" s="607" t="s">
        <v>43</v>
      </c>
      <c r="B4" s="608"/>
      <c r="C4" s="607" t="s">
        <v>998</v>
      </c>
      <c r="D4" s="615"/>
      <c r="E4" s="615"/>
      <c r="F4" s="615"/>
      <c r="G4" s="608"/>
      <c r="H4" s="592" t="s">
        <v>44</v>
      </c>
      <c r="I4" s="594"/>
      <c r="J4" s="117">
        <f>SUM(G7:G108)</f>
        <v>328</v>
      </c>
      <c r="K4" s="116" t="s">
        <v>45</v>
      </c>
      <c r="L4" s="40">
        <v>39146</v>
      </c>
      <c r="M4" s="42" t="s">
        <v>532</v>
      </c>
      <c r="O4" s="113" t="s">
        <v>1358</v>
      </c>
      <c r="P4" s="113" t="s">
        <v>1359</v>
      </c>
    </row>
    <row r="5" spans="1:16" ht="12" customHeight="1">
      <c r="A5" s="623" t="s">
        <v>1360</v>
      </c>
      <c r="B5" s="592" t="s">
        <v>46</v>
      </c>
      <c r="C5" s="593"/>
      <c r="D5" s="622" t="s">
        <v>47</v>
      </c>
      <c r="E5" s="593"/>
      <c r="F5" s="593"/>
      <c r="G5" s="593"/>
      <c r="H5" s="593"/>
      <c r="I5" s="592" t="s">
        <v>604</v>
      </c>
      <c r="J5" s="594"/>
      <c r="K5" s="616" t="s">
        <v>48</v>
      </c>
      <c r="L5" s="617"/>
      <c r="M5" s="618"/>
      <c r="P5" s="113" t="s">
        <v>605</v>
      </c>
    </row>
    <row r="6" spans="1:16" ht="12" customHeight="1">
      <c r="A6" s="624"/>
      <c r="B6" s="116" t="s">
        <v>49</v>
      </c>
      <c r="C6" s="119" t="s">
        <v>50</v>
      </c>
      <c r="D6" s="120" t="s">
        <v>42</v>
      </c>
      <c r="E6" s="121" t="s">
        <v>51</v>
      </c>
      <c r="F6" s="122" t="s">
        <v>52</v>
      </c>
      <c r="G6" s="116" t="s">
        <v>606</v>
      </c>
      <c r="H6" s="114" t="s">
        <v>53</v>
      </c>
      <c r="I6" s="114" t="s">
        <v>607</v>
      </c>
      <c r="J6" s="114" t="s">
        <v>608</v>
      </c>
      <c r="K6" s="619"/>
      <c r="L6" s="620"/>
      <c r="M6" s="621"/>
      <c r="P6" s="113" t="s">
        <v>609</v>
      </c>
    </row>
    <row r="7" spans="1:16" ht="12" customHeight="1">
      <c r="A7" s="41">
        <v>1</v>
      </c>
      <c r="B7" s="48" t="s">
        <v>543</v>
      </c>
      <c r="C7" s="49" t="s">
        <v>246</v>
      </c>
      <c r="D7" s="50" t="s">
        <v>1434</v>
      </c>
      <c r="E7" s="51">
        <v>16</v>
      </c>
      <c r="F7" s="123"/>
      <c r="G7" s="20">
        <f t="shared" ref="G7:G36" si="0">IF(D7="DATE",4,IF(D7="CHAR",E7,IF(D7="SMALLINT",2,IF(D7="INTEGER",4,IF(D7="TIMESTAMP",10,IF(D7="TIME",3,0))))))</f>
        <v>16</v>
      </c>
      <c r="H7" s="41" t="s">
        <v>1435</v>
      </c>
      <c r="I7" s="41" t="s">
        <v>1435</v>
      </c>
      <c r="J7" s="124"/>
      <c r="K7" s="882"/>
      <c r="L7" s="883"/>
      <c r="M7" s="884"/>
      <c r="P7" s="113" t="s">
        <v>1436</v>
      </c>
    </row>
    <row r="8" spans="1:16" ht="12" customHeight="1">
      <c r="A8" s="42">
        <f t="shared" ref="A8:A36" si="1">IF(B8=""," ",A7+1)</f>
        <v>2</v>
      </c>
      <c r="B8" s="66" t="s">
        <v>1662</v>
      </c>
      <c r="C8" s="125" t="s">
        <v>971</v>
      </c>
      <c r="D8" s="126" t="s">
        <v>1164</v>
      </c>
      <c r="E8" s="127">
        <v>40</v>
      </c>
      <c r="F8" s="123"/>
      <c r="G8" s="20">
        <f t="shared" si="0"/>
        <v>40</v>
      </c>
      <c r="H8" s="41" t="s">
        <v>599</v>
      </c>
      <c r="I8" s="41"/>
      <c r="J8" s="124"/>
      <c r="K8" s="875"/>
      <c r="L8" s="876"/>
      <c r="M8" s="877"/>
    </row>
    <row r="9" spans="1:16" ht="12" customHeight="1">
      <c r="A9" s="42">
        <f t="shared" si="1"/>
        <v>3</v>
      </c>
      <c r="B9" s="66" t="s">
        <v>1663</v>
      </c>
      <c r="C9" s="125" t="s">
        <v>972</v>
      </c>
      <c r="D9" s="126" t="s">
        <v>533</v>
      </c>
      <c r="E9" s="127">
        <v>20</v>
      </c>
      <c r="F9" s="123"/>
      <c r="G9" s="20">
        <f t="shared" si="0"/>
        <v>20</v>
      </c>
      <c r="H9" s="41" t="s">
        <v>1377</v>
      </c>
      <c r="I9" s="41"/>
      <c r="J9" s="124"/>
      <c r="K9" s="875"/>
      <c r="L9" s="876"/>
      <c r="M9" s="877"/>
    </row>
    <row r="10" spans="1:16" s="16" customFormat="1" ht="12" customHeight="1">
      <c r="A10" s="42">
        <f t="shared" si="1"/>
        <v>4</v>
      </c>
      <c r="B10" s="48" t="s">
        <v>973</v>
      </c>
      <c r="C10" s="49" t="s">
        <v>974</v>
      </c>
      <c r="D10" s="78" t="s">
        <v>1164</v>
      </c>
      <c r="E10" s="73">
        <v>2</v>
      </c>
      <c r="F10" s="74"/>
      <c r="G10" s="20">
        <f t="shared" si="0"/>
        <v>2</v>
      </c>
      <c r="H10" s="41" t="s">
        <v>1377</v>
      </c>
      <c r="I10" s="42"/>
      <c r="J10" s="59"/>
      <c r="K10" s="894"/>
      <c r="L10" s="895"/>
      <c r="M10" s="896"/>
      <c r="N10" s="16" t="s">
        <v>2004</v>
      </c>
    </row>
    <row r="11" spans="1:16" s="16" customFormat="1" ht="12" customHeight="1">
      <c r="A11" s="42">
        <f t="shared" si="1"/>
        <v>5</v>
      </c>
      <c r="B11" s="64" t="s">
        <v>1689</v>
      </c>
      <c r="C11" s="24" t="s">
        <v>986</v>
      </c>
      <c r="D11" s="72" t="s">
        <v>1164</v>
      </c>
      <c r="E11" s="73">
        <v>40</v>
      </c>
      <c r="F11" s="74"/>
      <c r="G11" s="20">
        <f t="shared" si="0"/>
        <v>40</v>
      </c>
      <c r="H11" s="41" t="s">
        <v>1377</v>
      </c>
      <c r="I11" s="42"/>
      <c r="J11" s="59"/>
      <c r="K11" s="878" t="s">
        <v>1690</v>
      </c>
      <c r="L11" s="879"/>
      <c r="M11" s="880"/>
      <c r="N11" s="16" t="s">
        <v>1982</v>
      </c>
    </row>
    <row r="12" spans="1:16" ht="311.25" customHeight="1">
      <c r="A12" s="42">
        <f t="shared" si="1"/>
        <v>6</v>
      </c>
      <c r="B12" s="66" t="s">
        <v>1664</v>
      </c>
      <c r="C12" s="128" t="s">
        <v>975</v>
      </c>
      <c r="D12" s="28" t="s">
        <v>1164</v>
      </c>
      <c r="E12" s="127">
        <v>1</v>
      </c>
      <c r="F12" s="123"/>
      <c r="G12" s="20">
        <f t="shared" si="0"/>
        <v>1</v>
      </c>
      <c r="H12" s="41" t="s">
        <v>1377</v>
      </c>
      <c r="I12" s="41"/>
      <c r="J12" s="124"/>
      <c r="K12" s="897" t="s">
        <v>1983</v>
      </c>
      <c r="L12" s="898"/>
      <c r="M12" s="899"/>
      <c r="N12" s="583" t="s">
        <v>1984</v>
      </c>
    </row>
    <row r="13" spans="1:16" ht="204.75" customHeight="1">
      <c r="A13" s="42">
        <f t="shared" si="1"/>
        <v>7</v>
      </c>
      <c r="B13" s="66" t="s">
        <v>1194</v>
      </c>
      <c r="C13" s="125" t="s">
        <v>976</v>
      </c>
      <c r="D13" s="129" t="s">
        <v>523</v>
      </c>
      <c r="E13" s="127">
        <v>1</v>
      </c>
      <c r="F13" s="123"/>
      <c r="G13" s="20">
        <f t="shared" si="0"/>
        <v>1</v>
      </c>
      <c r="H13" s="41" t="s">
        <v>573</v>
      </c>
      <c r="I13" s="41"/>
      <c r="J13" s="124"/>
      <c r="K13" s="891" t="s">
        <v>1195</v>
      </c>
      <c r="L13" s="892"/>
      <c r="M13" s="893"/>
      <c r="N13" s="583" t="s">
        <v>1986</v>
      </c>
    </row>
    <row r="14" spans="1:16" ht="65.099999999999994" customHeight="1">
      <c r="A14" s="42">
        <f t="shared" si="1"/>
        <v>8</v>
      </c>
      <c r="B14" s="48" t="s">
        <v>977</v>
      </c>
      <c r="C14" s="49" t="s">
        <v>985</v>
      </c>
      <c r="D14" s="78" t="s">
        <v>1163</v>
      </c>
      <c r="E14" s="127">
        <v>1</v>
      </c>
      <c r="F14" s="123"/>
      <c r="G14" s="20">
        <f t="shared" si="0"/>
        <v>1</v>
      </c>
      <c r="H14" s="41" t="s">
        <v>978</v>
      </c>
      <c r="I14" s="41"/>
      <c r="J14" s="124"/>
      <c r="K14" s="882" t="s">
        <v>106</v>
      </c>
      <c r="L14" s="883"/>
      <c r="M14" s="884"/>
      <c r="N14" s="113" t="s">
        <v>1981</v>
      </c>
      <c r="P14" s="113" t="s">
        <v>1166</v>
      </c>
    </row>
    <row r="15" spans="1:16" ht="45.75" customHeight="1">
      <c r="A15" s="42">
        <f t="shared" si="1"/>
        <v>9</v>
      </c>
      <c r="B15" s="468" t="s">
        <v>95</v>
      </c>
      <c r="C15" s="125" t="s">
        <v>611</v>
      </c>
      <c r="D15" s="126" t="s">
        <v>55</v>
      </c>
      <c r="E15" s="127"/>
      <c r="F15" s="123"/>
      <c r="G15" s="20">
        <f t="shared" si="0"/>
        <v>2</v>
      </c>
      <c r="H15" s="41" t="s">
        <v>1392</v>
      </c>
      <c r="I15" s="41"/>
      <c r="J15" s="124"/>
      <c r="K15" s="882" t="s">
        <v>1200</v>
      </c>
      <c r="L15" s="883"/>
      <c r="M15" s="884"/>
      <c r="N15" s="113" t="s">
        <v>1980</v>
      </c>
    </row>
    <row r="16" spans="1:16" ht="45.75" customHeight="1">
      <c r="A16" s="42">
        <f t="shared" si="1"/>
        <v>10</v>
      </c>
      <c r="B16" s="468" t="s">
        <v>96</v>
      </c>
      <c r="C16" s="125" t="s">
        <v>612</v>
      </c>
      <c r="D16" s="126" t="s">
        <v>55</v>
      </c>
      <c r="E16" s="127"/>
      <c r="F16" s="123"/>
      <c r="G16" s="20">
        <f>IF(D16="DATE",4,IF(D16="CHAR",E16,IF(D16="SMALLINT",2,IF(D16="INTEGER",4,IF(D16="TIMESTAMP",10,IF(D16="TIME",3,0))))))</f>
        <v>2</v>
      </c>
      <c r="H16" s="41" t="s">
        <v>1392</v>
      </c>
      <c r="I16" s="41"/>
      <c r="J16" s="124"/>
      <c r="K16" s="882" t="s">
        <v>1201</v>
      </c>
      <c r="L16" s="883"/>
      <c r="M16" s="884"/>
      <c r="N16" s="113" t="s">
        <v>1999</v>
      </c>
    </row>
    <row r="17" spans="1:16" ht="81.75" customHeight="1">
      <c r="A17" s="42">
        <f t="shared" si="1"/>
        <v>11</v>
      </c>
      <c r="B17" s="48" t="s">
        <v>619</v>
      </c>
      <c r="C17" s="49" t="s">
        <v>620</v>
      </c>
      <c r="D17" s="78" t="s">
        <v>523</v>
      </c>
      <c r="E17" s="127">
        <v>1</v>
      </c>
      <c r="F17" s="123"/>
      <c r="G17" s="20">
        <f t="shared" si="0"/>
        <v>1</v>
      </c>
      <c r="H17" s="41" t="s">
        <v>1400</v>
      </c>
      <c r="I17" s="41"/>
      <c r="J17" s="124"/>
      <c r="K17" s="888" t="s">
        <v>1196</v>
      </c>
      <c r="L17" s="889"/>
      <c r="M17" s="890"/>
      <c r="N17" s="583" t="s">
        <v>1987</v>
      </c>
      <c r="P17" s="113" t="s">
        <v>979</v>
      </c>
    </row>
    <row r="18" spans="1:16" ht="81.75" customHeight="1">
      <c r="A18" s="42">
        <f t="shared" si="1"/>
        <v>12</v>
      </c>
      <c r="B18" s="48" t="s">
        <v>90</v>
      </c>
      <c r="C18" s="49" t="s">
        <v>621</v>
      </c>
      <c r="D18" s="78" t="s">
        <v>523</v>
      </c>
      <c r="E18" s="127">
        <v>1</v>
      </c>
      <c r="F18" s="123"/>
      <c r="G18" s="20">
        <f>IF(D18="DATE",4,IF(D18="CHAR",E18,IF(D18="SMALLINT",2,IF(D18="INTEGER",4,IF(D18="TIMESTAMP",10,IF(D18="TIME",3,0))))))</f>
        <v>1</v>
      </c>
      <c r="H18" s="41" t="s">
        <v>1400</v>
      </c>
      <c r="I18" s="41"/>
      <c r="J18" s="124"/>
      <c r="K18" s="888" t="s">
        <v>1197</v>
      </c>
      <c r="L18" s="889"/>
      <c r="M18" s="890"/>
      <c r="N18" s="583" t="s">
        <v>1985</v>
      </c>
      <c r="P18" s="113" t="s">
        <v>979</v>
      </c>
    </row>
    <row r="19" spans="1:16">
      <c r="A19" s="42">
        <f t="shared" si="1"/>
        <v>13</v>
      </c>
      <c r="B19" s="66" t="s">
        <v>987</v>
      </c>
      <c r="C19" s="125" t="s">
        <v>989</v>
      </c>
      <c r="D19" s="129" t="s">
        <v>1171</v>
      </c>
      <c r="E19" s="127"/>
      <c r="F19" s="123"/>
      <c r="G19" s="20">
        <f>IF(D19="DATE",4,IF(D19="CHAR",E19,IF(D19="SMALLINT",2,IF(D19="INTEGER",4,IF(D19="TIMESTAMP",10,IF(D19="TIME",3,0))))))</f>
        <v>2</v>
      </c>
      <c r="H19" s="41" t="s">
        <v>573</v>
      </c>
      <c r="I19" s="41"/>
      <c r="J19" s="124"/>
      <c r="K19" s="875"/>
      <c r="L19" s="876"/>
      <c r="M19" s="877"/>
      <c r="N19" s="113" t="s">
        <v>2003</v>
      </c>
    </row>
    <row r="20" spans="1:16">
      <c r="A20" s="42">
        <f t="shared" si="1"/>
        <v>14</v>
      </c>
      <c r="B20" s="66" t="s">
        <v>988</v>
      </c>
      <c r="C20" s="125" t="s">
        <v>597</v>
      </c>
      <c r="D20" s="129" t="s">
        <v>1171</v>
      </c>
      <c r="E20" s="127"/>
      <c r="F20" s="123"/>
      <c r="G20" s="20">
        <f t="shared" si="0"/>
        <v>2</v>
      </c>
      <c r="H20" s="41" t="s">
        <v>573</v>
      </c>
      <c r="I20" s="41"/>
      <c r="J20" s="124"/>
      <c r="K20" s="875"/>
      <c r="L20" s="876"/>
      <c r="M20" s="877"/>
      <c r="N20" s="113" t="s">
        <v>2003</v>
      </c>
    </row>
    <row r="21" spans="1:16" ht="63.75" customHeight="1">
      <c r="A21" s="42">
        <f t="shared" si="1"/>
        <v>15</v>
      </c>
      <c r="B21" s="66" t="s">
        <v>91</v>
      </c>
      <c r="C21" s="125" t="s">
        <v>247</v>
      </c>
      <c r="D21" s="129" t="s">
        <v>524</v>
      </c>
      <c r="E21" s="127">
        <v>10</v>
      </c>
      <c r="F21" s="123"/>
      <c r="G21" s="20">
        <f>IF(D21="DATE",4,IF(D21="CHAR",E21,IF(D21="SMALLINT",2,IF(D21="INTEGER",4,IF(D21="TIMESTAMP",10,IF(D21="TIME",3,0))))))</f>
        <v>10</v>
      </c>
      <c r="H21" s="41" t="s">
        <v>574</v>
      </c>
      <c r="I21" s="41"/>
      <c r="J21" s="124"/>
      <c r="K21" s="891" t="s">
        <v>1253</v>
      </c>
      <c r="L21" s="892"/>
      <c r="M21" s="893"/>
      <c r="N21" s="583" t="s">
        <v>1988</v>
      </c>
    </row>
    <row r="22" spans="1:16" ht="25.5" customHeight="1">
      <c r="A22" s="42">
        <f t="shared" si="1"/>
        <v>16</v>
      </c>
      <c r="B22" s="66" t="s">
        <v>92</v>
      </c>
      <c r="C22" s="125" t="s">
        <v>248</v>
      </c>
      <c r="D22" s="129" t="s">
        <v>980</v>
      </c>
      <c r="E22" s="127">
        <v>10</v>
      </c>
      <c r="F22" s="123"/>
      <c r="G22" s="20">
        <f>IF(D22="DATE",4,IF(D22="CHAR",E22,IF(D22="SMALLINT",2,IF(D22="INTEGER",4,IF(D22="TIMESTAMP",10,IF(D22="TIME",3,0))))))</f>
        <v>10</v>
      </c>
      <c r="H22" s="41" t="s">
        <v>981</v>
      </c>
      <c r="I22" s="41"/>
      <c r="J22" s="124"/>
      <c r="K22" s="891" t="s">
        <v>103</v>
      </c>
      <c r="L22" s="892"/>
      <c r="M22" s="893"/>
      <c r="N22" s="583" t="s">
        <v>1989</v>
      </c>
    </row>
    <row r="23" spans="1:16" ht="25.5" customHeight="1">
      <c r="A23" s="42">
        <f t="shared" si="1"/>
        <v>17</v>
      </c>
      <c r="B23" s="66" t="s">
        <v>93</v>
      </c>
      <c r="C23" s="125" t="s">
        <v>249</v>
      </c>
      <c r="D23" s="129" t="s">
        <v>1165</v>
      </c>
      <c r="E23" s="127">
        <v>10</v>
      </c>
      <c r="F23" s="123"/>
      <c r="G23" s="20">
        <f>IF(D23="DATE",4,IF(D23="CHAR",E23,IF(D23="SMALLINT",2,IF(D23="INTEGER",4,IF(D23="TIMESTAMP",10,IF(D23="TIME",3,0))))))</f>
        <v>10</v>
      </c>
      <c r="H23" s="41" t="s">
        <v>982</v>
      </c>
      <c r="I23" s="41"/>
      <c r="J23" s="124"/>
      <c r="K23" s="891" t="s">
        <v>104</v>
      </c>
      <c r="L23" s="892"/>
      <c r="M23" s="893"/>
      <c r="N23" s="113" t="s">
        <v>1990</v>
      </c>
    </row>
    <row r="24" spans="1:16" ht="25.5" customHeight="1">
      <c r="A24" s="42">
        <f t="shared" si="1"/>
        <v>18</v>
      </c>
      <c r="B24" s="66" t="s">
        <v>94</v>
      </c>
      <c r="C24" s="125" t="s">
        <v>250</v>
      </c>
      <c r="D24" s="129" t="s">
        <v>1165</v>
      </c>
      <c r="E24" s="127">
        <v>10</v>
      </c>
      <c r="F24" s="123"/>
      <c r="G24" s="20">
        <f>IF(D24="DATE",4,IF(D24="CHAR",E24,IF(D24="SMALLINT",2,IF(D24="INTEGER",4,IF(D24="TIMESTAMP",10,IF(D24="TIME",3,0))))))</f>
        <v>10</v>
      </c>
      <c r="H24" s="41" t="s">
        <v>982</v>
      </c>
      <c r="I24" s="41"/>
      <c r="J24" s="124"/>
      <c r="K24" s="891" t="s">
        <v>105</v>
      </c>
      <c r="L24" s="892"/>
      <c r="M24" s="893"/>
      <c r="N24" s="113" t="s">
        <v>1991</v>
      </c>
    </row>
    <row r="25" spans="1:16" ht="59.25" customHeight="1">
      <c r="A25" s="42">
        <f t="shared" si="1"/>
        <v>19</v>
      </c>
      <c r="B25" s="48" t="s">
        <v>62</v>
      </c>
      <c r="C25" s="49" t="s">
        <v>983</v>
      </c>
      <c r="D25" s="129" t="s">
        <v>984</v>
      </c>
      <c r="E25" s="130">
        <v>7</v>
      </c>
      <c r="F25" s="131"/>
      <c r="G25" s="20">
        <f t="shared" si="0"/>
        <v>7</v>
      </c>
      <c r="H25" s="41" t="s">
        <v>1440</v>
      </c>
      <c r="I25" s="132"/>
      <c r="J25" s="133"/>
      <c r="K25" s="882" t="s">
        <v>1040</v>
      </c>
      <c r="L25" s="883"/>
      <c r="M25" s="884"/>
      <c r="N25" s="583" t="s">
        <v>1992</v>
      </c>
    </row>
    <row r="26" spans="1:16" s="164" customFormat="1" ht="13.5" customHeight="1">
      <c r="A26" s="42">
        <f t="shared" si="1"/>
        <v>20</v>
      </c>
      <c r="B26" s="100" t="s">
        <v>755</v>
      </c>
      <c r="C26" s="13" t="s">
        <v>757</v>
      </c>
      <c r="D26" s="72" t="s">
        <v>523</v>
      </c>
      <c r="E26" s="73">
        <v>4</v>
      </c>
      <c r="F26" s="74"/>
      <c r="G26" s="20">
        <f t="shared" si="0"/>
        <v>4</v>
      </c>
      <c r="H26" s="42" t="s">
        <v>528</v>
      </c>
      <c r="I26" s="42"/>
      <c r="J26" s="59"/>
      <c r="K26" s="464"/>
      <c r="L26" s="465"/>
      <c r="M26" s="466"/>
      <c r="N26" s="164" t="s">
        <v>2002</v>
      </c>
    </row>
    <row r="27" spans="1:16" s="164" customFormat="1" ht="47.25" customHeight="1">
      <c r="A27" s="42">
        <f t="shared" si="1"/>
        <v>21</v>
      </c>
      <c r="B27" s="467" t="s">
        <v>108</v>
      </c>
      <c r="C27" s="13" t="s">
        <v>630</v>
      </c>
      <c r="D27" s="72" t="s">
        <v>523</v>
      </c>
      <c r="E27" s="73">
        <v>20</v>
      </c>
      <c r="F27" s="74"/>
      <c r="G27" s="20">
        <f t="shared" ref="G27:G32" si="2">IF(D27="DATE",4,IF(D27="CHAR",E27,IF(D27="SMALLINT",2,IF(D27="INTEGER",4,IF(D27="TIMESTAMP",10,IF(D27="TIME",3,0))))))</f>
        <v>20</v>
      </c>
      <c r="H27" s="42" t="s">
        <v>528</v>
      </c>
      <c r="I27" s="42"/>
      <c r="J27" s="59"/>
      <c r="K27" s="885" t="s">
        <v>97</v>
      </c>
      <c r="L27" s="886"/>
      <c r="M27" s="887"/>
      <c r="N27" s="584" t="s">
        <v>2001</v>
      </c>
    </row>
    <row r="28" spans="1:16" s="164" customFormat="1" ht="47.25" customHeight="1">
      <c r="A28" s="42">
        <f t="shared" si="1"/>
        <v>22</v>
      </c>
      <c r="B28" s="467" t="s">
        <v>109</v>
      </c>
      <c r="C28" s="13" t="s">
        <v>635</v>
      </c>
      <c r="D28" s="72" t="s">
        <v>523</v>
      </c>
      <c r="E28" s="73">
        <v>20</v>
      </c>
      <c r="F28" s="74"/>
      <c r="G28" s="20">
        <f t="shared" si="2"/>
        <v>20</v>
      </c>
      <c r="H28" s="42" t="s">
        <v>528</v>
      </c>
      <c r="I28" s="42"/>
      <c r="J28" s="59"/>
      <c r="K28" s="885" t="s">
        <v>98</v>
      </c>
      <c r="L28" s="886"/>
      <c r="M28" s="887"/>
      <c r="N28" s="584" t="s">
        <v>2001</v>
      </c>
    </row>
    <row r="29" spans="1:16" s="164" customFormat="1" ht="47.25" customHeight="1">
      <c r="A29" s="42">
        <f t="shared" si="1"/>
        <v>23</v>
      </c>
      <c r="B29" s="100" t="s">
        <v>634</v>
      </c>
      <c r="C29" s="13" t="s">
        <v>636</v>
      </c>
      <c r="D29" s="72" t="s">
        <v>523</v>
      </c>
      <c r="E29" s="73">
        <v>20</v>
      </c>
      <c r="F29" s="74"/>
      <c r="G29" s="20">
        <f t="shared" si="2"/>
        <v>20</v>
      </c>
      <c r="H29" s="42" t="s">
        <v>528</v>
      </c>
      <c r="I29" s="42"/>
      <c r="J29" s="59"/>
      <c r="K29" s="885" t="s">
        <v>102</v>
      </c>
      <c r="L29" s="886"/>
      <c r="M29" s="887"/>
    </row>
    <row r="30" spans="1:16" s="164" customFormat="1" ht="47.25" customHeight="1">
      <c r="A30" s="42">
        <f t="shared" si="1"/>
        <v>24</v>
      </c>
      <c r="B30" s="100" t="s">
        <v>1191</v>
      </c>
      <c r="C30" s="13" t="s">
        <v>637</v>
      </c>
      <c r="D30" s="72" t="s">
        <v>523</v>
      </c>
      <c r="E30" s="73">
        <v>20</v>
      </c>
      <c r="F30" s="74"/>
      <c r="G30" s="20">
        <f t="shared" si="2"/>
        <v>20</v>
      </c>
      <c r="H30" s="42" t="s">
        <v>528</v>
      </c>
      <c r="I30" s="42"/>
      <c r="J30" s="59"/>
      <c r="K30" s="885" t="s">
        <v>101</v>
      </c>
      <c r="L30" s="886"/>
      <c r="M30" s="887"/>
      <c r="N30" s="584" t="s">
        <v>1997</v>
      </c>
    </row>
    <row r="31" spans="1:16" s="164" customFormat="1" ht="47.25" customHeight="1">
      <c r="A31" s="42">
        <f t="shared" si="1"/>
        <v>25</v>
      </c>
      <c r="B31" s="467" t="s">
        <v>1192</v>
      </c>
      <c r="C31" s="13" t="s">
        <v>638</v>
      </c>
      <c r="D31" s="72" t="s">
        <v>523</v>
      </c>
      <c r="E31" s="73">
        <v>20</v>
      </c>
      <c r="F31" s="74"/>
      <c r="G31" s="20">
        <f t="shared" si="2"/>
        <v>20</v>
      </c>
      <c r="H31" s="42" t="s">
        <v>528</v>
      </c>
      <c r="I31" s="42"/>
      <c r="J31" s="59"/>
      <c r="K31" s="885" t="s">
        <v>99</v>
      </c>
      <c r="L31" s="886"/>
      <c r="M31" s="887"/>
      <c r="N31" s="584" t="s">
        <v>2000</v>
      </c>
    </row>
    <row r="32" spans="1:16" s="164" customFormat="1" ht="47.25" customHeight="1">
      <c r="A32" s="42">
        <f t="shared" si="1"/>
        <v>26</v>
      </c>
      <c r="B32" s="467" t="s">
        <v>1193</v>
      </c>
      <c r="C32" s="13" t="s">
        <v>639</v>
      </c>
      <c r="D32" s="72" t="s">
        <v>523</v>
      </c>
      <c r="E32" s="73">
        <v>20</v>
      </c>
      <c r="F32" s="74"/>
      <c r="G32" s="20">
        <f t="shared" si="2"/>
        <v>20</v>
      </c>
      <c r="H32" s="42" t="s">
        <v>528</v>
      </c>
      <c r="I32" s="42"/>
      <c r="J32" s="59"/>
      <c r="K32" s="885" t="s">
        <v>100</v>
      </c>
      <c r="L32" s="886"/>
      <c r="M32" s="887"/>
      <c r="N32" s="584" t="s">
        <v>1998</v>
      </c>
    </row>
    <row r="33" spans="1:13" ht="13.5" customHeight="1">
      <c r="A33" s="42">
        <f t="shared" si="1"/>
        <v>27</v>
      </c>
      <c r="B33" s="64" t="s">
        <v>26</v>
      </c>
      <c r="C33" s="24" t="s">
        <v>643</v>
      </c>
      <c r="D33" s="129" t="s">
        <v>519</v>
      </c>
      <c r="E33" s="73"/>
      <c r="F33" s="74"/>
      <c r="G33" s="20">
        <f t="shared" si="0"/>
        <v>4</v>
      </c>
      <c r="H33" s="41" t="s">
        <v>1400</v>
      </c>
      <c r="I33" s="42" t="s">
        <v>1400</v>
      </c>
      <c r="J33" s="59"/>
      <c r="K33" s="878" t="s">
        <v>1409</v>
      </c>
      <c r="L33" s="879"/>
      <c r="M33" s="880"/>
    </row>
    <row r="34" spans="1:13">
      <c r="A34" s="42">
        <f t="shared" si="1"/>
        <v>28</v>
      </c>
      <c r="B34" s="64" t="s">
        <v>27</v>
      </c>
      <c r="C34" s="24" t="s">
        <v>1401</v>
      </c>
      <c r="D34" s="72" t="s">
        <v>1402</v>
      </c>
      <c r="E34" s="73"/>
      <c r="F34" s="74"/>
      <c r="G34" s="20">
        <f t="shared" si="0"/>
        <v>4</v>
      </c>
      <c r="H34" s="41" t="s">
        <v>1403</v>
      </c>
      <c r="I34" s="42"/>
      <c r="J34" s="59"/>
      <c r="K34" s="878" t="s">
        <v>1410</v>
      </c>
      <c r="L34" s="879"/>
      <c r="M34" s="880"/>
    </row>
    <row r="35" spans="1:13" s="16" customFormat="1" ht="12" customHeight="1">
      <c r="A35" s="42">
        <f t="shared" si="1"/>
        <v>29</v>
      </c>
      <c r="B35" s="64" t="s">
        <v>1083</v>
      </c>
      <c r="C35" s="24" t="s">
        <v>1084</v>
      </c>
      <c r="D35" s="72" t="s">
        <v>506</v>
      </c>
      <c r="E35" s="51">
        <v>8</v>
      </c>
      <c r="F35" s="58"/>
      <c r="G35" s="20">
        <f t="shared" si="0"/>
        <v>8</v>
      </c>
      <c r="H35" s="53" t="s">
        <v>1432</v>
      </c>
      <c r="I35" s="53"/>
      <c r="J35" s="59"/>
      <c r="K35" s="878" t="s">
        <v>107</v>
      </c>
      <c r="L35" s="879"/>
      <c r="M35" s="880"/>
    </row>
    <row r="36" spans="1:13" s="16" customFormat="1">
      <c r="A36" s="42">
        <f t="shared" si="1"/>
        <v>30</v>
      </c>
      <c r="B36" s="64" t="s">
        <v>1724</v>
      </c>
      <c r="C36" s="24" t="s">
        <v>1404</v>
      </c>
      <c r="D36" s="65" t="s">
        <v>1405</v>
      </c>
      <c r="E36" s="51"/>
      <c r="F36" s="58"/>
      <c r="G36" s="20">
        <f t="shared" si="0"/>
        <v>10</v>
      </c>
      <c r="H36" s="53" t="s">
        <v>1406</v>
      </c>
      <c r="I36" s="42"/>
      <c r="J36" s="59"/>
      <c r="K36" s="881"/>
      <c r="L36" s="879"/>
      <c r="M36" s="880"/>
    </row>
    <row r="37" spans="1:13">
      <c r="A37" s="41" t="str">
        <f>IF(B37=""," ",A36+1)</f>
        <v xml:space="preserve"> </v>
      </c>
      <c r="B37" s="134"/>
      <c r="C37" s="27"/>
      <c r="D37" s="126"/>
      <c r="E37" s="127"/>
      <c r="F37" s="123"/>
      <c r="G37" s="20"/>
      <c r="H37" s="41"/>
      <c r="I37" s="41"/>
      <c r="J37" s="124"/>
      <c r="K37" s="875"/>
      <c r="L37" s="876"/>
      <c r="M37" s="877"/>
    </row>
    <row r="38" spans="1:13">
      <c r="A38" s="41" t="str">
        <f t="shared" ref="A38:A43" si="3">IF(B38=""," ",A37+1)</f>
        <v xml:space="preserve"> </v>
      </c>
      <c r="B38" s="134"/>
      <c r="C38" s="27"/>
      <c r="D38" s="126"/>
      <c r="E38" s="127"/>
      <c r="F38" s="123"/>
      <c r="G38" s="20"/>
      <c r="H38" s="41"/>
      <c r="I38" s="41"/>
      <c r="J38" s="124"/>
      <c r="K38" s="875"/>
      <c r="L38" s="876"/>
      <c r="M38" s="877"/>
    </row>
    <row r="39" spans="1:13">
      <c r="A39" s="41" t="str">
        <f>IF(B39=""," ",#REF!+1)</f>
        <v xml:space="preserve"> </v>
      </c>
      <c r="B39" s="134"/>
      <c r="C39" s="27"/>
      <c r="D39" s="126"/>
      <c r="E39" s="127"/>
      <c r="F39" s="123"/>
      <c r="G39" s="20"/>
      <c r="H39" s="41"/>
      <c r="I39" s="41"/>
      <c r="J39" s="124"/>
      <c r="K39" s="875"/>
      <c r="L39" s="876"/>
      <c r="M39" s="877"/>
    </row>
    <row r="40" spans="1:13">
      <c r="A40" s="41" t="str">
        <f t="shared" si="3"/>
        <v xml:space="preserve"> </v>
      </c>
      <c r="B40" s="134"/>
      <c r="C40" s="27"/>
      <c r="D40" s="126"/>
      <c r="E40" s="127"/>
      <c r="F40" s="123"/>
      <c r="G40" s="20"/>
      <c r="H40" s="41"/>
      <c r="I40" s="41"/>
      <c r="J40" s="124"/>
      <c r="K40" s="875"/>
      <c r="L40" s="876"/>
      <c r="M40" s="877"/>
    </row>
    <row r="41" spans="1:13">
      <c r="A41" s="41" t="str">
        <f t="shared" si="3"/>
        <v xml:space="preserve"> </v>
      </c>
      <c r="B41" s="134"/>
      <c r="C41" s="27"/>
      <c r="D41" s="126"/>
      <c r="E41" s="127"/>
      <c r="F41" s="123"/>
      <c r="G41" s="20"/>
      <c r="H41" s="41"/>
      <c r="I41" s="41"/>
      <c r="J41" s="124"/>
      <c r="K41" s="875"/>
      <c r="L41" s="876"/>
      <c r="M41" s="877"/>
    </row>
    <row r="42" spans="1:13">
      <c r="A42" s="41" t="str">
        <f t="shared" si="3"/>
        <v xml:space="preserve"> </v>
      </c>
      <c r="B42" s="134"/>
      <c r="C42" s="27"/>
      <c r="D42" s="126"/>
      <c r="E42" s="127"/>
      <c r="F42" s="123"/>
      <c r="G42" s="20"/>
      <c r="H42" s="41"/>
      <c r="I42" s="41"/>
      <c r="J42" s="124"/>
      <c r="K42" s="875"/>
      <c r="L42" s="876"/>
      <c r="M42" s="877"/>
    </row>
    <row r="43" spans="1:13">
      <c r="A43" s="41" t="str">
        <f t="shared" si="3"/>
        <v xml:space="preserve"> </v>
      </c>
      <c r="B43" s="134"/>
      <c r="C43" s="27"/>
      <c r="D43" s="126"/>
      <c r="E43" s="127"/>
      <c r="F43" s="123"/>
      <c r="G43" s="20"/>
      <c r="H43" s="41"/>
      <c r="I43" s="41"/>
      <c r="J43" s="124"/>
      <c r="K43" s="875"/>
      <c r="L43" s="876"/>
      <c r="M43" s="877"/>
    </row>
    <row r="44" spans="1:13">
      <c r="A44" s="42" t="str">
        <f>IF(B44=""," ",A43+1)</f>
        <v xml:space="preserve"> </v>
      </c>
      <c r="B44" s="71"/>
      <c r="C44" s="13"/>
      <c r="D44" s="72"/>
      <c r="E44" s="73"/>
      <c r="F44" s="74"/>
      <c r="G44" s="20"/>
      <c r="H44" s="42"/>
      <c r="I44" s="42"/>
      <c r="J44" s="59"/>
      <c r="K44" s="878"/>
      <c r="L44" s="879"/>
      <c r="M44" s="880"/>
    </row>
    <row r="45" spans="1:13">
      <c r="A45" s="42" t="str">
        <f>IF(B45=""," ",#REF!+1)</f>
        <v xml:space="preserve"> </v>
      </c>
      <c r="B45" s="71"/>
      <c r="C45" s="13"/>
      <c r="D45" s="72"/>
      <c r="E45" s="73"/>
      <c r="F45" s="74"/>
      <c r="G45" s="20"/>
      <c r="H45" s="42"/>
      <c r="I45" s="42"/>
      <c r="J45" s="59"/>
      <c r="K45" s="878"/>
      <c r="L45" s="879"/>
      <c r="M45" s="880"/>
    </row>
    <row r="46" spans="1:13">
      <c r="A46" s="42" t="str">
        <f>IF(B46=""," ",#REF!+1)</f>
        <v xml:space="preserve"> </v>
      </c>
      <c r="B46" s="71"/>
      <c r="C46" s="13"/>
      <c r="D46" s="72"/>
      <c r="E46" s="73"/>
      <c r="F46" s="74"/>
      <c r="G46" s="20"/>
      <c r="H46" s="42"/>
      <c r="I46" s="42"/>
      <c r="J46" s="59"/>
      <c r="K46" s="464"/>
      <c r="L46" s="465"/>
      <c r="M46" s="466"/>
    </row>
    <row r="47" spans="1:13">
      <c r="A47" s="42" t="str">
        <f>IF(B47=""," ",A46+1)</f>
        <v xml:space="preserve"> </v>
      </c>
      <c r="B47" s="71"/>
      <c r="C47" s="13"/>
      <c r="D47" s="72"/>
      <c r="E47" s="73"/>
      <c r="F47" s="74"/>
      <c r="G47" s="20"/>
      <c r="H47" s="42"/>
      <c r="I47" s="42"/>
      <c r="J47" s="59"/>
      <c r="K47" s="464"/>
      <c r="L47" s="465"/>
      <c r="M47" s="466"/>
    </row>
    <row r="48" spans="1:13">
      <c r="A48" s="42" t="str">
        <f>IF(B48=""," ",A47+1)</f>
        <v xml:space="preserve"> </v>
      </c>
      <c r="B48" s="71"/>
      <c r="C48" s="13"/>
      <c r="D48" s="72"/>
      <c r="E48" s="73"/>
      <c r="F48" s="74"/>
      <c r="G48" s="20"/>
      <c r="H48" s="42"/>
      <c r="I48" s="42"/>
      <c r="J48" s="59"/>
      <c r="K48" s="878"/>
      <c r="L48" s="879"/>
      <c r="M48" s="880"/>
    </row>
    <row r="49" spans="1:13">
      <c r="A49" s="42" t="str">
        <f>IF(B49=""," ",#REF!+1)</f>
        <v xml:space="preserve"> </v>
      </c>
      <c r="B49" s="71"/>
      <c r="C49" s="13"/>
      <c r="D49" s="72"/>
      <c r="E49" s="73"/>
      <c r="F49" s="74"/>
      <c r="G49" s="20"/>
      <c r="H49" s="42"/>
      <c r="I49" s="42"/>
      <c r="J49" s="59"/>
      <c r="K49" s="878"/>
      <c r="L49" s="879"/>
      <c r="M49" s="880"/>
    </row>
    <row r="50" spans="1:13">
      <c r="A50" s="42" t="str">
        <f>IF(B50=""," ",#REF!+1)</f>
        <v xml:space="preserve"> </v>
      </c>
      <c r="B50" s="71"/>
      <c r="C50" s="13"/>
      <c r="D50" s="72"/>
      <c r="E50" s="73"/>
      <c r="F50" s="74"/>
      <c r="G50" s="20"/>
      <c r="H50" s="42"/>
      <c r="I50" s="42"/>
      <c r="J50" s="59"/>
      <c r="K50" s="464"/>
      <c r="L50" s="465"/>
      <c r="M50" s="466"/>
    </row>
    <row r="51" spans="1:13">
      <c r="A51" s="42" t="str">
        <f>IF(B51=""," ",A50+1)</f>
        <v xml:space="preserve"> </v>
      </c>
      <c r="B51" s="71"/>
      <c r="C51" s="13"/>
      <c r="D51" s="72"/>
      <c r="E51" s="73"/>
      <c r="F51" s="74"/>
      <c r="G51" s="20"/>
      <c r="H51" s="42"/>
      <c r="I51" s="42"/>
      <c r="J51" s="59"/>
      <c r="K51" s="464"/>
      <c r="L51" s="465"/>
      <c r="M51" s="466"/>
    </row>
    <row r="52" spans="1:13">
      <c r="A52" s="42" t="str">
        <f>IF(B52=""," ",A51+1)</f>
        <v xml:space="preserve"> </v>
      </c>
      <c r="B52" s="71"/>
      <c r="C52" s="13"/>
      <c r="D52" s="72"/>
      <c r="E52" s="73"/>
      <c r="F52" s="74"/>
      <c r="G52" s="20"/>
      <c r="H52" s="42"/>
      <c r="I52" s="42"/>
      <c r="J52" s="59"/>
      <c r="K52" s="878"/>
      <c r="L52" s="879"/>
      <c r="M52" s="880"/>
    </row>
    <row r="53" spans="1:13">
      <c r="A53" s="42" t="str">
        <f>IF(B53=""," ",#REF!+1)</f>
        <v xml:space="preserve"> </v>
      </c>
      <c r="B53" s="71"/>
      <c r="C53" s="13"/>
      <c r="D53" s="72"/>
      <c r="E53" s="73"/>
      <c r="F53" s="74"/>
      <c r="G53" s="20"/>
      <c r="H53" s="42"/>
      <c r="I53" s="42"/>
      <c r="J53" s="59"/>
      <c r="K53" s="878"/>
      <c r="L53" s="879"/>
      <c r="M53" s="880"/>
    </row>
    <row r="54" spans="1:13">
      <c r="A54" s="42" t="str">
        <f>IF(B54=""," ",#REF!+1)</f>
        <v xml:space="preserve"> </v>
      </c>
      <c r="B54" s="71"/>
      <c r="C54" s="13"/>
      <c r="D54" s="72"/>
      <c r="E54" s="73"/>
      <c r="F54" s="74"/>
      <c r="G54" s="20"/>
      <c r="H54" s="42"/>
      <c r="I54" s="42"/>
      <c r="J54" s="59"/>
      <c r="K54" s="464"/>
      <c r="L54" s="465"/>
      <c r="M54" s="466"/>
    </row>
    <row r="55" spans="1:13">
      <c r="A55" s="42" t="str">
        <f>IF(B55=""," ",A54+1)</f>
        <v xml:space="preserve"> </v>
      </c>
      <c r="B55" s="71"/>
      <c r="C55" s="13"/>
      <c r="D55" s="72"/>
      <c r="E55" s="73"/>
      <c r="F55" s="74"/>
      <c r="G55" s="20"/>
      <c r="H55" s="42"/>
      <c r="I55" s="42"/>
      <c r="J55" s="59"/>
      <c r="K55" s="464"/>
      <c r="L55" s="465"/>
      <c r="M55" s="466"/>
    </row>
    <row r="56" spans="1:13">
      <c r="A56" s="42" t="str">
        <f>IF(B56=""," ",A55+1)</f>
        <v xml:space="preserve"> </v>
      </c>
      <c r="B56" s="71"/>
      <c r="C56" s="13"/>
      <c r="D56" s="72"/>
      <c r="E56" s="73"/>
      <c r="F56" s="74"/>
      <c r="G56" s="20"/>
      <c r="H56" s="42"/>
      <c r="I56" s="42"/>
      <c r="J56" s="59"/>
      <c r="K56" s="878"/>
      <c r="L56" s="879"/>
      <c r="M56" s="880"/>
    </row>
    <row r="57" spans="1:13">
      <c r="A57" s="42" t="str">
        <f>IF(B57=""," ",#REF!+1)</f>
        <v xml:space="preserve"> </v>
      </c>
      <c r="B57" s="71"/>
      <c r="C57" s="13"/>
      <c r="D57" s="72"/>
      <c r="E57" s="73"/>
      <c r="F57" s="74"/>
      <c r="G57" s="20"/>
      <c r="H57" s="42"/>
      <c r="I57" s="42"/>
      <c r="J57" s="59"/>
      <c r="K57" s="878"/>
      <c r="L57" s="879"/>
      <c r="M57" s="880"/>
    </row>
    <row r="58" spans="1:13">
      <c r="A58" s="42" t="str">
        <f>IF(B58=""," ",#REF!+1)</f>
        <v xml:space="preserve"> </v>
      </c>
      <c r="B58" s="71"/>
      <c r="C58" s="13"/>
      <c r="D58" s="72"/>
      <c r="E58" s="73"/>
      <c r="F58" s="74"/>
      <c r="G58" s="20"/>
      <c r="H58" s="42"/>
      <c r="I58" s="42"/>
      <c r="J58" s="59"/>
      <c r="K58" s="464"/>
      <c r="L58" s="465"/>
      <c r="M58" s="466"/>
    </row>
    <row r="59" spans="1:13">
      <c r="A59" s="42" t="str">
        <f>IF(B59=""," ",A58+1)</f>
        <v xml:space="preserve"> </v>
      </c>
      <c r="B59" s="71"/>
      <c r="C59" s="13"/>
      <c r="D59" s="72"/>
      <c r="E59" s="73"/>
      <c r="F59" s="74"/>
      <c r="G59" s="20"/>
      <c r="H59" s="42"/>
      <c r="I59" s="42"/>
      <c r="J59" s="59"/>
      <c r="K59" s="464"/>
      <c r="L59" s="465"/>
      <c r="M59" s="466"/>
    </row>
    <row r="60" spans="1:13">
      <c r="A60" s="42" t="str">
        <f>IF(B60=""," ",A59+1)</f>
        <v xml:space="preserve"> </v>
      </c>
      <c r="B60" s="71"/>
      <c r="C60" s="13"/>
      <c r="D60" s="72"/>
      <c r="E60" s="73"/>
      <c r="F60" s="74"/>
      <c r="G60" s="20"/>
      <c r="H60" s="42"/>
      <c r="I60" s="42"/>
      <c r="J60" s="59"/>
      <c r="K60" s="878"/>
      <c r="L60" s="879"/>
      <c r="M60" s="880"/>
    </row>
    <row r="61" spans="1:13">
      <c r="A61" s="42" t="str">
        <f>IF(B61=""," ",#REF!+1)</f>
        <v xml:space="preserve"> </v>
      </c>
      <c r="B61" s="71"/>
      <c r="C61" s="13"/>
      <c r="D61" s="72"/>
      <c r="E61" s="73"/>
      <c r="F61" s="74"/>
      <c r="G61" s="20"/>
      <c r="H61" s="42"/>
      <c r="I61" s="42"/>
      <c r="J61" s="59"/>
      <c r="K61" s="878"/>
      <c r="L61" s="879"/>
      <c r="M61" s="880"/>
    </row>
    <row r="62" spans="1:13">
      <c r="A62" s="42" t="str">
        <f>IF(B62=""," ",#REF!+1)</f>
        <v xml:space="preserve"> </v>
      </c>
      <c r="B62" s="71"/>
      <c r="C62" s="13"/>
      <c r="D62" s="72"/>
      <c r="E62" s="73"/>
      <c r="F62" s="74"/>
      <c r="G62" s="20"/>
      <c r="H62" s="42"/>
      <c r="I62" s="42"/>
      <c r="J62" s="59"/>
      <c r="K62" s="464"/>
      <c r="L62" s="465"/>
      <c r="M62" s="466"/>
    </row>
    <row r="63" spans="1:13">
      <c r="A63" s="42" t="str">
        <f>IF(B63=""," ",A62+1)</f>
        <v xml:space="preserve"> </v>
      </c>
      <c r="B63" s="71"/>
      <c r="C63" s="13"/>
      <c r="D63" s="72"/>
      <c r="E63" s="73"/>
      <c r="F63" s="74"/>
      <c r="G63" s="20"/>
      <c r="H63" s="42"/>
      <c r="I63" s="42"/>
      <c r="J63" s="59"/>
      <c r="K63" s="464"/>
      <c r="L63" s="465"/>
      <c r="M63" s="466"/>
    </row>
    <row r="64" spans="1:13">
      <c r="A64" s="42" t="str">
        <f>IF(B64=""," ",A63+1)</f>
        <v xml:space="preserve"> </v>
      </c>
      <c r="B64" s="71"/>
      <c r="C64" s="13"/>
      <c r="D64" s="72"/>
      <c r="E64" s="73"/>
      <c r="F64" s="74"/>
      <c r="G64" s="20"/>
      <c r="H64" s="42"/>
      <c r="I64" s="42"/>
      <c r="J64" s="59"/>
      <c r="K64" s="878"/>
      <c r="L64" s="879"/>
      <c r="M64" s="880"/>
    </row>
    <row r="65" spans="1:13">
      <c r="A65" s="42" t="str">
        <f>IF(B65=""," ",#REF!+1)</f>
        <v xml:space="preserve"> </v>
      </c>
      <c r="B65" s="71"/>
      <c r="C65" s="13"/>
      <c r="D65" s="72"/>
      <c r="E65" s="73"/>
      <c r="F65" s="74"/>
      <c r="G65" s="20"/>
      <c r="H65" s="42"/>
      <c r="I65" s="42"/>
      <c r="J65" s="59"/>
      <c r="K65" s="878"/>
      <c r="L65" s="879"/>
      <c r="M65" s="880"/>
    </row>
    <row r="66" spans="1:13">
      <c r="A66" s="42" t="str">
        <f>IF(B66=""," ",#REF!+1)</f>
        <v xml:space="preserve"> </v>
      </c>
      <c r="B66" s="71"/>
      <c r="C66" s="13"/>
      <c r="D66" s="72"/>
      <c r="E66" s="73"/>
      <c r="F66" s="74"/>
      <c r="G66" s="20"/>
      <c r="H66" s="42"/>
      <c r="I66" s="42"/>
      <c r="J66" s="59"/>
      <c r="K66" s="464"/>
      <c r="L66" s="465"/>
      <c r="M66" s="466"/>
    </row>
    <row r="67" spans="1:13">
      <c r="A67" s="42" t="str">
        <f>IF(B67=""," ",A66+1)</f>
        <v xml:space="preserve"> </v>
      </c>
      <c r="B67" s="71"/>
      <c r="C67" s="13"/>
      <c r="D67" s="72"/>
      <c r="E67" s="73"/>
      <c r="F67" s="74"/>
      <c r="G67" s="20"/>
      <c r="H67" s="42"/>
      <c r="I67" s="42"/>
      <c r="J67" s="59"/>
      <c r="K67" s="464"/>
      <c r="L67" s="465"/>
      <c r="M67" s="466"/>
    </row>
    <row r="68" spans="1:13">
      <c r="A68" s="42" t="str">
        <f>IF(B68=""," ",A67+1)</f>
        <v xml:space="preserve"> </v>
      </c>
      <c r="B68" s="71"/>
      <c r="C68" s="13"/>
      <c r="D68" s="72"/>
      <c r="E68" s="73"/>
      <c r="F68" s="74"/>
      <c r="G68" s="20"/>
      <c r="H68" s="42"/>
      <c r="I68" s="42"/>
      <c r="J68" s="59"/>
      <c r="K68" s="878"/>
      <c r="L68" s="879"/>
      <c r="M68" s="880"/>
    </row>
    <row r="69" spans="1:13">
      <c r="A69" s="42" t="str">
        <f>IF(B69=""," ",#REF!+1)</f>
        <v xml:space="preserve"> </v>
      </c>
      <c r="B69" s="71"/>
      <c r="C69" s="13"/>
      <c r="D69" s="72"/>
      <c r="E69" s="73"/>
      <c r="F69" s="74"/>
      <c r="G69" s="20"/>
      <c r="H69" s="42"/>
      <c r="I69" s="42"/>
      <c r="J69" s="59"/>
      <c r="K69" s="878"/>
      <c r="L69" s="879"/>
      <c r="M69" s="880"/>
    </row>
    <row r="70" spans="1:13">
      <c r="A70" s="42" t="str">
        <f>IF(B70=""," ",#REF!+1)</f>
        <v xml:space="preserve"> </v>
      </c>
      <c r="B70" s="71"/>
      <c r="C70" s="13"/>
      <c r="D70" s="72"/>
      <c r="E70" s="73"/>
      <c r="F70" s="74"/>
      <c r="G70" s="20"/>
      <c r="H70" s="42"/>
      <c r="I70" s="42"/>
      <c r="J70" s="59"/>
      <c r="K70" s="464"/>
      <c r="L70" s="465"/>
      <c r="M70" s="466"/>
    </row>
    <row r="71" spans="1:13">
      <c r="A71" s="42" t="str">
        <f>IF(B71=""," ",A70+1)</f>
        <v xml:space="preserve"> </v>
      </c>
      <c r="B71" s="71"/>
      <c r="C71" s="13"/>
      <c r="D71" s="72"/>
      <c r="E71" s="73"/>
      <c r="F71" s="74"/>
      <c r="G71" s="20"/>
      <c r="H71" s="42"/>
      <c r="I71" s="42"/>
      <c r="J71" s="59"/>
      <c r="K71" s="464"/>
      <c r="L71" s="465"/>
      <c r="M71" s="466"/>
    </row>
    <row r="72" spans="1:13">
      <c r="A72" s="42" t="str">
        <f>IF(B72=""," ",A71+1)</f>
        <v xml:space="preserve"> </v>
      </c>
      <c r="B72" s="71"/>
      <c r="C72" s="13"/>
      <c r="D72" s="72"/>
      <c r="E72" s="73"/>
      <c r="F72" s="74"/>
      <c r="G72" s="20"/>
      <c r="H72" s="42"/>
      <c r="I72" s="42"/>
      <c r="J72" s="59"/>
      <c r="K72" s="878"/>
      <c r="L72" s="879"/>
      <c r="M72" s="880"/>
    </row>
    <row r="73" spans="1:13">
      <c r="A73" s="42" t="str">
        <f>IF(B73=""," ",#REF!+1)</f>
        <v xml:space="preserve"> </v>
      </c>
      <c r="B73" s="71"/>
      <c r="C73" s="13"/>
      <c r="D73" s="72"/>
      <c r="E73" s="73"/>
      <c r="F73" s="74"/>
      <c r="G73" s="20"/>
      <c r="H73" s="42"/>
      <c r="I73" s="42"/>
      <c r="J73" s="59"/>
      <c r="K73" s="878"/>
      <c r="L73" s="879"/>
      <c r="M73" s="880"/>
    </row>
    <row r="74" spans="1:13">
      <c r="A74" s="42" t="str">
        <f>IF(B74=""," ",#REF!+1)</f>
        <v xml:space="preserve"> </v>
      </c>
      <c r="B74" s="71"/>
      <c r="C74" s="13"/>
      <c r="D74" s="72"/>
      <c r="E74" s="73"/>
      <c r="F74" s="74"/>
      <c r="G74" s="20"/>
      <c r="H74" s="42"/>
      <c r="I74" s="42"/>
      <c r="J74" s="59"/>
      <c r="K74" s="464"/>
      <c r="L74" s="465"/>
      <c r="M74" s="466"/>
    </row>
    <row r="75" spans="1:13">
      <c r="A75" s="42" t="str">
        <f>IF(B75=""," ",A74+1)</f>
        <v xml:space="preserve"> </v>
      </c>
      <c r="B75" s="71"/>
      <c r="C75" s="13"/>
      <c r="D75" s="72"/>
      <c r="E75" s="73"/>
      <c r="F75" s="74"/>
      <c r="G75" s="20"/>
      <c r="H75" s="42"/>
      <c r="I75" s="42"/>
      <c r="J75" s="59"/>
      <c r="K75" s="464"/>
      <c r="L75" s="465"/>
      <c r="M75" s="466"/>
    </row>
    <row r="76" spans="1:13">
      <c r="A76" s="42" t="str">
        <f>IF(B76=""," ",A75+1)</f>
        <v xml:space="preserve"> </v>
      </c>
      <c r="B76" s="71"/>
      <c r="C76" s="13"/>
      <c r="D76" s="72"/>
      <c r="E76" s="73"/>
      <c r="F76" s="74"/>
      <c r="G76" s="20"/>
      <c r="H76" s="42"/>
      <c r="I76" s="42"/>
      <c r="J76" s="59"/>
      <c r="K76" s="878"/>
      <c r="L76" s="879"/>
      <c r="M76" s="880"/>
    </row>
    <row r="77" spans="1:13">
      <c r="A77" s="42" t="str">
        <f>IF(B77=""," ",#REF!+1)</f>
        <v xml:space="preserve"> </v>
      </c>
      <c r="B77" s="71"/>
      <c r="C77" s="13"/>
      <c r="D77" s="72"/>
      <c r="E77" s="73"/>
      <c r="F77" s="74"/>
      <c r="G77" s="20"/>
      <c r="H77" s="42"/>
      <c r="I77" s="42"/>
      <c r="J77" s="59"/>
      <c r="K77" s="878"/>
      <c r="L77" s="879"/>
      <c r="M77" s="880"/>
    </row>
    <row r="78" spans="1:13">
      <c r="A78" s="42" t="str">
        <f>IF(B78=""," ",#REF!+1)</f>
        <v xml:space="preserve"> </v>
      </c>
      <c r="B78" s="71"/>
      <c r="C78" s="13"/>
      <c r="D78" s="72"/>
      <c r="E78" s="73"/>
      <c r="F78" s="74"/>
      <c r="G78" s="20"/>
      <c r="H78" s="42"/>
      <c r="I78" s="42"/>
      <c r="J78" s="59"/>
      <c r="K78" s="464"/>
      <c r="L78" s="465"/>
      <c r="M78" s="466"/>
    </row>
    <row r="79" spans="1:13">
      <c r="A79" s="42" t="str">
        <f>IF(B79=""," ",A78+1)</f>
        <v xml:space="preserve"> </v>
      </c>
      <c r="B79" s="71"/>
      <c r="C79" s="13"/>
      <c r="D79" s="72"/>
      <c r="E79" s="73"/>
      <c r="F79" s="74"/>
      <c r="G79" s="20"/>
      <c r="H79" s="42"/>
      <c r="I79" s="42"/>
      <c r="J79" s="59"/>
      <c r="K79" s="464"/>
      <c r="L79" s="465"/>
      <c r="M79" s="466"/>
    </row>
    <row r="80" spans="1:13">
      <c r="A80" s="42" t="str">
        <f>IF(B80=""," ",A79+1)</f>
        <v xml:space="preserve"> </v>
      </c>
      <c r="B80" s="71"/>
      <c r="C80" s="13"/>
      <c r="D80" s="72"/>
      <c r="E80" s="73"/>
      <c r="F80" s="74"/>
      <c r="G80" s="20"/>
      <c r="H80" s="42"/>
      <c r="I80" s="42"/>
      <c r="J80" s="59"/>
      <c r="K80" s="878"/>
      <c r="L80" s="879"/>
      <c r="M80" s="880"/>
    </row>
    <row r="81" spans="1:13">
      <c r="A81" s="42" t="str">
        <f>IF(B81=""," ",#REF!+1)</f>
        <v xml:space="preserve"> </v>
      </c>
      <c r="B81" s="71"/>
      <c r="C81" s="13"/>
      <c r="D81" s="72"/>
      <c r="E81" s="73"/>
      <c r="F81" s="74"/>
      <c r="G81" s="20"/>
      <c r="H81" s="42"/>
      <c r="I81" s="42"/>
      <c r="J81" s="59"/>
      <c r="K81" s="878"/>
      <c r="L81" s="879"/>
      <c r="M81" s="880"/>
    </row>
    <row r="82" spans="1:13">
      <c r="A82" s="42" t="str">
        <f>IF(B82=""," ",#REF!+1)</f>
        <v xml:space="preserve"> </v>
      </c>
      <c r="B82" s="71"/>
      <c r="C82" s="13"/>
      <c r="D82" s="72"/>
      <c r="E82" s="73"/>
      <c r="F82" s="74"/>
      <c r="G82" s="20"/>
      <c r="H82" s="42"/>
      <c r="I82" s="42"/>
      <c r="J82" s="59"/>
      <c r="K82" s="464"/>
      <c r="L82" s="465"/>
      <c r="M82" s="466"/>
    </row>
    <row r="83" spans="1:13">
      <c r="A83" s="42" t="str">
        <f>IF(B83=""," ",A82+1)</f>
        <v xml:space="preserve"> </v>
      </c>
      <c r="B83" s="71"/>
      <c r="C83" s="13"/>
      <c r="D83" s="72"/>
      <c r="E83" s="73"/>
      <c r="F83" s="74"/>
      <c r="G83" s="20"/>
      <c r="H83" s="42"/>
      <c r="I83" s="42"/>
      <c r="J83" s="59"/>
      <c r="K83" s="464"/>
      <c r="L83" s="465"/>
      <c r="M83" s="466"/>
    </row>
    <row r="84" spans="1:13">
      <c r="A84" s="42" t="str">
        <f>IF(B84=""," ",A83+1)</f>
        <v xml:space="preserve"> </v>
      </c>
      <c r="B84" s="71"/>
      <c r="C84" s="13"/>
      <c r="D84" s="72"/>
      <c r="E84" s="73"/>
      <c r="F84" s="74"/>
      <c r="G84" s="20"/>
      <c r="H84" s="42"/>
      <c r="I84" s="42"/>
      <c r="J84" s="59"/>
      <c r="K84" s="878"/>
      <c r="L84" s="879"/>
      <c r="M84" s="880"/>
    </row>
    <row r="85" spans="1:13">
      <c r="A85" s="42" t="str">
        <f>IF(B85=""," ",#REF!+1)</f>
        <v xml:space="preserve"> </v>
      </c>
      <c r="B85" s="71"/>
      <c r="C85" s="13"/>
      <c r="D85" s="72"/>
      <c r="E85" s="73"/>
      <c r="F85" s="74"/>
      <c r="G85" s="20"/>
      <c r="H85" s="42"/>
      <c r="I85" s="42"/>
      <c r="J85" s="59"/>
      <c r="K85" s="878"/>
      <c r="L85" s="879"/>
      <c r="M85" s="880"/>
    </row>
    <row r="86" spans="1:13">
      <c r="A86" s="42" t="str">
        <f>IF(B86=""," ",#REF!+1)</f>
        <v xml:space="preserve"> </v>
      </c>
      <c r="B86" s="71"/>
      <c r="C86" s="13"/>
      <c r="D86" s="72"/>
      <c r="E86" s="73"/>
      <c r="F86" s="74"/>
      <c r="G86" s="20"/>
      <c r="H86" s="42"/>
      <c r="I86" s="42"/>
      <c r="J86" s="59"/>
      <c r="K86" s="464"/>
      <c r="L86" s="465"/>
      <c r="M86" s="466"/>
    </row>
    <row r="87" spans="1:13">
      <c r="A87" s="42" t="str">
        <f>IF(B87=""," ",A86+1)</f>
        <v xml:space="preserve"> </v>
      </c>
      <c r="B87" s="71"/>
      <c r="C87" s="13"/>
      <c r="D87" s="72"/>
      <c r="E87" s="73"/>
      <c r="F87" s="74"/>
      <c r="G87" s="20"/>
      <c r="H87" s="42"/>
      <c r="I87" s="42"/>
      <c r="J87" s="59"/>
      <c r="K87" s="464"/>
      <c r="L87" s="465"/>
      <c r="M87" s="466"/>
    </row>
    <row r="88" spans="1:13">
      <c r="A88" s="42" t="str">
        <f>IF(B88=""," ",A87+1)</f>
        <v xml:space="preserve"> </v>
      </c>
      <c r="B88" s="71"/>
      <c r="C88" s="13"/>
      <c r="D88" s="72"/>
      <c r="E88" s="73"/>
      <c r="F88" s="74"/>
      <c r="G88" s="20"/>
      <c r="H88" s="42"/>
      <c r="I88" s="42"/>
      <c r="J88" s="59"/>
      <c r="K88" s="878"/>
      <c r="L88" s="879"/>
      <c r="M88" s="880"/>
    </row>
    <row r="89" spans="1:13">
      <c r="A89" s="42" t="str">
        <f>IF(B89=""," ",#REF!+1)</f>
        <v xml:space="preserve"> </v>
      </c>
      <c r="B89" s="71"/>
      <c r="C89" s="13"/>
      <c r="D89" s="72"/>
      <c r="E89" s="73"/>
      <c r="F89" s="74"/>
      <c r="G89" s="20"/>
      <c r="H89" s="42"/>
      <c r="I89" s="42"/>
      <c r="J89" s="59"/>
      <c r="K89" s="878"/>
      <c r="L89" s="879"/>
      <c r="M89" s="880"/>
    </row>
    <row r="90" spans="1:13">
      <c r="A90" s="42" t="str">
        <f>IF(B90=""," ",#REF!+1)</f>
        <v xml:space="preserve"> </v>
      </c>
      <c r="B90" s="71"/>
      <c r="C90" s="13"/>
      <c r="D90" s="72"/>
      <c r="E90" s="73"/>
      <c r="F90" s="74"/>
      <c r="G90" s="20"/>
      <c r="H90" s="42"/>
      <c r="I90" s="42"/>
      <c r="J90" s="59"/>
      <c r="K90" s="464"/>
      <c r="L90" s="465"/>
      <c r="M90" s="466"/>
    </row>
    <row r="91" spans="1:13">
      <c r="A91" s="42" t="str">
        <f>IF(B91=""," ",A90+1)</f>
        <v xml:space="preserve"> </v>
      </c>
      <c r="B91" s="71"/>
      <c r="C91" s="13"/>
      <c r="D91" s="72"/>
      <c r="E91" s="73"/>
      <c r="F91" s="74"/>
      <c r="G91" s="20"/>
      <c r="H91" s="42"/>
      <c r="I91" s="42"/>
      <c r="J91" s="59"/>
      <c r="K91" s="464"/>
      <c r="L91" s="465"/>
      <c r="M91" s="466"/>
    </row>
    <row r="92" spans="1:13">
      <c r="A92" s="42" t="str">
        <f>IF(B92=""," ",A91+1)</f>
        <v xml:space="preserve"> </v>
      </c>
      <c r="B92" s="71"/>
      <c r="C92" s="13"/>
      <c r="D92" s="72"/>
      <c r="E92" s="73"/>
      <c r="F92" s="74"/>
      <c r="G92" s="20"/>
      <c r="H92" s="42"/>
      <c r="I92" s="42"/>
      <c r="J92" s="59"/>
      <c r="K92" s="878"/>
      <c r="L92" s="879"/>
      <c r="M92" s="880"/>
    </row>
    <row r="93" spans="1:13">
      <c r="A93" s="42" t="str">
        <f>IF(B93=""," ",#REF!+1)</f>
        <v xml:space="preserve"> </v>
      </c>
      <c r="B93" s="71"/>
      <c r="C93" s="13"/>
      <c r="D93" s="72"/>
      <c r="E93" s="73"/>
      <c r="F93" s="74"/>
      <c r="G93" s="20"/>
      <c r="H93" s="42"/>
      <c r="I93" s="42"/>
      <c r="J93" s="59"/>
      <c r="K93" s="878"/>
      <c r="L93" s="879"/>
      <c r="M93" s="880"/>
    </row>
    <row r="94" spans="1:13">
      <c r="A94" s="42" t="str">
        <f>IF(B94=""," ",#REF!+1)</f>
        <v xml:space="preserve"> </v>
      </c>
      <c r="B94" s="71"/>
      <c r="C94" s="13"/>
      <c r="D94" s="72"/>
      <c r="E94" s="73"/>
      <c r="F94" s="74"/>
      <c r="G94" s="20"/>
      <c r="H94" s="42"/>
      <c r="I94" s="42"/>
      <c r="J94" s="59"/>
      <c r="K94" s="464"/>
      <c r="L94" s="465"/>
      <c r="M94" s="466"/>
    </row>
    <row r="95" spans="1:13">
      <c r="A95" s="42" t="str">
        <f>IF(B95=""," ",A94+1)</f>
        <v xml:space="preserve"> </v>
      </c>
      <c r="B95" s="71"/>
      <c r="C95" s="13"/>
      <c r="D95" s="72"/>
      <c r="E95" s="73"/>
      <c r="F95" s="74"/>
      <c r="G95" s="20"/>
      <c r="H95" s="42"/>
      <c r="I95" s="42"/>
      <c r="J95" s="59"/>
      <c r="K95" s="464"/>
      <c r="L95" s="465"/>
      <c r="M95" s="466"/>
    </row>
    <row r="96" spans="1:13">
      <c r="A96" s="42" t="str">
        <f>IF(B96=""," ",A95+1)</f>
        <v xml:space="preserve"> </v>
      </c>
      <c r="B96" s="71"/>
      <c r="C96" s="13"/>
      <c r="D96" s="72"/>
      <c r="E96" s="73"/>
      <c r="F96" s="74"/>
      <c r="G96" s="20"/>
      <c r="H96" s="42"/>
      <c r="I96" s="42"/>
      <c r="J96" s="59"/>
      <c r="K96" s="878"/>
      <c r="L96" s="879"/>
      <c r="M96" s="880"/>
    </row>
    <row r="97" spans="1:13">
      <c r="A97" s="42" t="str">
        <f>IF(B97=""," ",#REF!+1)</f>
        <v xml:space="preserve"> </v>
      </c>
      <c r="B97" s="71"/>
      <c r="C97" s="13"/>
      <c r="D97" s="72"/>
      <c r="E97" s="73"/>
      <c r="F97" s="74"/>
      <c r="G97" s="20"/>
      <c r="H97" s="42"/>
      <c r="I97" s="42"/>
      <c r="J97" s="59"/>
      <c r="K97" s="878"/>
      <c r="L97" s="879"/>
      <c r="M97" s="880"/>
    </row>
    <row r="98" spans="1:13">
      <c r="A98" s="42" t="str">
        <f>IF(B98=""," ",#REF!+1)</f>
        <v xml:space="preserve"> </v>
      </c>
      <c r="B98" s="71"/>
      <c r="C98" s="13"/>
      <c r="D98" s="72"/>
      <c r="E98" s="73"/>
      <c r="F98" s="74"/>
      <c r="G98" s="20"/>
      <c r="H98" s="42"/>
      <c r="I98" s="42"/>
      <c r="J98" s="59"/>
      <c r="K98" s="464"/>
      <c r="L98" s="465"/>
      <c r="M98" s="466"/>
    </row>
    <row r="99" spans="1:13">
      <c r="A99" s="42" t="str">
        <f>IF(B99=""," ",A98+1)</f>
        <v xml:space="preserve"> </v>
      </c>
      <c r="B99" s="71"/>
      <c r="C99" s="13"/>
      <c r="D99" s="72"/>
      <c r="E99" s="73"/>
      <c r="F99" s="74"/>
      <c r="G99" s="20"/>
      <c r="H99" s="42"/>
      <c r="I99" s="42"/>
      <c r="J99" s="59"/>
      <c r="K99" s="464"/>
      <c r="L99" s="465"/>
      <c r="M99" s="466"/>
    </row>
    <row r="100" spans="1:13">
      <c r="A100" s="42" t="str">
        <f>IF(B100=""," ",A99+1)</f>
        <v xml:space="preserve"> </v>
      </c>
      <c r="B100" s="71"/>
      <c r="C100" s="13"/>
      <c r="D100" s="72"/>
      <c r="E100" s="73"/>
      <c r="F100" s="74"/>
      <c r="G100" s="20"/>
      <c r="H100" s="42"/>
      <c r="I100" s="42"/>
      <c r="J100" s="59"/>
      <c r="K100" s="878"/>
      <c r="L100" s="879"/>
      <c r="M100" s="880"/>
    </row>
    <row r="101" spans="1:13">
      <c r="A101" s="42" t="str">
        <f>IF(B101=""," ",#REF!+1)</f>
        <v xml:space="preserve"> </v>
      </c>
      <c r="B101" s="71"/>
      <c r="C101" s="13"/>
      <c r="D101" s="72"/>
      <c r="E101" s="73"/>
      <c r="F101" s="74"/>
      <c r="G101" s="20"/>
      <c r="H101" s="42"/>
      <c r="I101" s="42"/>
      <c r="J101" s="59"/>
      <c r="K101" s="609"/>
      <c r="L101" s="610"/>
      <c r="M101" s="611"/>
    </row>
    <row r="102" spans="1:13">
      <c r="A102" s="42" t="str">
        <f>IF(B102=""," ",#REF!+1)</f>
        <v xml:space="preserve"> </v>
      </c>
      <c r="B102" s="71"/>
      <c r="C102" s="13"/>
      <c r="D102" s="72"/>
      <c r="E102" s="73"/>
      <c r="F102" s="74"/>
      <c r="G102" s="20"/>
      <c r="H102" s="42"/>
      <c r="I102" s="42"/>
      <c r="J102" s="59"/>
      <c r="K102" s="13"/>
      <c r="L102" s="14"/>
      <c r="M102" s="15"/>
    </row>
    <row r="103" spans="1:13">
      <c r="A103" s="42" t="str">
        <f>IF(B103=""," ",A102+1)</f>
        <v xml:space="preserve"> </v>
      </c>
      <c r="B103" s="71"/>
      <c r="C103" s="13"/>
      <c r="D103" s="72"/>
      <c r="E103" s="73"/>
      <c r="F103" s="74"/>
      <c r="G103" s="20"/>
      <c r="H103" s="42"/>
      <c r="I103" s="42"/>
      <c r="J103" s="59"/>
      <c r="K103" s="13"/>
      <c r="L103" s="14"/>
      <c r="M103" s="15"/>
    </row>
    <row r="104" spans="1:13">
      <c r="A104" s="42" t="str">
        <f>IF(B104=""," ",A103+1)</f>
        <v xml:space="preserve"> </v>
      </c>
      <c r="B104" s="71"/>
      <c r="C104" s="13"/>
      <c r="D104" s="72"/>
      <c r="E104" s="73"/>
      <c r="F104" s="74"/>
      <c r="G104" s="20"/>
      <c r="H104" s="42"/>
      <c r="I104" s="42"/>
      <c r="J104" s="59"/>
      <c r="K104" s="609"/>
      <c r="L104" s="610"/>
      <c r="M104" s="611"/>
    </row>
    <row r="105" spans="1:13">
      <c r="A105" s="42" t="str">
        <f>IF(B105=""," ",#REF!+1)</f>
        <v xml:space="preserve"> </v>
      </c>
      <c r="B105" s="71"/>
      <c r="C105" s="13"/>
      <c r="D105" s="72"/>
      <c r="E105" s="73"/>
      <c r="F105" s="74"/>
      <c r="G105" s="20"/>
      <c r="H105" s="42"/>
      <c r="I105" s="42"/>
      <c r="J105" s="59"/>
      <c r="K105" s="609"/>
      <c r="L105" s="610"/>
      <c r="M105" s="611"/>
    </row>
    <row r="106" spans="1:13">
      <c r="A106" s="42" t="str">
        <f>IF(B106=""," ",#REF!+1)</f>
        <v xml:space="preserve"> </v>
      </c>
      <c r="B106" s="71"/>
      <c r="C106" s="13"/>
      <c r="D106" s="72"/>
      <c r="E106" s="73"/>
      <c r="F106" s="74"/>
      <c r="G106" s="20"/>
      <c r="H106" s="42"/>
      <c r="I106" s="42"/>
      <c r="J106" s="59"/>
      <c r="K106" s="13"/>
      <c r="L106" s="14"/>
      <c r="M106" s="15"/>
    </row>
    <row r="107" spans="1:13">
      <c r="A107" s="42" t="str">
        <f>IF(B107=""," ",A105+1)</f>
        <v xml:space="preserve"> </v>
      </c>
      <c r="B107" s="71"/>
      <c r="C107" s="13"/>
      <c r="D107" s="72"/>
      <c r="E107" s="73"/>
      <c r="F107" s="74"/>
      <c r="G107" s="20"/>
      <c r="H107" s="42"/>
      <c r="I107" s="42"/>
      <c r="J107" s="59"/>
      <c r="K107" s="13"/>
      <c r="L107" s="14"/>
      <c r="M107" s="15"/>
    </row>
    <row r="108" spans="1:13">
      <c r="A108" s="42" t="str">
        <f>IF(B108=""," ",A106+1)</f>
        <v xml:space="preserve"> </v>
      </c>
      <c r="B108" s="71"/>
      <c r="C108" s="13"/>
      <c r="D108" s="72"/>
      <c r="E108" s="73"/>
      <c r="F108" s="74"/>
      <c r="G108" s="20"/>
      <c r="H108" s="42"/>
      <c r="I108" s="42"/>
      <c r="J108" s="59"/>
      <c r="K108" s="13"/>
      <c r="L108" s="14"/>
      <c r="M108" s="15"/>
    </row>
    <row r="110" spans="1:13">
      <c r="B110" s="16" t="s">
        <v>1691</v>
      </c>
      <c r="C110" s="16"/>
      <c r="D110" s="16"/>
      <c r="E110" s="16"/>
      <c r="F110" s="16"/>
      <c r="G110" s="16"/>
      <c r="H110" s="16"/>
      <c r="I110" s="16"/>
      <c r="J110" s="16"/>
      <c r="K110" s="16"/>
    </row>
    <row r="111" spans="1:13">
      <c r="B111" s="16"/>
      <c r="C111" s="16"/>
      <c r="D111" s="16"/>
      <c r="E111" s="16"/>
      <c r="F111" s="16"/>
      <c r="G111" s="16"/>
      <c r="H111" s="16"/>
      <c r="I111" s="16"/>
      <c r="J111" s="16"/>
      <c r="K111" s="16"/>
    </row>
    <row r="112" spans="1:13">
      <c r="B112" s="16" t="s">
        <v>1692</v>
      </c>
      <c r="C112" s="16" t="s">
        <v>1693</v>
      </c>
      <c r="D112" s="16" t="s">
        <v>1695</v>
      </c>
      <c r="E112" s="16"/>
      <c r="F112" s="16"/>
      <c r="G112" s="16"/>
      <c r="H112" s="16"/>
      <c r="I112" s="16"/>
      <c r="J112" s="16"/>
      <c r="K112" s="16"/>
    </row>
    <row r="113" spans="1:11">
      <c r="B113" s="16"/>
      <c r="C113" s="16"/>
      <c r="D113" s="16" t="s">
        <v>1694</v>
      </c>
      <c r="E113" s="16"/>
      <c r="F113" s="16"/>
      <c r="G113" s="16"/>
      <c r="H113" s="16"/>
      <c r="I113" s="16"/>
      <c r="J113" s="16"/>
      <c r="K113" s="16"/>
    </row>
    <row r="114" spans="1:11">
      <c r="C114" s="16"/>
      <c r="D114" s="16" t="s">
        <v>1726</v>
      </c>
    </row>
    <row r="115" spans="1:11">
      <c r="C115" s="16" t="s">
        <v>1720</v>
      </c>
      <c r="D115" s="16" t="s">
        <v>1724</v>
      </c>
    </row>
    <row r="116" spans="1:11">
      <c r="C116" s="16" t="s">
        <v>1725</v>
      </c>
      <c r="D116" s="16"/>
    </row>
    <row r="117" spans="1:11">
      <c r="C117" s="113" t="s">
        <v>1693</v>
      </c>
      <c r="D117" s="113" t="s">
        <v>1742</v>
      </c>
    </row>
    <row r="119" spans="1:11" s="16" customFormat="1">
      <c r="A119" s="46"/>
      <c r="B119" s="75" t="s">
        <v>799</v>
      </c>
      <c r="C119" s="16" t="s">
        <v>1411</v>
      </c>
    </row>
    <row r="121" spans="1:11" s="16" customFormat="1">
      <c r="A121" s="46"/>
      <c r="B121" s="75" t="s">
        <v>1264</v>
      </c>
      <c r="C121" s="16" t="s">
        <v>758</v>
      </c>
      <c r="D121" s="16" t="s">
        <v>759</v>
      </c>
    </row>
    <row r="122" spans="1:11">
      <c r="C122" s="16" t="s">
        <v>1720</v>
      </c>
      <c r="D122" s="113" t="s">
        <v>756</v>
      </c>
    </row>
    <row r="123" spans="1:11">
      <c r="C123" s="113" t="s">
        <v>760</v>
      </c>
      <c r="D123" s="113" t="s">
        <v>761</v>
      </c>
    </row>
    <row r="125" spans="1:11">
      <c r="B125" s="113" t="s">
        <v>1186</v>
      </c>
      <c r="C125" s="113" t="s">
        <v>760</v>
      </c>
      <c r="D125" s="113" t="s">
        <v>622</v>
      </c>
    </row>
    <row r="126" spans="1:11">
      <c r="D126" s="113" t="s">
        <v>1187</v>
      </c>
    </row>
    <row r="127" spans="1:11">
      <c r="C127" s="113" t="s">
        <v>623</v>
      </c>
      <c r="D127" s="113" t="s">
        <v>625</v>
      </c>
    </row>
    <row r="128" spans="1:11">
      <c r="C128" s="16" t="s">
        <v>1720</v>
      </c>
      <c r="D128" s="113" t="s">
        <v>613</v>
      </c>
    </row>
    <row r="129" spans="3:5">
      <c r="C129" s="16" t="s">
        <v>1720</v>
      </c>
      <c r="D129" s="113" t="s">
        <v>615</v>
      </c>
    </row>
    <row r="130" spans="3:5">
      <c r="E130" s="113" t="s">
        <v>614</v>
      </c>
    </row>
    <row r="131" spans="3:5">
      <c r="C131" s="113" t="s">
        <v>623</v>
      </c>
      <c r="D131" s="113" t="s">
        <v>624</v>
      </c>
    </row>
    <row r="132" spans="3:5">
      <c r="C132" s="16" t="s">
        <v>1720</v>
      </c>
      <c r="D132" s="113" t="s">
        <v>616</v>
      </c>
    </row>
    <row r="133" spans="3:5">
      <c r="C133" s="16" t="s">
        <v>1720</v>
      </c>
      <c r="D133" s="113" t="s">
        <v>617</v>
      </c>
    </row>
    <row r="134" spans="3:5">
      <c r="E134" s="113" t="s">
        <v>618</v>
      </c>
    </row>
    <row r="135" spans="3:5">
      <c r="C135" s="113" t="s">
        <v>1270</v>
      </c>
      <c r="D135" s="113" t="s">
        <v>628</v>
      </c>
    </row>
    <row r="136" spans="3:5">
      <c r="E136" s="113" t="s">
        <v>626</v>
      </c>
    </row>
    <row r="137" spans="3:5">
      <c r="E137" s="113" t="s">
        <v>627</v>
      </c>
    </row>
    <row r="138" spans="3:5">
      <c r="C138" s="113" t="s">
        <v>1720</v>
      </c>
      <c r="D138" s="113" t="s">
        <v>629</v>
      </c>
    </row>
    <row r="139" spans="3:5">
      <c r="D139" s="113" t="s">
        <v>631</v>
      </c>
    </row>
    <row r="140" spans="3:5">
      <c r="D140" s="113" t="s">
        <v>634</v>
      </c>
    </row>
    <row r="141" spans="3:5">
      <c r="D141" s="113" t="s">
        <v>632</v>
      </c>
    </row>
    <row r="142" spans="3:5">
      <c r="D142" s="113" t="s">
        <v>633</v>
      </c>
    </row>
    <row r="143" spans="3:5">
      <c r="C143" s="113" t="s">
        <v>1693</v>
      </c>
      <c r="D143" s="113" t="s">
        <v>544</v>
      </c>
    </row>
    <row r="145" spans="2:4">
      <c r="B145" s="113" t="s">
        <v>438</v>
      </c>
      <c r="C145" s="113" t="s">
        <v>1270</v>
      </c>
      <c r="D145" s="113" t="s">
        <v>439</v>
      </c>
    </row>
    <row r="146" spans="2:4">
      <c r="D146" s="113" t="s">
        <v>440</v>
      </c>
    </row>
    <row r="147" spans="2:4">
      <c r="B147" s="113" t="s">
        <v>1198</v>
      </c>
      <c r="C147" s="113" t="s">
        <v>1199</v>
      </c>
    </row>
  </sheetData>
  <mergeCells count="82">
    <mergeCell ref="K104:M104"/>
    <mergeCell ref="K105:M105"/>
    <mergeCell ref="K92:M92"/>
    <mergeCell ref="K93:M93"/>
    <mergeCell ref="K96:M96"/>
    <mergeCell ref="K97:M97"/>
    <mergeCell ref="K100:M100"/>
    <mergeCell ref="K101:M101"/>
    <mergeCell ref="K84:M84"/>
    <mergeCell ref="K85:M85"/>
    <mergeCell ref="K88:M88"/>
    <mergeCell ref="K89:M89"/>
    <mergeCell ref="K60:M60"/>
    <mergeCell ref="K61:M61"/>
    <mergeCell ref="K64:M64"/>
    <mergeCell ref="K65:M65"/>
    <mergeCell ref="K81:M81"/>
    <mergeCell ref="K68:M68"/>
    <mergeCell ref="K69:M69"/>
    <mergeCell ref="K72:M72"/>
    <mergeCell ref="K73:M73"/>
    <mergeCell ref="K76:M76"/>
    <mergeCell ref="K77:M77"/>
    <mergeCell ref="K80:M80"/>
    <mergeCell ref="K52:M52"/>
    <mergeCell ref="K53:M53"/>
    <mergeCell ref="K56:M56"/>
    <mergeCell ref="K57:M57"/>
    <mergeCell ref="K44:M44"/>
    <mergeCell ref="K45:M45"/>
    <mergeCell ref="K48:M48"/>
    <mergeCell ref="K49:M49"/>
    <mergeCell ref="A5:A6"/>
    <mergeCell ref="K7:M7"/>
    <mergeCell ref="B5:C5"/>
    <mergeCell ref="K5:M6"/>
    <mergeCell ref="I5:J5"/>
    <mergeCell ref="D5:H5"/>
    <mergeCell ref="A2:B2"/>
    <mergeCell ref="A3:B3"/>
    <mergeCell ref="A4:B4"/>
    <mergeCell ref="C2:G2"/>
    <mergeCell ref="C3:G3"/>
    <mergeCell ref="C4:G4"/>
    <mergeCell ref="H2:J2"/>
    <mergeCell ref="K15:M15"/>
    <mergeCell ref="H3:I3"/>
    <mergeCell ref="K8:M8"/>
    <mergeCell ref="K13:M13"/>
    <mergeCell ref="K10:M10"/>
    <mergeCell ref="K9:M9"/>
    <mergeCell ref="K11:M11"/>
    <mergeCell ref="K12:M12"/>
    <mergeCell ref="H4:I4"/>
    <mergeCell ref="K14:M14"/>
    <mergeCell ref="K19:M19"/>
    <mergeCell ref="K16:M16"/>
    <mergeCell ref="K18:M18"/>
    <mergeCell ref="K17:M17"/>
    <mergeCell ref="K39:M39"/>
    <mergeCell ref="K20:M20"/>
    <mergeCell ref="K37:M37"/>
    <mergeCell ref="K38:M38"/>
    <mergeCell ref="K33:M33"/>
    <mergeCell ref="K21:M21"/>
    <mergeCell ref="K22:M22"/>
    <mergeCell ref="K31:M31"/>
    <mergeCell ref="K23:M23"/>
    <mergeCell ref="K24:M24"/>
    <mergeCell ref="K43:M43"/>
    <mergeCell ref="K34:M34"/>
    <mergeCell ref="K36:M36"/>
    <mergeCell ref="K25:M25"/>
    <mergeCell ref="K35:M35"/>
    <mergeCell ref="K27:M27"/>
    <mergeCell ref="K32:M32"/>
    <mergeCell ref="K28:M28"/>
    <mergeCell ref="K29:M29"/>
    <mergeCell ref="K30:M30"/>
    <mergeCell ref="K40:M40"/>
    <mergeCell ref="K41:M41"/>
    <mergeCell ref="K42:M42"/>
  </mergeCells>
  <phoneticPr fontId="6"/>
  <pageMargins left="0.78740157480314965" right="0.19685039370078741" top="0.59055118110236227" bottom="0.59055118110236227" header="0.51181102362204722" footer="0.39370078740157483"/>
  <pageSetup paperSize="9" scale="48" fitToHeight="0" orientation="portrait" r:id="rId1"/>
  <headerFooter alignWithMargins="0">
    <oddFooter>&amp;C&amp;10&amp;P/&amp;N&amp;R&amp;10&amp;A</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6">
    <pageSetUpPr fitToPage="1"/>
  </sheetPr>
  <dimension ref="A1:P115"/>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bestFit="1" customWidth="1"/>
    <col min="2" max="2" width="28.625" style="22" customWidth="1"/>
    <col min="3" max="3" width="13.375" style="22" customWidth="1"/>
    <col min="4" max="4" width="9.375" style="22" customWidth="1"/>
    <col min="5" max="6" width="4.75" style="22" bestFit="1" customWidth="1"/>
    <col min="7" max="7" width="6.125" style="22" bestFit="1" customWidth="1"/>
    <col min="8" max="8" width="4.75" style="22" bestFit="1" customWidth="1"/>
    <col min="9" max="9" width="4.75" style="22" customWidth="1"/>
    <col min="10" max="11" width="9.625" style="22" customWidth="1"/>
    <col min="12" max="13" width="10.25" style="22" customWidth="1"/>
    <col min="14" max="14" width="9" style="22"/>
    <col min="15" max="16" width="9" style="22" hidden="1" customWidth="1"/>
    <col min="17" max="16384" width="9" style="22"/>
  </cols>
  <sheetData>
    <row r="1" spans="1:16">
      <c r="B1" s="47"/>
      <c r="C1" s="244"/>
      <c r="D1" s="244"/>
    </row>
    <row r="2" spans="1:16">
      <c r="A2" s="670" t="s">
        <v>602</v>
      </c>
      <c r="B2" s="671"/>
      <c r="C2" s="670" t="s">
        <v>36</v>
      </c>
      <c r="D2" s="676"/>
      <c r="E2" s="676"/>
      <c r="F2" s="676"/>
      <c r="G2" s="671"/>
      <c r="H2" s="670"/>
      <c r="I2" s="676"/>
      <c r="J2" s="671"/>
      <c r="K2" s="81"/>
      <c r="L2" s="82" t="s">
        <v>37</v>
      </c>
      <c r="M2" s="82" t="s">
        <v>38</v>
      </c>
    </row>
    <row r="3" spans="1:16">
      <c r="A3" s="672"/>
      <c r="B3" s="673"/>
      <c r="C3" s="750" t="s">
        <v>644</v>
      </c>
      <c r="D3" s="751"/>
      <c r="E3" s="751"/>
      <c r="F3" s="751"/>
      <c r="G3" s="752"/>
      <c r="H3" s="670" t="s">
        <v>39</v>
      </c>
      <c r="I3" s="671"/>
      <c r="J3" s="83">
        <f>COUNT(A7:A100)</f>
        <v>6</v>
      </c>
      <c r="K3" s="82" t="s">
        <v>40</v>
      </c>
      <c r="L3" s="84">
        <v>38629</v>
      </c>
      <c r="M3" s="41" t="s">
        <v>56</v>
      </c>
      <c r="O3" s="22" t="s">
        <v>41</v>
      </c>
      <c r="P3" s="22" t="s">
        <v>42</v>
      </c>
    </row>
    <row r="4" spans="1:16">
      <c r="A4" s="674" t="s">
        <v>43</v>
      </c>
      <c r="B4" s="675"/>
      <c r="C4" s="674" t="s">
        <v>1005</v>
      </c>
      <c r="D4" s="753"/>
      <c r="E4" s="753"/>
      <c r="F4" s="753"/>
      <c r="G4" s="675"/>
      <c r="H4" s="670" t="s">
        <v>44</v>
      </c>
      <c r="I4" s="671"/>
      <c r="J4" s="83">
        <f>SUM(G7:G100)</f>
        <v>40</v>
      </c>
      <c r="K4" s="82" t="s">
        <v>45</v>
      </c>
      <c r="L4" s="40">
        <v>38803</v>
      </c>
      <c r="M4" s="42" t="s">
        <v>532</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s="16" customFormat="1">
      <c r="A7" s="42">
        <v>1</v>
      </c>
      <c r="B7" s="48" t="s">
        <v>542</v>
      </c>
      <c r="C7" s="49" t="s">
        <v>855</v>
      </c>
      <c r="D7" s="78" t="s">
        <v>1164</v>
      </c>
      <c r="E7" s="98">
        <v>7</v>
      </c>
      <c r="F7" s="90"/>
      <c r="G7" s="20">
        <f t="shared" ref="G7:G12" si="0">IF(D7="DATE",4,IF(D7="CHAR",E7,IF(D7="SMALLINT",2,IF(D7="INTEGER",4,IF(D7="TIMESTAMP",10,IF(D7="TIME",3,0))))))</f>
        <v>7</v>
      </c>
      <c r="H7" s="53" t="s">
        <v>1377</v>
      </c>
      <c r="I7" s="91" t="s">
        <v>1363</v>
      </c>
      <c r="J7" s="169"/>
      <c r="K7" s="599"/>
      <c r="L7" s="600"/>
      <c r="M7" s="601"/>
    </row>
    <row r="8" spans="1:16">
      <c r="A8" s="89">
        <v>2</v>
      </c>
      <c r="B8" s="48" t="s">
        <v>595</v>
      </c>
      <c r="C8" s="49" t="s">
        <v>856</v>
      </c>
      <c r="D8" s="50" t="s">
        <v>1619</v>
      </c>
      <c r="E8" s="95">
        <v>7</v>
      </c>
      <c r="F8" s="90"/>
      <c r="G8" s="20">
        <f t="shared" si="0"/>
        <v>7</v>
      </c>
      <c r="H8" s="53" t="s">
        <v>1400</v>
      </c>
      <c r="I8" s="91" t="s">
        <v>1400</v>
      </c>
      <c r="J8" s="170"/>
      <c r="K8" s="599"/>
      <c r="L8" s="600"/>
      <c r="M8" s="601"/>
      <c r="P8" s="22" t="s">
        <v>1418</v>
      </c>
    </row>
    <row r="9" spans="1:16" s="16" customFormat="1">
      <c r="A9" s="42">
        <v>3</v>
      </c>
      <c r="B9" s="64" t="s">
        <v>26</v>
      </c>
      <c r="C9" s="24" t="s">
        <v>1399</v>
      </c>
      <c r="D9" s="65" t="s">
        <v>519</v>
      </c>
      <c r="E9" s="51"/>
      <c r="F9" s="58"/>
      <c r="G9" s="20">
        <f t="shared" si="0"/>
        <v>4</v>
      </c>
      <c r="H9" s="53" t="s">
        <v>1400</v>
      </c>
      <c r="I9" s="53" t="s">
        <v>1400</v>
      </c>
      <c r="J9" s="169"/>
      <c r="K9" s="24" t="s">
        <v>1659</v>
      </c>
      <c r="L9" s="343"/>
      <c r="M9" s="25"/>
    </row>
    <row r="10" spans="1:16">
      <c r="A10" s="89">
        <v>4</v>
      </c>
      <c r="B10" s="64" t="s">
        <v>27</v>
      </c>
      <c r="C10" s="24" t="s">
        <v>1401</v>
      </c>
      <c r="D10" s="65" t="s">
        <v>1402</v>
      </c>
      <c r="E10" s="51"/>
      <c r="F10" s="58"/>
      <c r="G10" s="20">
        <f t="shared" si="0"/>
        <v>4</v>
      </c>
      <c r="H10" s="53" t="s">
        <v>1403</v>
      </c>
      <c r="I10" s="53"/>
      <c r="J10" s="170"/>
      <c r="K10" s="632" t="s">
        <v>1660</v>
      </c>
      <c r="L10" s="633"/>
      <c r="M10" s="634"/>
      <c r="P10" s="22" t="s">
        <v>519</v>
      </c>
    </row>
    <row r="11" spans="1:16">
      <c r="A11" s="42">
        <v>5</v>
      </c>
      <c r="B11" s="64" t="s">
        <v>1083</v>
      </c>
      <c r="C11" s="24" t="s">
        <v>1111</v>
      </c>
      <c r="D11" s="72" t="s">
        <v>1431</v>
      </c>
      <c r="E11" s="51">
        <v>8</v>
      </c>
      <c r="F11" s="58"/>
      <c r="G11" s="20">
        <f t="shared" si="0"/>
        <v>8</v>
      </c>
      <c r="H11" s="53" t="s">
        <v>1432</v>
      </c>
      <c r="I11" s="89"/>
      <c r="J11" s="165"/>
      <c r="K11" s="632"/>
      <c r="L11" s="633"/>
      <c r="M11" s="634"/>
      <c r="P11" s="22" t="s">
        <v>850</v>
      </c>
    </row>
    <row r="12" spans="1:16" ht="12" customHeight="1">
      <c r="A12" s="89">
        <v>6</v>
      </c>
      <c r="B12" s="64" t="s">
        <v>1724</v>
      </c>
      <c r="C12" s="24" t="s">
        <v>1404</v>
      </c>
      <c r="D12" s="65" t="s">
        <v>1405</v>
      </c>
      <c r="E12" s="51"/>
      <c r="F12" s="58"/>
      <c r="G12" s="20">
        <f t="shared" si="0"/>
        <v>10</v>
      </c>
      <c r="H12" s="53" t="s">
        <v>1406</v>
      </c>
      <c r="I12" s="53"/>
      <c r="J12" s="165"/>
      <c r="K12" s="632"/>
      <c r="L12" s="633"/>
      <c r="M12" s="634"/>
      <c r="P12" s="22" t="s">
        <v>857</v>
      </c>
    </row>
    <row r="13" spans="1:16">
      <c r="A13" s="89"/>
      <c r="B13" s="93"/>
      <c r="C13" s="26"/>
      <c r="D13" s="94"/>
      <c r="E13" s="95"/>
      <c r="F13" s="90"/>
      <c r="G13" s="21"/>
      <c r="H13" s="91"/>
      <c r="I13" s="89"/>
      <c r="J13" s="92"/>
      <c r="K13" s="602"/>
      <c r="L13" s="603"/>
      <c r="M13" s="604"/>
    </row>
    <row r="14" spans="1:16">
      <c r="A14" s="89" t="str">
        <f>IF(B14=""," ",A10+1)</f>
        <v xml:space="preserve"> </v>
      </c>
      <c r="B14" s="100"/>
      <c r="C14" s="137"/>
      <c r="D14" s="78"/>
      <c r="E14" s="98"/>
      <c r="F14" s="99"/>
      <c r="G14" s="20"/>
      <c r="H14" s="89"/>
      <c r="I14" s="89"/>
      <c r="J14" s="92"/>
      <c r="K14" s="599"/>
      <c r="L14" s="600"/>
      <c r="M14" s="601"/>
    </row>
    <row r="15" spans="1:16" ht="11.25" customHeight="1">
      <c r="A15" s="89" t="str">
        <f>IF(B15=""," ",A14+1)</f>
        <v xml:space="preserve"> </v>
      </c>
      <c r="B15" s="100"/>
      <c r="C15" s="137"/>
      <c r="D15" s="78"/>
      <c r="E15" s="98"/>
      <c r="F15" s="99"/>
      <c r="G15" s="20"/>
      <c r="H15" s="89"/>
      <c r="I15" s="89"/>
      <c r="J15" s="92"/>
      <c r="K15" s="599"/>
      <c r="L15" s="600"/>
      <c r="M15" s="601"/>
    </row>
    <row r="16" spans="1:16">
      <c r="A16" s="89" t="str">
        <f>IF(B16=""," ",#REF!+1)</f>
        <v xml:space="preserve"> </v>
      </c>
      <c r="B16" s="96"/>
      <c r="C16" s="31"/>
      <c r="D16" s="97"/>
      <c r="E16" s="98"/>
      <c r="F16" s="99"/>
      <c r="G16" s="20"/>
      <c r="H16" s="89"/>
      <c r="I16" s="89"/>
      <c r="J16" s="92"/>
      <c r="K16" s="34"/>
      <c r="L16" s="32"/>
      <c r="M16" s="33"/>
    </row>
    <row r="17" spans="1:13">
      <c r="A17" s="89" t="str">
        <f t="shared" ref="A17:A30" si="1">IF(B17=""," ",A16+1)</f>
        <v xml:space="preserve"> </v>
      </c>
      <c r="B17" s="96"/>
      <c r="C17" s="31"/>
      <c r="D17" s="97"/>
      <c r="E17" s="98"/>
      <c r="F17" s="99"/>
      <c r="G17" s="20"/>
      <c r="H17" s="89"/>
      <c r="I17" s="89"/>
      <c r="J17" s="92"/>
      <c r="K17" s="31"/>
      <c r="L17" s="32"/>
      <c r="M17" s="33"/>
    </row>
    <row r="18" spans="1:13">
      <c r="A18" s="89" t="str">
        <f t="shared" si="1"/>
        <v xml:space="preserve"> </v>
      </c>
      <c r="B18" s="96"/>
      <c r="C18" s="31"/>
      <c r="D18" s="97"/>
      <c r="E18" s="98"/>
      <c r="F18" s="99"/>
      <c r="G18" s="20"/>
      <c r="H18" s="89"/>
      <c r="I18" s="89"/>
      <c r="J18" s="92"/>
      <c r="K18" s="31"/>
      <c r="L18" s="32"/>
      <c r="M18" s="33"/>
    </row>
    <row r="19" spans="1:13">
      <c r="A19" s="89" t="str">
        <f t="shared" si="1"/>
        <v xml:space="preserve"> </v>
      </c>
      <c r="B19" s="96"/>
      <c r="C19" s="31"/>
      <c r="D19" s="97"/>
      <c r="E19" s="98"/>
      <c r="F19" s="99"/>
      <c r="G19" s="20"/>
      <c r="H19" s="89"/>
      <c r="I19" s="89"/>
      <c r="J19" s="92"/>
      <c r="K19" s="31"/>
      <c r="L19" s="32"/>
      <c r="M19" s="33"/>
    </row>
    <row r="20" spans="1:13">
      <c r="A20" s="89" t="str">
        <f t="shared" si="1"/>
        <v xml:space="preserve"> </v>
      </c>
      <c r="B20" s="96"/>
      <c r="C20" s="31"/>
      <c r="D20" s="97"/>
      <c r="E20" s="98"/>
      <c r="F20" s="99"/>
      <c r="G20" s="20"/>
      <c r="H20" s="89"/>
      <c r="I20" s="89"/>
      <c r="J20" s="92"/>
      <c r="K20" s="31"/>
      <c r="L20" s="32"/>
      <c r="M20" s="33"/>
    </row>
    <row r="21" spans="1:13">
      <c r="A21" s="89" t="str">
        <f t="shared" si="1"/>
        <v xml:space="preserve"> </v>
      </c>
      <c r="B21" s="96"/>
      <c r="C21" s="31"/>
      <c r="D21" s="97"/>
      <c r="E21" s="98"/>
      <c r="F21" s="99"/>
      <c r="G21" s="20"/>
      <c r="H21" s="89"/>
      <c r="I21" s="89"/>
      <c r="J21" s="92"/>
      <c r="K21" s="31"/>
      <c r="L21" s="32"/>
      <c r="M21" s="33"/>
    </row>
    <row r="22" spans="1:13">
      <c r="A22" s="89" t="str">
        <f t="shared" si="1"/>
        <v xml:space="preserve"> </v>
      </c>
      <c r="B22" s="96"/>
      <c r="C22" s="31"/>
      <c r="D22" s="97"/>
      <c r="E22" s="98"/>
      <c r="F22" s="99"/>
      <c r="G22" s="20"/>
      <c r="H22" s="89"/>
      <c r="I22" s="89"/>
      <c r="J22" s="92"/>
      <c r="K22" s="31"/>
      <c r="L22" s="32"/>
      <c r="M22" s="33"/>
    </row>
    <row r="23" spans="1:13">
      <c r="A23" s="89" t="str">
        <f t="shared" si="1"/>
        <v xml:space="preserve"> </v>
      </c>
      <c r="B23" s="96"/>
      <c r="C23" s="31"/>
      <c r="D23" s="97"/>
      <c r="E23" s="98"/>
      <c r="F23" s="99"/>
      <c r="G23" s="20"/>
      <c r="H23" s="89"/>
      <c r="I23" s="89"/>
      <c r="J23" s="92"/>
      <c r="K23" s="31"/>
      <c r="L23" s="32"/>
      <c r="M23" s="33"/>
    </row>
    <row r="24" spans="1:13">
      <c r="A24" s="89" t="str">
        <f t="shared" si="1"/>
        <v xml:space="preserve"> </v>
      </c>
      <c r="B24" s="96"/>
      <c r="C24" s="31"/>
      <c r="D24" s="97"/>
      <c r="E24" s="98"/>
      <c r="F24" s="99"/>
      <c r="G24" s="20"/>
      <c r="H24" s="89"/>
      <c r="I24" s="89"/>
      <c r="J24" s="92"/>
      <c r="K24" s="31"/>
      <c r="L24" s="32"/>
      <c r="M24" s="33"/>
    </row>
    <row r="25" spans="1:13">
      <c r="A25" s="89" t="str">
        <f t="shared" si="1"/>
        <v xml:space="preserve"> </v>
      </c>
      <c r="B25" s="96"/>
      <c r="C25" s="31"/>
      <c r="D25" s="97"/>
      <c r="E25" s="98"/>
      <c r="F25" s="99"/>
      <c r="G25" s="20"/>
      <c r="H25" s="89"/>
      <c r="I25" s="89"/>
      <c r="J25" s="92"/>
      <c r="K25" s="31"/>
      <c r="L25" s="32"/>
      <c r="M25" s="33"/>
    </row>
    <row r="26" spans="1:13">
      <c r="A26" s="89" t="str">
        <f t="shared" si="1"/>
        <v xml:space="preserve"> </v>
      </c>
      <c r="B26" s="96"/>
      <c r="C26" s="31"/>
      <c r="D26" s="97"/>
      <c r="E26" s="98"/>
      <c r="F26" s="99"/>
      <c r="G26" s="20"/>
      <c r="H26" s="89"/>
      <c r="I26" s="89"/>
      <c r="J26" s="92"/>
      <c r="K26" s="31"/>
      <c r="L26" s="32"/>
      <c r="M26" s="33"/>
    </row>
    <row r="27" spans="1:13">
      <c r="A27" s="89" t="str">
        <f t="shared" si="1"/>
        <v xml:space="preserve"> </v>
      </c>
      <c r="B27" s="96"/>
      <c r="C27" s="31"/>
      <c r="D27" s="97"/>
      <c r="E27" s="98"/>
      <c r="F27" s="99"/>
      <c r="G27" s="20"/>
      <c r="H27" s="89"/>
      <c r="I27" s="89"/>
      <c r="J27" s="92"/>
      <c r="K27" s="31"/>
      <c r="L27" s="32"/>
      <c r="M27" s="33"/>
    </row>
    <row r="28" spans="1:13">
      <c r="A28" s="89" t="str">
        <f t="shared" si="1"/>
        <v xml:space="preserve"> </v>
      </c>
      <c r="B28" s="96"/>
      <c r="C28" s="31"/>
      <c r="D28" s="97"/>
      <c r="E28" s="98"/>
      <c r="F28" s="99"/>
      <c r="G28" s="20"/>
      <c r="H28" s="89"/>
      <c r="I28" s="89"/>
      <c r="J28" s="92"/>
      <c r="K28" s="31"/>
      <c r="L28" s="32"/>
      <c r="M28" s="33"/>
    </row>
    <row r="29" spans="1:13">
      <c r="A29" s="89" t="str">
        <f t="shared" si="1"/>
        <v xml:space="preserve"> </v>
      </c>
      <c r="B29" s="96"/>
      <c r="C29" s="31"/>
      <c r="D29" s="97"/>
      <c r="E29" s="98"/>
      <c r="F29" s="99"/>
      <c r="G29" s="20"/>
      <c r="H29" s="89"/>
      <c r="I29" s="89"/>
      <c r="J29" s="92"/>
      <c r="K29" s="31"/>
      <c r="L29" s="32"/>
      <c r="M29" s="33"/>
    </row>
    <row r="30" spans="1:13">
      <c r="A30" s="89" t="str">
        <f t="shared" si="1"/>
        <v xml:space="preserve"> </v>
      </c>
      <c r="B30" s="96"/>
      <c r="C30" s="31"/>
      <c r="D30" s="97"/>
      <c r="E30" s="98"/>
      <c r="F30" s="99"/>
      <c r="G30" s="20"/>
      <c r="H30" s="89"/>
      <c r="I30" s="89"/>
      <c r="J30" s="92"/>
      <c r="K30" s="31"/>
      <c r="L30" s="32"/>
      <c r="M30" s="33"/>
    </row>
    <row r="31" spans="1:13" ht="12" customHeight="1">
      <c r="A31" s="89" t="str">
        <f t="shared" ref="A31:A50" si="2">IF(B31=""," ",A30+1)</f>
        <v xml:space="preserve"> </v>
      </c>
      <c r="B31" s="96"/>
      <c r="C31" s="31"/>
      <c r="D31" s="97"/>
      <c r="E31" s="98"/>
      <c r="F31" s="99"/>
      <c r="G31" s="20"/>
      <c r="H31" s="89"/>
      <c r="I31" s="89"/>
      <c r="J31" s="92"/>
      <c r="K31" s="31"/>
      <c r="L31" s="32"/>
      <c r="M31" s="33"/>
    </row>
    <row r="32" spans="1:13" ht="12" customHeight="1">
      <c r="A32" s="89" t="str">
        <f t="shared" si="2"/>
        <v xml:space="preserve"> </v>
      </c>
      <c r="B32" s="96"/>
      <c r="C32" s="31"/>
      <c r="D32" s="97"/>
      <c r="E32" s="98"/>
      <c r="F32" s="99"/>
      <c r="G32" s="20"/>
      <c r="H32" s="89"/>
      <c r="I32" s="89"/>
      <c r="J32" s="92"/>
      <c r="K32" s="31"/>
      <c r="L32" s="32"/>
      <c r="M32" s="33"/>
    </row>
    <row r="33" spans="1:13" ht="12" customHeight="1">
      <c r="A33" s="89" t="str">
        <f t="shared" si="2"/>
        <v xml:space="preserve"> </v>
      </c>
      <c r="B33" s="96"/>
      <c r="C33" s="31"/>
      <c r="D33" s="97"/>
      <c r="E33" s="98"/>
      <c r="F33" s="99"/>
      <c r="G33" s="21"/>
      <c r="H33" s="89"/>
      <c r="I33" s="89"/>
      <c r="J33" s="92"/>
      <c r="K33" s="31"/>
      <c r="L33" s="32"/>
      <c r="M33" s="33"/>
    </row>
    <row r="34" spans="1:13" ht="12" customHeight="1">
      <c r="A34" s="89" t="str">
        <f t="shared" si="2"/>
        <v xml:space="preserve"> </v>
      </c>
      <c r="B34" s="96"/>
      <c r="C34" s="31"/>
      <c r="D34" s="97"/>
      <c r="E34" s="98"/>
      <c r="F34" s="99"/>
      <c r="G34" s="21"/>
      <c r="H34" s="89"/>
      <c r="I34" s="89"/>
      <c r="J34" s="92"/>
      <c r="K34" s="31"/>
      <c r="L34" s="32"/>
      <c r="M34" s="33"/>
    </row>
    <row r="35" spans="1:13" ht="12" customHeight="1">
      <c r="A35" s="89" t="str">
        <f t="shared" si="2"/>
        <v xml:space="preserve"> </v>
      </c>
      <c r="B35" s="96"/>
      <c r="C35" s="31"/>
      <c r="D35" s="97"/>
      <c r="E35" s="98"/>
      <c r="F35" s="99"/>
      <c r="G35" s="21"/>
      <c r="H35" s="89"/>
      <c r="I35" s="89"/>
      <c r="J35" s="92"/>
      <c r="K35" s="31"/>
      <c r="L35" s="32"/>
      <c r="M35" s="33"/>
    </row>
    <row r="36" spans="1:13" ht="12" customHeight="1">
      <c r="A36" s="89" t="str">
        <f t="shared" si="2"/>
        <v xml:space="preserve"> </v>
      </c>
      <c r="B36" s="96"/>
      <c r="C36" s="31"/>
      <c r="D36" s="97"/>
      <c r="E36" s="98"/>
      <c r="F36" s="99"/>
      <c r="G36" s="21"/>
      <c r="H36" s="89"/>
      <c r="I36" s="89"/>
      <c r="J36" s="92"/>
      <c r="K36" s="31"/>
      <c r="L36" s="32"/>
      <c r="M36" s="33"/>
    </row>
    <row r="37" spans="1:13" ht="12" customHeight="1">
      <c r="A37" s="89" t="str">
        <f t="shared" si="2"/>
        <v xml:space="preserve"> </v>
      </c>
      <c r="B37" s="96"/>
      <c r="C37" s="31"/>
      <c r="D37" s="97"/>
      <c r="E37" s="98"/>
      <c r="F37" s="99"/>
      <c r="G37" s="21"/>
      <c r="H37" s="89"/>
      <c r="I37" s="89"/>
      <c r="J37" s="92"/>
      <c r="K37" s="31"/>
      <c r="L37" s="32"/>
      <c r="M37" s="33"/>
    </row>
    <row r="38" spans="1:13" ht="12" customHeight="1">
      <c r="A38" s="89" t="str">
        <f t="shared" si="2"/>
        <v xml:space="preserve"> </v>
      </c>
      <c r="B38" s="96"/>
      <c r="C38" s="31"/>
      <c r="D38" s="97"/>
      <c r="E38" s="98"/>
      <c r="F38" s="99"/>
      <c r="G38" s="21"/>
      <c r="H38" s="89"/>
      <c r="I38" s="89"/>
      <c r="J38" s="92"/>
      <c r="K38" s="31"/>
      <c r="L38" s="32"/>
      <c r="M38" s="33"/>
    </row>
    <row r="39" spans="1:13" ht="12" customHeight="1">
      <c r="A39" s="89" t="str">
        <f t="shared" si="2"/>
        <v xml:space="preserve"> </v>
      </c>
      <c r="B39" s="66"/>
      <c r="C39" s="31"/>
      <c r="D39" s="97"/>
      <c r="E39" s="98"/>
      <c r="F39" s="99"/>
      <c r="G39" s="21"/>
      <c r="H39" s="89"/>
      <c r="I39" s="89"/>
      <c r="J39" s="92"/>
      <c r="K39" s="31"/>
      <c r="L39" s="32"/>
      <c r="M39" s="33"/>
    </row>
    <row r="40" spans="1:13" ht="12" customHeight="1">
      <c r="A40" s="89" t="str">
        <f>IF(B40=""," ",#REF!+1)</f>
        <v xml:space="preserve"> </v>
      </c>
      <c r="B40" s="96"/>
      <c r="C40" s="31"/>
      <c r="D40" s="97"/>
      <c r="E40" s="98"/>
      <c r="F40" s="99"/>
      <c r="G40" s="21"/>
      <c r="H40" s="89"/>
      <c r="I40" s="89"/>
      <c r="J40" s="92"/>
      <c r="K40" s="31"/>
      <c r="L40" s="32"/>
      <c r="M40" s="33"/>
    </row>
    <row r="41" spans="1:13" ht="12" customHeight="1">
      <c r="A41" s="89" t="str">
        <f>IF(B41=""," ",#REF!+1)</f>
        <v xml:space="preserve"> </v>
      </c>
      <c r="B41" s="96"/>
      <c r="C41" s="31"/>
      <c r="D41" s="97"/>
      <c r="E41" s="98"/>
      <c r="F41" s="99"/>
      <c r="G41" s="21"/>
      <c r="H41" s="89"/>
      <c r="I41" s="89"/>
      <c r="J41" s="92"/>
      <c r="K41" s="31"/>
      <c r="L41" s="32"/>
      <c r="M41" s="33"/>
    </row>
    <row r="42" spans="1:13" ht="12" customHeight="1">
      <c r="A42" s="89" t="str">
        <f t="shared" si="2"/>
        <v xml:space="preserve"> </v>
      </c>
      <c r="B42" s="96"/>
      <c r="C42" s="31"/>
      <c r="D42" s="97"/>
      <c r="E42" s="98"/>
      <c r="F42" s="99"/>
      <c r="G42" s="21"/>
      <c r="H42" s="89"/>
      <c r="I42" s="89"/>
      <c r="J42" s="92"/>
      <c r="K42" s="31"/>
      <c r="L42" s="32"/>
      <c r="M42" s="33"/>
    </row>
    <row r="43" spans="1:13">
      <c r="A43" s="89" t="str">
        <f t="shared" si="2"/>
        <v xml:space="preserve"> </v>
      </c>
      <c r="B43" s="96"/>
      <c r="C43" s="31"/>
      <c r="D43" s="97"/>
      <c r="E43" s="98"/>
      <c r="F43" s="99"/>
      <c r="G43" s="21"/>
      <c r="H43" s="89"/>
      <c r="I43" s="89"/>
      <c r="J43" s="92"/>
      <c r="K43" s="31"/>
      <c r="L43" s="32"/>
      <c r="M43" s="33"/>
    </row>
    <row r="44" spans="1:13">
      <c r="A44" s="89" t="str">
        <f t="shared" si="2"/>
        <v xml:space="preserve"> </v>
      </c>
      <c r="B44" s="96"/>
      <c r="C44" s="31"/>
      <c r="D44" s="97"/>
      <c r="E44" s="98"/>
      <c r="F44" s="99"/>
      <c r="G44" s="21"/>
      <c r="H44" s="89"/>
      <c r="I44" s="89"/>
      <c r="J44" s="92"/>
      <c r="K44" s="31"/>
      <c r="L44" s="32"/>
      <c r="M44" s="33"/>
    </row>
    <row r="45" spans="1:13">
      <c r="A45" s="89" t="str">
        <f>IF(B45=""," ",A44+1)</f>
        <v xml:space="preserve"> </v>
      </c>
      <c r="B45" s="96"/>
      <c r="C45" s="31"/>
      <c r="D45" s="97"/>
      <c r="E45" s="98"/>
      <c r="F45" s="99"/>
      <c r="G45" s="21"/>
      <c r="H45" s="89"/>
      <c r="I45" s="89"/>
      <c r="J45" s="92"/>
      <c r="K45" s="31"/>
      <c r="L45" s="32"/>
      <c r="M45" s="33"/>
    </row>
    <row r="46" spans="1:13">
      <c r="A46" s="89" t="str">
        <f t="shared" si="2"/>
        <v xml:space="preserve"> </v>
      </c>
      <c r="B46" s="96"/>
      <c r="C46" s="31"/>
      <c r="D46" s="97"/>
      <c r="E46" s="98"/>
      <c r="F46" s="99"/>
      <c r="G46" s="21"/>
      <c r="H46" s="89"/>
      <c r="I46" s="89"/>
      <c r="J46" s="92"/>
      <c r="K46" s="31"/>
      <c r="L46" s="32"/>
      <c r="M46" s="33"/>
    </row>
    <row r="47" spans="1:13">
      <c r="A47" s="89" t="str">
        <f t="shared" si="2"/>
        <v xml:space="preserve"> </v>
      </c>
      <c r="B47" s="96"/>
      <c r="C47" s="31"/>
      <c r="D47" s="97"/>
      <c r="E47" s="98"/>
      <c r="F47" s="99"/>
      <c r="G47" s="21"/>
      <c r="H47" s="89"/>
      <c r="I47" s="89"/>
      <c r="J47" s="92"/>
      <c r="K47" s="31"/>
      <c r="L47" s="32"/>
      <c r="M47" s="33"/>
    </row>
    <row r="48" spans="1:13">
      <c r="A48" s="89" t="str">
        <f t="shared" si="2"/>
        <v xml:space="preserve"> </v>
      </c>
      <c r="B48" s="96"/>
      <c r="C48" s="31"/>
      <c r="D48" s="97"/>
      <c r="E48" s="98"/>
      <c r="F48" s="99"/>
      <c r="G48" s="21"/>
      <c r="H48" s="89"/>
      <c r="I48" s="89"/>
      <c r="J48" s="92"/>
      <c r="K48" s="31"/>
      <c r="L48" s="32"/>
      <c r="M48" s="33"/>
    </row>
    <row r="49" spans="1:13">
      <c r="A49" s="89" t="str">
        <f t="shared" si="2"/>
        <v xml:space="preserve"> </v>
      </c>
      <c r="B49" s="96"/>
      <c r="C49" s="31"/>
      <c r="D49" s="97"/>
      <c r="E49" s="98"/>
      <c r="F49" s="99"/>
      <c r="G49" s="21"/>
      <c r="H49" s="89"/>
      <c r="I49" s="89"/>
      <c r="J49" s="92"/>
      <c r="K49" s="31"/>
      <c r="L49" s="32"/>
      <c r="M49" s="33"/>
    </row>
    <row r="50" spans="1:13">
      <c r="A50" s="89" t="str">
        <f t="shared" si="2"/>
        <v xml:space="preserve"> </v>
      </c>
      <c r="B50" s="96"/>
      <c r="C50" s="31"/>
      <c r="D50" s="97"/>
      <c r="E50" s="98"/>
      <c r="F50" s="99"/>
      <c r="G50" s="21"/>
      <c r="H50" s="89"/>
      <c r="I50" s="89"/>
      <c r="J50" s="92"/>
      <c r="K50" s="31"/>
      <c r="L50" s="32"/>
      <c r="M50" s="33"/>
    </row>
    <row r="51" spans="1:13">
      <c r="A51" s="42" t="str">
        <f>IF(B51=""," ",A50+1)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c r="B110" s="22" t="s">
        <v>725</v>
      </c>
      <c r="C110" s="22" t="s">
        <v>727</v>
      </c>
    </row>
    <row r="111" spans="1:13">
      <c r="D111" s="22" t="s">
        <v>728</v>
      </c>
    </row>
    <row r="112" spans="1:13">
      <c r="C112" s="22" t="s">
        <v>726</v>
      </c>
    </row>
    <row r="113" spans="2:4">
      <c r="C113" s="16" t="s">
        <v>1720</v>
      </c>
      <c r="D113" s="16" t="s">
        <v>748</v>
      </c>
    </row>
    <row r="115" spans="2:4">
      <c r="B115" s="22" t="s">
        <v>1712</v>
      </c>
      <c r="C115" s="22" t="s">
        <v>20</v>
      </c>
      <c r="D115" s="22" t="s">
        <v>1713</v>
      </c>
    </row>
  </sheetData>
  <mergeCells count="48">
    <mergeCell ref="K99:M99"/>
    <mergeCell ref="K100:M100"/>
    <mergeCell ref="K91:M91"/>
    <mergeCell ref="K92:M92"/>
    <mergeCell ref="K95:M95"/>
    <mergeCell ref="K96:M96"/>
    <mergeCell ref="K83:M83"/>
    <mergeCell ref="K84:M84"/>
    <mergeCell ref="K87:M87"/>
    <mergeCell ref="K88:M88"/>
    <mergeCell ref="K75:M75"/>
    <mergeCell ref="K76:M76"/>
    <mergeCell ref="K79:M79"/>
    <mergeCell ref="K80:M80"/>
    <mergeCell ref="K67:M67"/>
    <mergeCell ref="K68:M68"/>
    <mergeCell ref="K71:M71"/>
    <mergeCell ref="K72:M72"/>
    <mergeCell ref="K59:M59"/>
    <mergeCell ref="K60:M60"/>
    <mergeCell ref="K63:M63"/>
    <mergeCell ref="K64:M64"/>
    <mergeCell ref="K51:M51"/>
    <mergeCell ref="K52:M52"/>
    <mergeCell ref="K55:M55"/>
    <mergeCell ref="K56:M56"/>
    <mergeCell ref="K7:M7"/>
    <mergeCell ref="K8:M8"/>
    <mergeCell ref="K10:M10"/>
    <mergeCell ref="K14:M14"/>
    <mergeCell ref="K15:M15"/>
    <mergeCell ref="K11:M11"/>
    <mergeCell ref="K12:M12"/>
    <mergeCell ref="K13:M13"/>
    <mergeCell ref="A5:A6"/>
    <mergeCell ref="B5:C5"/>
    <mergeCell ref="K5:M6"/>
    <mergeCell ref="I5:J5"/>
    <mergeCell ref="D5:H5"/>
    <mergeCell ref="A2:B2"/>
    <mergeCell ref="A3:B3"/>
    <mergeCell ref="A4:B4"/>
    <mergeCell ref="H2:J2"/>
    <mergeCell ref="C2:G2"/>
    <mergeCell ref="C3:G3"/>
    <mergeCell ref="C4:G4"/>
    <mergeCell ref="H3:I3"/>
    <mergeCell ref="H4:I4"/>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pageSetUpPr fitToPage="1"/>
  </sheetPr>
  <dimension ref="A1:P117"/>
  <sheetViews>
    <sheetView showGridLines="0" zoomScaleNormal="100" zoomScaleSheetLayoutView="100" workbookViewId="0">
      <pane ySplit="6" topLeftCell="A7" activePane="bottomLeft" state="frozen"/>
      <selection activeCell="A7" sqref="A7"/>
      <selection pane="bottomLeft" activeCell="U12" sqref="U12"/>
    </sheetView>
  </sheetViews>
  <sheetFormatPr defaultRowHeight="12"/>
  <cols>
    <col min="1" max="1" width="3.875" style="171" bestFit="1" customWidth="1"/>
    <col min="2" max="2" width="28.625" style="172" customWidth="1"/>
    <col min="3" max="3" width="13.375" style="172" customWidth="1"/>
    <col min="4" max="4" width="9.375" style="172" customWidth="1"/>
    <col min="5" max="6" width="4.75" style="172" bestFit="1" customWidth="1"/>
    <col min="7" max="7" width="6.125" style="172" bestFit="1" customWidth="1"/>
    <col min="8" max="8" width="4.75" style="172" bestFit="1" customWidth="1"/>
    <col min="9" max="9" width="4.75" style="172" customWidth="1"/>
    <col min="10" max="11" width="9.625" style="172" customWidth="1"/>
    <col min="12" max="13" width="10.25" style="172" customWidth="1"/>
    <col min="14" max="14" width="9" style="172"/>
    <col min="15" max="16" width="9" style="172" hidden="1" customWidth="1"/>
    <col min="17" max="16384" width="9" style="172"/>
  </cols>
  <sheetData>
    <row r="1" spans="1:16">
      <c r="B1" s="356"/>
      <c r="C1" s="244"/>
    </row>
    <row r="2" spans="1:16">
      <c r="A2" s="902" t="s">
        <v>991</v>
      </c>
      <c r="B2" s="903"/>
      <c r="C2" s="902" t="s">
        <v>36</v>
      </c>
      <c r="D2" s="908"/>
      <c r="E2" s="908"/>
      <c r="F2" s="908"/>
      <c r="G2" s="903"/>
      <c r="H2" s="902"/>
      <c r="I2" s="908"/>
      <c r="J2" s="903"/>
      <c r="K2" s="174"/>
      <c r="L2" s="175" t="s">
        <v>37</v>
      </c>
      <c r="M2" s="175" t="s">
        <v>38</v>
      </c>
    </row>
    <row r="3" spans="1:16">
      <c r="A3" s="904"/>
      <c r="B3" s="905"/>
      <c r="C3" s="909" t="s">
        <v>786</v>
      </c>
      <c r="D3" s="910"/>
      <c r="E3" s="910"/>
      <c r="F3" s="910"/>
      <c r="G3" s="911"/>
      <c r="H3" s="902" t="s">
        <v>39</v>
      </c>
      <c r="I3" s="903"/>
      <c r="J3" s="176">
        <f>COUNT(A8:A99)</f>
        <v>9</v>
      </c>
      <c r="K3" s="175" t="s">
        <v>40</v>
      </c>
      <c r="L3" s="177">
        <v>38629</v>
      </c>
      <c r="M3" s="41" t="s">
        <v>56</v>
      </c>
      <c r="O3" s="172" t="s">
        <v>41</v>
      </c>
      <c r="P3" s="172" t="s">
        <v>42</v>
      </c>
    </row>
    <row r="4" spans="1:16">
      <c r="A4" s="906" t="s">
        <v>43</v>
      </c>
      <c r="B4" s="907"/>
      <c r="C4" s="906" t="s">
        <v>1006</v>
      </c>
      <c r="D4" s="912"/>
      <c r="E4" s="912"/>
      <c r="F4" s="912"/>
      <c r="G4" s="907"/>
      <c r="H4" s="902" t="s">
        <v>44</v>
      </c>
      <c r="I4" s="903"/>
      <c r="J4" s="176">
        <f>SUM(G8:G99)</f>
        <v>104</v>
      </c>
      <c r="K4" s="175" t="s">
        <v>45</v>
      </c>
      <c r="L4" s="357">
        <v>39142</v>
      </c>
      <c r="M4" s="358" t="s">
        <v>675</v>
      </c>
      <c r="O4" s="172" t="s">
        <v>992</v>
      </c>
      <c r="P4" s="172" t="s">
        <v>993</v>
      </c>
    </row>
    <row r="5" spans="1:16">
      <c r="A5" s="900" t="s">
        <v>994</v>
      </c>
      <c r="B5" s="902" t="s">
        <v>46</v>
      </c>
      <c r="C5" s="908"/>
      <c r="D5" s="931" t="s">
        <v>47</v>
      </c>
      <c r="E5" s="908"/>
      <c r="F5" s="908"/>
      <c r="G5" s="908"/>
      <c r="H5" s="908"/>
      <c r="I5" s="902" t="s">
        <v>995</v>
      </c>
      <c r="J5" s="903"/>
      <c r="K5" s="925" t="s">
        <v>48</v>
      </c>
      <c r="L5" s="926"/>
      <c r="M5" s="927"/>
      <c r="P5" s="172" t="s">
        <v>1568</v>
      </c>
    </row>
    <row r="6" spans="1:16">
      <c r="A6" s="901"/>
      <c r="B6" s="175" t="s">
        <v>49</v>
      </c>
      <c r="C6" s="178" t="s">
        <v>50</v>
      </c>
      <c r="D6" s="179" t="s">
        <v>42</v>
      </c>
      <c r="E6" s="180" t="s">
        <v>51</v>
      </c>
      <c r="F6" s="181" t="s">
        <v>52</v>
      </c>
      <c r="G6" s="175" t="s">
        <v>1569</v>
      </c>
      <c r="H6" s="173" t="s">
        <v>53</v>
      </c>
      <c r="I6" s="173" t="s">
        <v>1570</v>
      </c>
      <c r="J6" s="173" t="s">
        <v>1571</v>
      </c>
      <c r="K6" s="928"/>
      <c r="L6" s="929"/>
      <c r="M6" s="930"/>
      <c r="P6" s="172" t="s">
        <v>1572</v>
      </c>
    </row>
    <row r="7" spans="1:16" ht="59.25" customHeight="1">
      <c r="A7" s="208">
        <v>1</v>
      </c>
      <c r="B7" s="209" t="s">
        <v>766</v>
      </c>
      <c r="C7" s="210" t="s">
        <v>251</v>
      </c>
      <c r="D7" s="211" t="s">
        <v>527</v>
      </c>
      <c r="E7" s="212">
        <v>4</v>
      </c>
      <c r="F7" s="213"/>
      <c r="G7" s="21">
        <f>IF(D7="DATE",4,IF(D7="CHAR",E7,IF(D7="SMALLINT",2,IF(D7="INTEGER",4,IF(D7="TIMESTAMP",10,IF(D7="TIME",3,0))))))</f>
        <v>4</v>
      </c>
      <c r="H7" s="208" t="s">
        <v>573</v>
      </c>
      <c r="I7" s="208" t="s">
        <v>573</v>
      </c>
      <c r="J7" s="214"/>
      <c r="K7" s="916" t="s">
        <v>2015</v>
      </c>
      <c r="L7" s="917"/>
      <c r="M7" s="918"/>
      <c r="N7" s="172" t="s">
        <v>2014</v>
      </c>
      <c r="P7" s="172" t="s">
        <v>1016</v>
      </c>
    </row>
    <row r="8" spans="1:16" s="370" customFormat="1">
      <c r="A8" s="42">
        <f t="shared" ref="A8:A16" si="0">IF(B8=""," ",A7+1)</f>
        <v>2</v>
      </c>
      <c r="B8" s="360" t="s">
        <v>74</v>
      </c>
      <c r="C8" s="361" t="s">
        <v>1017</v>
      </c>
      <c r="D8" s="362" t="s">
        <v>506</v>
      </c>
      <c r="E8" s="363">
        <v>16</v>
      </c>
      <c r="F8" s="364"/>
      <c r="G8" s="365">
        <f>IF(D8="DATE",4,IF(D8="CHAR",E8,IF(D8="SMALLINT",2,IF(D8="INTEGER",4,IF(D8="TIMESTAMP",10,IF(D8="TIME",3,0))))))</f>
        <v>16</v>
      </c>
      <c r="H8" s="182" t="s">
        <v>288</v>
      </c>
      <c r="I8" s="359" t="s">
        <v>288</v>
      </c>
      <c r="J8" s="366"/>
      <c r="K8" s="913"/>
      <c r="L8" s="914"/>
      <c r="M8" s="915"/>
    </row>
    <row r="9" spans="1:16">
      <c r="A9" s="42">
        <f t="shared" si="0"/>
        <v>3</v>
      </c>
      <c r="B9" s="360" t="s">
        <v>66</v>
      </c>
      <c r="C9" s="361" t="s">
        <v>1018</v>
      </c>
      <c r="D9" s="371" t="s">
        <v>1019</v>
      </c>
      <c r="E9" s="98">
        <v>7</v>
      </c>
      <c r="F9" s="183"/>
      <c r="G9" s="365">
        <f>IF(D9="DATE",4,IF(D9="CHAR",E9,IF(D9="SMALLINT",2,IF(D9="INTEGER",4,IF(D9="TIMESTAMP",10,IF(D9="TIME",3,0))))))</f>
        <v>7</v>
      </c>
      <c r="H9" s="182" t="s">
        <v>1020</v>
      </c>
      <c r="I9" s="182" t="s">
        <v>1020</v>
      </c>
      <c r="J9" s="184"/>
      <c r="K9" s="367"/>
      <c r="L9" s="368"/>
      <c r="M9" s="369"/>
      <c r="P9" s="172" t="s">
        <v>1021</v>
      </c>
    </row>
    <row r="10" spans="1:16" ht="107.25" customHeight="1">
      <c r="A10" s="42">
        <f t="shared" si="0"/>
        <v>4</v>
      </c>
      <c r="B10" s="360" t="s">
        <v>73</v>
      </c>
      <c r="C10" s="361" t="s">
        <v>1022</v>
      </c>
      <c r="D10" s="362" t="s">
        <v>1023</v>
      </c>
      <c r="E10" s="185">
        <v>15</v>
      </c>
      <c r="F10" s="183"/>
      <c r="G10" s="365">
        <f>IF(D10="DATE",4,IF(D10="CHAR",E10,IF(D10="SMALLINT",2,IF(D10="INTEGER",4,IF(D10="TIMESTAMP",10,IF(D10="TIME",3,0))))))</f>
        <v>15</v>
      </c>
      <c r="H10" s="182" t="s">
        <v>1384</v>
      </c>
      <c r="I10" s="182" t="s">
        <v>1384</v>
      </c>
      <c r="J10" s="184"/>
      <c r="K10" s="913" t="s">
        <v>1025</v>
      </c>
      <c r="L10" s="914"/>
      <c r="M10" s="915"/>
      <c r="P10" s="172" t="s">
        <v>1026</v>
      </c>
    </row>
    <row r="11" spans="1:16">
      <c r="A11" s="42">
        <f t="shared" si="0"/>
        <v>5</v>
      </c>
      <c r="B11" s="360" t="s">
        <v>70</v>
      </c>
      <c r="C11" s="361" t="s">
        <v>1027</v>
      </c>
      <c r="D11" s="362" t="s">
        <v>1591</v>
      </c>
      <c r="E11" s="185">
        <v>20</v>
      </c>
      <c r="F11" s="183"/>
      <c r="G11" s="365">
        <f t="shared" ref="G11:G16" si="1">IF(D11="DATE",4,IF(D11="CHAR",E11,IF(D11="SMALLINT",2,IF(D11="INTEGER",4,IF(D11="TIMESTAMP",10,IF(D11="TIME",3,0))))))</f>
        <v>20</v>
      </c>
      <c r="H11" s="359" t="s">
        <v>1592</v>
      </c>
      <c r="I11" s="182"/>
      <c r="J11" s="184"/>
      <c r="K11" s="932" t="s">
        <v>723</v>
      </c>
      <c r="L11" s="933"/>
      <c r="M11" s="934"/>
      <c r="P11" s="172" t="s">
        <v>1028</v>
      </c>
    </row>
    <row r="12" spans="1:16" s="22" customFormat="1">
      <c r="A12" s="42">
        <f t="shared" si="0"/>
        <v>6</v>
      </c>
      <c r="B12" s="360" t="s">
        <v>71</v>
      </c>
      <c r="C12" s="361" t="s">
        <v>72</v>
      </c>
      <c r="D12" s="362" t="s">
        <v>1598</v>
      </c>
      <c r="E12" s="185">
        <v>20</v>
      </c>
      <c r="F12" s="183"/>
      <c r="G12" s="365">
        <f t="shared" si="1"/>
        <v>20</v>
      </c>
      <c r="H12" s="359" t="s">
        <v>1596</v>
      </c>
      <c r="I12" s="182"/>
      <c r="J12" s="184"/>
      <c r="K12" s="935"/>
      <c r="L12" s="936"/>
      <c r="M12" s="937"/>
      <c r="P12" s="172" t="s">
        <v>1029</v>
      </c>
    </row>
    <row r="13" spans="1:16" s="22" customFormat="1">
      <c r="A13" s="42">
        <f t="shared" si="0"/>
        <v>7</v>
      </c>
      <c r="B13" s="372" t="s">
        <v>26</v>
      </c>
      <c r="C13" s="373" t="s">
        <v>1030</v>
      </c>
      <c r="D13" s="374" t="s">
        <v>1031</v>
      </c>
      <c r="E13" s="363"/>
      <c r="F13" s="375"/>
      <c r="G13" s="365">
        <f t="shared" si="1"/>
        <v>4</v>
      </c>
      <c r="H13" s="359" t="s">
        <v>1032</v>
      </c>
      <c r="I13" s="359" t="s">
        <v>1032</v>
      </c>
      <c r="J13" s="376"/>
      <c r="K13" s="941" t="s">
        <v>1659</v>
      </c>
      <c r="L13" s="942"/>
      <c r="M13" s="943"/>
    </row>
    <row r="14" spans="1:16" s="22" customFormat="1">
      <c r="A14" s="42">
        <f t="shared" si="0"/>
        <v>8</v>
      </c>
      <c r="B14" s="372" t="s">
        <v>27</v>
      </c>
      <c r="C14" s="373" t="s">
        <v>1033</v>
      </c>
      <c r="D14" s="374" t="s">
        <v>1031</v>
      </c>
      <c r="E14" s="363"/>
      <c r="F14" s="375"/>
      <c r="G14" s="365">
        <f t="shared" si="1"/>
        <v>4</v>
      </c>
      <c r="H14" s="359" t="s">
        <v>1032</v>
      </c>
      <c r="I14" s="359"/>
      <c r="J14" s="376"/>
      <c r="K14" s="941" t="s">
        <v>1660</v>
      </c>
      <c r="L14" s="942"/>
      <c r="M14" s="943"/>
    </row>
    <row r="15" spans="1:16" ht="60" customHeight="1">
      <c r="A15" s="42">
        <f t="shared" si="0"/>
        <v>9</v>
      </c>
      <c r="B15" s="372" t="s">
        <v>1705</v>
      </c>
      <c r="C15" s="373" t="s">
        <v>1034</v>
      </c>
      <c r="D15" s="377" t="s">
        <v>1374</v>
      </c>
      <c r="E15" s="363">
        <v>8</v>
      </c>
      <c r="F15" s="375"/>
      <c r="G15" s="365">
        <f t="shared" si="1"/>
        <v>8</v>
      </c>
      <c r="H15" s="359" t="s">
        <v>1375</v>
      </c>
      <c r="I15" s="89"/>
      <c r="J15" s="92"/>
      <c r="K15" s="666" t="s">
        <v>1024</v>
      </c>
      <c r="L15" s="667"/>
      <c r="M15" s="668"/>
    </row>
    <row r="16" spans="1:16" s="198" customFormat="1">
      <c r="A16" s="42">
        <f t="shared" si="0"/>
        <v>10</v>
      </c>
      <c r="B16" s="372" t="s">
        <v>1724</v>
      </c>
      <c r="C16" s="373" t="s">
        <v>1035</v>
      </c>
      <c r="D16" s="374" t="s">
        <v>1595</v>
      </c>
      <c r="E16" s="363"/>
      <c r="F16" s="375"/>
      <c r="G16" s="365">
        <f t="shared" si="1"/>
        <v>10</v>
      </c>
      <c r="H16" s="359" t="s">
        <v>1596</v>
      </c>
      <c r="I16" s="182"/>
      <c r="J16" s="184"/>
      <c r="K16" s="938"/>
      <c r="L16" s="939"/>
      <c r="M16" s="940"/>
      <c r="P16" s="219" t="s">
        <v>1036</v>
      </c>
    </row>
    <row r="17" spans="1:13">
      <c r="A17" s="186" t="str">
        <f>IF(B17=""," ",#REF!+1)</f>
        <v xml:space="preserve"> </v>
      </c>
      <c r="B17" s="189"/>
      <c r="C17" s="190"/>
      <c r="D17" s="191"/>
      <c r="E17" s="192"/>
      <c r="F17" s="193"/>
      <c r="G17" s="365"/>
      <c r="H17" s="186"/>
      <c r="I17" s="186"/>
      <c r="J17" s="184"/>
      <c r="K17" s="922"/>
      <c r="L17" s="923"/>
      <c r="M17" s="924"/>
    </row>
    <row r="18" spans="1:13">
      <c r="A18" s="186" t="str">
        <f t="shared" ref="A18:A31" si="2">IF(B18=""," ",A17+1)</f>
        <v xml:space="preserve"> </v>
      </c>
      <c r="B18" s="189"/>
      <c r="C18" s="190"/>
      <c r="D18" s="191"/>
      <c r="E18" s="192"/>
      <c r="F18" s="193"/>
      <c r="G18" s="365"/>
      <c r="H18" s="186"/>
      <c r="I18" s="186"/>
      <c r="J18" s="184"/>
      <c r="K18" s="460"/>
      <c r="L18" s="461"/>
      <c r="M18" s="462"/>
    </row>
    <row r="19" spans="1:13">
      <c r="A19" s="186" t="str">
        <f t="shared" si="2"/>
        <v xml:space="preserve"> </v>
      </c>
      <c r="B19" s="189"/>
      <c r="C19" s="190"/>
      <c r="D19" s="191"/>
      <c r="E19" s="192"/>
      <c r="F19" s="193"/>
      <c r="G19" s="365"/>
      <c r="H19" s="186"/>
      <c r="I19" s="186"/>
      <c r="J19" s="184"/>
      <c r="K19" s="460"/>
      <c r="L19" s="461"/>
      <c r="M19" s="462"/>
    </row>
    <row r="20" spans="1:13">
      <c r="A20" s="186" t="str">
        <f t="shared" si="2"/>
        <v xml:space="preserve"> </v>
      </c>
      <c r="B20" s="189"/>
      <c r="C20" s="190"/>
      <c r="D20" s="191"/>
      <c r="E20" s="192"/>
      <c r="F20" s="193"/>
      <c r="G20" s="365"/>
      <c r="H20" s="186"/>
      <c r="I20" s="186"/>
      <c r="J20" s="184"/>
      <c r="K20" s="460"/>
      <c r="L20" s="461"/>
      <c r="M20" s="462"/>
    </row>
    <row r="21" spans="1:13">
      <c r="A21" s="186" t="str">
        <f t="shared" si="2"/>
        <v xml:space="preserve"> </v>
      </c>
      <c r="B21" s="189"/>
      <c r="C21" s="190"/>
      <c r="D21" s="191"/>
      <c r="E21" s="192"/>
      <c r="F21" s="193"/>
      <c r="G21" s="365"/>
      <c r="H21" s="186"/>
      <c r="I21" s="186"/>
      <c r="J21" s="184"/>
      <c r="K21" s="457"/>
      <c r="L21" s="458"/>
      <c r="M21" s="459"/>
    </row>
    <row r="22" spans="1:13">
      <c r="A22" s="186" t="str">
        <f t="shared" si="2"/>
        <v xml:space="preserve"> </v>
      </c>
      <c r="B22" s="189"/>
      <c r="C22" s="190"/>
      <c r="D22" s="191"/>
      <c r="E22" s="192"/>
      <c r="F22" s="193"/>
      <c r="G22" s="365"/>
      <c r="H22" s="186"/>
      <c r="I22" s="186"/>
      <c r="J22" s="184"/>
      <c r="K22" s="190"/>
      <c r="L22" s="187"/>
      <c r="M22" s="188"/>
    </row>
    <row r="23" spans="1:13">
      <c r="A23" s="186" t="str">
        <f t="shared" si="2"/>
        <v xml:space="preserve"> </v>
      </c>
      <c r="B23" s="189"/>
      <c r="C23" s="190"/>
      <c r="D23" s="191"/>
      <c r="E23" s="192"/>
      <c r="F23" s="193"/>
      <c r="G23" s="365"/>
      <c r="H23" s="186"/>
      <c r="I23" s="186"/>
      <c r="J23" s="184"/>
      <c r="K23" s="190"/>
      <c r="L23" s="187"/>
      <c r="M23" s="188"/>
    </row>
    <row r="24" spans="1:13">
      <c r="A24" s="186" t="str">
        <f t="shared" si="2"/>
        <v xml:space="preserve"> </v>
      </c>
      <c r="B24" s="189"/>
      <c r="C24" s="190"/>
      <c r="D24" s="191"/>
      <c r="E24" s="192"/>
      <c r="F24" s="193"/>
      <c r="G24" s="365"/>
      <c r="H24" s="186"/>
      <c r="I24" s="186"/>
      <c r="J24" s="184"/>
      <c r="K24" s="190"/>
      <c r="L24" s="187"/>
      <c r="M24" s="188"/>
    </row>
    <row r="25" spans="1:13">
      <c r="A25" s="186" t="str">
        <f t="shared" si="2"/>
        <v xml:space="preserve"> </v>
      </c>
      <c r="B25" s="189"/>
      <c r="C25" s="190"/>
      <c r="D25" s="191"/>
      <c r="E25" s="192"/>
      <c r="F25" s="193"/>
      <c r="G25" s="365"/>
      <c r="H25" s="186"/>
      <c r="I25" s="186"/>
      <c r="J25" s="184"/>
      <c r="K25" s="190"/>
      <c r="L25" s="187"/>
      <c r="M25" s="188"/>
    </row>
    <row r="26" spans="1:13">
      <c r="A26" s="186" t="str">
        <f t="shared" si="2"/>
        <v xml:space="preserve"> </v>
      </c>
      <c r="B26" s="189"/>
      <c r="C26" s="190"/>
      <c r="D26" s="191"/>
      <c r="E26" s="192"/>
      <c r="F26" s="193"/>
      <c r="G26" s="365"/>
      <c r="H26" s="186"/>
      <c r="I26" s="186"/>
      <c r="J26" s="184"/>
      <c r="K26" s="190"/>
      <c r="L26" s="187"/>
      <c r="M26" s="188"/>
    </row>
    <row r="27" spans="1:13">
      <c r="A27" s="186" t="str">
        <f t="shared" si="2"/>
        <v xml:space="preserve"> </v>
      </c>
      <c r="B27" s="189"/>
      <c r="C27" s="190"/>
      <c r="D27" s="191"/>
      <c r="E27" s="192"/>
      <c r="F27" s="193"/>
      <c r="G27" s="365"/>
      <c r="H27" s="186"/>
      <c r="I27" s="186"/>
      <c r="J27" s="184"/>
      <c r="K27" s="190"/>
      <c r="L27" s="187"/>
      <c r="M27" s="188"/>
    </row>
    <row r="28" spans="1:13" ht="12" customHeight="1">
      <c r="A28" s="186" t="str">
        <f t="shared" si="2"/>
        <v xml:space="preserve"> </v>
      </c>
      <c r="B28" s="189"/>
      <c r="C28" s="190"/>
      <c r="D28" s="191"/>
      <c r="E28" s="192"/>
      <c r="F28" s="193"/>
      <c r="G28" s="365"/>
      <c r="H28" s="186"/>
      <c r="I28" s="186"/>
      <c r="J28" s="184"/>
      <c r="K28" s="190"/>
      <c r="L28" s="187"/>
      <c r="M28" s="188"/>
    </row>
    <row r="29" spans="1:13" ht="12" customHeight="1">
      <c r="A29" s="186" t="str">
        <f t="shared" si="2"/>
        <v xml:space="preserve"> </v>
      </c>
      <c r="B29" s="189"/>
      <c r="C29" s="190"/>
      <c r="D29" s="191"/>
      <c r="E29" s="192"/>
      <c r="F29" s="193"/>
      <c r="G29" s="365"/>
      <c r="H29" s="186"/>
      <c r="I29" s="186"/>
      <c r="J29" s="184"/>
      <c r="K29" s="190"/>
      <c r="L29" s="187"/>
      <c r="M29" s="188"/>
    </row>
    <row r="30" spans="1:13" ht="12" customHeight="1">
      <c r="A30" s="186" t="str">
        <f t="shared" si="2"/>
        <v xml:space="preserve"> </v>
      </c>
      <c r="B30" s="189"/>
      <c r="C30" s="190"/>
      <c r="D30" s="191"/>
      <c r="E30" s="192"/>
      <c r="F30" s="193"/>
      <c r="G30" s="365"/>
      <c r="H30" s="186"/>
      <c r="I30" s="186"/>
      <c r="J30" s="184"/>
      <c r="K30" s="190"/>
      <c r="L30" s="187"/>
      <c r="M30" s="188"/>
    </row>
    <row r="31" spans="1:13" ht="12" customHeight="1">
      <c r="A31" s="89" t="str">
        <f t="shared" si="2"/>
        <v xml:space="preserve"> </v>
      </c>
      <c r="B31" s="66"/>
      <c r="C31" s="31"/>
      <c r="D31" s="97"/>
      <c r="E31" s="98"/>
      <c r="F31" s="99"/>
      <c r="G31" s="365"/>
      <c r="H31" s="89"/>
      <c r="I31" s="89"/>
      <c r="J31" s="92"/>
      <c r="K31" s="31"/>
      <c r="L31" s="32"/>
      <c r="M31" s="33"/>
    </row>
    <row r="32" spans="1:13" ht="12" customHeight="1">
      <c r="A32" s="89" t="str">
        <f>IF(B32=""," ",#REF!+1)</f>
        <v xml:space="preserve"> </v>
      </c>
      <c r="B32" s="96"/>
      <c r="C32" s="31"/>
      <c r="D32" s="97"/>
      <c r="E32" s="98"/>
      <c r="F32" s="99"/>
      <c r="G32" s="21"/>
      <c r="H32" s="89"/>
      <c r="I32" s="89"/>
      <c r="J32" s="92"/>
      <c r="K32" s="31"/>
      <c r="L32" s="32"/>
      <c r="M32" s="33"/>
    </row>
    <row r="33" spans="1:13" ht="12" customHeight="1">
      <c r="A33" s="89" t="str">
        <f>IF(B33=""," ",#REF!+1)</f>
        <v xml:space="preserve"> </v>
      </c>
      <c r="B33" s="96"/>
      <c r="C33" s="31"/>
      <c r="D33" s="97"/>
      <c r="E33" s="98"/>
      <c r="F33" s="99"/>
      <c r="G33" s="21"/>
      <c r="H33" s="89"/>
      <c r="I33" s="89"/>
      <c r="J33" s="92"/>
      <c r="K33" s="31"/>
      <c r="L33" s="32"/>
      <c r="M33" s="33"/>
    </row>
    <row r="34" spans="1:13" ht="12" customHeight="1">
      <c r="A34" s="89" t="str">
        <f t="shared" ref="A34:A43" si="3">IF(B34=""," ",A33+1)</f>
        <v xml:space="preserve"> </v>
      </c>
      <c r="B34" s="96"/>
      <c r="C34" s="31"/>
      <c r="D34" s="97"/>
      <c r="E34" s="98"/>
      <c r="F34" s="99"/>
      <c r="G34" s="21"/>
      <c r="H34" s="89"/>
      <c r="I34" s="89"/>
      <c r="J34" s="92"/>
      <c r="K34" s="31"/>
      <c r="L34" s="32"/>
      <c r="M34" s="33"/>
    </row>
    <row r="35" spans="1:13" ht="12" customHeight="1">
      <c r="A35" s="89" t="str">
        <f t="shared" si="3"/>
        <v xml:space="preserve"> </v>
      </c>
      <c r="B35" s="96"/>
      <c r="C35" s="31"/>
      <c r="D35" s="97"/>
      <c r="E35" s="98"/>
      <c r="F35" s="99"/>
      <c r="G35" s="21"/>
      <c r="H35" s="89"/>
      <c r="I35" s="89"/>
      <c r="J35" s="92"/>
      <c r="K35" s="31"/>
      <c r="L35" s="32"/>
      <c r="M35" s="33"/>
    </row>
    <row r="36" spans="1:13" ht="12" customHeight="1">
      <c r="A36" s="89" t="str">
        <f t="shared" si="3"/>
        <v xml:space="preserve"> </v>
      </c>
      <c r="B36" s="96"/>
      <c r="C36" s="31"/>
      <c r="D36" s="97"/>
      <c r="E36" s="98"/>
      <c r="F36" s="99"/>
      <c r="G36" s="21"/>
      <c r="H36" s="89"/>
      <c r="I36" s="89"/>
      <c r="J36" s="92"/>
      <c r="K36" s="31"/>
      <c r="L36" s="32"/>
      <c r="M36" s="33"/>
    </row>
    <row r="37" spans="1:13" ht="12" customHeight="1">
      <c r="A37" s="89" t="str">
        <f t="shared" si="3"/>
        <v xml:space="preserve"> </v>
      </c>
      <c r="B37" s="96"/>
      <c r="C37" s="31"/>
      <c r="D37" s="97"/>
      <c r="E37" s="98"/>
      <c r="F37" s="99"/>
      <c r="G37" s="21"/>
      <c r="H37" s="89"/>
      <c r="I37" s="89"/>
      <c r="J37" s="92"/>
      <c r="K37" s="31"/>
      <c r="L37" s="32"/>
      <c r="M37" s="33"/>
    </row>
    <row r="38" spans="1:13" ht="12" customHeight="1">
      <c r="A38" s="89" t="str">
        <f t="shared" si="3"/>
        <v xml:space="preserve"> </v>
      </c>
      <c r="B38" s="96"/>
      <c r="C38" s="31"/>
      <c r="D38" s="97"/>
      <c r="E38" s="98"/>
      <c r="F38" s="99"/>
      <c r="G38" s="21"/>
      <c r="H38" s="89"/>
      <c r="I38" s="89"/>
      <c r="J38" s="92"/>
      <c r="K38" s="31"/>
      <c r="L38" s="32"/>
      <c r="M38" s="33"/>
    </row>
    <row r="39" spans="1:13" ht="12" customHeight="1">
      <c r="A39" s="89" t="str">
        <f t="shared" si="3"/>
        <v xml:space="preserve"> </v>
      </c>
      <c r="B39" s="96"/>
      <c r="C39" s="31"/>
      <c r="D39" s="97"/>
      <c r="E39" s="98"/>
      <c r="F39" s="99"/>
      <c r="G39" s="21"/>
      <c r="H39" s="89"/>
      <c r="I39" s="89"/>
      <c r="J39" s="92"/>
      <c r="K39" s="31"/>
      <c r="L39" s="32"/>
      <c r="M39" s="33"/>
    </row>
    <row r="40" spans="1:13" ht="12" customHeight="1">
      <c r="A40" s="89" t="str">
        <f t="shared" si="3"/>
        <v xml:space="preserve"> </v>
      </c>
      <c r="B40" s="96"/>
      <c r="C40" s="31"/>
      <c r="D40" s="97"/>
      <c r="E40" s="98"/>
      <c r="F40" s="99"/>
      <c r="G40" s="21"/>
      <c r="H40" s="89"/>
      <c r="I40" s="89"/>
      <c r="J40" s="92"/>
      <c r="K40" s="31"/>
      <c r="L40" s="32"/>
      <c r="M40" s="33"/>
    </row>
    <row r="41" spans="1:13" ht="12" customHeight="1">
      <c r="A41" s="89" t="str">
        <f t="shared" si="3"/>
        <v xml:space="preserve"> </v>
      </c>
      <c r="B41" s="96"/>
      <c r="C41" s="31"/>
      <c r="D41" s="97"/>
      <c r="E41" s="98"/>
      <c r="F41" s="99"/>
      <c r="G41" s="21"/>
      <c r="H41" s="89"/>
      <c r="I41" s="89"/>
      <c r="J41" s="92"/>
      <c r="K41" s="31"/>
      <c r="L41" s="32"/>
      <c r="M41" s="33"/>
    </row>
    <row r="42" spans="1:13" ht="12" customHeight="1">
      <c r="A42" s="89" t="str">
        <f t="shared" si="3"/>
        <v xml:space="preserve"> </v>
      </c>
      <c r="B42" s="96"/>
      <c r="C42" s="31"/>
      <c r="D42" s="97"/>
      <c r="E42" s="98"/>
      <c r="F42" s="99"/>
      <c r="G42" s="21"/>
      <c r="H42" s="89"/>
      <c r="I42" s="89"/>
      <c r="J42" s="92"/>
      <c r="K42" s="31"/>
      <c r="L42" s="32"/>
      <c r="M42" s="33"/>
    </row>
    <row r="43" spans="1:13" ht="12" customHeight="1">
      <c r="A43" s="358" t="str">
        <f t="shared" si="3"/>
        <v xml:space="preserve"> </v>
      </c>
      <c r="B43" s="378"/>
      <c r="C43" s="379"/>
      <c r="D43" s="377"/>
      <c r="E43" s="380"/>
      <c r="F43" s="381"/>
      <c r="G43" s="365"/>
      <c r="H43" s="358"/>
      <c r="I43" s="358"/>
      <c r="J43" s="382"/>
      <c r="K43" s="919"/>
      <c r="L43" s="920"/>
      <c r="M43" s="921"/>
    </row>
    <row r="44" spans="1:13" ht="12" customHeight="1">
      <c r="A44" s="358" t="str">
        <f>IF(B44=""," ",#REF!+1)</f>
        <v xml:space="preserve"> </v>
      </c>
      <c r="B44" s="378"/>
      <c r="C44" s="379"/>
      <c r="D44" s="377"/>
      <c r="E44" s="380"/>
      <c r="F44" s="381"/>
      <c r="G44" s="365"/>
      <c r="H44" s="358"/>
      <c r="I44" s="358"/>
      <c r="J44" s="382"/>
      <c r="K44" s="919"/>
      <c r="L44" s="920"/>
      <c r="M44" s="921"/>
    </row>
    <row r="45" spans="1:13" ht="12" customHeight="1">
      <c r="A45" s="358" t="str">
        <f>IF(B45=""," ",#REF!+1)</f>
        <v xml:space="preserve"> </v>
      </c>
      <c r="B45" s="378"/>
      <c r="C45" s="379"/>
      <c r="D45" s="377"/>
      <c r="E45" s="380"/>
      <c r="F45" s="381"/>
      <c r="G45" s="365"/>
      <c r="H45" s="358"/>
      <c r="I45" s="358"/>
      <c r="J45" s="382"/>
      <c r="K45" s="379"/>
      <c r="L45" s="383"/>
      <c r="M45" s="384"/>
    </row>
    <row r="46" spans="1:13" ht="12" customHeight="1">
      <c r="A46" s="358" t="str">
        <f>IF(B46=""," ",A45+1)</f>
        <v xml:space="preserve"> </v>
      </c>
      <c r="B46" s="378"/>
      <c r="C46" s="379"/>
      <c r="D46" s="377"/>
      <c r="E46" s="380"/>
      <c r="F46" s="381"/>
      <c r="G46" s="365"/>
      <c r="H46" s="358"/>
      <c r="I46" s="358"/>
      <c r="J46" s="382"/>
      <c r="K46" s="379"/>
      <c r="L46" s="383"/>
      <c r="M46" s="384"/>
    </row>
    <row r="47" spans="1:13" ht="12" customHeight="1">
      <c r="A47" s="358" t="str">
        <f>IF(B47=""," ",A46+1)</f>
        <v xml:space="preserve"> </v>
      </c>
      <c r="B47" s="378"/>
      <c r="C47" s="379"/>
      <c r="D47" s="377"/>
      <c r="E47" s="380"/>
      <c r="F47" s="381"/>
      <c r="G47" s="365"/>
      <c r="H47" s="358"/>
      <c r="I47" s="358"/>
      <c r="J47" s="382"/>
      <c r="K47" s="919"/>
      <c r="L47" s="920"/>
      <c r="M47" s="921"/>
    </row>
    <row r="48" spans="1:13" ht="12" customHeight="1">
      <c r="A48" s="358" t="str">
        <f>IF(B48=""," ",#REF!+1)</f>
        <v xml:space="preserve"> </v>
      </c>
      <c r="B48" s="378"/>
      <c r="C48" s="379"/>
      <c r="D48" s="377"/>
      <c r="E48" s="380"/>
      <c r="F48" s="381"/>
      <c r="G48" s="365"/>
      <c r="H48" s="358"/>
      <c r="I48" s="358"/>
      <c r="J48" s="382"/>
      <c r="K48" s="919"/>
      <c r="L48" s="920"/>
      <c r="M48" s="921"/>
    </row>
    <row r="49" spans="1:13" ht="12" customHeight="1">
      <c r="A49" s="358" t="str">
        <f>IF(B49=""," ",#REF!+1)</f>
        <v xml:space="preserve"> </v>
      </c>
      <c r="B49" s="378"/>
      <c r="C49" s="379"/>
      <c r="D49" s="377"/>
      <c r="E49" s="380"/>
      <c r="F49" s="381"/>
      <c r="G49" s="365"/>
      <c r="H49" s="358"/>
      <c r="I49" s="358"/>
      <c r="J49" s="382"/>
      <c r="K49" s="379"/>
      <c r="L49" s="383"/>
      <c r="M49" s="384"/>
    </row>
    <row r="50" spans="1:13" ht="12" customHeight="1">
      <c r="A50" s="358" t="str">
        <f>IF(B50=""," ",A49+1)</f>
        <v xml:space="preserve"> </v>
      </c>
      <c r="B50" s="378"/>
      <c r="C50" s="379"/>
      <c r="D50" s="377"/>
      <c r="E50" s="380"/>
      <c r="F50" s="381"/>
      <c r="G50" s="365"/>
      <c r="H50" s="358"/>
      <c r="I50" s="358"/>
      <c r="J50" s="382"/>
      <c r="K50" s="379"/>
      <c r="L50" s="383"/>
      <c r="M50" s="384"/>
    </row>
    <row r="51" spans="1:13" ht="12" customHeight="1">
      <c r="A51" s="358" t="str">
        <f>IF(B51=""," ",A50+1)</f>
        <v xml:space="preserve"> </v>
      </c>
      <c r="B51" s="378"/>
      <c r="C51" s="379"/>
      <c r="D51" s="377"/>
      <c r="E51" s="380"/>
      <c r="F51" s="381"/>
      <c r="G51" s="365"/>
      <c r="H51" s="358"/>
      <c r="I51" s="358"/>
      <c r="J51" s="382"/>
      <c r="K51" s="919"/>
      <c r="L51" s="920"/>
      <c r="M51" s="921"/>
    </row>
    <row r="52" spans="1:13" ht="12" customHeight="1">
      <c r="A52" s="358" t="str">
        <f>IF(B52=""," ",#REF!+1)</f>
        <v xml:space="preserve"> </v>
      </c>
      <c r="B52" s="378"/>
      <c r="C52" s="379"/>
      <c r="D52" s="377"/>
      <c r="E52" s="380"/>
      <c r="F52" s="381"/>
      <c r="G52" s="365"/>
      <c r="H52" s="358"/>
      <c r="I52" s="358"/>
      <c r="J52" s="382"/>
      <c r="K52" s="919"/>
      <c r="L52" s="920"/>
      <c r="M52" s="921"/>
    </row>
    <row r="53" spans="1:13" ht="12" customHeight="1">
      <c r="A53" s="358" t="str">
        <f>IF(B53=""," ",#REF!+1)</f>
        <v xml:space="preserve"> </v>
      </c>
      <c r="B53" s="378"/>
      <c r="C53" s="379"/>
      <c r="D53" s="377"/>
      <c r="E53" s="380"/>
      <c r="F53" s="381"/>
      <c r="G53" s="365"/>
      <c r="H53" s="358"/>
      <c r="I53" s="358"/>
      <c r="J53" s="382"/>
      <c r="K53" s="379"/>
      <c r="L53" s="383"/>
      <c r="M53" s="384"/>
    </row>
    <row r="54" spans="1:13" ht="12" customHeight="1">
      <c r="A54" s="358" t="str">
        <f>IF(B54=""," ",A53+1)</f>
        <v xml:space="preserve"> </v>
      </c>
      <c r="B54" s="378"/>
      <c r="C54" s="379"/>
      <c r="D54" s="377"/>
      <c r="E54" s="380"/>
      <c r="F54" s="381"/>
      <c r="G54" s="365"/>
      <c r="H54" s="358"/>
      <c r="I54" s="358"/>
      <c r="J54" s="382"/>
      <c r="K54" s="379"/>
      <c r="L54" s="383"/>
      <c r="M54" s="384"/>
    </row>
    <row r="55" spans="1:13" ht="12" customHeight="1">
      <c r="A55" s="358" t="str">
        <f>IF(B55=""," ",A54+1)</f>
        <v xml:space="preserve"> </v>
      </c>
      <c r="B55" s="378"/>
      <c r="C55" s="379"/>
      <c r="D55" s="377"/>
      <c r="E55" s="380"/>
      <c r="F55" s="381"/>
      <c r="G55" s="365"/>
      <c r="H55" s="358"/>
      <c r="I55" s="358"/>
      <c r="J55" s="382"/>
      <c r="K55" s="919"/>
      <c r="L55" s="920"/>
      <c r="M55" s="921"/>
    </row>
    <row r="56" spans="1:13" ht="12" customHeight="1">
      <c r="A56" s="358" t="str">
        <f>IF(B56=""," ",#REF!+1)</f>
        <v xml:space="preserve"> </v>
      </c>
      <c r="B56" s="378"/>
      <c r="C56" s="379"/>
      <c r="D56" s="377"/>
      <c r="E56" s="380"/>
      <c r="F56" s="381"/>
      <c r="G56" s="365"/>
      <c r="H56" s="358"/>
      <c r="I56" s="358"/>
      <c r="J56" s="382"/>
      <c r="K56" s="919"/>
      <c r="L56" s="920"/>
      <c r="M56" s="921"/>
    </row>
    <row r="57" spans="1:13" ht="12" customHeight="1">
      <c r="A57" s="358" t="str">
        <f>IF(B57=""," ",#REF!+1)</f>
        <v xml:space="preserve"> </v>
      </c>
      <c r="B57" s="378"/>
      <c r="C57" s="379"/>
      <c r="D57" s="377"/>
      <c r="E57" s="380"/>
      <c r="F57" s="381"/>
      <c r="G57" s="365"/>
      <c r="H57" s="358"/>
      <c r="I57" s="358"/>
      <c r="J57" s="382"/>
      <c r="K57" s="379"/>
      <c r="L57" s="383"/>
      <c r="M57" s="384"/>
    </row>
    <row r="58" spans="1:13" ht="12" customHeight="1">
      <c r="A58" s="358" t="str">
        <f>IF(B58=""," ",A57+1)</f>
        <v xml:space="preserve"> </v>
      </c>
      <c r="B58" s="378"/>
      <c r="C58" s="379"/>
      <c r="D58" s="377"/>
      <c r="E58" s="380"/>
      <c r="F58" s="381"/>
      <c r="G58" s="365"/>
      <c r="H58" s="358"/>
      <c r="I58" s="358"/>
      <c r="J58" s="382"/>
      <c r="K58" s="379"/>
      <c r="L58" s="383"/>
      <c r="M58" s="384"/>
    </row>
    <row r="59" spans="1:13" ht="12" customHeight="1">
      <c r="A59" s="358" t="str">
        <f>IF(B59=""," ",A58+1)</f>
        <v xml:space="preserve"> </v>
      </c>
      <c r="B59" s="378"/>
      <c r="C59" s="379"/>
      <c r="D59" s="377"/>
      <c r="E59" s="380"/>
      <c r="F59" s="381"/>
      <c r="G59" s="365"/>
      <c r="H59" s="358"/>
      <c r="I59" s="358"/>
      <c r="J59" s="382"/>
      <c r="K59" s="919"/>
      <c r="L59" s="920"/>
      <c r="M59" s="921"/>
    </row>
    <row r="60" spans="1:13" ht="12" customHeight="1">
      <c r="A60" s="358" t="str">
        <f>IF(B60=""," ",#REF!+1)</f>
        <v xml:space="preserve"> </v>
      </c>
      <c r="B60" s="378"/>
      <c r="C60" s="379"/>
      <c r="D60" s="377"/>
      <c r="E60" s="380"/>
      <c r="F60" s="381"/>
      <c r="G60" s="365"/>
      <c r="H60" s="358"/>
      <c r="I60" s="358"/>
      <c r="J60" s="382"/>
      <c r="K60" s="919"/>
      <c r="L60" s="920"/>
      <c r="M60" s="921"/>
    </row>
    <row r="61" spans="1:13" ht="12" customHeight="1">
      <c r="A61" s="358" t="str">
        <f>IF(B61=""," ",#REF!+1)</f>
        <v xml:space="preserve"> </v>
      </c>
      <c r="B61" s="378"/>
      <c r="C61" s="379"/>
      <c r="D61" s="377"/>
      <c r="E61" s="380"/>
      <c r="F61" s="381"/>
      <c r="G61" s="365"/>
      <c r="H61" s="358"/>
      <c r="I61" s="358"/>
      <c r="J61" s="382"/>
      <c r="K61" s="379"/>
      <c r="L61" s="383"/>
      <c r="M61" s="384"/>
    </row>
    <row r="62" spans="1:13" ht="12" customHeight="1">
      <c r="A62" s="358" t="str">
        <f>IF(B62=""," ",A61+1)</f>
        <v xml:space="preserve"> </v>
      </c>
      <c r="B62" s="378"/>
      <c r="C62" s="379"/>
      <c r="D62" s="377"/>
      <c r="E62" s="380"/>
      <c r="F62" s="381"/>
      <c r="G62" s="365"/>
      <c r="H62" s="358"/>
      <c r="I62" s="358"/>
      <c r="J62" s="382"/>
      <c r="K62" s="379"/>
      <c r="L62" s="383"/>
      <c r="M62" s="384"/>
    </row>
    <row r="63" spans="1:13" ht="12" customHeight="1">
      <c r="A63" s="358" t="str">
        <f>IF(B63=""," ",A62+1)</f>
        <v xml:space="preserve"> </v>
      </c>
      <c r="B63" s="378"/>
      <c r="C63" s="379"/>
      <c r="D63" s="377"/>
      <c r="E63" s="380"/>
      <c r="F63" s="381"/>
      <c r="G63" s="365"/>
      <c r="H63" s="358"/>
      <c r="I63" s="358"/>
      <c r="J63" s="382"/>
      <c r="K63" s="919"/>
      <c r="L63" s="920"/>
      <c r="M63" s="921"/>
    </row>
    <row r="64" spans="1:13" ht="12" customHeight="1">
      <c r="A64" s="358" t="str">
        <f>IF(B64=""," ",#REF!+1)</f>
        <v xml:space="preserve"> </v>
      </c>
      <c r="B64" s="378"/>
      <c r="C64" s="379"/>
      <c r="D64" s="377"/>
      <c r="E64" s="380"/>
      <c r="F64" s="381"/>
      <c r="G64" s="365"/>
      <c r="H64" s="358"/>
      <c r="I64" s="358"/>
      <c r="J64" s="382"/>
      <c r="K64" s="919"/>
      <c r="L64" s="920"/>
      <c r="M64" s="921"/>
    </row>
    <row r="65" spans="1:13" ht="12" customHeight="1">
      <c r="A65" s="358" t="str">
        <f>IF(B65=""," ",#REF!+1)</f>
        <v xml:space="preserve"> </v>
      </c>
      <c r="B65" s="378"/>
      <c r="C65" s="379"/>
      <c r="D65" s="377"/>
      <c r="E65" s="380"/>
      <c r="F65" s="381"/>
      <c r="G65" s="365"/>
      <c r="H65" s="358"/>
      <c r="I65" s="358"/>
      <c r="J65" s="382"/>
      <c r="K65" s="379"/>
      <c r="L65" s="383"/>
      <c r="M65" s="384"/>
    </row>
    <row r="66" spans="1:13" ht="12" customHeight="1">
      <c r="A66" s="358" t="str">
        <f>IF(B66=""," ",A65+1)</f>
        <v xml:space="preserve"> </v>
      </c>
      <c r="B66" s="378"/>
      <c r="C66" s="379"/>
      <c r="D66" s="377"/>
      <c r="E66" s="380"/>
      <c r="F66" s="381"/>
      <c r="G66" s="365"/>
      <c r="H66" s="358"/>
      <c r="I66" s="358"/>
      <c r="J66" s="382"/>
      <c r="K66" s="379"/>
      <c r="L66" s="383"/>
      <c r="M66" s="384"/>
    </row>
    <row r="67" spans="1:13" ht="12" customHeight="1">
      <c r="A67" s="358" t="str">
        <f>IF(B67=""," ",A66+1)</f>
        <v xml:space="preserve"> </v>
      </c>
      <c r="B67" s="378"/>
      <c r="C67" s="379"/>
      <c r="D67" s="377"/>
      <c r="E67" s="380"/>
      <c r="F67" s="381"/>
      <c r="G67" s="365"/>
      <c r="H67" s="358"/>
      <c r="I67" s="358"/>
      <c r="J67" s="382"/>
      <c r="K67" s="919"/>
      <c r="L67" s="920"/>
      <c r="M67" s="921"/>
    </row>
    <row r="68" spans="1:13" ht="12" customHeight="1">
      <c r="A68" s="358" t="str">
        <f>IF(B68=""," ",#REF!+1)</f>
        <v xml:space="preserve"> </v>
      </c>
      <c r="B68" s="378"/>
      <c r="C68" s="379"/>
      <c r="D68" s="377"/>
      <c r="E68" s="380"/>
      <c r="F68" s="381"/>
      <c r="G68" s="365"/>
      <c r="H68" s="358"/>
      <c r="I68" s="358"/>
      <c r="J68" s="382"/>
      <c r="K68" s="919"/>
      <c r="L68" s="920"/>
      <c r="M68" s="921"/>
    </row>
    <row r="69" spans="1:13" ht="12" customHeight="1">
      <c r="A69" s="358" t="str">
        <f>IF(B69=""," ",#REF!+1)</f>
        <v xml:space="preserve"> </v>
      </c>
      <c r="B69" s="378"/>
      <c r="C69" s="379"/>
      <c r="D69" s="377"/>
      <c r="E69" s="380"/>
      <c r="F69" s="381"/>
      <c r="G69" s="365"/>
      <c r="H69" s="358"/>
      <c r="I69" s="358"/>
      <c r="J69" s="382"/>
      <c r="K69" s="379"/>
      <c r="L69" s="383"/>
      <c r="M69" s="384"/>
    </row>
    <row r="70" spans="1:13" ht="12" customHeight="1">
      <c r="A70" s="358" t="str">
        <f>IF(B70=""," ",A69+1)</f>
        <v xml:space="preserve"> </v>
      </c>
      <c r="B70" s="378"/>
      <c r="C70" s="379"/>
      <c r="D70" s="377"/>
      <c r="E70" s="380"/>
      <c r="F70" s="381"/>
      <c r="G70" s="365"/>
      <c r="H70" s="358"/>
      <c r="I70" s="358"/>
      <c r="J70" s="382"/>
      <c r="K70" s="379"/>
      <c r="L70" s="383"/>
      <c r="M70" s="384"/>
    </row>
    <row r="71" spans="1:13" ht="12" customHeight="1">
      <c r="A71" s="358" t="str">
        <f>IF(B71=""," ",A70+1)</f>
        <v xml:space="preserve"> </v>
      </c>
      <c r="B71" s="378"/>
      <c r="C71" s="379"/>
      <c r="D71" s="377"/>
      <c r="E71" s="380"/>
      <c r="F71" s="381"/>
      <c r="G71" s="365"/>
      <c r="H71" s="358"/>
      <c r="I71" s="358"/>
      <c r="J71" s="382"/>
      <c r="K71" s="919"/>
      <c r="L71" s="920"/>
      <c r="M71" s="921"/>
    </row>
    <row r="72" spans="1:13" ht="12" customHeight="1">
      <c r="A72" s="358" t="str">
        <f>IF(B72=""," ",#REF!+1)</f>
        <v xml:space="preserve"> </v>
      </c>
      <c r="B72" s="378"/>
      <c r="C72" s="379"/>
      <c r="D72" s="377"/>
      <c r="E72" s="380"/>
      <c r="F72" s="381"/>
      <c r="G72" s="365"/>
      <c r="H72" s="358"/>
      <c r="I72" s="358"/>
      <c r="J72" s="382"/>
      <c r="K72" s="919"/>
      <c r="L72" s="920"/>
      <c r="M72" s="921"/>
    </row>
    <row r="73" spans="1:13" ht="12" customHeight="1">
      <c r="A73" s="358" t="str">
        <f>IF(B73=""," ",#REF!+1)</f>
        <v xml:space="preserve"> </v>
      </c>
      <c r="B73" s="378"/>
      <c r="C73" s="379"/>
      <c r="D73" s="377"/>
      <c r="E73" s="380"/>
      <c r="F73" s="381"/>
      <c r="G73" s="365"/>
      <c r="H73" s="358"/>
      <c r="I73" s="358"/>
      <c r="J73" s="382"/>
      <c r="K73" s="379"/>
      <c r="L73" s="383"/>
      <c r="M73" s="384"/>
    </row>
    <row r="74" spans="1:13" ht="12" customHeight="1">
      <c r="A74" s="358" t="str">
        <f>IF(B74=""," ",A73+1)</f>
        <v xml:space="preserve"> </v>
      </c>
      <c r="B74" s="378"/>
      <c r="C74" s="379"/>
      <c r="D74" s="377"/>
      <c r="E74" s="380"/>
      <c r="F74" s="381"/>
      <c r="G74" s="365"/>
      <c r="H74" s="358"/>
      <c r="I74" s="358"/>
      <c r="J74" s="382"/>
      <c r="K74" s="379"/>
      <c r="L74" s="383"/>
      <c r="M74" s="384"/>
    </row>
    <row r="75" spans="1:13" ht="12" customHeight="1">
      <c r="A75" s="358" t="str">
        <f>IF(B75=""," ",A74+1)</f>
        <v xml:space="preserve"> </v>
      </c>
      <c r="B75" s="378"/>
      <c r="C75" s="379"/>
      <c r="D75" s="377"/>
      <c r="E75" s="380"/>
      <c r="F75" s="381"/>
      <c r="G75" s="365"/>
      <c r="H75" s="358"/>
      <c r="I75" s="358"/>
      <c r="J75" s="382"/>
      <c r="K75" s="919"/>
      <c r="L75" s="920"/>
      <c r="M75" s="921"/>
    </row>
    <row r="76" spans="1:13" ht="12" customHeight="1">
      <c r="A76" s="358" t="str">
        <f>IF(B76=""," ",#REF!+1)</f>
        <v xml:space="preserve"> </v>
      </c>
      <c r="B76" s="378"/>
      <c r="C76" s="379"/>
      <c r="D76" s="377"/>
      <c r="E76" s="380"/>
      <c r="F76" s="381"/>
      <c r="G76" s="365"/>
      <c r="H76" s="358"/>
      <c r="I76" s="358"/>
      <c r="J76" s="382"/>
      <c r="K76" s="919"/>
      <c r="L76" s="920"/>
      <c r="M76" s="921"/>
    </row>
    <row r="77" spans="1:13" ht="12" customHeight="1">
      <c r="A77" s="358" t="str">
        <f>IF(B77=""," ",#REF!+1)</f>
        <v xml:space="preserve"> </v>
      </c>
      <c r="B77" s="378"/>
      <c r="C77" s="379"/>
      <c r="D77" s="377"/>
      <c r="E77" s="380"/>
      <c r="F77" s="381"/>
      <c r="G77" s="365"/>
      <c r="H77" s="358"/>
      <c r="I77" s="358"/>
      <c r="J77" s="382"/>
      <c r="K77" s="379"/>
      <c r="L77" s="383"/>
      <c r="M77" s="384"/>
    </row>
    <row r="78" spans="1:13" ht="12" customHeight="1">
      <c r="A78" s="358" t="str">
        <f>IF(B78=""," ",A77+1)</f>
        <v xml:space="preserve"> </v>
      </c>
      <c r="B78" s="378"/>
      <c r="C78" s="379"/>
      <c r="D78" s="377"/>
      <c r="E78" s="380"/>
      <c r="F78" s="381"/>
      <c r="G78" s="365"/>
      <c r="H78" s="358"/>
      <c r="I78" s="358"/>
      <c r="J78" s="382"/>
      <c r="K78" s="379"/>
      <c r="L78" s="383"/>
      <c r="M78" s="384"/>
    </row>
    <row r="79" spans="1:13" ht="12" customHeight="1">
      <c r="A79" s="358" t="str">
        <f>IF(B79=""," ",A78+1)</f>
        <v xml:space="preserve"> </v>
      </c>
      <c r="B79" s="378"/>
      <c r="C79" s="379"/>
      <c r="D79" s="377"/>
      <c r="E79" s="380"/>
      <c r="F79" s="381"/>
      <c r="G79" s="365"/>
      <c r="H79" s="358"/>
      <c r="I79" s="358"/>
      <c r="J79" s="382"/>
      <c r="K79" s="919"/>
      <c r="L79" s="920"/>
      <c r="M79" s="921"/>
    </row>
    <row r="80" spans="1:13" ht="12" customHeight="1">
      <c r="A80" s="358" t="str">
        <f>IF(B80=""," ",#REF!+1)</f>
        <v xml:space="preserve"> </v>
      </c>
      <c r="B80" s="378"/>
      <c r="C80" s="379"/>
      <c r="D80" s="377"/>
      <c r="E80" s="380"/>
      <c r="F80" s="381"/>
      <c r="G80" s="365"/>
      <c r="H80" s="358"/>
      <c r="I80" s="358"/>
      <c r="J80" s="382"/>
      <c r="K80" s="919"/>
      <c r="L80" s="920"/>
      <c r="M80" s="921"/>
    </row>
    <row r="81" spans="1:13" ht="12" customHeight="1">
      <c r="A81" s="358" t="str">
        <f>IF(B81=""," ",#REF!+1)</f>
        <v xml:space="preserve"> </v>
      </c>
      <c r="B81" s="378"/>
      <c r="C81" s="379"/>
      <c r="D81" s="377"/>
      <c r="E81" s="380"/>
      <c r="F81" s="381"/>
      <c r="G81" s="365"/>
      <c r="H81" s="358"/>
      <c r="I81" s="358"/>
      <c r="J81" s="382"/>
      <c r="K81" s="379"/>
      <c r="L81" s="383"/>
      <c r="M81" s="384"/>
    </row>
    <row r="82" spans="1:13" ht="12" customHeight="1">
      <c r="A82" s="358" t="str">
        <f>IF(B82=""," ",A81+1)</f>
        <v xml:space="preserve"> </v>
      </c>
      <c r="B82" s="378"/>
      <c r="C82" s="379"/>
      <c r="D82" s="377"/>
      <c r="E82" s="380"/>
      <c r="F82" s="381"/>
      <c r="G82" s="365"/>
      <c r="H82" s="358"/>
      <c r="I82" s="358"/>
      <c r="J82" s="382"/>
      <c r="K82" s="379"/>
      <c r="L82" s="383"/>
      <c r="M82" s="384"/>
    </row>
    <row r="83" spans="1:13" ht="12" customHeight="1">
      <c r="A83" s="358" t="str">
        <f>IF(B83=""," ",A82+1)</f>
        <v xml:space="preserve"> </v>
      </c>
      <c r="B83" s="378"/>
      <c r="C83" s="379"/>
      <c r="D83" s="377"/>
      <c r="E83" s="380"/>
      <c r="F83" s="381"/>
      <c r="G83" s="365"/>
      <c r="H83" s="358"/>
      <c r="I83" s="358"/>
      <c r="J83" s="382"/>
      <c r="K83" s="919"/>
      <c r="L83" s="920"/>
      <c r="M83" s="921"/>
    </row>
    <row r="84" spans="1:13" ht="12" customHeight="1">
      <c r="A84" s="358" t="str">
        <f>IF(B84=""," ",#REF!+1)</f>
        <v xml:space="preserve"> </v>
      </c>
      <c r="B84" s="378"/>
      <c r="C84" s="379"/>
      <c r="D84" s="377"/>
      <c r="E84" s="380"/>
      <c r="F84" s="381"/>
      <c r="G84" s="365"/>
      <c r="H84" s="358"/>
      <c r="I84" s="358"/>
      <c r="J84" s="382"/>
      <c r="K84" s="919"/>
      <c r="L84" s="920"/>
      <c r="M84" s="921"/>
    </row>
    <row r="85" spans="1:13" ht="12" customHeight="1">
      <c r="A85" s="358" t="str">
        <f>IF(B85=""," ",#REF!+1)</f>
        <v xml:space="preserve"> </v>
      </c>
      <c r="B85" s="378"/>
      <c r="C85" s="379"/>
      <c r="D85" s="377"/>
      <c r="E85" s="380"/>
      <c r="F85" s="381"/>
      <c r="G85" s="365"/>
      <c r="H85" s="358"/>
      <c r="I85" s="358"/>
      <c r="J85" s="382"/>
      <c r="K85" s="379"/>
      <c r="L85" s="383"/>
      <c r="M85" s="384"/>
    </row>
    <row r="86" spans="1:13" ht="12" customHeight="1">
      <c r="A86" s="358" t="str">
        <f>IF(B86=""," ",A85+1)</f>
        <v xml:space="preserve"> </v>
      </c>
      <c r="B86" s="378"/>
      <c r="C86" s="379"/>
      <c r="D86" s="377"/>
      <c r="E86" s="380"/>
      <c r="F86" s="381"/>
      <c r="G86" s="365"/>
      <c r="H86" s="358"/>
      <c r="I86" s="358"/>
      <c r="J86" s="382"/>
      <c r="K86" s="379"/>
      <c r="L86" s="383"/>
      <c r="M86" s="384"/>
    </row>
    <row r="87" spans="1:13" ht="12" customHeight="1">
      <c r="A87" s="358" t="str">
        <f>IF(B87=""," ",A86+1)</f>
        <v xml:space="preserve"> </v>
      </c>
      <c r="B87" s="378"/>
      <c r="C87" s="379"/>
      <c r="D87" s="377"/>
      <c r="E87" s="380"/>
      <c r="F87" s="381"/>
      <c r="G87" s="365"/>
      <c r="H87" s="358"/>
      <c r="I87" s="358"/>
      <c r="J87" s="382"/>
      <c r="K87" s="919"/>
      <c r="L87" s="920"/>
      <c r="M87" s="921"/>
    </row>
    <row r="88" spans="1:13" ht="12" customHeight="1">
      <c r="A88" s="358" t="str">
        <f>IF(B88=""," ",#REF!+1)</f>
        <v xml:space="preserve"> </v>
      </c>
      <c r="B88" s="378"/>
      <c r="C88" s="379"/>
      <c r="D88" s="377"/>
      <c r="E88" s="380"/>
      <c r="F88" s="381"/>
      <c r="G88" s="365"/>
      <c r="H88" s="358"/>
      <c r="I88" s="358"/>
      <c r="J88" s="382"/>
      <c r="K88" s="919"/>
      <c r="L88" s="920"/>
      <c r="M88" s="921"/>
    </row>
    <row r="89" spans="1:13" ht="12" customHeight="1">
      <c r="A89" s="358" t="str">
        <f>IF(B89=""," ",#REF!+1)</f>
        <v xml:space="preserve"> </v>
      </c>
      <c r="B89" s="378"/>
      <c r="C89" s="379"/>
      <c r="D89" s="377"/>
      <c r="E89" s="380"/>
      <c r="F89" s="381"/>
      <c r="G89" s="365"/>
      <c r="H89" s="358"/>
      <c r="I89" s="358"/>
      <c r="J89" s="382"/>
      <c r="K89" s="379"/>
      <c r="L89" s="383"/>
      <c r="M89" s="384"/>
    </row>
    <row r="90" spans="1:13" ht="12" customHeight="1">
      <c r="A90" s="358" t="str">
        <f>IF(B90=""," ",A89+1)</f>
        <v xml:space="preserve"> </v>
      </c>
      <c r="B90" s="378"/>
      <c r="C90" s="379"/>
      <c r="D90" s="377"/>
      <c r="E90" s="380"/>
      <c r="F90" s="381"/>
      <c r="G90" s="365"/>
      <c r="H90" s="358"/>
      <c r="I90" s="358"/>
      <c r="J90" s="382"/>
      <c r="K90" s="379"/>
      <c r="L90" s="383"/>
      <c r="M90" s="384"/>
    </row>
    <row r="91" spans="1:13">
      <c r="A91" s="358" t="str">
        <f>IF(B91=""," ",A90+1)</f>
        <v xml:space="preserve"> </v>
      </c>
      <c r="B91" s="378"/>
      <c r="C91" s="379"/>
      <c r="D91" s="377"/>
      <c r="E91" s="380"/>
      <c r="F91" s="381"/>
      <c r="G91" s="365"/>
      <c r="H91" s="358"/>
      <c r="I91" s="358"/>
      <c r="J91" s="382"/>
      <c r="K91" s="919"/>
      <c r="L91" s="920"/>
      <c r="M91" s="921"/>
    </row>
    <row r="92" spans="1:13">
      <c r="A92" s="358" t="str">
        <f>IF(B92=""," ",#REF!+1)</f>
        <v xml:space="preserve"> </v>
      </c>
      <c r="B92" s="378"/>
      <c r="C92" s="379"/>
      <c r="D92" s="377"/>
      <c r="E92" s="380"/>
      <c r="F92" s="381"/>
      <c r="G92" s="365"/>
      <c r="H92" s="358"/>
      <c r="I92" s="358"/>
      <c r="J92" s="382"/>
      <c r="K92" s="919"/>
      <c r="L92" s="920"/>
      <c r="M92" s="921"/>
    </row>
    <row r="93" spans="1:13">
      <c r="A93" s="358" t="str">
        <f>IF(B93=""," ",#REF!+1)</f>
        <v xml:space="preserve"> </v>
      </c>
      <c r="B93" s="378"/>
      <c r="C93" s="379"/>
      <c r="D93" s="377"/>
      <c r="E93" s="380"/>
      <c r="F93" s="381"/>
      <c r="G93" s="365"/>
      <c r="H93" s="358"/>
      <c r="I93" s="358"/>
      <c r="J93" s="382"/>
      <c r="K93" s="379"/>
      <c r="L93" s="383"/>
      <c r="M93" s="384"/>
    </row>
    <row r="94" spans="1:13">
      <c r="A94" s="358" t="str">
        <f>IF(B94=""," ",A93+1)</f>
        <v xml:space="preserve"> </v>
      </c>
      <c r="B94" s="378"/>
      <c r="C94" s="379"/>
      <c r="D94" s="377"/>
      <c r="E94" s="380"/>
      <c r="F94" s="381"/>
      <c r="G94" s="365"/>
      <c r="H94" s="358"/>
      <c r="I94" s="358"/>
      <c r="J94" s="382"/>
      <c r="K94" s="379"/>
      <c r="L94" s="383"/>
      <c r="M94" s="384"/>
    </row>
    <row r="95" spans="1:13">
      <c r="A95" s="358" t="str">
        <f>IF(B95=""," ",A94+1)</f>
        <v xml:space="preserve"> </v>
      </c>
      <c r="B95" s="378"/>
      <c r="C95" s="379"/>
      <c r="D95" s="377"/>
      <c r="E95" s="380"/>
      <c r="F95" s="381"/>
      <c r="G95" s="365"/>
      <c r="H95" s="358"/>
      <c r="I95" s="358"/>
      <c r="J95" s="382"/>
      <c r="K95" s="919"/>
      <c r="L95" s="920"/>
      <c r="M95" s="921"/>
    </row>
    <row r="96" spans="1:13">
      <c r="A96" s="358" t="str">
        <f>IF(B96=""," ",#REF!+1)</f>
        <v xml:space="preserve"> </v>
      </c>
      <c r="B96" s="378"/>
      <c r="C96" s="379"/>
      <c r="D96" s="377"/>
      <c r="E96" s="380"/>
      <c r="F96" s="381"/>
      <c r="G96" s="365"/>
      <c r="H96" s="358"/>
      <c r="I96" s="358"/>
      <c r="J96" s="382"/>
      <c r="K96" s="919"/>
      <c r="L96" s="920"/>
      <c r="M96" s="921"/>
    </row>
    <row r="97" spans="1:13">
      <c r="A97" s="358" t="str">
        <f>IF(B97=""," ",#REF!+1)</f>
        <v xml:space="preserve"> </v>
      </c>
      <c r="B97" s="378"/>
      <c r="C97" s="379"/>
      <c r="D97" s="377"/>
      <c r="E97" s="380"/>
      <c r="F97" s="381"/>
      <c r="G97" s="365"/>
      <c r="H97" s="358"/>
      <c r="I97" s="358"/>
      <c r="J97" s="382"/>
      <c r="K97" s="379"/>
      <c r="L97" s="383"/>
      <c r="M97" s="384"/>
    </row>
    <row r="98" spans="1:13">
      <c r="A98" s="358" t="str">
        <f>IF(B98=""," ",A97+1)</f>
        <v xml:space="preserve"> </v>
      </c>
      <c r="B98" s="378"/>
      <c r="C98" s="379"/>
      <c r="D98" s="377"/>
      <c r="E98" s="380"/>
      <c r="F98" s="381"/>
      <c r="G98" s="365"/>
      <c r="H98" s="358"/>
      <c r="I98" s="358"/>
      <c r="J98" s="382"/>
      <c r="K98" s="379"/>
      <c r="L98" s="383"/>
      <c r="M98" s="384"/>
    </row>
    <row r="99" spans="1:13">
      <c r="A99" s="358" t="str">
        <f>IF(B99=""," ",A98+1)</f>
        <v xml:space="preserve"> </v>
      </c>
      <c r="B99" s="378"/>
      <c r="C99" s="379"/>
      <c r="D99" s="377"/>
      <c r="E99" s="380"/>
      <c r="F99" s="381"/>
      <c r="G99" s="365"/>
      <c r="H99" s="358"/>
      <c r="I99" s="358"/>
      <c r="J99" s="382"/>
      <c r="K99" s="919"/>
      <c r="L99" s="920"/>
      <c r="M99" s="921"/>
    </row>
    <row r="101" spans="1:13">
      <c r="B101" s="370" t="s">
        <v>1691</v>
      </c>
      <c r="C101" s="370"/>
      <c r="D101" s="370"/>
      <c r="E101" s="370"/>
      <c r="F101" s="370"/>
      <c r="G101" s="370"/>
      <c r="H101" s="370"/>
      <c r="I101" s="370"/>
      <c r="J101" s="370"/>
      <c r="K101" s="370"/>
    </row>
    <row r="102" spans="1:13">
      <c r="B102" s="370"/>
      <c r="C102" s="370"/>
      <c r="D102" s="370"/>
      <c r="E102" s="370"/>
      <c r="F102" s="370"/>
      <c r="G102" s="370"/>
      <c r="H102" s="370"/>
      <c r="I102" s="370"/>
      <c r="J102" s="370"/>
      <c r="K102" s="370"/>
    </row>
    <row r="103" spans="1:13">
      <c r="B103" s="370" t="s">
        <v>1692</v>
      </c>
      <c r="C103" s="370" t="s">
        <v>1693</v>
      </c>
      <c r="D103" s="370" t="s">
        <v>1695</v>
      </c>
      <c r="E103" s="370"/>
      <c r="F103" s="370"/>
      <c r="G103" s="370"/>
      <c r="H103" s="370"/>
      <c r="I103" s="370"/>
      <c r="J103" s="370"/>
      <c r="K103" s="370"/>
    </row>
    <row r="104" spans="1:13">
      <c r="B104" s="370"/>
      <c r="C104" s="370"/>
      <c r="D104" s="370" t="s">
        <v>1694</v>
      </c>
      <c r="E104" s="370"/>
      <c r="F104" s="370"/>
      <c r="G104" s="370"/>
      <c r="H104" s="370"/>
      <c r="I104" s="370"/>
      <c r="J104" s="370"/>
      <c r="K104" s="370"/>
    </row>
    <row r="105" spans="1:13">
      <c r="C105" s="370"/>
      <c r="D105" s="370" t="s">
        <v>1726</v>
      </c>
    </row>
    <row r="106" spans="1:13">
      <c r="C106" s="370" t="s">
        <v>1720</v>
      </c>
      <c r="D106" s="370" t="s">
        <v>1724</v>
      </c>
    </row>
    <row r="107" spans="1:13">
      <c r="C107" s="370" t="s">
        <v>1725</v>
      </c>
      <c r="D107" s="370"/>
    </row>
    <row r="109" spans="1:13">
      <c r="B109" s="172" t="s">
        <v>725</v>
      </c>
      <c r="C109" s="172" t="s">
        <v>724</v>
      </c>
    </row>
    <row r="110" spans="1:13">
      <c r="C110" s="370" t="s">
        <v>1720</v>
      </c>
      <c r="D110" s="370" t="s">
        <v>748</v>
      </c>
    </row>
    <row r="112" spans="1:13">
      <c r="B112" s="172" t="s">
        <v>1037</v>
      </c>
      <c r="C112" s="172" t="s">
        <v>1720</v>
      </c>
      <c r="D112" s="172" t="s">
        <v>1636</v>
      </c>
    </row>
    <row r="113" spans="2:4">
      <c r="C113" s="172" t="s">
        <v>1038</v>
      </c>
      <c r="D113" s="172" t="s">
        <v>990</v>
      </c>
    </row>
    <row r="114" spans="2:4">
      <c r="D114" s="172" t="s">
        <v>1039</v>
      </c>
    </row>
    <row r="116" spans="2:4">
      <c r="B116" s="463" t="s">
        <v>1706</v>
      </c>
      <c r="C116" s="172" t="s">
        <v>1707</v>
      </c>
    </row>
    <row r="117" spans="2:4">
      <c r="D117" s="172" t="s">
        <v>1708</v>
      </c>
    </row>
  </sheetData>
  <mergeCells count="52">
    <mergeCell ref="K88:M88"/>
    <mergeCell ref="K68:M68"/>
    <mergeCell ref="K71:M71"/>
    <mergeCell ref="K72:M72"/>
    <mergeCell ref="K60:M60"/>
    <mergeCell ref="K63:M63"/>
    <mergeCell ref="K64:M64"/>
    <mergeCell ref="K67:M67"/>
    <mergeCell ref="K87:M87"/>
    <mergeCell ref="K76:M76"/>
    <mergeCell ref="K79:M79"/>
    <mergeCell ref="K80:M80"/>
    <mergeCell ref="K83:M83"/>
    <mergeCell ref="K84:M84"/>
    <mergeCell ref="K99:M99"/>
    <mergeCell ref="K91:M91"/>
    <mergeCell ref="K92:M92"/>
    <mergeCell ref="K95:M95"/>
    <mergeCell ref="K96:M96"/>
    <mergeCell ref="K44:M44"/>
    <mergeCell ref="K47:M47"/>
    <mergeCell ref="K48:M48"/>
    <mergeCell ref="K51:M51"/>
    <mergeCell ref="K75:M75"/>
    <mergeCell ref="K52:M52"/>
    <mergeCell ref="K55:M55"/>
    <mergeCell ref="K56:M56"/>
    <mergeCell ref="K59:M59"/>
    <mergeCell ref="K10:M10"/>
    <mergeCell ref="K7:M7"/>
    <mergeCell ref="H4:I4"/>
    <mergeCell ref="K43:M43"/>
    <mergeCell ref="K17:M17"/>
    <mergeCell ref="K5:M6"/>
    <mergeCell ref="I5:J5"/>
    <mergeCell ref="D5:H5"/>
    <mergeCell ref="K8:M8"/>
    <mergeCell ref="K11:M12"/>
    <mergeCell ref="K15:M15"/>
    <mergeCell ref="K16:M16"/>
    <mergeCell ref="K13:M13"/>
    <mergeCell ref="K14:M14"/>
    <mergeCell ref="H2:J2"/>
    <mergeCell ref="C2:G2"/>
    <mergeCell ref="C3:G3"/>
    <mergeCell ref="C4:G4"/>
    <mergeCell ref="H3:I3"/>
    <mergeCell ref="A5:A6"/>
    <mergeCell ref="A2:B2"/>
    <mergeCell ref="A3:B3"/>
    <mergeCell ref="A4:B4"/>
    <mergeCell ref="B5:C5"/>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0">
    <pageSetUpPr fitToPage="1"/>
  </sheetPr>
  <dimension ref="A1:P112"/>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c r="B1" s="47"/>
    </row>
    <row r="2" spans="1:16">
      <c r="A2" s="643" t="s">
        <v>602</v>
      </c>
      <c r="B2" s="644"/>
      <c r="C2" s="643" t="s">
        <v>36</v>
      </c>
      <c r="D2" s="651"/>
      <c r="E2" s="651"/>
      <c r="F2" s="651"/>
      <c r="G2" s="644"/>
      <c r="H2" s="643"/>
      <c r="I2" s="651"/>
      <c r="J2" s="644"/>
      <c r="K2" s="37"/>
      <c r="L2" s="38" t="s">
        <v>37</v>
      </c>
      <c r="M2" s="38" t="s">
        <v>38</v>
      </c>
    </row>
    <row r="3" spans="1:16">
      <c r="A3" s="647"/>
      <c r="B3" s="648"/>
      <c r="C3" s="652" t="s">
        <v>245</v>
      </c>
      <c r="D3" s="653"/>
      <c r="E3" s="653"/>
      <c r="F3" s="653"/>
      <c r="G3" s="654"/>
      <c r="H3" s="643" t="s">
        <v>39</v>
      </c>
      <c r="I3" s="644"/>
      <c r="J3" s="39">
        <f>COUNT(A7:A100)</f>
        <v>8</v>
      </c>
      <c r="K3" s="38" t="s">
        <v>40</v>
      </c>
      <c r="L3" s="40">
        <v>38629</v>
      </c>
      <c r="M3" s="41" t="s">
        <v>56</v>
      </c>
      <c r="O3" s="16" t="s">
        <v>41</v>
      </c>
      <c r="P3" s="16" t="s">
        <v>42</v>
      </c>
    </row>
    <row r="4" spans="1:16">
      <c r="A4" s="649" t="s">
        <v>43</v>
      </c>
      <c r="B4" s="650"/>
      <c r="C4" s="649" t="s">
        <v>1011</v>
      </c>
      <c r="D4" s="655"/>
      <c r="E4" s="655"/>
      <c r="F4" s="655"/>
      <c r="G4" s="650"/>
      <c r="H4" s="643" t="s">
        <v>44</v>
      </c>
      <c r="I4" s="644"/>
      <c r="J4" s="39">
        <f>SUM(G7:G100)</f>
        <v>60</v>
      </c>
      <c r="K4" s="38" t="s">
        <v>45</v>
      </c>
      <c r="L4" s="40">
        <v>38763</v>
      </c>
      <c r="M4" s="42" t="s">
        <v>1407</v>
      </c>
      <c r="O4" s="16" t="s">
        <v>1358</v>
      </c>
      <c r="P4" s="16" t="s">
        <v>1359</v>
      </c>
    </row>
    <row r="5" spans="1:16">
      <c r="A5" s="645" t="s">
        <v>1360</v>
      </c>
      <c r="B5" s="643" t="s">
        <v>46</v>
      </c>
      <c r="C5" s="651"/>
      <c r="D5" s="662" t="s">
        <v>47</v>
      </c>
      <c r="E5" s="651"/>
      <c r="F5" s="651"/>
      <c r="G5" s="651"/>
      <c r="H5" s="651"/>
      <c r="I5" s="643" t="s">
        <v>604</v>
      </c>
      <c r="J5" s="644"/>
      <c r="K5" s="656" t="s">
        <v>48</v>
      </c>
      <c r="L5" s="657"/>
      <c r="M5" s="658"/>
      <c r="P5" s="16" t="s">
        <v>605</v>
      </c>
    </row>
    <row r="6" spans="1:16">
      <c r="A6" s="646"/>
      <c r="B6" s="38" t="s">
        <v>49</v>
      </c>
      <c r="C6" s="35" t="s">
        <v>50</v>
      </c>
      <c r="D6" s="43" t="s">
        <v>42</v>
      </c>
      <c r="E6" s="44" t="s">
        <v>51</v>
      </c>
      <c r="F6" s="45" t="s">
        <v>52</v>
      </c>
      <c r="G6" s="38" t="s">
        <v>606</v>
      </c>
      <c r="H6" s="36" t="s">
        <v>53</v>
      </c>
      <c r="I6" s="36" t="s">
        <v>607</v>
      </c>
      <c r="J6" s="36" t="s">
        <v>608</v>
      </c>
      <c r="K6" s="659"/>
      <c r="L6" s="660"/>
      <c r="M6" s="661"/>
      <c r="P6" s="16" t="s">
        <v>609</v>
      </c>
    </row>
    <row r="7" spans="1:16">
      <c r="A7" s="42">
        <v>1</v>
      </c>
      <c r="B7" s="48" t="s">
        <v>766</v>
      </c>
      <c r="C7" s="49" t="s">
        <v>251</v>
      </c>
      <c r="D7" s="78" t="s">
        <v>527</v>
      </c>
      <c r="E7" s="73">
        <v>4</v>
      </c>
      <c r="F7" s="74"/>
      <c r="G7" s="21">
        <f t="shared" ref="G7:G13" si="0">IF(D7="DATE",4,IF(D7="CHAR",E7,IF(D7="SMALLINT",2,IF(D7="INTEGER",4,IF(D7="TIMESTAMP",10,IF(D7="TIME",3,0))))))</f>
        <v>4</v>
      </c>
      <c r="H7" s="42" t="s">
        <v>573</v>
      </c>
      <c r="I7" s="42" t="s">
        <v>573</v>
      </c>
      <c r="J7" s="59"/>
      <c r="K7" s="55" t="s">
        <v>515</v>
      </c>
      <c r="L7" s="56"/>
      <c r="M7" s="57"/>
      <c r="P7" s="16" t="s">
        <v>1171</v>
      </c>
    </row>
    <row r="8" spans="1:16">
      <c r="A8" s="42">
        <f t="shared" ref="A8:A14" si="1">IF(B8=""," ",A7+1)</f>
        <v>2</v>
      </c>
      <c r="B8" s="48" t="s">
        <v>1346</v>
      </c>
      <c r="C8" s="49" t="s">
        <v>252</v>
      </c>
      <c r="D8" s="78" t="s">
        <v>1359</v>
      </c>
      <c r="E8" s="73">
        <v>7</v>
      </c>
      <c r="F8" s="74"/>
      <c r="G8" s="21">
        <f t="shared" si="0"/>
        <v>7</v>
      </c>
      <c r="H8" s="42" t="s">
        <v>1358</v>
      </c>
      <c r="I8" s="42"/>
      <c r="J8" s="59"/>
      <c r="K8" s="599" t="s">
        <v>1347</v>
      </c>
      <c r="L8" s="600"/>
      <c r="M8" s="601"/>
      <c r="P8" s="16" t="s">
        <v>253</v>
      </c>
    </row>
    <row r="9" spans="1:16">
      <c r="A9" s="42">
        <f t="shared" si="1"/>
        <v>3</v>
      </c>
      <c r="B9" s="48" t="s">
        <v>1743</v>
      </c>
      <c r="C9" s="49" t="s">
        <v>254</v>
      </c>
      <c r="D9" s="78" t="s">
        <v>553</v>
      </c>
      <c r="E9" s="73">
        <v>16</v>
      </c>
      <c r="F9" s="74"/>
      <c r="G9" s="21">
        <f t="shared" si="0"/>
        <v>16</v>
      </c>
      <c r="H9" s="42" t="s">
        <v>884</v>
      </c>
      <c r="I9" s="42"/>
      <c r="J9" s="59"/>
      <c r="K9" s="628" t="s">
        <v>1744</v>
      </c>
      <c r="L9" s="629"/>
      <c r="M9" s="630"/>
    </row>
    <row r="10" spans="1:16">
      <c r="A10" s="42">
        <f t="shared" si="1"/>
        <v>4</v>
      </c>
      <c r="B10" s="48" t="s">
        <v>66</v>
      </c>
      <c r="C10" s="49" t="s">
        <v>1362</v>
      </c>
      <c r="D10" s="78" t="s">
        <v>548</v>
      </c>
      <c r="E10" s="98">
        <v>7</v>
      </c>
      <c r="F10" s="74"/>
      <c r="G10" s="21">
        <f t="shared" si="0"/>
        <v>7</v>
      </c>
      <c r="H10" s="42" t="s">
        <v>547</v>
      </c>
      <c r="I10" s="42" t="s">
        <v>547</v>
      </c>
      <c r="J10" s="59"/>
      <c r="K10" s="55" t="s">
        <v>515</v>
      </c>
      <c r="L10" s="56"/>
      <c r="M10" s="57"/>
      <c r="P10" s="16" t="s">
        <v>255</v>
      </c>
    </row>
    <row r="11" spans="1:16" s="22" customFormat="1">
      <c r="A11" s="42">
        <f t="shared" si="1"/>
        <v>5</v>
      </c>
      <c r="B11" s="64" t="s">
        <v>26</v>
      </c>
      <c r="C11" s="24" t="s">
        <v>1399</v>
      </c>
      <c r="D11" s="65" t="s">
        <v>519</v>
      </c>
      <c r="E11" s="51"/>
      <c r="F11" s="58"/>
      <c r="G11" s="21">
        <f t="shared" si="0"/>
        <v>4</v>
      </c>
      <c r="H11" s="53" t="s">
        <v>1400</v>
      </c>
      <c r="I11" s="53" t="s">
        <v>1400</v>
      </c>
      <c r="J11" s="165"/>
      <c r="K11" s="632" t="s">
        <v>1409</v>
      </c>
      <c r="L11" s="633"/>
      <c r="M11" s="634"/>
      <c r="P11" s="16" t="s">
        <v>256</v>
      </c>
    </row>
    <row r="12" spans="1:16" s="22" customFormat="1">
      <c r="A12" s="42">
        <f t="shared" si="1"/>
        <v>6</v>
      </c>
      <c r="B12" s="64" t="s">
        <v>27</v>
      </c>
      <c r="C12" s="24" t="s">
        <v>1401</v>
      </c>
      <c r="D12" s="65" t="s">
        <v>1402</v>
      </c>
      <c r="E12" s="51"/>
      <c r="F12" s="58"/>
      <c r="G12" s="21">
        <f t="shared" si="0"/>
        <v>4</v>
      </c>
      <c r="H12" s="53" t="s">
        <v>1403</v>
      </c>
      <c r="I12" s="53"/>
      <c r="J12" s="165"/>
      <c r="K12" s="632" t="s">
        <v>1410</v>
      </c>
      <c r="L12" s="633"/>
      <c r="M12" s="634"/>
      <c r="P12" s="16" t="s">
        <v>257</v>
      </c>
    </row>
    <row r="13" spans="1:16" ht="12" customHeight="1">
      <c r="A13" s="42">
        <f t="shared" si="1"/>
        <v>7</v>
      </c>
      <c r="B13" s="64" t="s">
        <v>1083</v>
      </c>
      <c r="C13" s="24" t="s">
        <v>1111</v>
      </c>
      <c r="D13" s="72" t="s">
        <v>1431</v>
      </c>
      <c r="E13" s="51">
        <v>8</v>
      </c>
      <c r="F13" s="58"/>
      <c r="G13" s="20">
        <f t="shared" si="0"/>
        <v>8</v>
      </c>
      <c r="H13" s="53" t="s">
        <v>1432</v>
      </c>
      <c r="I13" s="53"/>
      <c r="J13" s="59"/>
      <c r="K13" s="609" t="s">
        <v>1112</v>
      </c>
      <c r="L13" s="610"/>
      <c r="M13" s="611"/>
    </row>
    <row r="14" spans="1:16" s="22" customFormat="1">
      <c r="A14" s="42">
        <f t="shared" si="1"/>
        <v>8</v>
      </c>
      <c r="B14" s="93" t="s">
        <v>1724</v>
      </c>
      <c r="C14" s="26" t="s">
        <v>1404</v>
      </c>
      <c r="D14" s="94" t="s">
        <v>1405</v>
      </c>
      <c r="E14" s="95"/>
      <c r="F14" s="90"/>
      <c r="G14" s="21">
        <f>IF(D14="DATE",4,IF(D14="CHAR",E14,IF(D14="SMALLINT",2,IF(D14="INTEGER",4,IF(D14="TIMESTAMP",10,IF(D14="TIME",3,0))))))</f>
        <v>10</v>
      </c>
      <c r="H14" s="91" t="s">
        <v>1406</v>
      </c>
      <c r="I14" s="89"/>
      <c r="J14" s="92"/>
      <c r="K14" s="602"/>
      <c r="L14" s="603"/>
      <c r="M14" s="604"/>
    </row>
    <row r="15" spans="1:16">
      <c r="A15" s="42" t="str">
        <f>IF(B15=""," ",#REF!+1)</f>
        <v xml:space="preserve"> </v>
      </c>
      <c r="B15" s="100"/>
      <c r="C15" s="137"/>
      <c r="D15" s="78"/>
      <c r="E15" s="73"/>
      <c r="F15" s="74"/>
      <c r="G15" s="20"/>
      <c r="H15" s="42"/>
      <c r="I15" s="42"/>
      <c r="J15" s="59"/>
      <c r="K15" s="55"/>
      <c r="L15" s="56"/>
      <c r="M15" s="57"/>
    </row>
    <row r="16" spans="1:16">
      <c r="A16" s="42" t="str">
        <f t="shared" ref="A16:A45" si="2">IF(B16=""," ",A15+1)</f>
        <v xml:space="preserve"> </v>
      </c>
      <c r="B16" s="100"/>
      <c r="C16" s="137"/>
      <c r="D16" s="78"/>
      <c r="E16" s="73"/>
      <c r="F16" s="74"/>
      <c r="G16" s="20"/>
      <c r="H16" s="42"/>
      <c r="I16" s="42"/>
      <c r="J16" s="59"/>
      <c r="K16" s="55"/>
      <c r="L16" s="56"/>
      <c r="M16" s="57"/>
    </row>
    <row r="17" spans="1:13">
      <c r="A17" s="42" t="str">
        <f t="shared" si="2"/>
        <v xml:space="preserve"> </v>
      </c>
      <c r="B17" s="100"/>
      <c r="C17" s="137"/>
      <c r="D17" s="78"/>
      <c r="E17" s="73"/>
      <c r="F17" s="74"/>
      <c r="G17" s="20"/>
      <c r="H17" s="42"/>
      <c r="I17" s="42"/>
      <c r="J17" s="59"/>
      <c r="K17" s="55"/>
      <c r="L17" s="56"/>
      <c r="M17" s="57"/>
    </row>
    <row r="18" spans="1:13">
      <c r="A18" s="42" t="str">
        <f>IF(B18=""," ",#REF!+1)</f>
        <v xml:space="preserve"> </v>
      </c>
      <c r="B18" s="71"/>
      <c r="C18" s="13"/>
      <c r="D18" s="72"/>
      <c r="E18" s="73"/>
      <c r="F18" s="74"/>
      <c r="G18" s="20"/>
      <c r="H18" s="42"/>
      <c r="I18" s="42"/>
      <c r="J18" s="59"/>
      <c r="K18" s="13"/>
      <c r="L18" s="14"/>
      <c r="M18" s="15"/>
    </row>
    <row r="19" spans="1:13">
      <c r="A19" s="42" t="str">
        <f t="shared" si="2"/>
        <v xml:space="preserve"> </v>
      </c>
      <c r="B19" s="71"/>
      <c r="C19" s="13"/>
      <c r="D19" s="72"/>
      <c r="E19" s="73"/>
      <c r="F19" s="74"/>
      <c r="G19" s="20"/>
      <c r="H19" s="42"/>
      <c r="I19" s="42"/>
      <c r="J19" s="59"/>
      <c r="K19" s="13"/>
      <c r="L19" s="14"/>
      <c r="M19" s="15"/>
    </row>
    <row r="20" spans="1:13">
      <c r="A20" s="42" t="str">
        <f t="shared" si="2"/>
        <v xml:space="preserve"> </v>
      </c>
      <c r="B20" s="71"/>
      <c r="C20" s="13"/>
      <c r="D20" s="72"/>
      <c r="E20" s="73"/>
      <c r="F20" s="74"/>
      <c r="G20" s="20"/>
      <c r="H20" s="42"/>
      <c r="I20" s="42"/>
      <c r="J20" s="59"/>
      <c r="K20" s="13"/>
      <c r="L20" s="14"/>
      <c r="M20" s="15"/>
    </row>
    <row r="21" spans="1:13">
      <c r="A21" s="42" t="str">
        <f t="shared" si="2"/>
        <v xml:space="preserve"> </v>
      </c>
      <c r="B21" s="71"/>
      <c r="C21" s="13"/>
      <c r="D21" s="72"/>
      <c r="E21" s="73"/>
      <c r="F21" s="74"/>
      <c r="G21" s="20"/>
      <c r="H21" s="42"/>
      <c r="I21" s="42"/>
      <c r="J21" s="59"/>
      <c r="K21" s="13"/>
      <c r="L21" s="14"/>
      <c r="M21" s="15"/>
    </row>
    <row r="22" spans="1:13">
      <c r="A22" s="42" t="str">
        <f t="shared" si="2"/>
        <v xml:space="preserve"> </v>
      </c>
      <c r="B22" s="71"/>
      <c r="C22" s="13"/>
      <c r="D22" s="72"/>
      <c r="E22" s="73"/>
      <c r="F22" s="74"/>
      <c r="G22" s="20"/>
      <c r="H22" s="42"/>
      <c r="I22" s="42"/>
      <c r="J22" s="59"/>
      <c r="K22" s="13"/>
      <c r="L22" s="14"/>
      <c r="M22" s="15"/>
    </row>
    <row r="23" spans="1:13">
      <c r="A23" s="42" t="str">
        <f t="shared" si="2"/>
        <v xml:space="preserve"> </v>
      </c>
      <c r="B23" s="71"/>
      <c r="C23" s="13"/>
      <c r="D23" s="72"/>
      <c r="E23" s="73"/>
      <c r="F23" s="74"/>
      <c r="G23" s="20"/>
      <c r="H23" s="42"/>
      <c r="I23" s="42"/>
      <c r="J23" s="59"/>
      <c r="K23" s="13"/>
      <c r="L23" s="14"/>
      <c r="M23" s="15"/>
    </row>
    <row r="24" spans="1:13">
      <c r="A24" s="42" t="str">
        <f t="shared" si="2"/>
        <v xml:space="preserve"> </v>
      </c>
      <c r="B24" s="71"/>
      <c r="C24" s="13"/>
      <c r="D24" s="72"/>
      <c r="E24" s="73"/>
      <c r="F24" s="74"/>
      <c r="G24" s="20"/>
      <c r="H24" s="42"/>
      <c r="I24" s="42"/>
      <c r="J24" s="59"/>
      <c r="K24" s="13"/>
      <c r="L24" s="14"/>
      <c r="M24" s="15"/>
    </row>
    <row r="25" spans="1:13">
      <c r="A25" s="42" t="str">
        <f t="shared" si="2"/>
        <v xml:space="preserve"> </v>
      </c>
      <c r="B25" s="71"/>
      <c r="C25" s="13"/>
      <c r="D25" s="72"/>
      <c r="E25" s="73"/>
      <c r="F25" s="74"/>
      <c r="G25" s="20"/>
      <c r="H25" s="42"/>
      <c r="I25" s="42"/>
      <c r="J25" s="59"/>
      <c r="K25" s="13"/>
      <c r="L25" s="14"/>
      <c r="M25" s="15"/>
    </row>
    <row r="26" spans="1:13">
      <c r="A26" s="42" t="str">
        <f t="shared" si="2"/>
        <v xml:space="preserve"> </v>
      </c>
      <c r="B26" s="71"/>
      <c r="C26" s="13"/>
      <c r="D26" s="72"/>
      <c r="E26" s="73"/>
      <c r="F26" s="74"/>
      <c r="G26" s="20"/>
      <c r="H26" s="42"/>
      <c r="I26" s="42"/>
      <c r="J26" s="59"/>
      <c r="K26" s="13"/>
      <c r="L26" s="14"/>
      <c r="M26" s="15"/>
    </row>
    <row r="27" spans="1:13">
      <c r="A27" s="42" t="str">
        <f t="shared" si="2"/>
        <v xml:space="preserve"> </v>
      </c>
      <c r="B27" s="71"/>
      <c r="C27" s="13"/>
      <c r="D27" s="72"/>
      <c r="E27" s="73"/>
      <c r="F27" s="74"/>
      <c r="G27" s="20"/>
      <c r="H27" s="42"/>
      <c r="I27" s="42"/>
      <c r="J27" s="59"/>
      <c r="K27" s="13"/>
      <c r="L27" s="14"/>
      <c r="M27" s="15"/>
    </row>
    <row r="28" spans="1:13">
      <c r="A28" s="42" t="str">
        <f t="shared" si="2"/>
        <v xml:space="preserve"> </v>
      </c>
      <c r="B28" s="71"/>
      <c r="C28" s="13"/>
      <c r="D28" s="72"/>
      <c r="E28" s="73"/>
      <c r="F28" s="74"/>
      <c r="G28" s="20"/>
      <c r="H28" s="42"/>
      <c r="I28" s="42"/>
      <c r="J28" s="59"/>
      <c r="K28" s="13"/>
      <c r="L28" s="14"/>
      <c r="M28" s="15"/>
    </row>
    <row r="29" spans="1:13">
      <c r="A29" s="42" t="str">
        <f t="shared" si="2"/>
        <v xml:space="preserve"> </v>
      </c>
      <c r="B29" s="71"/>
      <c r="C29" s="13"/>
      <c r="D29" s="72"/>
      <c r="E29" s="73"/>
      <c r="F29" s="74"/>
      <c r="G29" s="20"/>
      <c r="H29" s="42"/>
      <c r="I29" s="42"/>
      <c r="J29" s="59"/>
      <c r="K29" s="13"/>
      <c r="L29" s="14"/>
      <c r="M29" s="15"/>
    </row>
    <row r="30" spans="1:13">
      <c r="A30" s="42" t="str">
        <f t="shared" si="2"/>
        <v xml:space="preserve"> </v>
      </c>
      <c r="B30" s="71"/>
      <c r="C30" s="13"/>
      <c r="D30" s="72"/>
      <c r="E30" s="73"/>
      <c r="F30" s="74"/>
      <c r="G30" s="20"/>
      <c r="H30" s="42"/>
      <c r="I30" s="42"/>
      <c r="J30" s="59"/>
      <c r="K30" s="13"/>
      <c r="L30" s="14"/>
      <c r="M30" s="15"/>
    </row>
    <row r="31" spans="1:13">
      <c r="A31" s="42" t="str">
        <f t="shared" si="2"/>
        <v xml:space="preserve"> </v>
      </c>
      <c r="B31" s="71"/>
      <c r="C31" s="13"/>
      <c r="D31" s="72"/>
      <c r="E31" s="73"/>
      <c r="F31" s="74"/>
      <c r="G31" s="20"/>
      <c r="H31" s="42"/>
      <c r="I31" s="42"/>
      <c r="J31" s="59"/>
      <c r="K31" s="13"/>
      <c r="L31" s="14"/>
      <c r="M31" s="15"/>
    </row>
    <row r="32" spans="1:13">
      <c r="A32" s="42" t="str">
        <f t="shared" si="2"/>
        <v xml:space="preserve"> </v>
      </c>
      <c r="B32" s="71"/>
      <c r="C32" s="13"/>
      <c r="D32" s="72"/>
      <c r="E32" s="73"/>
      <c r="F32" s="74"/>
      <c r="G32" s="20"/>
      <c r="H32" s="42"/>
      <c r="I32" s="42"/>
      <c r="J32" s="59"/>
      <c r="K32" s="13"/>
      <c r="L32" s="14"/>
      <c r="M32" s="15"/>
    </row>
    <row r="33" spans="1:13">
      <c r="A33" s="42" t="str">
        <f t="shared" si="2"/>
        <v xml:space="preserve"> </v>
      </c>
      <c r="B33" s="71"/>
      <c r="C33" s="13"/>
      <c r="D33" s="72"/>
      <c r="E33" s="73"/>
      <c r="F33" s="74"/>
      <c r="G33" s="20"/>
      <c r="H33" s="42"/>
      <c r="I33" s="42"/>
      <c r="J33" s="59"/>
      <c r="K33" s="13"/>
      <c r="L33" s="14"/>
      <c r="M33" s="15"/>
    </row>
    <row r="34" spans="1:13">
      <c r="A34" s="42" t="str">
        <f>IF(B34=""," ",A33+1)</f>
        <v xml:space="preserve"> </v>
      </c>
      <c r="B34" s="71"/>
      <c r="C34" s="13"/>
      <c r="D34" s="72"/>
      <c r="E34" s="73"/>
      <c r="F34" s="74"/>
      <c r="G34" s="20"/>
      <c r="H34" s="42"/>
      <c r="I34" s="42"/>
      <c r="J34" s="59"/>
      <c r="K34" s="13"/>
      <c r="L34" s="14"/>
      <c r="M34" s="15"/>
    </row>
    <row r="35" spans="1:13">
      <c r="A35" s="42" t="str">
        <f t="shared" si="2"/>
        <v xml:space="preserve"> </v>
      </c>
      <c r="B35" s="71"/>
      <c r="C35" s="13"/>
      <c r="D35" s="72"/>
      <c r="E35" s="73"/>
      <c r="F35" s="74"/>
      <c r="G35" s="20"/>
      <c r="H35" s="42"/>
      <c r="I35" s="42"/>
      <c r="J35" s="59"/>
      <c r="K35" s="13"/>
      <c r="L35" s="14"/>
      <c r="M35" s="15"/>
    </row>
    <row r="36" spans="1:13">
      <c r="A36" s="42" t="str">
        <f t="shared" si="2"/>
        <v xml:space="preserve"> </v>
      </c>
      <c r="B36" s="71"/>
      <c r="C36" s="13"/>
      <c r="D36" s="72"/>
      <c r="E36" s="73"/>
      <c r="F36" s="74"/>
      <c r="G36" s="20"/>
      <c r="H36" s="42"/>
      <c r="I36" s="42"/>
      <c r="J36" s="59"/>
      <c r="K36" s="13"/>
      <c r="L36" s="14"/>
      <c r="M36" s="15"/>
    </row>
    <row r="37" spans="1:13">
      <c r="A37" s="42" t="str">
        <f t="shared" si="2"/>
        <v xml:space="preserve"> </v>
      </c>
      <c r="B37" s="71"/>
      <c r="C37" s="13"/>
      <c r="D37" s="72"/>
      <c r="E37" s="73"/>
      <c r="F37" s="74"/>
      <c r="G37" s="20"/>
      <c r="H37" s="42"/>
      <c r="I37" s="42"/>
      <c r="J37" s="59"/>
      <c r="K37" s="13"/>
      <c r="L37" s="14"/>
      <c r="M37" s="15"/>
    </row>
    <row r="38" spans="1:13">
      <c r="A38" s="42" t="str">
        <f t="shared" si="2"/>
        <v xml:space="preserve"> </v>
      </c>
      <c r="B38" s="71"/>
      <c r="C38" s="13"/>
      <c r="D38" s="72"/>
      <c r="E38" s="73"/>
      <c r="F38" s="74"/>
      <c r="G38" s="20"/>
      <c r="H38" s="42"/>
      <c r="I38" s="42"/>
      <c r="J38" s="59"/>
      <c r="K38" s="13"/>
      <c r="L38" s="14"/>
      <c r="M38" s="15"/>
    </row>
    <row r="39" spans="1:13">
      <c r="A39" s="42" t="str">
        <f t="shared" si="2"/>
        <v xml:space="preserve"> </v>
      </c>
      <c r="B39" s="71"/>
      <c r="C39" s="13"/>
      <c r="D39" s="72"/>
      <c r="E39" s="73"/>
      <c r="F39" s="74"/>
      <c r="G39" s="20"/>
      <c r="H39" s="42"/>
      <c r="I39" s="42"/>
      <c r="J39" s="59"/>
      <c r="K39" s="13"/>
      <c r="L39" s="14"/>
      <c r="M39" s="15"/>
    </row>
    <row r="40" spans="1:13">
      <c r="A40" s="42" t="str">
        <f t="shared" si="2"/>
        <v xml:space="preserve"> </v>
      </c>
      <c r="B40" s="71"/>
      <c r="C40" s="13"/>
      <c r="D40" s="72"/>
      <c r="E40" s="73"/>
      <c r="F40" s="74"/>
      <c r="G40" s="20"/>
      <c r="H40" s="42"/>
      <c r="I40" s="42"/>
      <c r="J40" s="59"/>
      <c r="K40" s="13"/>
      <c r="L40" s="14"/>
      <c r="M40" s="15"/>
    </row>
    <row r="41" spans="1:13">
      <c r="A41" s="42" t="str">
        <f t="shared" si="2"/>
        <v xml:space="preserve"> </v>
      </c>
      <c r="B41" s="71"/>
      <c r="C41" s="13"/>
      <c r="D41" s="72"/>
      <c r="E41" s="73"/>
      <c r="F41" s="74"/>
      <c r="G41" s="20"/>
      <c r="H41" s="42"/>
      <c r="I41" s="42"/>
      <c r="J41" s="59"/>
      <c r="K41" s="13"/>
      <c r="L41" s="14"/>
      <c r="M41" s="15"/>
    </row>
    <row r="42" spans="1:13">
      <c r="A42" s="42" t="str">
        <f t="shared" si="2"/>
        <v xml:space="preserve"> </v>
      </c>
      <c r="B42" s="71"/>
      <c r="C42" s="13"/>
      <c r="D42" s="72"/>
      <c r="E42" s="73"/>
      <c r="F42" s="74"/>
      <c r="G42" s="20"/>
      <c r="H42" s="42"/>
      <c r="I42" s="42"/>
      <c r="J42" s="59"/>
      <c r="K42" s="13"/>
      <c r="L42" s="14"/>
      <c r="M42" s="15"/>
    </row>
    <row r="43" spans="1:13">
      <c r="A43" s="42" t="str">
        <f t="shared" si="2"/>
        <v xml:space="preserve"> </v>
      </c>
      <c r="B43" s="71"/>
      <c r="C43" s="13"/>
      <c r="D43" s="72"/>
      <c r="E43" s="73"/>
      <c r="F43" s="74"/>
      <c r="G43" s="20"/>
      <c r="H43" s="42"/>
      <c r="I43" s="42"/>
      <c r="J43" s="59"/>
      <c r="K43" s="13"/>
      <c r="L43" s="14"/>
      <c r="M43" s="15"/>
    </row>
    <row r="44" spans="1:13">
      <c r="A44" s="42" t="str">
        <f t="shared" si="2"/>
        <v xml:space="preserve"> </v>
      </c>
      <c r="B44" s="71"/>
      <c r="C44" s="13"/>
      <c r="D44" s="72"/>
      <c r="E44" s="73"/>
      <c r="F44" s="74"/>
      <c r="G44" s="20"/>
      <c r="H44" s="42"/>
      <c r="I44" s="42"/>
      <c r="J44" s="59"/>
      <c r="K44" s="13"/>
      <c r="L44" s="14"/>
      <c r="M44" s="15"/>
    </row>
    <row r="45" spans="1:13">
      <c r="A45" s="42" t="str">
        <f t="shared" si="2"/>
        <v xml:space="preserve"> </v>
      </c>
      <c r="B45" s="71"/>
      <c r="C45" s="13"/>
      <c r="D45" s="72"/>
      <c r="E45" s="73"/>
      <c r="F45" s="74"/>
      <c r="G45" s="20"/>
      <c r="H45" s="42"/>
      <c r="I45" s="42"/>
      <c r="J45" s="59"/>
      <c r="K45" s="13"/>
      <c r="L45" s="14"/>
      <c r="M45" s="15"/>
    </row>
    <row r="46" spans="1:13">
      <c r="A46" s="42" t="str">
        <f t="shared" ref="A46:A64" si="3">IF(B46=""," ",A45+1)</f>
        <v xml:space="preserve"> </v>
      </c>
      <c r="B46" s="71"/>
      <c r="C46" s="13"/>
      <c r="D46" s="72"/>
      <c r="E46" s="73"/>
      <c r="F46" s="74"/>
      <c r="G46" s="20"/>
      <c r="H46" s="42"/>
      <c r="I46" s="42"/>
      <c r="J46" s="59"/>
      <c r="K46" s="13"/>
      <c r="L46" s="14"/>
      <c r="M46" s="15"/>
    </row>
    <row r="47" spans="1:13">
      <c r="A47" s="42" t="str">
        <f t="shared" si="3"/>
        <v xml:space="preserve"> </v>
      </c>
      <c r="B47" s="71"/>
      <c r="C47" s="13"/>
      <c r="D47" s="72"/>
      <c r="E47" s="73"/>
      <c r="F47" s="74"/>
      <c r="G47" s="20"/>
      <c r="H47" s="42"/>
      <c r="I47" s="42"/>
      <c r="J47" s="59"/>
      <c r="K47" s="13"/>
      <c r="L47" s="14"/>
      <c r="M47" s="15"/>
    </row>
    <row r="48" spans="1:13">
      <c r="A48" s="42" t="str">
        <f t="shared" si="3"/>
        <v xml:space="preserve"> </v>
      </c>
      <c r="B48" s="71"/>
      <c r="C48" s="13"/>
      <c r="D48" s="72"/>
      <c r="E48" s="73"/>
      <c r="F48" s="74"/>
      <c r="G48" s="20"/>
      <c r="H48" s="42"/>
      <c r="I48" s="42"/>
      <c r="J48" s="59"/>
      <c r="K48" s="13"/>
      <c r="L48" s="14"/>
      <c r="M48" s="15"/>
    </row>
    <row r="49" spans="1:13">
      <c r="A49" s="42" t="str">
        <f t="shared" si="3"/>
        <v xml:space="preserve"> </v>
      </c>
      <c r="B49" s="71"/>
      <c r="C49" s="13"/>
      <c r="D49" s="72"/>
      <c r="E49" s="73"/>
      <c r="F49" s="74"/>
      <c r="G49" s="20"/>
      <c r="H49" s="42"/>
      <c r="I49" s="42"/>
      <c r="J49" s="59"/>
      <c r="K49" s="13"/>
      <c r="L49" s="14"/>
      <c r="M49" s="15"/>
    </row>
    <row r="50" spans="1:13">
      <c r="A50" s="42" t="str">
        <f t="shared" si="3"/>
        <v xml:space="preserve"> </v>
      </c>
      <c r="B50" s="71"/>
      <c r="C50" s="13"/>
      <c r="D50" s="72"/>
      <c r="E50" s="73"/>
      <c r="F50" s="74"/>
      <c r="G50" s="20"/>
      <c r="H50" s="42"/>
      <c r="I50" s="42"/>
      <c r="J50" s="59"/>
      <c r="K50" s="13"/>
      <c r="L50" s="14"/>
      <c r="M50" s="15"/>
    </row>
    <row r="51" spans="1:13">
      <c r="A51" s="42" t="str">
        <f t="shared" si="3"/>
        <v xml:space="preserve"> </v>
      </c>
      <c r="B51" s="71"/>
      <c r="C51" s="13"/>
      <c r="D51" s="72"/>
      <c r="E51" s="73"/>
      <c r="F51" s="74"/>
      <c r="G51" s="20"/>
      <c r="H51" s="42"/>
      <c r="I51" s="42"/>
      <c r="J51" s="59"/>
      <c r="K51" s="13"/>
      <c r="L51" s="14"/>
      <c r="M51" s="15"/>
    </row>
    <row r="52" spans="1:13">
      <c r="A52" s="42" t="str">
        <f t="shared" si="3"/>
        <v xml:space="preserve"> </v>
      </c>
      <c r="B52" s="71"/>
      <c r="C52" s="13"/>
      <c r="D52" s="72"/>
      <c r="E52" s="73"/>
      <c r="F52" s="74"/>
      <c r="G52" s="20"/>
      <c r="H52" s="42"/>
      <c r="I52" s="42"/>
      <c r="J52" s="59"/>
      <c r="K52" s="13"/>
      <c r="L52" s="14"/>
      <c r="M52" s="15"/>
    </row>
    <row r="53" spans="1:13">
      <c r="A53" s="89" t="str">
        <f t="shared" si="3"/>
        <v xml:space="preserve"> </v>
      </c>
      <c r="B53" s="66"/>
      <c r="C53" s="31"/>
      <c r="D53" s="97"/>
      <c r="E53" s="98"/>
      <c r="F53" s="99"/>
      <c r="G53" s="21"/>
      <c r="H53" s="89"/>
      <c r="I53" s="89"/>
      <c r="J53" s="92"/>
      <c r="K53" s="31"/>
      <c r="L53" s="32"/>
      <c r="M53" s="33"/>
    </row>
    <row r="54" spans="1:13">
      <c r="A54" s="89" t="str">
        <f>IF(B54=""," ",#REF!+1)</f>
        <v xml:space="preserve"> </v>
      </c>
      <c r="B54" s="96"/>
      <c r="C54" s="31"/>
      <c r="D54" s="97"/>
      <c r="E54" s="98"/>
      <c r="F54" s="99"/>
      <c r="G54" s="21"/>
      <c r="H54" s="89"/>
      <c r="I54" s="89"/>
      <c r="J54" s="92"/>
      <c r="K54" s="31"/>
      <c r="L54" s="32"/>
      <c r="M54" s="33"/>
    </row>
    <row r="55" spans="1:13">
      <c r="A55" s="89" t="str">
        <f>IF(B55=""," ",#REF!+1)</f>
        <v xml:space="preserve"> </v>
      </c>
      <c r="B55" s="96"/>
      <c r="C55" s="31"/>
      <c r="D55" s="97"/>
      <c r="E55" s="98"/>
      <c r="F55" s="99"/>
      <c r="G55" s="21"/>
      <c r="H55" s="89"/>
      <c r="I55" s="89"/>
      <c r="J55" s="92"/>
      <c r="K55" s="31"/>
      <c r="L55" s="32"/>
      <c r="M55" s="33"/>
    </row>
    <row r="56" spans="1:13">
      <c r="A56" s="89" t="str">
        <f t="shared" si="3"/>
        <v xml:space="preserve"> </v>
      </c>
      <c r="B56" s="96"/>
      <c r="C56" s="31"/>
      <c r="D56" s="97"/>
      <c r="E56" s="98"/>
      <c r="F56" s="99"/>
      <c r="G56" s="21"/>
      <c r="H56" s="89"/>
      <c r="I56" s="89"/>
      <c r="J56" s="92"/>
      <c r="K56" s="31"/>
      <c r="L56" s="32"/>
      <c r="M56" s="33"/>
    </row>
    <row r="57" spans="1:13">
      <c r="A57" s="89" t="str">
        <f t="shared" si="3"/>
        <v xml:space="preserve"> </v>
      </c>
      <c r="B57" s="96"/>
      <c r="C57" s="31"/>
      <c r="D57" s="97"/>
      <c r="E57" s="98"/>
      <c r="F57" s="99"/>
      <c r="G57" s="21"/>
      <c r="H57" s="89"/>
      <c r="I57" s="89"/>
      <c r="J57" s="92"/>
      <c r="K57" s="31"/>
      <c r="L57" s="32"/>
      <c r="M57" s="33"/>
    </row>
    <row r="58" spans="1:13">
      <c r="A58" s="89" t="str">
        <f t="shared" si="3"/>
        <v xml:space="preserve"> </v>
      </c>
      <c r="B58" s="96"/>
      <c r="C58" s="31"/>
      <c r="D58" s="97"/>
      <c r="E58" s="98"/>
      <c r="F58" s="99"/>
      <c r="G58" s="21"/>
      <c r="H58" s="89"/>
      <c r="I58" s="89"/>
      <c r="J58" s="92"/>
      <c r="K58" s="31"/>
      <c r="L58" s="32"/>
      <c r="M58" s="33"/>
    </row>
    <row r="59" spans="1:13">
      <c r="A59" s="89" t="str">
        <f>IF(B59=""," ",A58+1)</f>
        <v xml:space="preserve"> </v>
      </c>
      <c r="B59" s="96"/>
      <c r="C59" s="31"/>
      <c r="D59" s="97"/>
      <c r="E59" s="98"/>
      <c r="F59" s="99"/>
      <c r="G59" s="21"/>
      <c r="H59" s="89"/>
      <c r="I59" s="89"/>
      <c r="J59" s="92"/>
      <c r="K59" s="31"/>
      <c r="L59" s="32"/>
      <c r="M59" s="33"/>
    </row>
    <row r="60" spans="1:13">
      <c r="A60" s="89" t="str">
        <f t="shared" si="3"/>
        <v xml:space="preserve"> </v>
      </c>
      <c r="B60" s="96"/>
      <c r="C60" s="31"/>
      <c r="D60" s="97"/>
      <c r="E60" s="98"/>
      <c r="F60" s="99"/>
      <c r="G60" s="21"/>
      <c r="H60" s="89"/>
      <c r="I60" s="89"/>
      <c r="J60" s="92"/>
      <c r="K60" s="31"/>
      <c r="L60" s="32"/>
      <c r="M60" s="33"/>
    </row>
    <row r="61" spans="1:13">
      <c r="A61" s="89" t="str">
        <f t="shared" si="3"/>
        <v xml:space="preserve"> </v>
      </c>
      <c r="B61" s="96"/>
      <c r="C61" s="31"/>
      <c r="D61" s="97"/>
      <c r="E61" s="98"/>
      <c r="F61" s="99"/>
      <c r="G61" s="21"/>
      <c r="H61" s="89"/>
      <c r="I61" s="89"/>
      <c r="J61" s="92"/>
      <c r="K61" s="31"/>
      <c r="L61" s="32"/>
      <c r="M61" s="33"/>
    </row>
    <row r="62" spans="1:13">
      <c r="A62" s="89" t="str">
        <f t="shared" si="3"/>
        <v xml:space="preserve"> </v>
      </c>
      <c r="B62" s="96"/>
      <c r="C62" s="31"/>
      <c r="D62" s="97"/>
      <c r="E62" s="98"/>
      <c r="F62" s="99"/>
      <c r="G62" s="21"/>
      <c r="H62" s="89"/>
      <c r="I62" s="89"/>
      <c r="J62" s="92"/>
      <c r="K62" s="31"/>
      <c r="L62" s="32"/>
      <c r="M62" s="33"/>
    </row>
    <row r="63" spans="1:13">
      <c r="A63" s="89" t="str">
        <f t="shared" si="3"/>
        <v xml:space="preserve"> </v>
      </c>
      <c r="B63" s="96"/>
      <c r="C63" s="31"/>
      <c r="D63" s="97"/>
      <c r="E63" s="98"/>
      <c r="F63" s="99"/>
      <c r="G63" s="21"/>
      <c r="H63" s="89"/>
      <c r="I63" s="89"/>
      <c r="J63" s="92"/>
      <c r="K63" s="31"/>
      <c r="L63" s="32"/>
      <c r="M63" s="33"/>
    </row>
    <row r="64" spans="1:13">
      <c r="A64" s="89" t="str">
        <f t="shared" si="3"/>
        <v xml:space="preserve"> </v>
      </c>
      <c r="B64" s="96"/>
      <c r="C64" s="31"/>
      <c r="D64" s="97"/>
      <c r="E64" s="98"/>
      <c r="F64" s="99"/>
      <c r="G64" s="21"/>
      <c r="H64" s="89"/>
      <c r="I64" s="89"/>
      <c r="J64" s="92"/>
      <c r="K64" s="31"/>
      <c r="L64" s="32"/>
      <c r="M64" s="33"/>
    </row>
    <row r="65" spans="1:13">
      <c r="A65" s="42" t="str">
        <f>IF(B65=""," ",A64+1)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13"/>
      <c r="L99" s="14"/>
      <c r="M99" s="15"/>
    </row>
    <row r="100" spans="1:13">
      <c r="A100" s="42" t="str">
        <f>IF(B100=""," ",A99+1)</f>
        <v xml:space="preserve"> </v>
      </c>
      <c r="B100" s="71"/>
      <c r="C100" s="13"/>
      <c r="D100" s="72"/>
      <c r="E100" s="73"/>
      <c r="F100" s="74"/>
      <c r="G100" s="20"/>
      <c r="H100" s="42"/>
      <c r="I100" s="42"/>
      <c r="J100" s="59"/>
      <c r="K100" s="13"/>
      <c r="L100" s="14"/>
      <c r="M100" s="15"/>
    </row>
    <row r="102" spans="1:13">
      <c r="B102" s="16" t="s">
        <v>1691</v>
      </c>
    </row>
    <row r="104" spans="1:13">
      <c r="B104" s="16" t="s">
        <v>1692</v>
      </c>
      <c r="C104" s="16" t="s">
        <v>1693</v>
      </c>
      <c r="D104" s="16" t="s">
        <v>1695</v>
      </c>
    </row>
    <row r="105" spans="1:13">
      <c r="D105" s="16" t="s">
        <v>1694</v>
      </c>
    </row>
    <row r="106" spans="1:13">
      <c r="D106" s="16" t="s">
        <v>1726</v>
      </c>
    </row>
    <row r="107" spans="1:13">
      <c r="C107" s="16" t="s">
        <v>1720</v>
      </c>
      <c r="D107" s="16" t="s">
        <v>1724</v>
      </c>
    </row>
    <row r="108" spans="1:13">
      <c r="C108" s="16" t="s">
        <v>1725</v>
      </c>
    </row>
    <row r="110" spans="1:13">
      <c r="B110" s="16" t="s">
        <v>800</v>
      </c>
      <c r="C110" s="16" t="s">
        <v>1720</v>
      </c>
      <c r="D110" s="16" t="s">
        <v>1743</v>
      </c>
    </row>
    <row r="112" spans="1:13">
      <c r="B112" s="75" t="s">
        <v>273</v>
      </c>
      <c r="C112" s="16" t="s">
        <v>1411</v>
      </c>
    </row>
  </sheetData>
  <mergeCells count="38">
    <mergeCell ref="K97:M97"/>
    <mergeCell ref="K98:M98"/>
    <mergeCell ref="K81:M81"/>
    <mergeCell ref="K82:M82"/>
    <mergeCell ref="K85:M85"/>
    <mergeCell ref="K86:M86"/>
    <mergeCell ref="K94:M94"/>
    <mergeCell ref="K89:M89"/>
    <mergeCell ref="K90:M90"/>
    <mergeCell ref="K93:M93"/>
    <mergeCell ref="K78:M78"/>
    <mergeCell ref="K65:M65"/>
    <mergeCell ref="K66:M66"/>
    <mergeCell ref="K69:M69"/>
    <mergeCell ref="K70:M70"/>
    <mergeCell ref="K5:M6"/>
    <mergeCell ref="I5:J5"/>
    <mergeCell ref="D5:H5"/>
    <mergeCell ref="K9:M9"/>
    <mergeCell ref="K77:M77"/>
    <mergeCell ref="K73:M73"/>
    <mergeCell ref="K74:M74"/>
    <mergeCell ref="K8:M8"/>
    <mergeCell ref="K11:M11"/>
    <mergeCell ref="K12:M12"/>
    <mergeCell ref="K13:M13"/>
    <mergeCell ref="K14:M14"/>
    <mergeCell ref="A2:B2"/>
    <mergeCell ref="A3:B3"/>
    <mergeCell ref="A4:B4"/>
    <mergeCell ref="B5:C5"/>
    <mergeCell ref="H2:J2"/>
    <mergeCell ref="C2:G2"/>
    <mergeCell ref="C3:G3"/>
    <mergeCell ref="C4:G4"/>
    <mergeCell ref="H4:I4"/>
    <mergeCell ref="H3:I3"/>
    <mergeCell ref="A5:A6"/>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9">
    <pageSetUpPr fitToPage="1"/>
  </sheetPr>
  <dimension ref="A1:P111"/>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bestFit="1" customWidth="1"/>
    <col min="2" max="2" width="28.625" style="22" customWidth="1"/>
    <col min="3" max="3" width="13.375" style="22" customWidth="1"/>
    <col min="4" max="4" width="9.375" style="22" customWidth="1"/>
    <col min="5" max="6" width="4.75" style="22" bestFit="1" customWidth="1"/>
    <col min="7" max="7" width="6.125" style="22" bestFit="1" customWidth="1"/>
    <col min="8" max="8" width="4.75" style="22" bestFit="1" customWidth="1"/>
    <col min="9" max="9" width="4.75" style="22" customWidth="1"/>
    <col min="10" max="11" width="9.625" style="22" customWidth="1"/>
    <col min="12" max="13" width="10.25" style="22" customWidth="1"/>
    <col min="14" max="14" width="9" style="22"/>
    <col min="15" max="16" width="9" style="22" hidden="1" customWidth="1"/>
    <col min="17" max="16384" width="9" style="22"/>
  </cols>
  <sheetData>
    <row r="1" spans="1:16">
      <c r="B1" s="47"/>
      <c r="C1" s="247" t="s">
        <v>383</v>
      </c>
    </row>
    <row r="2" spans="1:16">
      <c r="A2" s="670" t="s">
        <v>602</v>
      </c>
      <c r="B2" s="671"/>
      <c r="C2" s="670" t="s">
        <v>36</v>
      </c>
      <c r="D2" s="676"/>
      <c r="E2" s="676"/>
      <c r="F2" s="676"/>
      <c r="G2" s="671"/>
      <c r="H2" s="670"/>
      <c r="I2" s="676"/>
      <c r="J2" s="671"/>
      <c r="K2" s="81"/>
      <c r="L2" s="82" t="s">
        <v>37</v>
      </c>
      <c r="M2" s="82" t="s">
        <v>38</v>
      </c>
    </row>
    <row r="3" spans="1:16">
      <c r="A3" s="672"/>
      <c r="B3" s="673"/>
      <c r="C3" s="857" t="s">
        <v>274</v>
      </c>
      <c r="D3" s="858"/>
      <c r="E3" s="858"/>
      <c r="F3" s="858"/>
      <c r="G3" s="859"/>
      <c r="H3" s="670" t="s">
        <v>39</v>
      </c>
      <c r="I3" s="671"/>
      <c r="J3" s="83">
        <f>COUNT(A7:A24)</f>
        <v>8</v>
      </c>
      <c r="K3" s="82" t="s">
        <v>40</v>
      </c>
      <c r="L3" s="84">
        <v>38631</v>
      </c>
      <c r="M3" s="41" t="s">
        <v>532</v>
      </c>
      <c r="O3" s="22" t="s">
        <v>41</v>
      </c>
      <c r="P3" s="22" t="s">
        <v>42</v>
      </c>
    </row>
    <row r="4" spans="1:16">
      <c r="A4" s="674" t="s">
        <v>43</v>
      </c>
      <c r="B4" s="675"/>
      <c r="C4" s="860" t="s">
        <v>1470</v>
      </c>
      <c r="D4" s="861"/>
      <c r="E4" s="861"/>
      <c r="F4" s="861"/>
      <c r="G4" s="862"/>
      <c r="H4" s="670" t="s">
        <v>44</v>
      </c>
      <c r="I4" s="671"/>
      <c r="J4" s="83">
        <f>SUM(G7:G100)</f>
        <v>52</v>
      </c>
      <c r="K4" s="82" t="s">
        <v>45</v>
      </c>
      <c r="L4" s="40">
        <v>38779</v>
      </c>
      <c r="M4" s="42" t="s">
        <v>532</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c r="A7" s="89">
        <v>1</v>
      </c>
      <c r="B7" s="48" t="s">
        <v>668</v>
      </c>
      <c r="C7" s="49" t="s">
        <v>275</v>
      </c>
      <c r="D7" s="78" t="s">
        <v>527</v>
      </c>
      <c r="E7" s="98">
        <v>4</v>
      </c>
      <c r="F7" s="99"/>
      <c r="G7" s="21">
        <f t="shared" ref="G7:G13" si="0">IF(D7="DATE",4,IF(D7="CHAR",E7,IF(D7="SMALLINT",2,IF(D7="INTEGER",4,IF(D7="TIMESTAMP",10,IF(D7="TIME",3,0))))))</f>
        <v>4</v>
      </c>
      <c r="H7" s="89" t="s">
        <v>573</v>
      </c>
      <c r="I7" s="89" t="s">
        <v>573</v>
      </c>
      <c r="J7" s="92"/>
      <c r="K7" s="599"/>
      <c r="L7" s="600"/>
      <c r="M7" s="601"/>
      <c r="P7" s="22" t="s">
        <v>545</v>
      </c>
    </row>
    <row r="8" spans="1:16" ht="11.25" customHeight="1">
      <c r="A8" s="89">
        <v>2</v>
      </c>
      <c r="B8" s="48" t="s">
        <v>776</v>
      </c>
      <c r="C8" s="49" t="s">
        <v>1762</v>
      </c>
      <c r="D8" s="78" t="s">
        <v>580</v>
      </c>
      <c r="E8" s="98">
        <v>10</v>
      </c>
      <c r="F8" s="99"/>
      <c r="G8" s="21">
        <f t="shared" si="0"/>
        <v>10</v>
      </c>
      <c r="H8" s="89" t="s">
        <v>581</v>
      </c>
      <c r="I8" s="89"/>
      <c r="J8" s="92"/>
      <c r="K8" s="599"/>
      <c r="L8" s="600"/>
      <c r="M8" s="601"/>
      <c r="P8" s="22" t="s">
        <v>839</v>
      </c>
    </row>
    <row r="9" spans="1:16">
      <c r="A9" s="89">
        <v>3</v>
      </c>
      <c r="B9" s="48" t="s">
        <v>775</v>
      </c>
      <c r="C9" s="49" t="s">
        <v>276</v>
      </c>
      <c r="D9" s="78" t="s">
        <v>55</v>
      </c>
      <c r="E9" s="98" t="s">
        <v>65</v>
      </c>
      <c r="F9" s="99"/>
      <c r="G9" s="21">
        <f t="shared" si="0"/>
        <v>2</v>
      </c>
      <c r="H9" s="89" t="s">
        <v>581</v>
      </c>
      <c r="I9" s="89"/>
      <c r="J9" s="92"/>
      <c r="K9" s="599"/>
      <c r="L9" s="600"/>
      <c r="M9" s="601"/>
      <c r="P9" s="22" t="s">
        <v>277</v>
      </c>
    </row>
    <row r="10" spans="1:16">
      <c r="A10" s="89">
        <v>4</v>
      </c>
      <c r="B10" s="48" t="s">
        <v>774</v>
      </c>
      <c r="C10" s="49" t="s">
        <v>1761</v>
      </c>
      <c r="D10" s="78" t="s">
        <v>553</v>
      </c>
      <c r="E10" s="98">
        <v>10</v>
      </c>
      <c r="F10" s="99"/>
      <c r="G10" s="21">
        <f t="shared" si="0"/>
        <v>10</v>
      </c>
      <c r="H10" s="89" t="s">
        <v>884</v>
      </c>
      <c r="I10" s="89"/>
      <c r="J10" s="92"/>
      <c r="K10" s="628"/>
      <c r="L10" s="629"/>
      <c r="M10" s="630"/>
    </row>
    <row r="11" spans="1:16">
      <c r="A11" s="89">
        <v>5</v>
      </c>
      <c r="B11" s="64" t="s">
        <v>26</v>
      </c>
      <c r="C11" s="24" t="s">
        <v>1399</v>
      </c>
      <c r="D11" s="65" t="s">
        <v>519</v>
      </c>
      <c r="E11" s="51">
        <v>10</v>
      </c>
      <c r="F11" s="58"/>
      <c r="G11" s="21">
        <f t="shared" si="0"/>
        <v>4</v>
      </c>
      <c r="H11" s="89" t="s">
        <v>1400</v>
      </c>
      <c r="I11" s="89" t="s">
        <v>1400</v>
      </c>
      <c r="J11" s="165"/>
      <c r="K11" s="632" t="s">
        <v>1409</v>
      </c>
      <c r="L11" s="633"/>
      <c r="M11" s="634"/>
    </row>
    <row r="12" spans="1:16" ht="12" customHeight="1">
      <c r="A12" s="89">
        <v>6</v>
      </c>
      <c r="B12" s="64" t="s">
        <v>27</v>
      </c>
      <c r="C12" s="24" t="s">
        <v>1401</v>
      </c>
      <c r="D12" s="65" t="s">
        <v>1402</v>
      </c>
      <c r="E12" s="51">
        <v>10</v>
      </c>
      <c r="F12" s="58"/>
      <c r="G12" s="21">
        <f t="shared" si="0"/>
        <v>4</v>
      </c>
      <c r="H12" s="89" t="s">
        <v>1403</v>
      </c>
      <c r="I12" s="53"/>
      <c r="J12" s="165"/>
      <c r="K12" s="632" t="s">
        <v>1410</v>
      </c>
      <c r="L12" s="633"/>
      <c r="M12" s="634"/>
    </row>
    <row r="13" spans="1:16">
      <c r="A13" s="89">
        <v>7</v>
      </c>
      <c r="B13" s="64" t="s">
        <v>1083</v>
      </c>
      <c r="C13" s="24" t="s">
        <v>1111</v>
      </c>
      <c r="D13" s="72" t="s">
        <v>1431</v>
      </c>
      <c r="E13" s="51">
        <v>8</v>
      </c>
      <c r="F13" s="58"/>
      <c r="G13" s="20">
        <f t="shared" si="0"/>
        <v>8</v>
      </c>
      <c r="H13" s="53" t="s">
        <v>1432</v>
      </c>
      <c r="I13" s="89"/>
      <c r="J13" s="92"/>
      <c r="K13" s="602"/>
      <c r="L13" s="603"/>
      <c r="M13" s="604"/>
    </row>
    <row r="14" spans="1:16">
      <c r="A14" s="89">
        <v>8</v>
      </c>
      <c r="B14" s="93" t="s">
        <v>1724</v>
      </c>
      <c r="C14" s="26" t="s">
        <v>1404</v>
      </c>
      <c r="D14" s="94" t="s">
        <v>1405</v>
      </c>
      <c r="E14" s="95"/>
      <c r="F14" s="90"/>
      <c r="G14" s="21">
        <f>IF(D14="DATE",4,IF(D14="CHAR",E14,IF(D14="SMALLINT",2,IF(D14="INTEGER",4,IF(D14="TIMESTAMP",10,IF(D14="TIME",3,0))))))</f>
        <v>10</v>
      </c>
      <c r="H14" s="91" t="s">
        <v>1406</v>
      </c>
      <c r="I14" s="89"/>
      <c r="J14" s="92"/>
      <c r="K14" s="599"/>
      <c r="L14" s="600"/>
      <c r="M14" s="601"/>
    </row>
    <row r="15" spans="1:16">
      <c r="A15" s="89"/>
      <c r="B15" s="96"/>
      <c r="C15" s="31"/>
      <c r="D15" s="97"/>
      <c r="E15" s="98"/>
      <c r="F15" s="99"/>
      <c r="G15" s="232"/>
      <c r="H15" s="89"/>
      <c r="I15" s="89"/>
      <c r="J15" s="92"/>
      <c r="K15" s="31"/>
      <c r="L15" s="32"/>
      <c r="M15" s="33"/>
    </row>
    <row r="16" spans="1:16">
      <c r="A16" s="89"/>
      <c r="B16" s="96"/>
      <c r="C16" s="31"/>
      <c r="D16" s="97"/>
      <c r="E16" s="98"/>
      <c r="F16" s="99"/>
      <c r="G16" s="232"/>
      <c r="H16" s="89"/>
      <c r="I16" s="89"/>
      <c r="J16" s="92"/>
      <c r="K16" s="34"/>
      <c r="L16" s="32"/>
      <c r="M16" s="33"/>
    </row>
    <row r="17" spans="1:13">
      <c r="A17" s="89"/>
      <c r="B17" s="96"/>
      <c r="C17" s="31"/>
      <c r="D17" s="97"/>
      <c r="E17" s="98"/>
      <c r="F17" s="99"/>
      <c r="G17" s="232"/>
      <c r="H17" s="89"/>
      <c r="I17" s="89"/>
      <c r="J17" s="92"/>
      <c r="K17" s="31"/>
      <c r="L17" s="32"/>
      <c r="M17" s="33"/>
    </row>
    <row r="18" spans="1:13">
      <c r="A18" s="89"/>
      <c r="B18" s="96"/>
      <c r="C18" s="31"/>
      <c r="D18" s="97"/>
      <c r="E18" s="98"/>
      <c r="F18" s="99"/>
      <c r="G18" s="232"/>
      <c r="H18" s="89"/>
      <c r="I18" s="89"/>
      <c r="J18" s="92"/>
      <c r="K18" s="31"/>
      <c r="L18" s="32"/>
      <c r="M18" s="33"/>
    </row>
    <row r="19" spans="1:13">
      <c r="A19" s="89"/>
      <c r="B19" s="96"/>
      <c r="C19" s="31"/>
      <c r="D19" s="97"/>
      <c r="E19" s="98"/>
      <c r="F19" s="99"/>
      <c r="G19" s="232"/>
      <c r="H19" s="89"/>
      <c r="I19" s="89"/>
      <c r="J19" s="92"/>
      <c r="K19" s="31"/>
      <c r="L19" s="32"/>
      <c r="M19" s="33"/>
    </row>
    <row r="20" spans="1:13">
      <c r="A20" s="89"/>
      <c r="B20" s="96"/>
      <c r="C20" s="31"/>
      <c r="D20" s="97"/>
      <c r="E20" s="98"/>
      <c r="F20" s="99"/>
      <c r="G20" s="232"/>
      <c r="H20" s="89"/>
      <c r="I20" s="89"/>
      <c r="J20" s="92"/>
      <c r="K20" s="31"/>
      <c r="L20" s="32"/>
      <c r="M20" s="33"/>
    </row>
    <row r="21" spans="1:13">
      <c r="A21" s="89"/>
      <c r="B21" s="96"/>
      <c r="C21" s="31"/>
      <c r="D21" s="97"/>
      <c r="E21" s="98"/>
      <c r="F21" s="99"/>
      <c r="G21" s="232"/>
      <c r="H21" s="89"/>
      <c r="I21" s="89"/>
      <c r="J21" s="92"/>
      <c r="K21" s="31"/>
      <c r="L21" s="32"/>
      <c r="M21" s="33"/>
    </row>
    <row r="22" spans="1:13">
      <c r="A22" s="89"/>
      <c r="B22" s="96"/>
      <c r="C22" s="31"/>
      <c r="D22" s="97"/>
      <c r="E22" s="98"/>
      <c r="F22" s="99"/>
      <c r="G22" s="232"/>
      <c r="H22" s="89"/>
      <c r="I22" s="89"/>
      <c r="J22" s="92"/>
      <c r="K22" s="31"/>
      <c r="L22" s="32"/>
      <c r="M22" s="33"/>
    </row>
    <row r="23" spans="1:13">
      <c r="A23" s="89"/>
      <c r="B23" s="96"/>
      <c r="C23" s="31"/>
      <c r="D23" s="97"/>
      <c r="E23" s="98"/>
      <c r="F23" s="99"/>
      <c r="G23" s="232"/>
      <c r="H23" s="89"/>
      <c r="I23" s="89"/>
      <c r="J23" s="92"/>
      <c r="K23" s="31"/>
      <c r="L23" s="32"/>
      <c r="M23" s="33"/>
    </row>
    <row r="24" spans="1:13">
      <c r="A24" s="89"/>
      <c r="B24" s="96"/>
      <c r="C24" s="31"/>
      <c r="D24" s="97"/>
      <c r="E24" s="98"/>
      <c r="F24" s="99"/>
      <c r="G24" s="232"/>
      <c r="H24" s="89"/>
      <c r="I24" s="89"/>
      <c r="J24" s="92"/>
      <c r="K24" s="31"/>
      <c r="L24" s="32"/>
      <c r="M24" s="33"/>
    </row>
    <row r="25" spans="1:13">
      <c r="A25" s="89"/>
      <c r="B25" s="66"/>
      <c r="C25" s="31"/>
      <c r="D25" s="97"/>
      <c r="E25" s="98"/>
      <c r="F25" s="99"/>
      <c r="G25" s="232"/>
      <c r="H25" s="89"/>
      <c r="I25" s="89"/>
      <c r="J25" s="92"/>
      <c r="K25" s="31"/>
      <c r="L25" s="32"/>
      <c r="M25" s="33"/>
    </row>
    <row r="26" spans="1:13">
      <c r="A26" s="89"/>
      <c r="B26" s="96"/>
      <c r="C26" s="31"/>
      <c r="D26" s="97"/>
      <c r="E26" s="98"/>
      <c r="F26" s="99"/>
      <c r="G26" s="232"/>
      <c r="H26" s="89"/>
      <c r="I26" s="89"/>
      <c r="J26" s="92"/>
      <c r="K26" s="31"/>
      <c r="L26" s="32"/>
      <c r="M26" s="33"/>
    </row>
    <row r="27" spans="1:13">
      <c r="A27" s="89"/>
      <c r="B27" s="96"/>
      <c r="C27" s="31"/>
      <c r="D27" s="97"/>
      <c r="E27" s="98"/>
      <c r="F27" s="99"/>
      <c r="G27" s="232"/>
      <c r="H27" s="89"/>
      <c r="I27" s="89"/>
      <c r="J27" s="92"/>
      <c r="K27" s="31"/>
      <c r="L27" s="32"/>
      <c r="M27" s="33"/>
    </row>
    <row r="28" spans="1:13">
      <c r="A28" s="89"/>
      <c r="B28" s="96"/>
      <c r="C28" s="31"/>
      <c r="D28" s="97"/>
      <c r="E28" s="98"/>
      <c r="F28" s="99"/>
      <c r="G28" s="232"/>
      <c r="H28" s="89"/>
      <c r="I28" s="89"/>
      <c r="J28" s="92"/>
      <c r="K28" s="31"/>
      <c r="L28" s="32"/>
      <c r="M28" s="33"/>
    </row>
    <row r="29" spans="1:13">
      <c r="A29" s="89"/>
      <c r="B29" s="96"/>
      <c r="C29" s="31"/>
      <c r="D29" s="97"/>
      <c r="E29" s="98"/>
      <c r="F29" s="99"/>
      <c r="G29" s="232"/>
      <c r="H29" s="89"/>
      <c r="I29" s="89"/>
      <c r="J29" s="92"/>
      <c r="K29" s="31"/>
      <c r="L29" s="32"/>
      <c r="M29" s="33"/>
    </row>
    <row r="30" spans="1:13">
      <c r="A30" s="89"/>
      <c r="B30" s="96"/>
      <c r="C30" s="31"/>
      <c r="D30" s="97"/>
      <c r="E30" s="98"/>
      <c r="F30" s="99"/>
      <c r="G30" s="232"/>
      <c r="H30" s="89"/>
      <c r="I30" s="89"/>
      <c r="J30" s="92"/>
      <c r="K30" s="31"/>
      <c r="L30" s="32"/>
      <c r="M30" s="33"/>
    </row>
    <row r="31" spans="1:13">
      <c r="A31" s="89"/>
      <c r="B31" s="96"/>
      <c r="C31" s="31"/>
      <c r="D31" s="97"/>
      <c r="E31" s="98"/>
      <c r="F31" s="99"/>
      <c r="G31" s="232"/>
      <c r="H31" s="89"/>
      <c r="I31" s="89"/>
      <c r="J31" s="92"/>
      <c r="K31" s="31"/>
      <c r="L31" s="32"/>
      <c r="M31" s="33"/>
    </row>
    <row r="32" spans="1:13">
      <c r="A32" s="89"/>
      <c r="B32" s="96"/>
      <c r="C32" s="31"/>
      <c r="D32" s="97"/>
      <c r="E32" s="98"/>
      <c r="F32" s="99"/>
      <c r="G32" s="232"/>
      <c r="H32" s="89"/>
      <c r="I32" s="89"/>
      <c r="J32" s="92"/>
      <c r="K32" s="31"/>
      <c r="L32" s="32"/>
      <c r="M32" s="33"/>
    </row>
    <row r="33" spans="1:13">
      <c r="A33" s="89"/>
      <c r="B33" s="96"/>
      <c r="C33" s="31"/>
      <c r="D33" s="97"/>
      <c r="E33" s="98"/>
      <c r="F33" s="99"/>
      <c r="G33" s="21"/>
      <c r="H33" s="89"/>
      <c r="I33" s="89"/>
      <c r="J33" s="92"/>
      <c r="K33" s="31"/>
      <c r="L33" s="32"/>
      <c r="M33" s="33"/>
    </row>
    <row r="34" spans="1:13">
      <c r="A34" s="89"/>
      <c r="B34" s="96"/>
      <c r="C34" s="31"/>
      <c r="D34" s="97"/>
      <c r="E34" s="98"/>
      <c r="F34" s="99"/>
      <c r="G34" s="21"/>
      <c r="H34" s="89"/>
      <c r="I34" s="89"/>
      <c r="J34" s="92"/>
      <c r="K34" s="31"/>
      <c r="L34" s="32"/>
      <c r="M34" s="33"/>
    </row>
    <row r="35" spans="1:13">
      <c r="A35" s="89"/>
      <c r="B35" s="96"/>
      <c r="C35" s="31"/>
      <c r="D35" s="97"/>
      <c r="E35" s="98"/>
      <c r="F35" s="99"/>
      <c r="G35" s="21"/>
      <c r="H35" s="89"/>
      <c r="I35" s="89"/>
      <c r="J35" s="92"/>
      <c r="K35" s="31"/>
      <c r="L35" s="32"/>
      <c r="M35" s="33"/>
    </row>
    <row r="36" spans="1:13">
      <c r="A36" s="89" t="str">
        <f>IF(B36=""," ",A35+1)</f>
        <v xml:space="preserve"> </v>
      </c>
      <c r="B36" s="96"/>
      <c r="C36" s="31"/>
      <c r="D36" s="97"/>
      <c r="E36" s="98"/>
      <c r="F36" s="99"/>
      <c r="G36" s="21"/>
      <c r="H36" s="89"/>
      <c r="I36" s="89"/>
      <c r="J36" s="92"/>
      <c r="K36" s="31"/>
      <c r="L36" s="32"/>
      <c r="M36" s="33"/>
    </row>
    <row r="37" spans="1:13">
      <c r="A37" s="42" t="str">
        <f>IF(B37=""," ",A36+1)</f>
        <v xml:space="preserve"> </v>
      </c>
      <c r="B37" s="71"/>
      <c r="C37" s="13"/>
      <c r="D37" s="72"/>
      <c r="E37" s="73"/>
      <c r="F37" s="74"/>
      <c r="G37" s="20"/>
      <c r="H37" s="42"/>
      <c r="I37" s="42"/>
      <c r="J37" s="59"/>
      <c r="K37" s="609"/>
      <c r="L37" s="610"/>
      <c r="M37" s="611"/>
    </row>
    <row r="38" spans="1:13">
      <c r="A38" s="42" t="str">
        <f>IF(B38=""," ",#REF!+1)</f>
        <v xml:space="preserve"> </v>
      </c>
      <c r="B38" s="71"/>
      <c r="C38" s="13"/>
      <c r="D38" s="72"/>
      <c r="E38" s="73"/>
      <c r="F38" s="74"/>
      <c r="G38" s="20"/>
      <c r="H38" s="42"/>
      <c r="I38" s="42"/>
      <c r="J38" s="59"/>
      <c r="K38" s="609"/>
      <c r="L38" s="610"/>
      <c r="M38" s="611"/>
    </row>
    <row r="39" spans="1:13">
      <c r="A39" s="42" t="str">
        <f>IF(B39=""," ",#REF!+1)</f>
        <v xml:space="preserve"> </v>
      </c>
      <c r="B39" s="71"/>
      <c r="C39" s="13"/>
      <c r="D39" s="72"/>
      <c r="E39" s="73"/>
      <c r="F39" s="74"/>
      <c r="G39" s="20"/>
      <c r="H39" s="42"/>
      <c r="I39" s="42"/>
      <c r="J39" s="59"/>
      <c r="K39" s="13"/>
      <c r="L39" s="14"/>
      <c r="M39" s="15"/>
    </row>
    <row r="40" spans="1:13">
      <c r="A40" s="42" t="str">
        <f>IF(B40=""," ",A39+1)</f>
        <v xml:space="preserve"> </v>
      </c>
      <c r="B40" s="71"/>
      <c r="C40" s="13"/>
      <c r="D40" s="72"/>
      <c r="E40" s="73"/>
      <c r="F40" s="74"/>
      <c r="G40" s="20"/>
      <c r="H40" s="42"/>
      <c r="I40" s="42"/>
      <c r="J40" s="59"/>
      <c r="K40" s="13"/>
      <c r="L40" s="14"/>
      <c r="M40" s="15"/>
    </row>
    <row r="41" spans="1:13">
      <c r="A41" s="42" t="str">
        <f>IF(B41=""," ",A40+1)</f>
        <v xml:space="preserve"> </v>
      </c>
      <c r="B41" s="71"/>
      <c r="C41" s="13"/>
      <c r="D41" s="72"/>
      <c r="E41" s="73"/>
      <c r="F41" s="74"/>
      <c r="G41" s="20"/>
      <c r="H41" s="42"/>
      <c r="I41" s="42"/>
      <c r="J41" s="59"/>
      <c r="K41" s="609"/>
      <c r="L41" s="610"/>
      <c r="M41" s="611"/>
    </row>
    <row r="42" spans="1:13">
      <c r="A42" s="42" t="str">
        <f>IF(B42=""," ",#REF!+1)</f>
        <v xml:space="preserve"> </v>
      </c>
      <c r="B42" s="71"/>
      <c r="C42" s="13"/>
      <c r="D42" s="72"/>
      <c r="E42" s="73"/>
      <c r="F42" s="74"/>
      <c r="G42" s="20"/>
      <c r="H42" s="42"/>
      <c r="I42" s="42"/>
      <c r="J42" s="59"/>
      <c r="K42" s="609"/>
      <c r="L42" s="610"/>
      <c r="M42" s="611"/>
    </row>
    <row r="43" spans="1:13">
      <c r="A43" s="42" t="str">
        <f>IF(B43=""," ",#REF!+1)</f>
        <v xml:space="preserve"> </v>
      </c>
      <c r="B43" s="71"/>
      <c r="C43" s="13"/>
      <c r="D43" s="72"/>
      <c r="E43" s="73"/>
      <c r="F43" s="74"/>
      <c r="G43" s="20"/>
      <c r="H43" s="42"/>
      <c r="I43" s="42"/>
      <c r="J43" s="59"/>
      <c r="K43" s="13"/>
      <c r="L43" s="14"/>
      <c r="M43" s="15"/>
    </row>
    <row r="44" spans="1:13">
      <c r="A44" s="42" t="str">
        <f>IF(B44=""," ",A43+1)</f>
        <v xml:space="preserve"> </v>
      </c>
      <c r="B44" s="71"/>
      <c r="C44" s="13"/>
      <c r="D44" s="72"/>
      <c r="E44" s="73"/>
      <c r="F44" s="74"/>
      <c r="G44" s="20"/>
      <c r="H44" s="42"/>
      <c r="I44" s="42"/>
      <c r="J44" s="59"/>
      <c r="K44" s="13"/>
      <c r="L44" s="14"/>
      <c r="M44" s="15"/>
    </row>
    <row r="45" spans="1:13">
      <c r="A45" s="42" t="str">
        <f>IF(B45=""," ",A44+1)</f>
        <v xml:space="preserve"> </v>
      </c>
      <c r="B45" s="71"/>
      <c r="C45" s="13"/>
      <c r="D45" s="72"/>
      <c r="E45" s="73"/>
      <c r="F45" s="74"/>
      <c r="G45" s="20"/>
      <c r="H45" s="42"/>
      <c r="I45" s="42"/>
      <c r="J45" s="59"/>
      <c r="K45" s="609"/>
      <c r="L45" s="610"/>
      <c r="M45" s="611"/>
    </row>
    <row r="46" spans="1:13">
      <c r="A46" s="42" t="str">
        <f>IF(B46=""," ",#REF!+1)</f>
        <v xml:space="preserve"> </v>
      </c>
      <c r="B46" s="71"/>
      <c r="C46" s="13"/>
      <c r="D46" s="72"/>
      <c r="E46" s="73"/>
      <c r="F46" s="74"/>
      <c r="G46" s="20"/>
      <c r="H46" s="42"/>
      <c r="I46" s="42"/>
      <c r="J46" s="59"/>
      <c r="K46" s="609"/>
      <c r="L46" s="610"/>
      <c r="M46" s="611"/>
    </row>
    <row r="47" spans="1:13">
      <c r="A47" s="42" t="str">
        <f>IF(B47=""," ",#REF!+1)</f>
        <v xml:space="preserve"> </v>
      </c>
      <c r="B47" s="71"/>
      <c r="C47" s="13"/>
      <c r="D47" s="72"/>
      <c r="E47" s="73"/>
      <c r="F47" s="74"/>
      <c r="G47" s="20"/>
      <c r="H47" s="42"/>
      <c r="I47" s="42"/>
      <c r="J47" s="59"/>
      <c r="K47" s="13"/>
      <c r="L47" s="14"/>
      <c r="M47" s="15"/>
    </row>
    <row r="48" spans="1:13">
      <c r="A48" s="42" t="str">
        <f>IF(B48=""," ",A47+1)</f>
        <v xml:space="preserve"> </v>
      </c>
      <c r="B48" s="71"/>
      <c r="C48" s="13"/>
      <c r="D48" s="72"/>
      <c r="E48" s="73"/>
      <c r="F48" s="74"/>
      <c r="G48" s="20"/>
      <c r="H48" s="42"/>
      <c r="I48" s="42"/>
      <c r="J48" s="59"/>
      <c r="K48" s="13"/>
      <c r="L48" s="14"/>
      <c r="M48" s="15"/>
    </row>
    <row r="49" spans="1:13">
      <c r="A49" s="42" t="str">
        <f>IF(B49=""," ",A48+1)</f>
        <v xml:space="preserve"> </v>
      </c>
      <c r="B49" s="71"/>
      <c r="C49" s="13"/>
      <c r="D49" s="72"/>
      <c r="E49" s="73"/>
      <c r="F49" s="74"/>
      <c r="G49" s="20"/>
      <c r="H49" s="42"/>
      <c r="I49" s="42"/>
      <c r="J49" s="59"/>
      <c r="K49" s="609"/>
      <c r="L49" s="610"/>
      <c r="M49" s="611"/>
    </row>
    <row r="50" spans="1:13">
      <c r="A50" s="42" t="str">
        <f>IF(B50=""," ",#REF!+1)</f>
        <v xml:space="preserve"> </v>
      </c>
      <c r="B50" s="71"/>
      <c r="C50" s="13"/>
      <c r="D50" s="72"/>
      <c r="E50" s="73"/>
      <c r="F50" s="74"/>
      <c r="G50" s="20"/>
      <c r="H50" s="42"/>
      <c r="I50" s="42"/>
      <c r="J50" s="59"/>
      <c r="K50" s="609"/>
      <c r="L50" s="610"/>
      <c r="M50" s="611"/>
    </row>
    <row r="51" spans="1:13">
      <c r="A51" s="42" t="str">
        <f>IF(B51=""," ",#REF!+1)</f>
        <v xml:space="preserve"> </v>
      </c>
      <c r="B51" s="71"/>
      <c r="C51" s="13"/>
      <c r="D51" s="72"/>
      <c r="E51" s="73"/>
      <c r="F51" s="74"/>
      <c r="G51" s="20"/>
      <c r="H51" s="42"/>
      <c r="I51" s="42"/>
      <c r="J51" s="59"/>
      <c r="K51" s="13"/>
      <c r="L51" s="14"/>
      <c r="M51" s="15"/>
    </row>
    <row r="52" spans="1:13">
      <c r="A52" s="42" t="str">
        <f>IF(B52=""," ",A51+1)</f>
        <v xml:space="preserve"> </v>
      </c>
      <c r="B52" s="71"/>
      <c r="C52" s="13"/>
      <c r="D52" s="72"/>
      <c r="E52" s="73"/>
      <c r="F52" s="74"/>
      <c r="G52" s="20"/>
      <c r="H52" s="42"/>
      <c r="I52" s="42"/>
      <c r="J52" s="59"/>
      <c r="K52" s="13"/>
      <c r="L52" s="14"/>
      <c r="M52" s="15"/>
    </row>
    <row r="53" spans="1:13">
      <c r="A53" s="42" t="str">
        <f>IF(B53=""," ",A52+1)</f>
        <v xml:space="preserve"> </v>
      </c>
      <c r="B53" s="71"/>
      <c r="C53" s="13"/>
      <c r="D53" s="72"/>
      <c r="E53" s="73"/>
      <c r="F53" s="74"/>
      <c r="G53" s="20"/>
      <c r="H53" s="42"/>
      <c r="I53" s="42"/>
      <c r="J53" s="59"/>
      <c r="K53" s="609"/>
      <c r="L53" s="610"/>
      <c r="M53" s="611"/>
    </row>
    <row r="54" spans="1:13">
      <c r="A54" s="42" t="str">
        <f>IF(B54=""," ",#REF!+1)</f>
        <v xml:space="preserve"> </v>
      </c>
      <c r="B54" s="71"/>
      <c r="C54" s="13"/>
      <c r="D54" s="72"/>
      <c r="E54" s="73"/>
      <c r="F54" s="74"/>
      <c r="G54" s="20"/>
      <c r="H54" s="42"/>
      <c r="I54" s="42"/>
      <c r="J54" s="59"/>
      <c r="K54" s="609"/>
      <c r="L54" s="610"/>
      <c r="M54" s="611"/>
    </row>
    <row r="55" spans="1:13">
      <c r="A55" s="42" t="str">
        <f>IF(B55=""," ",#REF!+1)</f>
        <v xml:space="preserve"> </v>
      </c>
      <c r="B55" s="71"/>
      <c r="C55" s="13"/>
      <c r="D55" s="72"/>
      <c r="E55" s="73"/>
      <c r="F55" s="74"/>
      <c r="G55" s="20"/>
      <c r="H55" s="42"/>
      <c r="I55" s="42"/>
      <c r="J55" s="59"/>
      <c r="K55" s="13"/>
      <c r="L55" s="14"/>
      <c r="M55" s="15"/>
    </row>
    <row r="56" spans="1:13">
      <c r="A56" s="42" t="str">
        <f>IF(B56=""," ",A55+1)</f>
        <v xml:space="preserve"> </v>
      </c>
      <c r="B56" s="71"/>
      <c r="C56" s="13"/>
      <c r="D56" s="72"/>
      <c r="E56" s="73"/>
      <c r="F56" s="74"/>
      <c r="G56" s="20"/>
      <c r="H56" s="42"/>
      <c r="I56" s="42"/>
      <c r="J56" s="59"/>
      <c r="K56" s="13"/>
      <c r="L56" s="14"/>
      <c r="M56" s="15"/>
    </row>
    <row r="57" spans="1:13">
      <c r="A57" s="42" t="str">
        <f>IF(B57=""," ",A56+1)</f>
        <v xml:space="preserve"> </v>
      </c>
      <c r="B57" s="71"/>
      <c r="C57" s="13"/>
      <c r="D57" s="72"/>
      <c r="E57" s="73"/>
      <c r="F57" s="74"/>
      <c r="G57" s="20"/>
      <c r="H57" s="42"/>
      <c r="I57" s="42"/>
      <c r="J57" s="59"/>
      <c r="K57" s="609"/>
      <c r="L57" s="610"/>
      <c r="M57" s="611"/>
    </row>
    <row r="58" spans="1:13">
      <c r="A58" s="42" t="str">
        <f>IF(B58=""," ",#REF!+1)</f>
        <v xml:space="preserve"> </v>
      </c>
      <c r="B58" s="71"/>
      <c r="C58" s="13"/>
      <c r="D58" s="72"/>
      <c r="E58" s="73"/>
      <c r="F58" s="74"/>
      <c r="G58" s="20"/>
      <c r="H58" s="42"/>
      <c r="I58" s="42"/>
      <c r="J58" s="59"/>
      <c r="K58" s="609"/>
      <c r="L58" s="610"/>
      <c r="M58" s="611"/>
    </row>
    <row r="59" spans="1:13">
      <c r="A59" s="42" t="str">
        <f>IF(B59=""," ",#REF!+1)</f>
        <v xml:space="preserve"> </v>
      </c>
      <c r="B59" s="71"/>
      <c r="C59" s="13"/>
      <c r="D59" s="72"/>
      <c r="E59" s="73"/>
      <c r="F59" s="74"/>
      <c r="G59" s="20"/>
      <c r="H59" s="42"/>
      <c r="I59" s="42"/>
      <c r="J59" s="59"/>
      <c r="K59" s="13"/>
      <c r="L59" s="14"/>
      <c r="M59" s="15"/>
    </row>
    <row r="60" spans="1:13">
      <c r="A60" s="42" t="str">
        <f>IF(B60=""," ",A59+1)</f>
        <v xml:space="preserve"> </v>
      </c>
      <c r="B60" s="71"/>
      <c r="C60" s="13"/>
      <c r="D60" s="72"/>
      <c r="E60" s="73"/>
      <c r="F60" s="74"/>
      <c r="G60" s="20"/>
      <c r="H60" s="42"/>
      <c r="I60" s="42"/>
      <c r="J60" s="59"/>
      <c r="K60" s="13"/>
      <c r="L60" s="14"/>
      <c r="M60" s="15"/>
    </row>
    <row r="61" spans="1:13">
      <c r="A61" s="42" t="str">
        <f>IF(B61=""," ",A60+1)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13"/>
      <c r="L99" s="14"/>
      <c r="M99" s="15"/>
    </row>
    <row r="100" spans="1:13">
      <c r="A100" s="42" t="str">
        <f>IF(B100=""," ",A99+1)</f>
        <v xml:space="preserve"> </v>
      </c>
      <c r="B100" s="71"/>
      <c r="C100" s="13"/>
      <c r="D100" s="72"/>
      <c r="E100" s="73"/>
      <c r="F100" s="74"/>
      <c r="G100" s="20"/>
      <c r="H100" s="42"/>
      <c r="I100" s="42"/>
      <c r="J100" s="59"/>
      <c r="K100" s="13"/>
      <c r="L100" s="14"/>
      <c r="M100" s="15"/>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c r="B110" s="22" t="s">
        <v>1766</v>
      </c>
      <c r="C110" s="22" t="s">
        <v>1765</v>
      </c>
      <c r="D110" s="22" t="s">
        <v>1763</v>
      </c>
    </row>
    <row r="111" spans="1:13">
      <c r="D111" s="22" t="s">
        <v>1764</v>
      </c>
    </row>
  </sheetData>
  <mergeCells count="54">
    <mergeCell ref="K93:M93"/>
    <mergeCell ref="K94:M94"/>
    <mergeCell ref="K97:M97"/>
    <mergeCell ref="K98:M98"/>
    <mergeCell ref="K85:M85"/>
    <mergeCell ref="K86:M86"/>
    <mergeCell ref="K89:M89"/>
    <mergeCell ref="K90:M90"/>
    <mergeCell ref="K77:M77"/>
    <mergeCell ref="K78:M78"/>
    <mergeCell ref="K81:M81"/>
    <mergeCell ref="K82:M82"/>
    <mergeCell ref="K69:M69"/>
    <mergeCell ref="K70:M70"/>
    <mergeCell ref="K73:M73"/>
    <mergeCell ref="K74:M74"/>
    <mergeCell ref="K61:M61"/>
    <mergeCell ref="K62:M62"/>
    <mergeCell ref="K65:M65"/>
    <mergeCell ref="K66:M66"/>
    <mergeCell ref="K53:M53"/>
    <mergeCell ref="K54:M54"/>
    <mergeCell ref="K57:M57"/>
    <mergeCell ref="K58:M58"/>
    <mergeCell ref="K45:M45"/>
    <mergeCell ref="K46:M46"/>
    <mergeCell ref="K49:M49"/>
    <mergeCell ref="K50:M50"/>
    <mergeCell ref="K37:M37"/>
    <mergeCell ref="K38:M38"/>
    <mergeCell ref="K41:M41"/>
    <mergeCell ref="K42:M42"/>
    <mergeCell ref="K13:M13"/>
    <mergeCell ref="K14:M14"/>
    <mergeCell ref="K9:M9"/>
    <mergeCell ref="K11:M11"/>
    <mergeCell ref="K12:M12"/>
    <mergeCell ref="K10:M10"/>
    <mergeCell ref="K8:M8"/>
    <mergeCell ref="B5:C5"/>
    <mergeCell ref="K5:M6"/>
    <mergeCell ref="I5:J5"/>
    <mergeCell ref="D5:H5"/>
    <mergeCell ref="K7:M7"/>
    <mergeCell ref="H4:I4"/>
    <mergeCell ref="H3:I3"/>
    <mergeCell ref="A5:A6"/>
    <mergeCell ref="A2:B2"/>
    <mergeCell ref="A3:B3"/>
    <mergeCell ref="A4:B4"/>
    <mergeCell ref="H2:J2"/>
    <mergeCell ref="C2:G2"/>
    <mergeCell ref="C3:G3"/>
    <mergeCell ref="C4:G4"/>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2">
    <pageSetUpPr fitToPage="1"/>
  </sheetPr>
  <dimension ref="A1:P114"/>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bestFit="1" customWidth="1"/>
    <col min="2" max="2" width="28.625" style="22" customWidth="1"/>
    <col min="3" max="3" width="13.375" style="22" customWidth="1"/>
    <col min="4" max="4" width="9.375" style="22" customWidth="1"/>
    <col min="5" max="6" width="4.75" style="22" bestFit="1" customWidth="1"/>
    <col min="7" max="7" width="6.125" style="22" bestFit="1" customWidth="1"/>
    <col min="8" max="8" width="4.75" style="22" bestFit="1" customWidth="1"/>
    <col min="9" max="9" width="4.75" style="22" customWidth="1"/>
    <col min="10" max="11" width="9.625" style="22" customWidth="1"/>
    <col min="12" max="13" width="10.25" style="22" customWidth="1"/>
    <col min="14" max="14" width="9" style="22"/>
    <col min="15" max="16" width="9" style="22" hidden="1" customWidth="1"/>
    <col min="17" max="16384" width="9" style="22"/>
  </cols>
  <sheetData>
    <row r="1" spans="1:16">
      <c r="B1" s="47"/>
    </row>
    <row r="2" spans="1:16">
      <c r="A2" s="670" t="s">
        <v>602</v>
      </c>
      <c r="B2" s="671"/>
      <c r="C2" s="670" t="s">
        <v>36</v>
      </c>
      <c r="D2" s="676"/>
      <c r="E2" s="676"/>
      <c r="F2" s="676"/>
      <c r="G2" s="671"/>
      <c r="H2" s="670"/>
      <c r="I2" s="676"/>
      <c r="J2" s="671"/>
      <c r="K2" s="81"/>
      <c r="L2" s="82" t="s">
        <v>37</v>
      </c>
      <c r="M2" s="82" t="s">
        <v>38</v>
      </c>
    </row>
    <row r="3" spans="1:16">
      <c r="A3" s="672"/>
      <c r="B3" s="673"/>
      <c r="C3" s="750" t="s">
        <v>258</v>
      </c>
      <c r="D3" s="751"/>
      <c r="E3" s="751"/>
      <c r="F3" s="751"/>
      <c r="G3" s="752"/>
      <c r="H3" s="670" t="s">
        <v>39</v>
      </c>
      <c r="I3" s="671"/>
      <c r="J3" s="83">
        <f>COUNT(A7:A100)</f>
        <v>11</v>
      </c>
      <c r="K3" s="82" t="s">
        <v>40</v>
      </c>
      <c r="L3" s="84">
        <v>38631</v>
      </c>
      <c r="M3" s="41" t="s">
        <v>532</v>
      </c>
      <c r="O3" s="22" t="s">
        <v>41</v>
      </c>
      <c r="P3" s="22" t="s">
        <v>42</v>
      </c>
    </row>
    <row r="4" spans="1:16">
      <c r="A4" s="674" t="s">
        <v>43</v>
      </c>
      <c r="B4" s="675"/>
      <c r="C4" s="674" t="s">
        <v>1012</v>
      </c>
      <c r="D4" s="753"/>
      <c r="E4" s="753"/>
      <c r="F4" s="753"/>
      <c r="G4" s="675"/>
      <c r="H4" s="670" t="s">
        <v>44</v>
      </c>
      <c r="I4" s="671"/>
      <c r="J4" s="83">
        <f>SUM(G7:G100)</f>
        <v>124</v>
      </c>
      <c r="K4" s="82" t="s">
        <v>45</v>
      </c>
      <c r="L4" s="40">
        <v>38763</v>
      </c>
      <c r="M4" s="42" t="s">
        <v>1407</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c r="A7" s="42">
        <f t="shared" ref="A7:A17" si="0">IF(B7=""," ",A6+1)</f>
        <v>1</v>
      </c>
      <c r="B7" s="48" t="s">
        <v>1636</v>
      </c>
      <c r="C7" s="49" t="s">
        <v>251</v>
      </c>
      <c r="D7" s="78" t="s">
        <v>527</v>
      </c>
      <c r="E7" s="98">
        <v>4</v>
      </c>
      <c r="F7" s="99"/>
      <c r="G7" s="21">
        <f t="shared" ref="G7:G16" si="1">IF(D7="DATE",4,IF(D7="CHAR",E7,IF(D7="SMALLINT",2,IF(D7="INTEGER",4,IF(D7="TIMESTAMP",10,IF(D7="TIME",3,0))))))</f>
        <v>4</v>
      </c>
      <c r="H7" s="89" t="s">
        <v>573</v>
      </c>
      <c r="I7" s="89" t="s">
        <v>573</v>
      </c>
      <c r="J7" s="92"/>
      <c r="K7" s="599"/>
      <c r="L7" s="600"/>
      <c r="M7" s="601"/>
      <c r="P7" s="22" t="s">
        <v>253</v>
      </c>
    </row>
    <row r="8" spans="1:16">
      <c r="A8" s="42">
        <f t="shared" si="0"/>
        <v>2</v>
      </c>
      <c r="B8" s="48" t="s">
        <v>668</v>
      </c>
      <c r="C8" s="49" t="s">
        <v>1312</v>
      </c>
      <c r="D8" s="78" t="s">
        <v>527</v>
      </c>
      <c r="E8" s="98">
        <v>4</v>
      </c>
      <c r="F8" s="99"/>
      <c r="G8" s="21">
        <f t="shared" si="1"/>
        <v>4</v>
      </c>
      <c r="H8" s="89" t="s">
        <v>573</v>
      </c>
      <c r="I8" s="89" t="s">
        <v>1363</v>
      </c>
      <c r="J8" s="92"/>
      <c r="K8" s="628"/>
      <c r="L8" s="629"/>
      <c r="M8" s="630"/>
    </row>
    <row r="9" spans="1:16" ht="27" customHeight="1">
      <c r="A9" s="42">
        <f t="shared" si="0"/>
        <v>3</v>
      </c>
      <c r="B9" s="48" t="s">
        <v>1263</v>
      </c>
      <c r="C9" s="49" t="s">
        <v>259</v>
      </c>
      <c r="D9" s="78" t="s">
        <v>527</v>
      </c>
      <c r="E9" s="98">
        <v>6</v>
      </c>
      <c r="F9" s="99"/>
      <c r="G9" s="21">
        <f t="shared" si="1"/>
        <v>6</v>
      </c>
      <c r="H9" s="89" t="s">
        <v>573</v>
      </c>
      <c r="I9" s="89" t="s">
        <v>1363</v>
      </c>
      <c r="J9" s="92"/>
      <c r="K9" s="628" t="s">
        <v>1299</v>
      </c>
      <c r="L9" s="629"/>
      <c r="M9" s="630"/>
    </row>
    <row r="10" spans="1:16">
      <c r="A10" s="42">
        <f t="shared" si="0"/>
        <v>4</v>
      </c>
      <c r="B10" s="48" t="s">
        <v>669</v>
      </c>
      <c r="C10" s="49" t="s">
        <v>260</v>
      </c>
      <c r="D10" s="78" t="s">
        <v>527</v>
      </c>
      <c r="E10" s="98">
        <v>40</v>
      </c>
      <c r="F10" s="99"/>
      <c r="G10" s="21">
        <f t="shared" si="1"/>
        <v>40</v>
      </c>
      <c r="H10" s="89" t="s">
        <v>573</v>
      </c>
      <c r="I10" s="89"/>
      <c r="J10" s="92"/>
      <c r="K10" s="599" t="s">
        <v>1307</v>
      </c>
      <c r="L10" s="600"/>
      <c r="M10" s="601"/>
      <c r="P10" s="22" t="s">
        <v>261</v>
      </c>
    </row>
    <row r="11" spans="1:16">
      <c r="A11" s="42">
        <f t="shared" si="0"/>
        <v>5</v>
      </c>
      <c r="B11" s="48" t="s">
        <v>670</v>
      </c>
      <c r="C11" s="49" t="s">
        <v>272</v>
      </c>
      <c r="D11" s="78" t="s">
        <v>527</v>
      </c>
      <c r="E11" s="98">
        <v>20</v>
      </c>
      <c r="F11" s="99"/>
      <c r="G11" s="21">
        <f t="shared" si="1"/>
        <v>20</v>
      </c>
      <c r="H11" s="89" t="s">
        <v>573</v>
      </c>
      <c r="I11" s="89"/>
      <c r="J11" s="92"/>
      <c r="K11" s="599" t="s">
        <v>1308</v>
      </c>
      <c r="L11" s="600"/>
      <c r="M11" s="601"/>
      <c r="P11" s="22" t="s">
        <v>262</v>
      </c>
    </row>
    <row r="12" spans="1:16">
      <c r="A12" s="42">
        <f t="shared" si="0"/>
        <v>6</v>
      </c>
      <c r="B12" s="48" t="s">
        <v>1305</v>
      </c>
      <c r="C12" s="49" t="s">
        <v>263</v>
      </c>
      <c r="D12" s="78" t="s">
        <v>264</v>
      </c>
      <c r="E12" s="98">
        <v>20</v>
      </c>
      <c r="F12" s="99"/>
      <c r="G12" s="21">
        <f t="shared" si="1"/>
        <v>20</v>
      </c>
      <c r="H12" s="89" t="s">
        <v>265</v>
      </c>
      <c r="I12" s="89"/>
      <c r="J12" s="92"/>
      <c r="K12" s="599" t="s">
        <v>1306</v>
      </c>
      <c r="L12" s="600"/>
      <c r="M12" s="601"/>
      <c r="P12" s="22" t="s">
        <v>266</v>
      </c>
    </row>
    <row r="13" spans="1:16">
      <c r="A13" s="42">
        <f t="shared" si="0"/>
        <v>7</v>
      </c>
      <c r="B13" s="48" t="s">
        <v>1259</v>
      </c>
      <c r="C13" s="49" t="s">
        <v>267</v>
      </c>
      <c r="D13" s="78" t="s">
        <v>270</v>
      </c>
      <c r="E13" s="98"/>
      <c r="F13" s="99"/>
      <c r="G13" s="21">
        <f t="shared" si="1"/>
        <v>4</v>
      </c>
      <c r="H13" s="89" t="s">
        <v>982</v>
      </c>
      <c r="I13" s="89"/>
      <c r="J13" s="92"/>
      <c r="K13" s="599"/>
      <c r="L13" s="600"/>
      <c r="M13" s="601"/>
      <c r="P13" s="22" t="s">
        <v>271</v>
      </c>
    </row>
    <row r="14" spans="1:16" ht="12" customHeight="1">
      <c r="A14" s="42">
        <f t="shared" si="0"/>
        <v>8</v>
      </c>
      <c r="B14" s="48" t="s">
        <v>26</v>
      </c>
      <c r="C14" s="49" t="s">
        <v>1399</v>
      </c>
      <c r="D14" s="78" t="s">
        <v>519</v>
      </c>
      <c r="E14" s="98"/>
      <c r="F14" s="99"/>
      <c r="G14" s="21">
        <f t="shared" si="1"/>
        <v>4</v>
      </c>
      <c r="H14" s="89" t="s">
        <v>1400</v>
      </c>
      <c r="I14" s="89" t="s">
        <v>528</v>
      </c>
      <c r="J14" s="92"/>
      <c r="K14" s="632" t="s">
        <v>1409</v>
      </c>
      <c r="L14" s="633"/>
      <c r="M14" s="634"/>
      <c r="P14" s="22" t="s">
        <v>850</v>
      </c>
    </row>
    <row r="15" spans="1:16">
      <c r="A15" s="42">
        <f t="shared" si="0"/>
        <v>9</v>
      </c>
      <c r="B15" s="64" t="s">
        <v>27</v>
      </c>
      <c r="C15" s="24" t="s">
        <v>1401</v>
      </c>
      <c r="D15" s="65" t="s">
        <v>1402</v>
      </c>
      <c r="E15" s="51"/>
      <c r="F15" s="58"/>
      <c r="G15" s="21">
        <f t="shared" si="1"/>
        <v>4</v>
      </c>
      <c r="H15" s="89" t="s">
        <v>1403</v>
      </c>
      <c r="I15" s="53"/>
      <c r="J15" s="165"/>
      <c r="K15" s="632" t="s">
        <v>1410</v>
      </c>
      <c r="L15" s="633"/>
      <c r="M15" s="634"/>
    </row>
    <row r="16" spans="1:16" s="16" customFormat="1" ht="12" customHeight="1">
      <c r="A16" s="42">
        <f>IF(B16=""," ",A15+1)</f>
        <v>10</v>
      </c>
      <c r="B16" s="64" t="s">
        <v>1083</v>
      </c>
      <c r="C16" s="24" t="s">
        <v>1111</v>
      </c>
      <c r="D16" s="72" t="s">
        <v>1431</v>
      </c>
      <c r="E16" s="51">
        <v>8</v>
      </c>
      <c r="F16" s="58"/>
      <c r="G16" s="20">
        <f t="shared" si="1"/>
        <v>8</v>
      </c>
      <c r="H16" s="53" t="s">
        <v>1432</v>
      </c>
      <c r="I16" s="53"/>
      <c r="J16" s="59"/>
      <c r="K16" s="609" t="s">
        <v>1112</v>
      </c>
      <c r="L16" s="610"/>
      <c r="M16" s="611"/>
    </row>
    <row r="17" spans="1:13">
      <c r="A17" s="42">
        <f t="shared" si="0"/>
        <v>11</v>
      </c>
      <c r="B17" s="93" t="s">
        <v>1724</v>
      </c>
      <c r="C17" s="26" t="s">
        <v>1404</v>
      </c>
      <c r="D17" s="94" t="s">
        <v>1405</v>
      </c>
      <c r="E17" s="95"/>
      <c r="F17" s="90"/>
      <c r="G17" s="21">
        <f>IF(D17="DATE",4,IF(D17="CHAR",E17,IF(D17="SMALLINT",2,IF(D17="INTEGER",4,IF(D17="TIMESTAMP",10,IF(D17="TIME",3,0))))))</f>
        <v>10</v>
      </c>
      <c r="H17" s="91" t="s">
        <v>1406</v>
      </c>
      <c r="I17" s="89"/>
      <c r="J17" s="92"/>
      <c r="K17" s="602"/>
      <c r="L17" s="603"/>
      <c r="M17" s="604"/>
    </row>
    <row r="18" spans="1:13">
      <c r="A18" s="89" t="str">
        <f>IF(B18=""," ",A11+1)</f>
        <v xml:space="preserve"> </v>
      </c>
      <c r="B18" s="100"/>
      <c r="C18" s="137"/>
      <c r="D18" s="78"/>
      <c r="E18" s="98"/>
      <c r="F18" s="99"/>
      <c r="G18" s="232"/>
      <c r="H18" s="89"/>
      <c r="I18" s="89"/>
      <c r="J18" s="92"/>
      <c r="K18" s="599"/>
      <c r="L18" s="600"/>
      <c r="M18" s="601"/>
    </row>
    <row r="19" spans="1:13">
      <c r="A19" s="89" t="str">
        <f>IF(B19=""," ",A18+1)</f>
        <v xml:space="preserve"> </v>
      </c>
      <c r="B19" s="100"/>
      <c r="C19" s="137"/>
      <c r="D19" s="78"/>
      <c r="E19" s="98"/>
      <c r="F19" s="99"/>
      <c r="G19" s="232"/>
      <c r="H19" s="89"/>
      <c r="I19" s="89"/>
      <c r="J19" s="92"/>
      <c r="K19" s="599"/>
      <c r="L19" s="600"/>
      <c r="M19" s="601"/>
    </row>
    <row r="20" spans="1:13">
      <c r="A20" s="89"/>
      <c r="B20" s="100"/>
      <c r="C20" s="137"/>
      <c r="D20" s="78"/>
      <c r="E20" s="98"/>
      <c r="F20" s="99"/>
      <c r="G20" s="232"/>
      <c r="H20" s="89"/>
      <c r="I20" s="89"/>
      <c r="J20" s="92"/>
      <c r="K20" s="599"/>
      <c r="L20" s="600"/>
      <c r="M20" s="601"/>
    </row>
    <row r="21" spans="1:13">
      <c r="A21" s="89"/>
      <c r="B21" s="100"/>
      <c r="C21" s="137"/>
      <c r="D21" s="78"/>
      <c r="E21" s="98"/>
      <c r="F21" s="99"/>
      <c r="G21" s="232"/>
      <c r="H21" s="89"/>
      <c r="I21" s="89"/>
      <c r="J21" s="92"/>
      <c r="K21" s="599"/>
      <c r="L21" s="600"/>
      <c r="M21" s="601"/>
    </row>
    <row r="22" spans="1:13">
      <c r="A22" s="89"/>
      <c r="B22" s="100"/>
      <c r="C22" s="137"/>
      <c r="D22" s="78"/>
      <c r="E22" s="98"/>
      <c r="F22" s="99"/>
      <c r="G22" s="232"/>
      <c r="H22" s="89"/>
      <c r="I22" s="89"/>
      <c r="J22" s="92"/>
      <c r="K22" s="599"/>
      <c r="L22" s="600"/>
      <c r="M22" s="601"/>
    </row>
    <row r="23" spans="1:13">
      <c r="A23" s="89"/>
      <c r="B23" s="100"/>
      <c r="C23" s="137"/>
      <c r="D23" s="78"/>
      <c r="E23" s="98"/>
      <c r="F23" s="99"/>
      <c r="G23" s="232"/>
      <c r="H23" s="89"/>
      <c r="I23" s="89"/>
      <c r="J23" s="92"/>
      <c r="K23" s="599"/>
      <c r="L23" s="600"/>
      <c r="M23" s="601"/>
    </row>
    <row r="24" spans="1:13">
      <c r="A24" s="89"/>
      <c r="B24" s="100"/>
      <c r="C24" s="137"/>
      <c r="D24" s="78"/>
      <c r="E24" s="98"/>
      <c r="F24" s="99"/>
      <c r="G24" s="232"/>
      <c r="H24" s="89"/>
      <c r="I24" s="89"/>
      <c r="J24" s="92"/>
      <c r="K24" s="599"/>
      <c r="L24" s="600"/>
      <c r="M24" s="601"/>
    </row>
    <row r="25" spans="1:13">
      <c r="A25" s="89"/>
      <c r="B25" s="66"/>
      <c r="C25" s="31"/>
      <c r="D25" s="129"/>
      <c r="E25" s="98"/>
      <c r="F25" s="99"/>
      <c r="G25" s="232"/>
      <c r="H25" s="89"/>
      <c r="I25" s="89"/>
      <c r="J25" s="92"/>
      <c r="K25" s="31"/>
      <c r="L25" s="32"/>
      <c r="M25" s="33"/>
    </row>
    <row r="26" spans="1:13">
      <c r="A26" s="89"/>
      <c r="B26" s="66"/>
      <c r="C26" s="31"/>
      <c r="D26" s="97"/>
      <c r="E26" s="98"/>
      <c r="F26" s="99"/>
      <c r="G26" s="232"/>
      <c r="H26" s="89"/>
      <c r="I26" s="89"/>
      <c r="J26" s="92"/>
      <c r="K26" s="31"/>
      <c r="L26" s="32"/>
      <c r="M26" s="33"/>
    </row>
    <row r="27" spans="1:13">
      <c r="A27" s="89"/>
      <c r="B27" s="66"/>
      <c r="C27" s="195"/>
      <c r="D27" s="97"/>
      <c r="E27" s="98"/>
      <c r="F27" s="99"/>
      <c r="G27" s="232"/>
      <c r="H27" s="89"/>
      <c r="I27" s="89"/>
      <c r="J27" s="92"/>
      <c r="K27" s="31"/>
      <c r="L27" s="32"/>
      <c r="M27" s="33"/>
    </row>
    <row r="28" spans="1:13">
      <c r="A28" s="89"/>
      <c r="B28" s="66"/>
      <c r="C28" s="31"/>
      <c r="D28" s="97"/>
      <c r="E28" s="98"/>
      <c r="F28" s="99"/>
      <c r="G28" s="232"/>
      <c r="H28" s="89"/>
      <c r="I28" s="89"/>
      <c r="J28" s="92"/>
      <c r="K28" s="31"/>
      <c r="L28" s="32"/>
      <c r="M28" s="33"/>
    </row>
    <row r="29" spans="1:13">
      <c r="A29" s="89"/>
      <c r="B29" s="66"/>
      <c r="C29" s="31"/>
      <c r="D29" s="97"/>
      <c r="E29" s="98"/>
      <c r="F29" s="99"/>
      <c r="G29" s="232"/>
      <c r="H29" s="89"/>
      <c r="I29" s="89"/>
      <c r="J29" s="92"/>
      <c r="K29" s="31"/>
      <c r="L29" s="32"/>
      <c r="M29" s="33"/>
    </row>
    <row r="30" spans="1:13">
      <c r="A30" s="89"/>
      <c r="B30" s="66"/>
      <c r="C30" s="31"/>
      <c r="D30" s="97"/>
      <c r="E30" s="98"/>
      <c r="F30" s="99"/>
      <c r="G30" s="232"/>
      <c r="H30" s="89"/>
      <c r="I30" s="89"/>
      <c r="J30" s="92"/>
      <c r="K30" s="31"/>
      <c r="L30" s="32"/>
      <c r="M30" s="33"/>
    </row>
    <row r="31" spans="1:13">
      <c r="A31" s="89"/>
      <c r="B31" s="96"/>
      <c r="C31" s="31"/>
      <c r="D31" s="97"/>
      <c r="E31" s="98"/>
      <c r="F31" s="99"/>
      <c r="G31" s="232"/>
      <c r="H31" s="89"/>
      <c r="I31" s="89"/>
      <c r="J31" s="92"/>
      <c r="K31" s="31"/>
      <c r="L31" s="32"/>
      <c r="M31" s="33"/>
    </row>
    <row r="32" spans="1:13">
      <c r="A32" s="89"/>
      <c r="B32" s="96"/>
      <c r="C32" s="31"/>
      <c r="D32" s="97"/>
      <c r="E32" s="98"/>
      <c r="F32" s="99"/>
      <c r="G32" s="232"/>
      <c r="H32" s="89"/>
      <c r="I32" s="89"/>
      <c r="J32" s="92"/>
      <c r="K32" s="31"/>
      <c r="L32" s="32"/>
      <c r="M32" s="33"/>
    </row>
    <row r="33" spans="1:13">
      <c r="A33" s="89"/>
      <c r="B33" s="96"/>
      <c r="C33" s="31"/>
      <c r="D33" s="97"/>
      <c r="E33" s="98"/>
      <c r="F33" s="99"/>
      <c r="G33" s="232"/>
      <c r="H33" s="89"/>
      <c r="I33" s="89"/>
      <c r="J33" s="92"/>
      <c r="K33" s="31"/>
      <c r="L33" s="32"/>
      <c r="M33" s="33"/>
    </row>
    <row r="34" spans="1:13">
      <c r="A34" s="89"/>
      <c r="B34" s="96"/>
      <c r="C34" s="31"/>
      <c r="D34" s="97"/>
      <c r="E34" s="98"/>
      <c r="F34" s="99"/>
      <c r="G34" s="232"/>
      <c r="H34" s="89"/>
      <c r="I34" s="89"/>
      <c r="J34" s="92"/>
      <c r="K34" s="31"/>
      <c r="L34" s="32"/>
      <c r="M34" s="33"/>
    </row>
    <row r="35" spans="1:13">
      <c r="A35" s="89"/>
      <c r="B35" s="66"/>
      <c r="C35" s="31"/>
      <c r="D35" s="97"/>
      <c r="E35" s="98"/>
      <c r="F35" s="99"/>
      <c r="G35" s="232"/>
      <c r="H35" s="89"/>
      <c r="I35" s="89"/>
      <c r="J35" s="92"/>
      <c r="K35" s="31"/>
      <c r="L35" s="32"/>
      <c r="M35" s="33"/>
    </row>
    <row r="36" spans="1:13">
      <c r="A36" s="89"/>
      <c r="B36" s="96"/>
      <c r="C36" s="31"/>
      <c r="D36" s="97"/>
      <c r="E36" s="98"/>
      <c r="F36" s="99"/>
      <c r="G36" s="232"/>
      <c r="H36" s="89"/>
      <c r="I36" s="89"/>
      <c r="J36" s="92"/>
      <c r="K36" s="31"/>
      <c r="L36" s="32"/>
      <c r="M36" s="33"/>
    </row>
    <row r="37" spans="1:13">
      <c r="A37" s="89" t="str">
        <f>IF(B37=""," ",#REF!+1)</f>
        <v xml:space="preserve"> </v>
      </c>
      <c r="B37" s="96"/>
      <c r="C37" s="31"/>
      <c r="D37" s="97"/>
      <c r="E37" s="98"/>
      <c r="F37" s="99"/>
      <c r="G37" s="21"/>
      <c r="H37" s="89"/>
      <c r="I37" s="89"/>
      <c r="J37" s="92"/>
      <c r="K37" s="31"/>
      <c r="L37" s="32"/>
      <c r="M37" s="33"/>
    </row>
    <row r="38" spans="1:13">
      <c r="A38" s="89" t="str">
        <f t="shared" ref="A38:A46" si="2">IF(B38=""," ",A37+1)</f>
        <v xml:space="preserve"> </v>
      </c>
      <c r="B38" s="96"/>
      <c r="C38" s="31"/>
      <c r="D38" s="97"/>
      <c r="E38" s="98"/>
      <c r="F38" s="99"/>
      <c r="G38" s="21"/>
      <c r="H38" s="89"/>
      <c r="I38" s="89"/>
      <c r="J38" s="92"/>
      <c r="K38" s="31"/>
      <c r="L38" s="32"/>
      <c r="M38" s="33"/>
    </row>
    <row r="39" spans="1:13">
      <c r="A39" s="89" t="str">
        <f t="shared" si="2"/>
        <v xml:space="preserve"> </v>
      </c>
      <c r="B39" s="96"/>
      <c r="C39" s="31"/>
      <c r="D39" s="97"/>
      <c r="E39" s="98"/>
      <c r="F39" s="99"/>
      <c r="G39" s="21"/>
      <c r="H39" s="89"/>
      <c r="I39" s="89"/>
      <c r="J39" s="92"/>
      <c r="K39" s="31"/>
      <c r="L39" s="32"/>
      <c r="M39" s="33"/>
    </row>
    <row r="40" spans="1:13">
      <c r="A40" s="89" t="str">
        <f t="shared" si="2"/>
        <v xml:space="preserve"> </v>
      </c>
      <c r="B40" s="96"/>
      <c r="C40" s="31"/>
      <c r="D40" s="97"/>
      <c r="E40" s="98"/>
      <c r="F40" s="99"/>
      <c r="G40" s="21"/>
      <c r="H40" s="89"/>
      <c r="I40" s="89"/>
      <c r="J40" s="92"/>
      <c r="K40" s="31"/>
      <c r="L40" s="32"/>
      <c r="M40" s="33"/>
    </row>
    <row r="41" spans="1:13">
      <c r="A41" s="89" t="str">
        <f>IF(B41=""," ",A40+1)</f>
        <v xml:space="preserve"> </v>
      </c>
      <c r="B41" s="96"/>
      <c r="C41" s="31"/>
      <c r="D41" s="97"/>
      <c r="E41" s="98"/>
      <c r="F41" s="99"/>
      <c r="G41" s="21"/>
      <c r="H41" s="89"/>
      <c r="I41" s="89"/>
      <c r="J41" s="92"/>
      <c r="K41" s="31"/>
      <c r="L41" s="32"/>
      <c r="M41" s="33"/>
    </row>
    <row r="42" spans="1:13">
      <c r="A42" s="89" t="str">
        <f t="shared" si="2"/>
        <v xml:space="preserve"> </v>
      </c>
      <c r="B42" s="96"/>
      <c r="C42" s="31"/>
      <c r="D42" s="97"/>
      <c r="E42" s="98"/>
      <c r="F42" s="99"/>
      <c r="G42" s="21"/>
      <c r="H42" s="89"/>
      <c r="I42" s="89"/>
      <c r="J42" s="92"/>
      <c r="K42" s="31"/>
      <c r="L42" s="32"/>
      <c r="M42" s="33"/>
    </row>
    <row r="43" spans="1:13">
      <c r="A43" s="89" t="str">
        <f t="shared" si="2"/>
        <v xml:space="preserve"> </v>
      </c>
      <c r="B43" s="96"/>
      <c r="C43" s="31"/>
      <c r="D43" s="97"/>
      <c r="E43" s="98"/>
      <c r="F43" s="99"/>
      <c r="G43" s="21"/>
      <c r="H43" s="89"/>
      <c r="I43" s="89"/>
      <c r="J43" s="92"/>
      <c r="K43" s="31"/>
      <c r="L43" s="32"/>
      <c r="M43" s="33"/>
    </row>
    <row r="44" spans="1:13">
      <c r="A44" s="89" t="str">
        <f t="shared" si="2"/>
        <v xml:space="preserve"> </v>
      </c>
      <c r="B44" s="96"/>
      <c r="C44" s="31"/>
      <c r="D44" s="97"/>
      <c r="E44" s="98"/>
      <c r="F44" s="99"/>
      <c r="G44" s="21"/>
      <c r="H44" s="89"/>
      <c r="I44" s="89"/>
      <c r="J44" s="92"/>
      <c r="K44" s="31"/>
      <c r="L44" s="32"/>
      <c r="M44" s="33"/>
    </row>
    <row r="45" spans="1:13">
      <c r="A45" s="89" t="str">
        <f t="shared" si="2"/>
        <v xml:space="preserve"> </v>
      </c>
      <c r="B45" s="96"/>
      <c r="C45" s="31"/>
      <c r="D45" s="97"/>
      <c r="E45" s="98"/>
      <c r="F45" s="99"/>
      <c r="G45" s="21"/>
      <c r="H45" s="89"/>
      <c r="I45" s="89"/>
      <c r="J45" s="92"/>
      <c r="K45" s="31"/>
      <c r="L45" s="32"/>
      <c r="M45" s="33"/>
    </row>
    <row r="46" spans="1:13">
      <c r="A46" s="89" t="str">
        <f t="shared" si="2"/>
        <v xml:space="preserve"> </v>
      </c>
      <c r="B46" s="96"/>
      <c r="C46" s="31"/>
      <c r="D46" s="97"/>
      <c r="E46" s="98"/>
      <c r="F46" s="99"/>
      <c r="G46" s="21"/>
      <c r="H46" s="89"/>
      <c r="I46" s="89"/>
      <c r="J46" s="92"/>
      <c r="K46" s="31"/>
      <c r="L46" s="32"/>
      <c r="M46" s="33"/>
    </row>
    <row r="47" spans="1:13">
      <c r="A47" s="42" t="str">
        <f>IF(B47=""," ",A46+1)</f>
        <v xml:space="preserve"> </v>
      </c>
      <c r="B47" s="71"/>
      <c r="C47" s="13"/>
      <c r="D47" s="72"/>
      <c r="E47" s="73"/>
      <c r="F47" s="74"/>
      <c r="G47" s="20"/>
      <c r="H47" s="42"/>
      <c r="I47" s="42"/>
      <c r="J47" s="59"/>
      <c r="K47" s="609"/>
      <c r="L47" s="610"/>
      <c r="M47" s="611"/>
    </row>
    <row r="48" spans="1:13">
      <c r="A48" s="42" t="str">
        <f>IF(B48=""," ",#REF!+1)</f>
        <v xml:space="preserve"> </v>
      </c>
      <c r="B48" s="71"/>
      <c r="C48" s="13"/>
      <c r="D48" s="72"/>
      <c r="E48" s="73"/>
      <c r="F48" s="74"/>
      <c r="G48" s="20"/>
      <c r="H48" s="42"/>
      <c r="I48" s="42"/>
      <c r="J48" s="59"/>
      <c r="K48" s="609"/>
      <c r="L48" s="610"/>
      <c r="M48" s="611"/>
    </row>
    <row r="49" spans="1:13">
      <c r="A49" s="42" t="str">
        <f>IF(B49=""," ",#REF!+1)</f>
        <v xml:space="preserve"> </v>
      </c>
      <c r="B49" s="71"/>
      <c r="C49" s="13"/>
      <c r="D49" s="72"/>
      <c r="E49" s="73"/>
      <c r="F49" s="74"/>
      <c r="G49" s="20"/>
      <c r="H49" s="42"/>
      <c r="I49" s="42"/>
      <c r="J49" s="59"/>
      <c r="K49" s="13"/>
      <c r="L49" s="14"/>
      <c r="M49" s="15"/>
    </row>
    <row r="50" spans="1:13">
      <c r="A50" s="42" t="str">
        <f>IF(B50=""," ",A49+1)</f>
        <v xml:space="preserve"> </v>
      </c>
      <c r="B50" s="71"/>
      <c r="C50" s="13"/>
      <c r="D50" s="72"/>
      <c r="E50" s="73"/>
      <c r="F50" s="74"/>
      <c r="G50" s="20"/>
      <c r="H50" s="42"/>
      <c r="I50" s="42"/>
      <c r="J50" s="59"/>
      <c r="K50" s="13"/>
      <c r="L50" s="14"/>
      <c r="M50" s="15"/>
    </row>
    <row r="51" spans="1:13">
      <c r="A51" s="42" t="str">
        <f>IF(B51=""," ",A50+1)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c r="B110" s="22" t="s">
        <v>1654</v>
      </c>
      <c r="C110" s="22" t="s">
        <v>1309</v>
      </c>
    </row>
    <row r="111" spans="1:13">
      <c r="C111" s="22" t="s">
        <v>1310</v>
      </c>
    </row>
    <row r="112" spans="1:13">
      <c r="C112" s="22" t="s">
        <v>1720</v>
      </c>
      <c r="D112" s="22" t="s">
        <v>647</v>
      </c>
      <c r="E112" s="22" t="s">
        <v>1311</v>
      </c>
    </row>
    <row r="114" spans="1:3" s="16" customFormat="1">
      <c r="A114" s="46"/>
      <c r="B114" s="75" t="s">
        <v>273</v>
      </c>
      <c r="C114" s="16" t="s">
        <v>1411</v>
      </c>
    </row>
  </sheetData>
  <mergeCells count="60">
    <mergeCell ref="K79:M79"/>
    <mergeCell ref="K80:M80"/>
    <mergeCell ref="K83:M83"/>
    <mergeCell ref="K84:M84"/>
    <mergeCell ref="K71:M71"/>
    <mergeCell ref="K72:M72"/>
    <mergeCell ref="K75:M75"/>
    <mergeCell ref="K76:M76"/>
    <mergeCell ref="K99:M99"/>
    <mergeCell ref="K100:M100"/>
    <mergeCell ref="K87:M87"/>
    <mergeCell ref="K88:M88"/>
    <mergeCell ref="K91:M91"/>
    <mergeCell ref="K92:M92"/>
    <mergeCell ref="K95:M95"/>
    <mergeCell ref="K96:M96"/>
    <mergeCell ref="K63:M63"/>
    <mergeCell ref="K64:M64"/>
    <mergeCell ref="K67:M67"/>
    <mergeCell ref="K68:M68"/>
    <mergeCell ref="K55:M55"/>
    <mergeCell ref="K56:M56"/>
    <mergeCell ref="K59:M59"/>
    <mergeCell ref="K60:M60"/>
    <mergeCell ref="K47:M47"/>
    <mergeCell ref="K48:M48"/>
    <mergeCell ref="K51:M51"/>
    <mergeCell ref="K52:M52"/>
    <mergeCell ref="K7:M7"/>
    <mergeCell ref="K10:M10"/>
    <mergeCell ref="K11:M11"/>
    <mergeCell ref="K15:M15"/>
    <mergeCell ref="K9:M9"/>
    <mergeCell ref="K24:M24"/>
    <mergeCell ref="K22:M22"/>
    <mergeCell ref="K23:M23"/>
    <mergeCell ref="K18:M18"/>
    <mergeCell ref="K19:M19"/>
    <mergeCell ref="K20:M20"/>
    <mergeCell ref="K21:M21"/>
    <mergeCell ref="K5:M6"/>
    <mergeCell ref="I5:J5"/>
    <mergeCell ref="K8:M8"/>
    <mergeCell ref="H3:I3"/>
    <mergeCell ref="A5:A6"/>
    <mergeCell ref="B5:C5"/>
    <mergeCell ref="D5:H5"/>
    <mergeCell ref="A2:B2"/>
    <mergeCell ref="A3:B3"/>
    <mergeCell ref="A4:B4"/>
    <mergeCell ref="H2:J2"/>
    <mergeCell ref="C2:G2"/>
    <mergeCell ref="C3:G3"/>
    <mergeCell ref="C4:G4"/>
    <mergeCell ref="H4:I4"/>
    <mergeCell ref="K14:M14"/>
    <mergeCell ref="K17:M17"/>
    <mergeCell ref="K12:M12"/>
    <mergeCell ref="K13:M13"/>
    <mergeCell ref="K16:M16"/>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1">
    <pageSetUpPr fitToPage="1"/>
  </sheetPr>
  <dimension ref="A1:P111"/>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customWidth="1"/>
    <col min="2" max="2" width="28.625" style="22" customWidth="1"/>
    <col min="3" max="3" width="13.375" style="22" customWidth="1"/>
    <col min="4" max="4" width="9.375" style="22" customWidth="1"/>
    <col min="5" max="5" width="4.875" style="22" bestFit="1" customWidth="1"/>
    <col min="6" max="6" width="4.75" style="22" bestFit="1" customWidth="1"/>
    <col min="7" max="7" width="6.125" style="22" bestFit="1" customWidth="1"/>
    <col min="8" max="8" width="4.75" style="22" bestFit="1" customWidth="1"/>
    <col min="9" max="9" width="4.75" style="22" customWidth="1"/>
    <col min="10" max="11" width="9.625" style="22" customWidth="1"/>
    <col min="12" max="12" width="10.25" style="22" customWidth="1"/>
    <col min="13" max="13" width="10.125" style="22" customWidth="1"/>
    <col min="14" max="14" width="9" style="22"/>
    <col min="15" max="16" width="0" style="22" hidden="1" customWidth="1"/>
    <col min="17" max="16384" width="9" style="22"/>
  </cols>
  <sheetData>
    <row r="1" spans="1:16">
      <c r="B1" s="47"/>
    </row>
    <row r="2" spans="1:16">
      <c r="A2" s="670" t="s">
        <v>230</v>
      </c>
      <c r="B2" s="671"/>
      <c r="C2" s="670" t="s">
        <v>36</v>
      </c>
      <c r="D2" s="676"/>
      <c r="E2" s="676"/>
      <c r="F2" s="676"/>
      <c r="G2" s="671"/>
      <c r="H2" s="670"/>
      <c r="I2" s="676"/>
      <c r="J2" s="671"/>
      <c r="K2" s="81"/>
      <c r="L2" s="82" t="s">
        <v>37</v>
      </c>
      <c r="M2" s="82" t="s">
        <v>38</v>
      </c>
    </row>
    <row r="3" spans="1:16">
      <c r="A3" s="672"/>
      <c r="B3" s="673"/>
      <c r="C3" s="750" t="s">
        <v>335</v>
      </c>
      <c r="D3" s="751"/>
      <c r="E3" s="751"/>
      <c r="F3" s="751"/>
      <c r="G3" s="752"/>
      <c r="H3" s="670" t="s">
        <v>39</v>
      </c>
      <c r="I3" s="671"/>
      <c r="J3" s="83">
        <f>COUNT(A7:A100)</f>
        <v>7</v>
      </c>
      <c r="K3" s="82" t="s">
        <v>40</v>
      </c>
      <c r="L3" s="84">
        <v>38714</v>
      </c>
      <c r="M3" s="41" t="s">
        <v>532</v>
      </c>
      <c r="O3" s="22" t="s">
        <v>41</v>
      </c>
      <c r="P3" s="22" t="s">
        <v>42</v>
      </c>
    </row>
    <row r="4" spans="1:16">
      <c r="A4" s="674" t="s">
        <v>43</v>
      </c>
      <c r="B4" s="675"/>
      <c r="C4" s="674" t="s">
        <v>1518</v>
      </c>
      <c r="D4" s="753"/>
      <c r="E4" s="753"/>
      <c r="F4" s="753"/>
      <c r="G4" s="675"/>
      <c r="H4" s="670" t="s">
        <v>44</v>
      </c>
      <c r="I4" s="671"/>
      <c r="J4" s="83">
        <f>SUM(G7:G100)</f>
        <v>135</v>
      </c>
      <c r="K4" s="82" t="s">
        <v>45</v>
      </c>
      <c r="L4" s="84">
        <v>38769</v>
      </c>
      <c r="M4" s="41" t="s">
        <v>532</v>
      </c>
      <c r="O4" s="22" t="s">
        <v>574</v>
      </c>
      <c r="P4" s="22" t="s">
        <v>524</v>
      </c>
    </row>
    <row r="5" spans="1:16">
      <c r="A5" s="683" t="s">
        <v>603</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ht="12.75" customHeight="1">
      <c r="A7" s="89">
        <v>1</v>
      </c>
      <c r="B7" s="48" t="s">
        <v>1519</v>
      </c>
      <c r="C7" s="49" t="s">
        <v>1522</v>
      </c>
      <c r="D7" s="78" t="s">
        <v>523</v>
      </c>
      <c r="E7" s="98">
        <v>8</v>
      </c>
      <c r="F7" s="99"/>
      <c r="G7" s="21">
        <f>IF(D7="DATE",4,IF(D7="CHAR",E7,IF(D7="SMALLINT",2,IF(D7="INTEGER",4,IF(D7="TIMESTAMP",10,IF(D7="TIME",3,0))))))</f>
        <v>8</v>
      </c>
      <c r="H7" s="91" t="s">
        <v>1406</v>
      </c>
      <c r="I7" s="89" t="s">
        <v>528</v>
      </c>
      <c r="J7" s="92"/>
      <c r="K7" s="602"/>
      <c r="L7" s="603"/>
      <c r="M7" s="604"/>
    </row>
    <row r="8" spans="1:16" ht="27" customHeight="1">
      <c r="A8" s="42">
        <f>IF(B8=""," ",A7+1)</f>
        <v>2</v>
      </c>
      <c r="B8" s="48" t="s">
        <v>1520</v>
      </c>
      <c r="C8" s="49" t="s">
        <v>1523</v>
      </c>
      <c r="D8" s="78" t="s">
        <v>523</v>
      </c>
      <c r="E8" s="98">
        <v>1</v>
      </c>
      <c r="F8" s="99"/>
      <c r="G8" s="21">
        <f>IF(D8="DATE",4,IF(D8="CHAR",E8,IF(D8="SMALLINT",2,IF(D8="INTEGER",4,IF(D8="TIMESTAMP",10,IF(D8="TIME",3,0))))))</f>
        <v>1</v>
      </c>
      <c r="H8" s="91" t="s">
        <v>1406</v>
      </c>
      <c r="I8" s="89"/>
      <c r="J8" s="92"/>
      <c r="K8" s="666" t="s">
        <v>697</v>
      </c>
      <c r="L8" s="667"/>
      <c r="M8" s="668"/>
    </row>
    <row r="9" spans="1:16">
      <c r="A9" s="42">
        <f>IF(B9=""," ",A8+1)</f>
        <v>3</v>
      </c>
      <c r="B9" s="93" t="s">
        <v>1521</v>
      </c>
      <c r="C9" s="26" t="s">
        <v>1524</v>
      </c>
      <c r="D9" s="97" t="s">
        <v>523</v>
      </c>
      <c r="E9" s="98">
        <v>100</v>
      </c>
      <c r="F9" s="99"/>
      <c r="G9" s="21">
        <f>IF(D9="DATE",4,IF(D9="CHAR",E9,IF(D9="SMALLINT",2,IF(D9="INTEGER",4,IF(D9="TIMESTAMP",10,IF(D9="TIME",3,0))))))</f>
        <v>100</v>
      </c>
      <c r="H9" s="91" t="s">
        <v>1406</v>
      </c>
      <c r="I9" s="89"/>
      <c r="J9" s="92"/>
      <c r="K9" s="666" t="s">
        <v>698</v>
      </c>
      <c r="L9" s="667"/>
      <c r="M9" s="668"/>
    </row>
    <row r="10" spans="1:16" s="353" customFormat="1" ht="65.099999999999994" customHeight="1">
      <c r="A10" s="344">
        <v>4</v>
      </c>
      <c r="B10" s="345" t="s">
        <v>692</v>
      </c>
      <c r="C10" s="346" t="s">
        <v>704</v>
      </c>
      <c r="D10" s="347" t="s">
        <v>693</v>
      </c>
      <c r="E10" s="348"/>
      <c r="F10" s="349"/>
      <c r="G10" s="350">
        <v>4</v>
      </c>
      <c r="H10" s="344" t="s">
        <v>694</v>
      </c>
      <c r="I10" s="351"/>
      <c r="J10" s="352"/>
      <c r="K10" s="944" t="s">
        <v>702</v>
      </c>
      <c r="L10" s="945"/>
      <c r="M10" s="946"/>
    </row>
    <row r="11" spans="1:16" s="353" customFormat="1" ht="65.099999999999994" customHeight="1">
      <c r="A11" s="344">
        <v>5</v>
      </c>
      <c r="B11" s="345" t="s">
        <v>695</v>
      </c>
      <c r="C11" s="346" t="s">
        <v>705</v>
      </c>
      <c r="D11" s="347" t="s">
        <v>696</v>
      </c>
      <c r="E11" s="348"/>
      <c r="F11" s="349"/>
      <c r="G11" s="350">
        <v>4</v>
      </c>
      <c r="H11" s="344" t="s">
        <v>528</v>
      </c>
      <c r="I11" s="351"/>
      <c r="J11" s="352"/>
      <c r="K11" s="944" t="s">
        <v>703</v>
      </c>
      <c r="L11" s="945"/>
      <c r="M11" s="946"/>
    </row>
    <row r="12" spans="1:16" s="16" customFormat="1" ht="12" customHeight="1">
      <c r="A12" s="42">
        <f t="shared" ref="A12:A17" si="0">IF(B12=""," ",A11+1)</f>
        <v>6</v>
      </c>
      <c r="B12" s="64" t="s">
        <v>1083</v>
      </c>
      <c r="C12" s="24" t="s">
        <v>1111</v>
      </c>
      <c r="D12" s="72" t="s">
        <v>1431</v>
      </c>
      <c r="E12" s="51">
        <v>8</v>
      </c>
      <c r="F12" s="58"/>
      <c r="G12" s="21">
        <f>IF(D12="DATE",4,IF(D12="CHAR",E12,IF(D12="SMALLINT",2,IF(D12="INTEGER",4,IF(D12="TIMESTAMP",10,IF(D12="TIME",3,0))))))</f>
        <v>8</v>
      </c>
      <c r="H12" s="91" t="s">
        <v>1406</v>
      </c>
      <c r="I12" s="53"/>
      <c r="J12" s="59"/>
      <c r="K12" s="609" t="s">
        <v>1112</v>
      </c>
      <c r="L12" s="610"/>
      <c r="M12" s="611"/>
    </row>
    <row r="13" spans="1:16">
      <c r="A13" s="42">
        <f t="shared" si="0"/>
        <v>7</v>
      </c>
      <c r="B13" s="93" t="s">
        <v>1724</v>
      </c>
      <c r="C13" s="26" t="s">
        <v>1404</v>
      </c>
      <c r="D13" s="94" t="s">
        <v>1405</v>
      </c>
      <c r="E13" s="95"/>
      <c r="F13" s="90"/>
      <c r="G13" s="21">
        <f>IF(D13="DATE",4,IF(D13="CHAR",E13,IF(D13="SMALLINT",2,IF(D13="INTEGER",4,IF(D13="TIMESTAMP",10,IF(D13="TIME",3,0))))))</f>
        <v>10</v>
      </c>
      <c r="H13" s="91" t="s">
        <v>1406</v>
      </c>
      <c r="I13" s="89"/>
      <c r="J13" s="92"/>
      <c r="K13" s="602"/>
      <c r="L13" s="603"/>
      <c r="M13" s="604"/>
    </row>
    <row r="14" spans="1:16" s="16" customFormat="1" ht="12" customHeight="1">
      <c r="A14" s="42" t="str">
        <f t="shared" si="0"/>
        <v xml:space="preserve"> </v>
      </c>
      <c r="B14" s="64"/>
      <c r="C14" s="24"/>
      <c r="D14" s="72"/>
      <c r="E14" s="51"/>
      <c r="F14" s="58"/>
      <c r="G14" s="21"/>
      <c r="H14" s="91"/>
      <c r="I14" s="53"/>
      <c r="J14" s="59"/>
      <c r="K14" s="609" t="s">
        <v>1112</v>
      </c>
      <c r="L14" s="610"/>
      <c r="M14" s="611"/>
    </row>
    <row r="15" spans="1:16">
      <c r="A15" s="42" t="str">
        <f t="shared" si="0"/>
        <v xml:space="preserve"> </v>
      </c>
      <c r="B15" s="93"/>
      <c r="C15" s="26"/>
      <c r="D15" s="94"/>
      <c r="E15" s="95"/>
      <c r="F15" s="90"/>
      <c r="G15" s="21"/>
      <c r="H15" s="91"/>
      <c r="I15" s="89"/>
      <c r="J15" s="92"/>
      <c r="K15" s="602"/>
      <c r="L15" s="603"/>
      <c r="M15" s="604"/>
    </row>
    <row r="16" spans="1:16">
      <c r="A16" s="89" t="str">
        <f t="shared" si="0"/>
        <v xml:space="preserve"> </v>
      </c>
      <c r="B16" s="93"/>
      <c r="C16" s="26"/>
      <c r="D16" s="94"/>
      <c r="E16" s="95"/>
      <c r="F16" s="90"/>
      <c r="G16" s="241"/>
      <c r="H16" s="91"/>
      <c r="I16" s="91"/>
      <c r="J16" s="170"/>
      <c r="K16" s="663"/>
      <c r="L16" s="664"/>
      <c r="M16" s="665"/>
    </row>
    <row r="17" spans="1:13">
      <c r="A17" s="89" t="str">
        <f t="shared" si="0"/>
        <v xml:space="preserve"> </v>
      </c>
      <c r="B17" s="93"/>
      <c r="C17" s="26"/>
      <c r="D17" s="97"/>
      <c r="E17" s="98"/>
      <c r="F17" s="99"/>
      <c r="G17" s="21"/>
      <c r="H17" s="89"/>
      <c r="I17" s="89"/>
      <c r="J17" s="92"/>
      <c r="K17" s="602"/>
      <c r="L17" s="692"/>
      <c r="M17" s="693"/>
    </row>
    <row r="18" spans="1:13">
      <c r="A18" s="89" t="str">
        <f>IF(B18=""," ",#REF!+1)</f>
        <v xml:space="preserve"> </v>
      </c>
      <c r="B18" s="93"/>
      <c r="C18" s="26"/>
      <c r="D18" s="94"/>
      <c r="E18" s="95"/>
      <c r="F18" s="99"/>
      <c r="G18" s="21"/>
      <c r="H18" s="89"/>
      <c r="I18" s="89"/>
      <c r="J18" s="92"/>
      <c r="K18" s="669"/>
      <c r="L18" s="603"/>
      <c r="M18" s="604"/>
    </row>
    <row r="19" spans="1:13">
      <c r="A19" s="89" t="str">
        <f>IF(B19=""," ",A18+1)</f>
        <v xml:space="preserve"> </v>
      </c>
      <c r="B19" s="93"/>
      <c r="C19" s="26"/>
      <c r="D19" s="94"/>
      <c r="E19" s="95"/>
      <c r="F19" s="99"/>
      <c r="G19" s="21"/>
      <c r="H19" s="89"/>
      <c r="I19" s="89"/>
      <c r="J19" s="92"/>
      <c r="K19" s="669"/>
      <c r="L19" s="603"/>
      <c r="M19" s="604"/>
    </row>
    <row r="20" spans="1:13">
      <c r="A20" s="89" t="str">
        <f>IF(B20=""," ",#REF!+1)</f>
        <v xml:space="preserve"> </v>
      </c>
      <c r="B20" s="96"/>
      <c r="C20" s="31"/>
      <c r="D20" s="97"/>
      <c r="E20" s="98"/>
      <c r="F20" s="99"/>
      <c r="G20" s="21"/>
      <c r="H20" s="89"/>
      <c r="I20" s="89"/>
      <c r="J20" s="92"/>
      <c r="K20" s="31"/>
      <c r="L20" s="32"/>
      <c r="M20" s="33"/>
    </row>
    <row r="21" spans="1:13">
      <c r="A21" s="89" t="str">
        <f>IF(B21=""," ",A20+1)</f>
        <v xml:space="preserve"> </v>
      </c>
      <c r="B21" s="96"/>
      <c r="C21" s="31"/>
      <c r="D21" s="97"/>
      <c r="E21" s="98"/>
      <c r="F21" s="99"/>
      <c r="G21" s="21"/>
      <c r="H21" s="89"/>
      <c r="I21" s="89"/>
      <c r="J21" s="92"/>
      <c r="K21" s="31"/>
      <c r="L21" s="32"/>
      <c r="M21" s="33"/>
    </row>
    <row r="22" spans="1:13">
      <c r="A22" s="89" t="str">
        <f t="shared" ref="A22:A33" si="1">IF(B22=""," ",A21+1)</f>
        <v xml:space="preserve"> </v>
      </c>
      <c r="B22" s="66"/>
      <c r="C22" s="31"/>
      <c r="D22" s="97"/>
      <c r="E22" s="98"/>
      <c r="F22" s="99"/>
      <c r="G22" s="21"/>
      <c r="H22" s="89"/>
      <c r="I22" s="89"/>
      <c r="J22" s="92"/>
      <c r="K22" s="31"/>
      <c r="L22" s="32"/>
      <c r="M22" s="33"/>
    </row>
    <row r="23" spans="1:13">
      <c r="A23" s="89" t="str">
        <f>IF(B23=""," ",#REF!+1)</f>
        <v xml:space="preserve"> </v>
      </c>
      <c r="B23" s="96"/>
      <c r="C23" s="31"/>
      <c r="D23" s="97"/>
      <c r="E23" s="98"/>
      <c r="F23" s="99"/>
      <c r="G23" s="21"/>
      <c r="H23" s="89"/>
      <c r="I23" s="89"/>
      <c r="J23" s="92"/>
      <c r="K23" s="31"/>
      <c r="L23" s="32"/>
      <c r="M23" s="33"/>
    </row>
    <row r="24" spans="1:13">
      <c r="A24" s="89" t="str">
        <f>IF(B24=""," ",#REF!+1)</f>
        <v xml:space="preserve"> </v>
      </c>
      <c r="B24" s="96"/>
      <c r="C24" s="31"/>
      <c r="D24" s="97"/>
      <c r="E24" s="98"/>
      <c r="F24" s="99"/>
      <c r="G24" s="21"/>
      <c r="H24" s="89"/>
      <c r="I24" s="89"/>
      <c r="J24" s="92"/>
      <c r="K24" s="31"/>
      <c r="L24" s="32"/>
      <c r="M24" s="33"/>
    </row>
    <row r="25" spans="1:13">
      <c r="A25" s="89" t="str">
        <f t="shared" si="1"/>
        <v xml:space="preserve"> </v>
      </c>
      <c r="B25" s="96"/>
      <c r="C25" s="31"/>
      <c r="D25" s="97"/>
      <c r="E25" s="98"/>
      <c r="F25" s="99"/>
      <c r="G25" s="21"/>
      <c r="H25" s="89"/>
      <c r="I25" s="89"/>
      <c r="J25" s="92"/>
      <c r="K25" s="31"/>
      <c r="L25" s="32"/>
      <c r="M25" s="33"/>
    </row>
    <row r="26" spans="1:13">
      <c r="A26" s="89" t="str">
        <f t="shared" si="1"/>
        <v xml:space="preserve"> </v>
      </c>
      <c r="B26" s="96"/>
      <c r="C26" s="31"/>
      <c r="D26" s="97"/>
      <c r="E26" s="98"/>
      <c r="F26" s="99"/>
      <c r="G26" s="21"/>
      <c r="H26" s="89"/>
      <c r="I26" s="89"/>
      <c r="J26" s="92"/>
      <c r="K26" s="31"/>
      <c r="L26" s="32"/>
      <c r="M26" s="33"/>
    </row>
    <row r="27" spans="1:13">
      <c r="A27" s="89" t="str">
        <f t="shared" si="1"/>
        <v xml:space="preserve"> </v>
      </c>
      <c r="B27" s="96"/>
      <c r="C27" s="31"/>
      <c r="D27" s="97"/>
      <c r="E27" s="98"/>
      <c r="F27" s="99"/>
      <c r="G27" s="21"/>
      <c r="H27" s="89"/>
      <c r="I27" s="89"/>
      <c r="J27" s="92"/>
      <c r="K27" s="31"/>
      <c r="L27" s="32"/>
      <c r="M27" s="33"/>
    </row>
    <row r="28" spans="1:13">
      <c r="A28" s="89" t="str">
        <f>IF(B28=""," ",A27+1)</f>
        <v xml:space="preserve"> </v>
      </c>
      <c r="B28" s="96"/>
      <c r="C28" s="31"/>
      <c r="D28" s="97"/>
      <c r="E28" s="98"/>
      <c r="F28" s="99"/>
      <c r="G28" s="21"/>
      <c r="H28" s="89"/>
      <c r="I28" s="89"/>
      <c r="J28" s="92"/>
      <c r="K28" s="31"/>
      <c r="L28" s="32"/>
      <c r="M28" s="33"/>
    </row>
    <row r="29" spans="1:13">
      <c r="A29" s="89" t="str">
        <f t="shared" si="1"/>
        <v xml:space="preserve"> </v>
      </c>
      <c r="B29" s="96"/>
      <c r="C29" s="31"/>
      <c r="D29" s="97"/>
      <c r="E29" s="98"/>
      <c r="F29" s="99"/>
      <c r="G29" s="21"/>
      <c r="H29" s="89"/>
      <c r="I29" s="89"/>
      <c r="J29" s="92"/>
      <c r="K29" s="31"/>
      <c r="L29" s="32"/>
      <c r="M29" s="33"/>
    </row>
    <row r="30" spans="1:13" ht="12" customHeight="1">
      <c r="A30" s="89" t="str">
        <f t="shared" si="1"/>
        <v xml:space="preserve"> </v>
      </c>
      <c r="B30" s="96"/>
      <c r="C30" s="31"/>
      <c r="D30" s="97"/>
      <c r="E30" s="98"/>
      <c r="F30" s="99"/>
      <c r="G30" s="21"/>
      <c r="H30" s="89"/>
      <c r="I30" s="89"/>
      <c r="J30" s="92"/>
      <c r="K30" s="31"/>
      <c r="L30" s="32"/>
      <c r="M30" s="33"/>
    </row>
    <row r="31" spans="1:13" ht="12" customHeight="1">
      <c r="A31" s="89" t="str">
        <f t="shared" si="1"/>
        <v xml:space="preserve"> </v>
      </c>
      <c r="B31" s="96"/>
      <c r="C31" s="31"/>
      <c r="D31" s="97"/>
      <c r="E31" s="98"/>
      <c r="F31" s="99"/>
      <c r="G31" s="21"/>
      <c r="H31" s="89"/>
      <c r="I31" s="89"/>
      <c r="J31" s="92"/>
      <c r="K31" s="31"/>
      <c r="L31" s="32"/>
      <c r="M31" s="33"/>
    </row>
    <row r="32" spans="1:13" ht="12" customHeight="1">
      <c r="A32" s="89" t="str">
        <f t="shared" si="1"/>
        <v xml:space="preserve"> </v>
      </c>
      <c r="B32" s="96"/>
      <c r="C32" s="31"/>
      <c r="D32" s="97"/>
      <c r="E32" s="98"/>
      <c r="F32" s="99"/>
      <c r="G32" s="21"/>
      <c r="H32" s="89"/>
      <c r="I32" s="89"/>
      <c r="J32" s="92"/>
      <c r="K32" s="31"/>
      <c r="L32" s="32"/>
      <c r="M32" s="33"/>
    </row>
    <row r="33" spans="1:13" ht="12" customHeight="1">
      <c r="A33" s="89" t="str">
        <f t="shared" si="1"/>
        <v xml:space="preserve"> </v>
      </c>
      <c r="B33" s="96"/>
      <c r="C33" s="31"/>
      <c r="D33" s="97"/>
      <c r="E33" s="98"/>
      <c r="F33" s="99"/>
      <c r="G33" s="21"/>
      <c r="H33" s="89"/>
      <c r="I33" s="89"/>
      <c r="J33" s="92"/>
      <c r="K33" s="31"/>
      <c r="L33" s="32"/>
      <c r="M33" s="33"/>
    </row>
    <row r="34" spans="1:13" ht="12" customHeight="1">
      <c r="A34" s="42" t="str">
        <f>IF(B34=""," ",A33+1)</f>
        <v xml:space="preserve"> </v>
      </c>
      <c r="B34" s="71"/>
      <c r="C34" s="13"/>
      <c r="D34" s="72"/>
      <c r="E34" s="73"/>
      <c r="F34" s="74"/>
      <c r="G34" s="20"/>
      <c r="H34" s="42"/>
      <c r="I34" s="42"/>
      <c r="J34" s="59"/>
      <c r="K34" s="609"/>
      <c r="L34" s="610"/>
      <c r="M34" s="611"/>
    </row>
    <row r="35" spans="1:13" ht="12" customHeight="1">
      <c r="A35" s="42" t="str">
        <f>IF(B35=""," ",#REF!+1)</f>
        <v xml:space="preserve"> </v>
      </c>
      <c r="B35" s="71"/>
      <c r="C35" s="13"/>
      <c r="D35" s="72"/>
      <c r="E35" s="73"/>
      <c r="F35" s="74"/>
      <c r="G35" s="20"/>
      <c r="H35" s="42"/>
      <c r="I35" s="42"/>
      <c r="J35" s="59"/>
      <c r="K35" s="609"/>
      <c r="L35" s="610"/>
      <c r="M35" s="611"/>
    </row>
    <row r="36" spans="1:13" ht="12" customHeight="1">
      <c r="A36" s="42" t="str">
        <f>IF(B36=""," ",#REF!+1)</f>
        <v xml:space="preserve"> </v>
      </c>
      <c r="B36" s="71"/>
      <c r="C36" s="13"/>
      <c r="D36" s="72"/>
      <c r="E36" s="73"/>
      <c r="F36" s="74"/>
      <c r="G36" s="20"/>
      <c r="H36" s="42"/>
      <c r="I36" s="42"/>
      <c r="J36" s="59"/>
      <c r="K36" s="13"/>
      <c r="L36" s="14"/>
      <c r="M36" s="15"/>
    </row>
    <row r="37" spans="1:13" ht="12" customHeight="1">
      <c r="A37" s="42" t="str">
        <f>IF(B37=""," ",A36+1)</f>
        <v xml:space="preserve"> </v>
      </c>
      <c r="B37" s="71"/>
      <c r="C37" s="13"/>
      <c r="D37" s="72"/>
      <c r="E37" s="73"/>
      <c r="F37" s="74"/>
      <c r="G37" s="20"/>
      <c r="H37" s="42"/>
      <c r="I37" s="42"/>
      <c r="J37" s="59"/>
      <c r="K37" s="13"/>
      <c r="L37" s="14"/>
      <c r="M37" s="15"/>
    </row>
    <row r="38" spans="1:13" ht="12" customHeight="1">
      <c r="A38" s="42" t="str">
        <f>IF(B38=""," ",A37+1)</f>
        <v xml:space="preserve"> </v>
      </c>
      <c r="B38" s="71"/>
      <c r="C38" s="13"/>
      <c r="D38" s="72"/>
      <c r="E38" s="73"/>
      <c r="F38" s="74"/>
      <c r="G38" s="20"/>
      <c r="H38" s="42"/>
      <c r="I38" s="42"/>
      <c r="J38" s="59"/>
      <c r="K38" s="609"/>
      <c r="L38" s="610"/>
      <c r="M38" s="611"/>
    </row>
    <row r="39" spans="1:13" ht="12" customHeight="1">
      <c r="A39" s="42" t="str">
        <f>IF(B39=""," ",#REF!+1)</f>
        <v xml:space="preserve"> </v>
      </c>
      <c r="B39" s="71"/>
      <c r="C39" s="13"/>
      <c r="D39" s="72"/>
      <c r="E39" s="73"/>
      <c r="F39" s="74"/>
      <c r="G39" s="20"/>
      <c r="H39" s="42"/>
      <c r="I39" s="42"/>
      <c r="J39" s="59"/>
      <c r="K39" s="609"/>
      <c r="L39" s="610"/>
      <c r="M39" s="611"/>
    </row>
    <row r="40" spans="1:13" ht="12" customHeight="1">
      <c r="A40" s="42" t="str">
        <f>IF(B40=""," ",#REF!+1)</f>
        <v xml:space="preserve"> </v>
      </c>
      <c r="B40" s="71"/>
      <c r="C40" s="13"/>
      <c r="D40" s="72"/>
      <c r="E40" s="73"/>
      <c r="F40" s="74"/>
      <c r="G40" s="20"/>
      <c r="H40" s="42"/>
      <c r="I40" s="42"/>
      <c r="J40" s="59"/>
      <c r="K40" s="13"/>
      <c r="L40" s="14"/>
      <c r="M40" s="15"/>
    </row>
    <row r="41" spans="1:13" ht="12" customHeight="1">
      <c r="A41" s="42" t="str">
        <f>IF(B41=""," ",A40+1)</f>
        <v xml:space="preserve"> </v>
      </c>
      <c r="B41" s="71"/>
      <c r="C41" s="13"/>
      <c r="D41" s="72"/>
      <c r="E41" s="73"/>
      <c r="F41" s="74"/>
      <c r="G41" s="20"/>
      <c r="H41" s="42"/>
      <c r="I41" s="42"/>
      <c r="J41" s="59"/>
      <c r="K41" s="13"/>
      <c r="L41" s="14"/>
      <c r="M41" s="15"/>
    </row>
    <row r="42" spans="1:13" ht="12" customHeight="1">
      <c r="A42" s="42" t="str">
        <f>IF(B42=""," ",A41+1)</f>
        <v xml:space="preserve"> </v>
      </c>
      <c r="B42" s="71"/>
      <c r="C42" s="13"/>
      <c r="D42" s="72"/>
      <c r="E42" s="73"/>
      <c r="F42" s="74"/>
      <c r="G42" s="20"/>
      <c r="H42" s="42"/>
      <c r="I42" s="42"/>
      <c r="J42" s="59"/>
      <c r="K42" s="609"/>
      <c r="L42" s="610"/>
      <c r="M42" s="611"/>
    </row>
    <row r="43" spans="1:13" ht="12" customHeight="1">
      <c r="A43" s="42" t="str">
        <f>IF(B43=""," ",#REF!+1)</f>
        <v xml:space="preserve"> </v>
      </c>
      <c r="B43" s="71"/>
      <c r="C43" s="13"/>
      <c r="D43" s="72"/>
      <c r="E43" s="73"/>
      <c r="F43" s="74"/>
      <c r="G43" s="20"/>
      <c r="H43" s="42"/>
      <c r="I43" s="42"/>
      <c r="J43" s="59"/>
      <c r="K43" s="609"/>
      <c r="L43" s="610"/>
      <c r="M43" s="611"/>
    </row>
    <row r="44" spans="1:13" ht="12" customHeight="1">
      <c r="A44" s="42" t="str">
        <f>IF(B44=""," ",#REF!+1)</f>
        <v xml:space="preserve"> </v>
      </c>
      <c r="B44" s="71"/>
      <c r="C44" s="13"/>
      <c r="D44" s="72"/>
      <c r="E44" s="73"/>
      <c r="F44" s="74"/>
      <c r="G44" s="20"/>
      <c r="H44" s="42"/>
      <c r="I44" s="42"/>
      <c r="J44" s="59"/>
      <c r="K44" s="13"/>
      <c r="L44" s="14"/>
      <c r="M44" s="15"/>
    </row>
    <row r="45" spans="1:13" ht="12" customHeight="1">
      <c r="A45" s="42" t="str">
        <f>IF(B45=""," ",A44+1)</f>
        <v xml:space="preserve"> </v>
      </c>
      <c r="B45" s="71"/>
      <c r="C45" s="13"/>
      <c r="D45" s="72"/>
      <c r="E45" s="73"/>
      <c r="F45" s="74"/>
      <c r="G45" s="20"/>
      <c r="H45" s="42"/>
      <c r="I45" s="42"/>
      <c r="J45" s="59"/>
      <c r="K45" s="13"/>
      <c r="L45" s="14"/>
      <c r="M45" s="15"/>
    </row>
    <row r="46" spans="1:13" ht="12" customHeight="1">
      <c r="A46" s="42" t="str">
        <f>IF(B46=""," ",A45+1)</f>
        <v xml:space="preserve"> </v>
      </c>
      <c r="B46" s="71"/>
      <c r="C46" s="13"/>
      <c r="D46" s="72"/>
      <c r="E46" s="73"/>
      <c r="F46" s="74"/>
      <c r="G46" s="20"/>
      <c r="H46" s="42"/>
      <c r="I46" s="42"/>
      <c r="J46" s="59"/>
      <c r="K46" s="609"/>
      <c r="L46" s="610"/>
      <c r="M46" s="611"/>
    </row>
    <row r="47" spans="1:13" ht="12" customHeight="1">
      <c r="A47" s="42" t="str">
        <f>IF(B47=""," ",#REF!+1)</f>
        <v xml:space="preserve"> </v>
      </c>
      <c r="B47" s="71"/>
      <c r="C47" s="13"/>
      <c r="D47" s="72"/>
      <c r="E47" s="73"/>
      <c r="F47" s="74"/>
      <c r="G47" s="20"/>
      <c r="H47" s="42"/>
      <c r="I47" s="42"/>
      <c r="J47" s="59"/>
      <c r="K47" s="609"/>
      <c r="L47" s="610"/>
      <c r="M47" s="611"/>
    </row>
    <row r="48" spans="1:13" ht="12" customHeight="1">
      <c r="A48" s="42" t="str">
        <f>IF(B48=""," ",#REF!+1)</f>
        <v xml:space="preserve"> </v>
      </c>
      <c r="B48" s="71"/>
      <c r="C48" s="13"/>
      <c r="D48" s="72"/>
      <c r="E48" s="73"/>
      <c r="F48" s="74"/>
      <c r="G48" s="20"/>
      <c r="H48" s="42"/>
      <c r="I48" s="42"/>
      <c r="J48" s="59"/>
      <c r="K48" s="13"/>
      <c r="L48" s="14"/>
      <c r="M48" s="15"/>
    </row>
    <row r="49" spans="1:13" ht="12" customHeight="1">
      <c r="A49" s="42" t="str">
        <f>IF(B49=""," ",A48+1)</f>
        <v xml:space="preserve"> </v>
      </c>
      <c r="B49" s="71"/>
      <c r="C49" s="13"/>
      <c r="D49" s="72"/>
      <c r="E49" s="73"/>
      <c r="F49" s="74"/>
      <c r="G49" s="20"/>
      <c r="H49" s="42"/>
      <c r="I49" s="42"/>
      <c r="J49" s="59"/>
      <c r="K49" s="13"/>
      <c r="L49" s="14"/>
      <c r="M49" s="15"/>
    </row>
    <row r="50" spans="1:13" ht="12" customHeight="1">
      <c r="A50" s="42" t="str">
        <f>IF(B50=""," ",A49+1)</f>
        <v xml:space="preserve"> </v>
      </c>
      <c r="B50" s="71"/>
      <c r="C50" s="13"/>
      <c r="D50" s="72"/>
      <c r="E50" s="73"/>
      <c r="F50" s="74"/>
      <c r="G50" s="20"/>
      <c r="H50" s="42"/>
      <c r="I50" s="42"/>
      <c r="J50" s="59"/>
      <c r="K50" s="609"/>
      <c r="L50" s="610"/>
      <c r="M50" s="611"/>
    </row>
    <row r="51" spans="1:13" ht="12" customHeight="1">
      <c r="A51" s="42" t="str">
        <f>IF(B51=""," ",#REF!+1)</f>
        <v xml:space="preserve"> </v>
      </c>
      <c r="B51" s="71"/>
      <c r="C51" s="13"/>
      <c r="D51" s="72"/>
      <c r="E51" s="73"/>
      <c r="F51" s="74"/>
      <c r="G51" s="20"/>
      <c r="H51" s="42"/>
      <c r="I51" s="42"/>
      <c r="J51" s="59"/>
      <c r="K51" s="609"/>
      <c r="L51" s="610"/>
      <c r="M51" s="611"/>
    </row>
    <row r="52" spans="1:13" ht="12" customHeight="1">
      <c r="A52" s="42" t="str">
        <f>IF(B52=""," ",#REF!+1)</f>
        <v xml:space="preserve"> </v>
      </c>
      <c r="B52" s="71"/>
      <c r="C52" s="13"/>
      <c r="D52" s="72"/>
      <c r="E52" s="73"/>
      <c r="F52" s="74"/>
      <c r="G52" s="20"/>
      <c r="H52" s="42"/>
      <c r="I52" s="42"/>
      <c r="J52" s="59"/>
      <c r="K52" s="13"/>
      <c r="L52" s="14"/>
      <c r="M52" s="15"/>
    </row>
    <row r="53" spans="1:13" ht="12" customHeight="1">
      <c r="A53" s="42" t="str">
        <f>IF(B53=""," ",A52+1)</f>
        <v xml:space="preserve"> </v>
      </c>
      <c r="B53" s="71"/>
      <c r="C53" s="13"/>
      <c r="D53" s="72"/>
      <c r="E53" s="73"/>
      <c r="F53" s="74"/>
      <c r="G53" s="20"/>
      <c r="H53" s="42"/>
      <c r="I53" s="42"/>
      <c r="J53" s="59"/>
      <c r="K53" s="13"/>
      <c r="L53" s="14"/>
      <c r="M53" s="15"/>
    </row>
    <row r="54" spans="1:13" ht="12" customHeight="1">
      <c r="A54" s="42" t="str">
        <f>IF(B54=""," ",A53+1)</f>
        <v xml:space="preserve"> </v>
      </c>
      <c r="B54" s="71"/>
      <c r="C54" s="13"/>
      <c r="D54" s="72"/>
      <c r="E54" s="73"/>
      <c r="F54" s="74"/>
      <c r="G54" s="20"/>
      <c r="H54" s="42"/>
      <c r="I54" s="42"/>
      <c r="J54" s="59"/>
      <c r="K54" s="609"/>
      <c r="L54" s="610"/>
      <c r="M54" s="611"/>
    </row>
    <row r="55" spans="1:13" ht="12" customHeight="1">
      <c r="A55" s="42" t="str">
        <f>IF(B55=""," ",#REF!+1)</f>
        <v xml:space="preserve"> </v>
      </c>
      <c r="B55" s="71"/>
      <c r="C55" s="13"/>
      <c r="D55" s="72"/>
      <c r="E55" s="73"/>
      <c r="F55" s="74"/>
      <c r="G55" s="20"/>
      <c r="H55" s="42"/>
      <c r="I55" s="42"/>
      <c r="J55" s="59"/>
      <c r="K55" s="609"/>
      <c r="L55" s="610"/>
      <c r="M55" s="611"/>
    </row>
    <row r="56" spans="1:13" ht="12" customHeight="1">
      <c r="A56" s="42" t="str">
        <f>IF(B56=""," ",#REF!+1)</f>
        <v xml:space="preserve"> </v>
      </c>
      <c r="B56" s="71"/>
      <c r="C56" s="13"/>
      <c r="D56" s="72"/>
      <c r="E56" s="73"/>
      <c r="F56" s="74"/>
      <c r="G56" s="20"/>
      <c r="H56" s="42"/>
      <c r="I56" s="42"/>
      <c r="J56" s="59"/>
      <c r="K56" s="13"/>
      <c r="L56" s="14"/>
      <c r="M56" s="15"/>
    </row>
    <row r="57" spans="1:13" ht="12" customHeight="1">
      <c r="A57" s="42" t="str">
        <f>IF(B57=""," ",A56+1)</f>
        <v xml:space="preserve"> </v>
      </c>
      <c r="B57" s="71"/>
      <c r="C57" s="13"/>
      <c r="D57" s="72"/>
      <c r="E57" s="73"/>
      <c r="F57" s="74"/>
      <c r="G57" s="20"/>
      <c r="H57" s="42"/>
      <c r="I57" s="42"/>
      <c r="J57" s="59"/>
      <c r="K57" s="13"/>
      <c r="L57" s="14"/>
      <c r="M57" s="15"/>
    </row>
    <row r="58" spans="1:13" ht="12" customHeight="1">
      <c r="A58" s="42" t="str">
        <f>IF(B58=""," ",A57+1)</f>
        <v xml:space="preserve"> </v>
      </c>
      <c r="B58" s="71"/>
      <c r="C58" s="13"/>
      <c r="D58" s="72"/>
      <c r="E58" s="73"/>
      <c r="F58" s="74"/>
      <c r="G58" s="20"/>
      <c r="H58" s="42"/>
      <c r="I58" s="42"/>
      <c r="J58" s="59"/>
      <c r="K58" s="609"/>
      <c r="L58" s="610"/>
      <c r="M58" s="611"/>
    </row>
    <row r="59" spans="1:13" ht="12" customHeight="1">
      <c r="A59" s="42" t="str">
        <f>IF(B59=""," ",#REF!+1)</f>
        <v xml:space="preserve"> </v>
      </c>
      <c r="B59" s="71"/>
      <c r="C59" s="13"/>
      <c r="D59" s="72"/>
      <c r="E59" s="73"/>
      <c r="F59" s="74"/>
      <c r="G59" s="20"/>
      <c r="H59" s="42"/>
      <c r="I59" s="42"/>
      <c r="J59" s="59"/>
      <c r="K59" s="609"/>
      <c r="L59" s="610"/>
      <c r="M59" s="611"/>
    </row>
    <row r="60" spans="1:13" ht="12" customHeight="1">
      <c r="A60" s="42" t="str">
        <f>IF(B60=""," ",#REF!+1)</f>
        <v xml:space="preserve"> </v>
      </c>
      <c r="B60" s="71"/>
      <c r="C60" s="13"/>
      <c r="D60" s="72"/>
      <c r="E60" s="73"/>
      <c r="F60" s="74"/>
      <c r="G60" s="20"/>
      <c r="H60" s="42"/>
      <c r="I60" s="42"/>
      <c r="J60" s="59"/>
      <c r="K60" s="13"/>
      <c r="L60" s="14"/>
      <c r="M60" s="15"/>
    </row>
    <row r="61" spans="1:13" ht="12" customHeight="1">
      <c r="A61" s="42" t="str">
        <f>IF(B61=""," ",A60+1)</f>
        <v xml:space="preserve"> </v>
      </c>
      <c r="B61" s="71"/>
      <c r="C61" s="13"/>
      <c r="D61" s="72"/>
      <c r="E61" s="73"/>
      <c r="F61" s="74"/>
      <c r="G61" s="20"/>
      <c r="H61" s="42"/>
      <c r="I61" s="42"/>
      <c r="J61" s="59"/>
      <c r="K61" s="13"/>
      <c r="L61" s="14"/>
      <c r="M61" s="15"/>
    </row>
    <row r="62" spans="1:13" ht="12" customHeight="1">
      <c r="A62" s="42" t="str">
        <f>IF(B62=""," ",A61+1)</f>
        <v xml:space="preserve"> </v>
      </c>
      <c r="B62" s="71"/>
      <c r="C62" s="13"/>
      <c r="D62" s="72"/>
      <c r="E62" s="73"/>
      <c r="F62" s="74"/>
      <c r="G62" s="20"/>
      <c r="H62" s="42"/>
      <c r="I62" s="42"/>
      <c r="J62" s="59"/>
      <c r="K62" s="609"/>
      <c r="L62" s="610"/>
      <c r="M62" s="611"/>
    </row>
    <row r="63" spans="1:13" ht="12" customHeight="1">
      <c r="A63" s="42" t="str">
        <f>IF(B63=""," ",#REF!+1)</f>
        <v xml:space="preserve"> </v>
      </c>
      <c r="B63" s="71"/>
      <c r="C63" s="13"/>
      <c r="D63" s="72"/>
      <c r="E63" s="73"/>
      <c r="F63" s="74"/>
      <c r="G63" s="20"/>
      <c r="H63" s="42"/>
      <c r="I63" s="42"/>
      <c r="J63" s="59"/>
      <c r="K63" s="609"/>
      <c r="L63" s="610"/>
      <c r="M63" s="611"/>
    </row>
    <row r="64" spans="1:13" ht="12" customHeight="1">
      <c r="A64" s="42" t="str">
        <f>IF(B64=""," ",#REF!+1)</f>
        <v xml:space="preserve"> </v>
      </c>
      <c r="B64" s="71"/>
      <c r="C64" s="13"/>
      <c r="D64" s="72"/>
      <c r="E64" s="73"/>
      <c r="F64" s="74"/>
      <c r="G64" s="20"/>
      <c r="H64" s="42"/>
      <c r="I64" s="42"/>
      <c r="J64" s="59"/>
      <c r="K64" s="13"/>
      <c r="L64" s="14"/>
      <c r="M64" s="15"/>
    </row>
    <row r="65" spans="1:13" ht="12" customHeight="1">
      <c r="A65" s="42" t="str">
        <f>IF(B65=""," ",A64+1)</f>
        <v xml:space="preserve"> </v>
      </c>
      <c r="B65" s="71"/>
      <c r="C65" s="13"/>
      <c r="D65" s="72"/>
      <c r="E65" s="73"/>
      <c r="F65" s="74"/>
      <c r="G65" s="20"/>
      <c r="H65" s="42"/>
      <c r="I65" s="42"/>
      <c r="J65" s="59"/>
      <c r="K65" s="13"/>
      <c r="L65" s="14"/>
      <c r="M65" s="15"/>
    </row>
    <row r="66" spans="1:13" ht="12" customHeight="1">
      <c r="A66" s="42" t="str">
        <f>IF(B66=""," ",A65+1)</f>
        <v xml:space="preserve"> </v>
      </c>
      <c r="B66" s="71"/>
      <c r="C66" s="13"/>
      <c r="D66" s="72"/>
      <c r="E66" s="73"/>
      <c r="F66" s="74"/>
      <c r="G66" s="20"/>
      <c r="H66" s="42"/>
      <c r="I66" s="42"/>
      <c r="J66" s="59"/>
      <c r="K66" s="609"/>
      <c r="L66" s="610"/>
      <c r="M66" s="611"/>
    </row>
    <row r="67" spans="1:13" ht="12" customHeight="1">
      <c r="A67" s="42" t="str">
        <f>IF(B67=""," ",#REF!+1)</f>
        <v xml:space="preserve"> </v>
      </c>
      <c r="B67" s="71"/>
      <c r="C67" s="13"/>
      <c r="D67" s="72"/>
      <c r="E67" s="73"/>
      <c r="F67" s="74"/>
      <c r="G67" s="20"/>
      <c r="H67" s="42"/>
      <c r="I67" s="42"/>
      <c r="J67" s="59"/>
      <c r="K67" s="609"/>
      <c r="L67" s="610"/>
      <c r="M67" s="611"/>
    </row>
    <row r="68" spans="1:13" ht="12" customHeight="1">
      <c r="A68" s="42" t="str">
        <f>IF(B68=""," ",#REF!+1)</f>
        <v xml:space="preserve"> </v>
      </c>
      <c r="B68" s="71"/>
      <c r="C68" s="13"/>
      <c r="D68" s="72"/>
      <c r="E68" s="73"/>
      <c r="F68" s="74"/>
      <c r="G68" s="20"/>
      <c r="H68" s="42"/>
      <c r="I68" s="42"/>
      <c r="J68" s="59"/>
      <c r="K68" s="13"/>
      <c r="L68" s="14"/>
      <c r="M68" s="15"/>
    </row>
    <row r="69" spans="1:13" ht="12" customHeight="1">
      <c r="A69" s="42" t="str">
        <f>IF(B69=""," ",A68+1)</f>
        <v xml:space="preserve"> </v>
      </c>
      <c r="B69" s="71"/>
      <c r="C69" s="13"/>
      <c r="D69" s="72"/>
      <c r="E69" s="73"/>
      <c r="F69" s="74"/>
      <c r="G69" s="20"/>
      <c r="H69" s="42"/>
      <c r="I69" s="42"/>
      <c r="J69" s="59"/>
      <c r="K69" s="13"/>
      <c r="L69" s="14"/>
      <c r="M69" s="15"/>
    </row>
    <row r="70" spans="1:13" ht="12" customHeight="1">
      <c r="A70" s="42" t="str">
        <f>IF(B70=""," ",A69+1)</f>
        <v xml:space="preserve"> </v>
      </c>
      <c r="B70" s="71"/>
      <c r="C70" s="13"/>
      <c r="D70" s="72"/>
      <c r="E70" s="73"/>
      <c r="F70" s="74"/>
      <c r="G70" s="20"/>
      <c r="H70" s="42"/>
      <c r="I70" s="42"/>
      <c r="J70" s="59"/>
      <c r="K70" s="609"/>
      <c r="L70" s="610"/>
      <c r="M70" s="611"/>
    </row>
    <row r="71" spans="1:13" ht="12" customHeight="1">
      <c r="A71" s="42" t="str">
        <f>IF(B71=""," ",#REF!+1)</f>
        <v xml:space="preserve"> </v>
      </c>
      <c r="B71" s="71"/>
      <c r="C71" s="13"/>
      <c r="D71" s="72"/>
      <c r="E71" s="73"/>
      <c r="F71" s="74"/>
      <c r="G71" s="20"/>
      <c r="H71" s="42"/>
      <c r="I71" s="42"/>
      <c r="J71" s="59"/>
      <c r="K71" s="609"/>
      <c r="L71" s="610"/>
      <c r="M71" s="611"/>
    </row>
    <row r="72" spans="1:13" ht="12" customHeight="1">
      <c r="A72" s="42" t="str">
        <f>IF(B72=""," ",#REF!+1)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7" spans="1:13" s="16" customFormat="1">
      <c r="A107" s="46"/>
      <c r="B107" s="75" t="s">
        <v>1463</v>
      </c>
      <c r="C107" s="16" t="s">
        <v>1411</v>
      </c>
    </row>
    <row r="109" spans="1:13">
      <c r="B109" s="22" t="s">
        <v>1267</v>
      </c>
      <c r="C109" s="22" t="s">
        <v>699</v>
      </c>
    </row>
    <row r="110" spans="1:13">
      <c r="C110" s="22" t="s">
        <v>701</v>
      </c>
    </row>
    <row r="111" spans="1:13">
      <c r="C111" s="22" t="s">
        <v>700</v>
      </c>
    </row>
  </sheetData>
  <mergeCells count="61">
    <mergeCell ref="K99:M99"/>
    <mergeCell ref="K100:M100"/>
    <mergeCell ref="K90:M90"/>
    <mergeCell ref="K91:M91"/>
    <mergeCell ref="K94:M94"/>
    <mergeCell ref="K95:M95"/>
    <mergeCell ref="K86:M86"/>
    <mergeCell ref="K87:M87"/>
    <mergeCell ref="K74:M74"/>
    <mergeCell ref="K75:M75"/>
    <mergeCell ref="K78:M78"/>
    <mergeCell ref="K79:M79"/>
    <mergeCell ref="K82:M82"/>
    <mergeCell ref="K83:M83"/>
    <mergeCell ref="K66:M66"/>
    <mergeCell ref="K67:M67"/>
    <mergeCell ref="K70:M70"/>
    <mergeCell ref="K71:M71"/>
    <mergeCell ref="K58:M58"/>
    <mergeCell ref="K59:M59"/>
    <mergeCell ref="K62:M62"/>
    <mergeCell ref="K63:M63"/>
    <mergeCell ref="K50:M50"/>
    <mergeCell ref="K51:M51"/>
    <mergeCell ref="K54:M54"/>
    <mergeCell ref="K55:M55"/>
    <mergeCell ref="K42:M42"/>
    <mergeCell ref="K43:M43"/>
    <mergeCell ref="K46:M46"/>
    <mergeCell ref="K47:M47"/>
    <mergeCell ref="K34:M34"/>
    <mergeCell ref="K35:M35"/>
    <mergeCell ref="K38:M38"/>
    <mergeCell ref="K39:M39"/>
    <mergeCell ref="A5:A6"/>
    <mergeCell ref="B5:C5"/>
    <mergeCell ref="K5:M6"/>
    <mergeCell ref="I5:J5"/>
    <mergeCell ref="D5:H5"/>
    <mergeCell ref="K7:M7"/>
    <mergeCell ref="K13:M13"/>
    <mergeCell ref="K14:M14"/>
    <mergeCell ref="K9:M9"/>
    <mergeCell ref="K8:M8"/>
    <mergeCell ref="K18:M18"/>
    <mergeCell ref="K19:M19"/>
    <mergeCell ref="A2:B2"/>
    <mergeCell ref="A3:B3"/>
    <mergeCell ref="A4:B4"/>
    <mergeCell ref="H2:J2"/>
    <mergeCell ref="C2:G2"/>
    <mergeCell ref="C3:G3"/>
    <mergeCell ref="C4:G4"/>
    <mergeCell ref="H4:I4"/>
    <mergeCell ref="H3:I3"/>
    <mergeCell ref="K15:M15"/>
    <mergeCell ref="K16:M16"/>
    <mergeCell ref="K17:M17"/>
    <mergeCell ref="K10:M10"/>
    <mergeCell ref="K11:M11"/>
    <mergeCell ref="K12:M12"/>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2">
    <pageSetUpPr fitToPage="1"/>
  </sheetPr>
  <dimension ref="A1:P114"/>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c r="B1" s="47"/>
      <c r="C1" s="135" t="s">
        <v>390</v>
      </c>
    </row>
    <row r="2" spans="1:16">
      <c r="A2" s="643" t="s">
        <v>602</v>
      </c>
      <c r="B2" s="644"/>
      <c r="C2" s="643" t="s">
        <v>36</v>
      </c>
      <c r="D2" s="651"/>
      <c r="E2" s="651"/>
      <c r="F2" s="651"/>
      <c r="G2" s="644"/>
      <c r="H2" s="643"/>
      <c r="I2" s="651"/>
      <c r="J2" s="644"/>
      <c r="K2" s="37"/>
      <c r="L2" s="38" t="s">
        <v>37</v>
      </c>
      <c r="M2" s="38" t="s">
        <v>38</v>
      </c>
    </row>
    <row r="3" spans="1:16">
      <c r="A3" s="647"/>
      <c r="B3" s="648"/>
      <c r="C3" s="947" t="s">
        <v>283</v>
      </c>
      <c r="D3" s="948"/>
      <c r="E3" s="948"/>
      <c r="F3" s="948"/>
      <c r="G3" s="949"/>
      <c r="H3" s="643" t="s">
        <v>39</v>
      </c>
      <c r="I3" s="644"/>
      <c r="J3" s="39">
        <f>COUNT(A7:A100)</f>
        <v>16</v>
      </c>
      <c r="K3" s="38" t="s">
        <v>40</v>
      </c>
      <c r="L3" s="40">
        <v>38629</v>
      </c>
      <c r="M3" s="41" t="s">
        <v>56</v>
      </c>
      <c r="O3" s="16" t="s">
        <v>41</v>
      </c>
      <c r="P3" s="16" t="s">
        <v>42</v>
      </c>
    </row>
    <row r="4" spans="1:16">
      <c r="A4" s="649" t="s">
        <v>43</v>
      </c>
      <c r="B4" s="650"/>
      <c r="C4" s="950" t="s">
        <v>1471</v>
      </c>
      <c r="D4" s="951"/>
      <c r="E4" s="951"/>
      <c r="F4" s="951"/>
      <c r="G4" s="952"/>
      <c r="H4" s="643" t="s">
        <v>44</v>
      </c>
      <c r="I4" s="644"/>
      <c r="J4" s="39">
        <f>SUM(G7:G100)</f>
        <v>208</v>
      </c>
      <c r="K4" s="38" t="s">
        <v>45</v>
      </c>
      <c r="L4" s="40">
        <v>38803</v>
      </c>
      <c r="M4" s="42" t="s">
        <v>532</v>
      </c>
      <c r="O4" s="16" t="s">
        <v>1358</v>
      </c>
      <c r="P4" s="16" t="s">
        <v>1359</v>
      </c>
    </row>
    <row r="5" spans="1:16">
      <c r="A5" s="645" t="s">
        <v>1360</v>
      </c>
      <c r="B5" s="643" t="s">
        <v>46</v>
      </c>
      <c r="C5" s="651"/>
      <c r="D5" s="662" t="s">
        <v>47</v>
      </c>
      <c r="E5" s="651"/>
      <c r="F5" s="651"/>
      <c r="G5" s="651"/>
      <c r="H5" s="651"/>
      <c r="I5" s="643" t="s">
        <v>604</v>
      </c>
      <c r="J5" s="644"/>
      <c r="K5" s="656" t="s">
        <v>48</v>
      </c>
      <c r="L5" s="657"/>
      <c r="M5" s="658"/>
      <c r="P5" s="16" t="s">
        <v>605</v>
      </c>
    </row>
    <row r="6" spans="1:16">
      <c r="A6" s="646"/>
      <c r="B6" s="38" t="s">
        <v>49</v>
      </c>
      <c r="C6" s="35" t="s">
        <v>50</v>
      </c>
      <c r="D6" s="43" t="s">
        <v>42</v>
      </c>
      <c r="E6" s="44" t="s">
        <v>51</v>
      </c>
      <c r="F6" s="45" t="s">
        <v>52</v>
      </c>
      <c r="G6" s="38" t="s">
        <v>606</v>
      </c>
      <c r="H6" s="36" t="s">
        <v>53</v>
      </c>
      <c r="I6" s="36" t="s">
        <v>607</v>
      </c>
      <c r="J6" s="36" t="s">
        <v>608</v>
      </c>
      <c r="K6" s="659"/>
      <c r="L6" s="660"/>
      <c r="M6" s="661"/>
      <c r="P6" s="16" t="s">
        <v>609</v>
      </c>
    </row>
    <row r="7" spans="1:16" ht="14.25" customHeight="1">
      <c r="A7" s="42">
        <v>1</v>
      </c>
      <c r="B7" s="48" t="s">
        <v>284</v>
      </c>
      <c r="C7" s="49" t="s">
        <v>285</v>
      </c>
      <c r="D7" s="78" t="s">
        <v>219</v>
      </c>
      <c r="E7" s="73" t="s">
        <v>65</v>
      </c>
      <c r="F7" s="74"/>
      <c r="G7" s="21">
        <f t="shared" ref="G7:G21" si="0">IF(D7="DATE",4,IF(D7="CHAR",E7,IF(D7="SMALLINT",2,IF(D7="INTEGER",4,IF(D7="TIMESTAMP",10,IF(D7="TIME",3,0))))))</f>
        <v>2</v>
      </c>
      <c r="H7" s="42" t="s">
        <v>1435</v>
      </c>
      <c r="I7" s="42" t="s">
        <v>1435</v>
      </c>
      <c r="J7" s="59"/>
      <c r="K7" s="599" t="s">
        <v>286</v>
      </c>
      <c r="L7" s="600"/>
      <c r="M7" s="601"/>
      <c r="P7" s="16" t="s">
        <v>1436</v>
      </c>
    </row>
    <row r="8" spans="1:16" ht="84.95" customHeight="1">
      <c r="A8" s="42">
        <v>2</v>
      </c>
      <c r="B8" s="48" t="s">
        <v>238</v>
      </c>
      <c r="C8" s="49" t="s">
        <v>1767</v>
      </c>
      <c r="D8" s="78" t="s">
        <v>287</v>
      </c>
      <c r="E8" s="73">
        <v>10</v>
      </c>
      <c r="F8" s="74"/>
      <c r="G8" s="21">
        <f t="shared" si="0"/>
        <v>10</v>
      </c>
      <c r="H8" s="42" t="s">
        <v>288</v>
      </c>
      <c r="I8" s="42"/>
      <c r="J8" s="59"/>
      <c r="K8" s="599" t="s">
        <v>289</v>
      </c>
      <c r="L8" s="600"/>
      <c r="M8" s="601"/>
      <c r="P8" s="16" t="s">
        <v>839</v>
      </c>
    </row>
    <row r="9" spans="1:16">
      <c r="A9" s="42">
        <v>3</v>
      </c>
      <c r="B9" s="66" t="s">
        <v>766</v>
      </c>
      <c r="C9" s="49" t="s">
        <v>251</v>
      </c>
      <c r="D9" s="78" t="s">
        <v>527</v>
      </c>
      <c r="E9" s="98">
        <v>4</v>
      </c>
      <c r="F9" s="74"/>
      <c r="G9" s="21">
        <f t="shared" si="0"/>
        <v>4</v>
      </c>
      <c r="H9" s="42" t="s">
        <v>573</v>
      </c>
      <c r="I9" s="42"/>
      <c r="J9" s="59"/>
      <c r="K9" s="749" t="s">
        <v>648</v>
      </c>
      <c r="L9" s="755"/>
      <c r="M9" s="756"/>
      <c r="P9" s="16" t="s">
        <v>545</v>
      </c>
    </row>
    <row r="10" spans="1:16">
      <c r="A10" s="42">
        <v>4</v>
      </c>
      <c r="B10" s="66" t="s">
        <v>668</v>
      </c>
      <c r="C10" s="49" t="s">
        <v>1312</v>
      </c>
      <c r="D10" s="78" t="s">
        <v>527</v>
      </c>
      <c r="E10" s="98">
        <v>4</v>
      </c>
      <c r="F10" s="74"/>
      <c r="G10" s="21">
        <f t="shared" si="0"/>
        <v>4</v>
      </c>
      <c r="H10" s="42" t="s">
        <v>573</v>
      </c>
      <c r="I10" s="42"/>
      <c r="J10" s="59"/>
      <c r="K10" s="609" t="s">
        <v>290</v>
      </c>
      <c r="L10" s="610"/>
      <c r="M10" s="611"/>
      <c r="P10" s="16" t="s">
        <v>253</v>
      </c>
    </row>
    <row r="11" spans="1:16">
      <c r="A11" s="42">
        <v>5</v>
      </c>
      <c r="B11" s="66" t="s">
        <v>647</v>
      </c>
      <c r="C11" s="49" t="s">
        <v>259</v>
      </c>
      <c r="D11" s="78" t="s">
        <v>527</v>
      </c>
      <c r="E11" s="98">
        <v>6</v>
      </c>
      <c r="F11" s="74"/>
      <c r="G11" s="21">
        <f t="shared" si="0"/>
        <v>6</v>
      </c>
      <c r="H11" s="42" t="s">
        <v>573</v>
      </c>
      <c r="I11" s="42"/>
      <c r="J11" s="59"/>
      <c r="K11" s="13"/>
      <c r="L11" s="14"/>
      <c r="M11" s="15"/>
    </row>
    <row r="12" spans="1:16" ht="67.5" customHeight="1">
      <c r="A12" s="42">
        <v>6</v>
      </c>
      <c r="B12" s="66" t="s">
        <v>500</v>
      </c>
      <c r="C12" s="24" t="s">
        <v>501</v>
      </c>
      <c r="D12" s="72" t="s">
        <v>394</v>
      </c>
      <c r="E12" s="73" t="s">
        <v>65</v>
      </c>
      <c r="F12" s="74"/>
      <c r="G12" s="21">
        <f t="shared" si="0"/>
        <v>2</v>
      </c>
      <c r="H12" s="42" t="s">
        <v>884</v>
      </c>
      <c r="I12" s="42"/>
      <c r="J12" s="59"/>
      <c r="K12" s="749" t="s">
        <v>1698</v>
      </c>
      <c r="L12" s="755"/>
      <c r="M12" s="756"/>
      <c r="P12" s="16" t="s">
        <v>291</v>
      </c>
    </row>
    <row r="13" spans="1:16" ht="26.25" customHeight="1">
      <c r="A13" s="42">
        <v>7</v>
      </c>
      <c r="B13" s="48" t="s">
        <v>1214</v>
      </c>
      <c r="C13" s="49" t="s">
        <v>499</v>
      </c>
      <c r="D13" s="78" t="s">
        <v>580</v>
      </c>
      <c r="E13" s="73">
        <v>16</v>
      </c>
      <c r="F13" s="74"/>
      <c r="G13" s="21">
        <f t="shared" si="0"/>
        <v>16</v>
      </c>
      <c r="H13" s="42" t="s">
        <v>581</v>
      </c>
      <c r="I13" s="42"/>
      <c r="J13" s="59"/>
      <c r="K13" s="749" t="s">
        <v>297</v>
      </c>
      <c r="L13" s="755"/>
      <c r="M13" s="756"/>
    </row>
    <row r="14" spans="1:16" ht="42.75" customHeight="1">
      <c r="A14" s="42">
        <v>8</v>
      </c>
      <c r="B14" s="48" t="s">
        <v>495</v>
      </c>
      <c r="C14" s="49" t="s">
        <v>496</v>
      </c>
      <c r="D14" s="78" t="s">
        <v>394</v>
      </c>
      <c r="E14" s="73" t="s">
        <v>65</v>
      </c>
      <c r="F14" s="74"/>
      <c r="G14" s="21">
        <f t="shared" si="0"/>
        <v>2</v>
      </c>
      <c r="H14" s="42" t="s">
        <v>288</v>
      </c>
      <c r="I14" s="42"/>
      <c r="J14" s="59"/>
      <c r="K14" s="599" t="s">
        <v>298</v>
      </c>
      <c r="L14" s="600"/>
      <c r="M14" s="601"/>
    </row>
    <row r="15" spans="1:16">
      <c r="A15" s="42">
        <v>9</v>
      </c>
      <c r="B15" s="66" t="s">
        <v>502</v>
      </c>
      <c r="C15" s="76" t="s">
        <v>503</v>
      </c>
      <c r="D15" s="72" t="s">
        <v>299</v>
      </c>
      <c r="E15" s="73" t="s">
        <v>65</v>
      </c>
      <c r="F15" s="74"/>
      <c r="G15" s="21">
        <f t="shared" si="0"/>
        <v>4</v>
      </c>
      <c r="H15" s="42" t="s">
        <v>288</v>
      </c>
      <c r="I15" s="42"/>
      <c r="J15" s="59"/>
      <c r="K15" s="749"/>
      <c r="L15" s="755"/>
      <c r="M15" s="756"/>
    </row>
    <row r="16" spans="1:16" ht="12" customHeight="1">
      <c r="A16" s="42">
        <v>10</v>
      </c>
      <c r="B16" s="66" t="s">
        <v>300</v>
      </c>
      <c r="C16" s="233" t="s">
        <v>301</v>
      </c>
      <c r="D16" s="15" t="s">
        <v>287</v>
      </c>
      <c r="E16" s="73">
        <v>128</v>
      </c>
      <c r="F16" s="74"/>
      <c r="G16" s="21">
        <f t="shared" si="0"/>
        <v>128</v>
      </c>
      <c r="H16" s="42" t="s">
        <v>288</v>
      </c>
      <c r="I16" s="42"/>
      <c r="J16" s="59"/>
      <c r="K16" s="869"/>
      <c r="L16" s="870"/>
      <c r="M16" s="871"/>
    </row>
    <row r="17" spans="1:13">
      <c r="A17" s="42">
        <v>11</v>
      </c>
      <c r="B17" s="48" t="s">
        <v>493</v>
      </c>
      <c r="C17" s="49" t="s">
        <v>494</v>
      </c>
      <c r="D17" s="78" t="s">
        <v>64</v>
      </c>
      <c r="E17" s="73" t="s">
        <v>65</v>
      </c>
      <c r="F17" s="74"/>
      <c r="G17" s="21">
        <f t="shared" si="0"/>
        <v>0</v>
      </c>
      <c r="H17" s="42" t="s">
        <v>288</v>
      </c>
      <c r="I17" s="42"/>
      <c r="J17" s="59"/>
      <c r="K17" s="599"/>
      <c r="L17" s="600"/>
      <c r="M17" s="601"/>
    </row>
    <row r="18" spans="1:13" ht="11.25" customHeight="1">
      <c r="A18" s="42">
        <v>12</v>
      </c>
      <c r="B18" s="48" t="s">
        <v>497</v>
      </c>
      <c r="C18" s="49" t="s">
        <v>498</v>
      </c>
      <c r="D18" s="78" t="s">
        <v>281</v>
      </c>
      <c r="E18" s="73" t="s">
        <v>65</v>
      </c>
      <c r="F18" s="74"/>
      <c r="G18" s="21">
        <f t="shared" si="0"/>
        <v>4</v>
      </c>
      <c r="H18" s="42" t="s">
        <v>574</v>
      </c>
      <c r="I18" s="42"/>
      <c r="J18" s="59"/>
      <c r="K18" s="599"/>
      <c r="L18" s="600"/>
      <c r="M18" s="601"/>
    </row>
    <row r="19" spans="1:13" s="22" customFormat="1">
      <c r="A19" s="42">
        <v>13</v>
      </c>
      <c r="B19" s="64" t="s">
        <v>26</v>
      </c>
      <c r="C19" s="24" t="s">
        <v>1399</v>
      </c>
      <c r="D19" s="65" t="s">
        <v>519</v>
      </c>
      <c r="E19" s="51"/>
      <c r="F19" s="58"/>
      <c r="G19" s="21">
        <f t="shared" si="0"/>
        <v>4</v>
      </c>
      <c r="H19" s="42" t="s">
        <v>1400</v>
      </c>
      <c r="I19" s="53" t="s">
        <v>1400</v>
      </c>
      <c r="J19" s="165"/>
      <c r="K19" s="632" t="s">
        <v>1659</v>
      </c>
      <c r="L19" s="633"/>
      <c r="M19" s="634"/>
    </row>
    <row r="20" spans="1:13" s="22" customFormat="1">
      <c r="A20" s="42">
        <v>14</v>
      </c>
      <c r="B20" s="64" t="s">
        <v>27</v>
      </c>
      <c r="C20" s="24" t="s">
        <v>1401</v>
      </c>
      <c r="D20" s="65" t="s">
        <v>1402</v>
      </c>
      <c r="E20" s="51"/>
      <c r="F20" s="58"/>
      <c r="G20" s="21">
        <f t="shared" si="0"/>
        <v>4</v>
      </c>
      <c r="H20" s="42" t="s">
        <v>1403</v>
      </c>
      <c r="I20" s="53"/>
      <c r="J20" s="165"/>
      <c r="K20" s="632" t="s">
        <v>1660</v>
      </c>
      <c r="L20" s="633"/>
      <c r="M20" s="634"/>
    </row>
    <row r="21" spans="1:13" s="22" customFormat="1">
      <c r="A21" s="42">
        <v>15</v>
      </c>
      <c r="B21" s="64" t="s">
        <v>1083</v>
      </c>
      <c r="C21" s="24" t="s">
        <v>1111</v>
      </c>
      <c r="D21" s="72" t="s">
        <v>1431</v>
      </c>
      <c r="E21" s="51">
        <v>8</v>
      </c>
      <c r="F21" s="58"/>
      <c r="G21" s="20">
        <f t="shared" si="0"/>
        <v>8</v>
      </c>
      <c r="H21" s="53" t="s">
        <v>1432</v>
      </c>
      <c r="I21" s="89"/>
      <c r="J21" s="92"/>
      <c r="K21" s="602"/>
      <c r="L21" s="603"/>
      <c r="M21" s="604"/>
    </row>
    <row r="22" spans="1:13">
      <c r="A22" s="42">
        <f t="shared" ref="A22:A42" si="1">IF(B22=""," ",A21+1)</f>
        <v>16</v>
      </c>
      <c r="B22" s="93" t="s">
        <v>1724</v>
      </c>
      <c r="C22" s="26" t="s">
        <v>1404</v>
      </c>
      <c r="D22" s="94" t="s">
        <v>1405</v>
      </c>
      <c r="E22" s="95"/>
      <c r="F22" s="90"/>
      <c r="G22" s="21">
        <f>IF(D22="DATE",4,IF(D22="CHAR",E22,IF(D22="SMALLINT",2,IF(D22="INTEGER",4,IF(D22="TIMESTAMP",10,IF(D22="TIME",3,0))))))</f>
        <v>10</v>
      </c>
      <c r="H22" s="91" t="s">
        <v>1406</v>
      </c>
      <c r="I22" s="136"/>
      <c r="J22" s="60"/>
      <c r="K22" s="953"/>
      <c r="L22" s="954"/>
      <c r="M22" s="955"/>
    </row>
    <row r="23" spans="1:13" s="239" customFormat="1">
      <c r="A23" s="42" t="str">
        <f t="shared" si="1"/>
        <v xml:space="preserve"> </v>
      </c>
      <c r="B23" s="234"/>
      <c r="C23" s="235"/>
      <c r="D23" s="236"/>
      <c r="E23" s="237"/>
      <c r="F23" s="238"/>
      <c r="G23" s="20"/>
      <c r="H23" s="136"/>
      <c r="I23" s="136"/>
      <c r="J23" s="60"/>
      <c r="K23" s="953"/>
      <c r="L23" s="954"/>
      <c r="M23" s="955"/>
    </row>
    <row r="24" spans="1:13" s="239" customFormat="1">
      <c r="A24" s="42" t="str">
        <f t="shared" si="1"/>
        <v xml:space="preserve"> </v>
      </c>
      <c r="B24" s="240"/>
      <c r="C24" s="235"/>
      <c r="D24" s="236"/>
      <c r="E24" s="237"/>
      <c r="F24" s="238"/>
      <c r="G24" s="20"/>
      <c r="H24" s="136"/>
      <c r="I24" s="136"/>
      <c r="J24" s="60"/>
      <c r="K24" s="953"/>
      <c r="L24" s="954"/>
      <c r="M24" s="955"/>
    </row>
    <row r="25" spans="1:13">
      <c r="A25" s="42" t="str">
        <f t="shared" si="1"/>
        <v xml:space="preserve"> </v>
      </c>
      <c r="B25" s="100"/>
      <c r="C25" s="137"/>
      <c r="D25" s="78"/>
      <c r="E25" s="73"/>
      <c r="F25" s="74"/>
      <c r="G25" s="20"/>
      <c r="H25" s="42"/>
      <c r="I25" s="42"/>
      <c r="J25" s="59"/>
      <c r="K25" s="599"/>
      <c r="L25" s="600"/>
      <c r="M25" s="601"/>
    </row>
    <row r="26" spans="1:13">
      <c r="A26" s="42" t="str">
        <f>IF(B26=""," ",A25+1)</f>
        <v xml:space="preserve"> </v>
      </c>
      <c r="B26" s="66"/>
      <c r="C26" s="13"/>
      <c r="D26" s="72"/>
      <c r="E26" s="73"/>
      <c r="F26" s="74"/>
      <c r="G26" s="20"/>
      <c r="H26" s="42"/>
      <c r="I26" s="42"/>
      <c r="J26" s="59"/>
      <c r="K26" s="749"/>
      <c r="L26" s="755"/>
      <c r="M26" s="756"/>
    </row>
    <row r="27" spans="1:13">
      <c r="A27" s="42" t="str">
        <f t="shared" si="1"/>
        <v xml:space="preserve"> </v>
      </c>
      <c r="B27" s="66"/>
      <c r="C27" s="13"/>
      <c r="D27" s="72"/>
      <c r="E27" s="73"/>
      <c r="F27" s="74"/>
      <c r="G27" s="20"/>
      <c r="H27" s="42"/>
      <c r="I27" s="42"/>
      <c r="J27" s="59"/>
      <c r="K27" s="749"/>
      <c r="L27" s="755"/>
      <c r="M27" s="756"/>
    </row>
    <row r="28" spans="1:13" ht="11.25" customHeight="1">
      <c r="A28" s="42" t="str">
        <f t="shared" si="1"/>
        <v xml:space="preserve"> </v>
      </c>
      <c r="B28" s="100"/>
      <c r="C28" s="137"/>
      <c r="D28" s="78"/>
      <c r="E28" s="73"/>
      <c r="F28" s="74"/>
      <c r="G28" s="20"/>
      <c r="H28" s="42"/>
      <c r="I28" s="42"/>
      <c r="J28" s="59"/>
      <c r="K28" s="749"/>
      <c r="L28" s="755"/>
      <c r="M28" s="756"/>
    </row>
    <row r="29" spans="1:13">
      <c r="A29" s="42" t="str">
        <f t="shared" si="1"/>
        <v xml:space="preserve"> </v>
      </c>
      <c r="B29" s="100"/>
      <c r="C29" s="137"/>
      <c r="D29" s="78"/>
      <c r="E29" s="73"/>
      <c r="F29" s="74"/>
      <c r="G29" s="20"/>
      <c r="H29" s="42"/>
      <c r="I29" s="42"/>
      <c r="J29" s="59"/>
      <c r="K29" s="599"/>
      <c r="L29" s="600"/>
      <c r="M29" s="601"/>
    </row>
    <row r="30" spans="1:13">
      <c r="A30" s="42" t="str">
        <f t="shared" si="1"/>
        <v xml:space="preserve"> </v>
      </c>
      <c r="B30" s="66"/>
      <c r="C30" s="194"/>
      <c r="D30" s="72"/>
      <c r="E30" s="73"/>
      <c r="F30" s="74"/>
      <c r="G30" s="20"/>
      <c r="H30" s="42"/>
      <c r="I30" s="42"/>
      <c r="J30" s="59"/>
      <c r="K30" s="749"/>
      <c r="L30" s="755"/>
      <c r="M30" s="756"/>
    </row>
    <row r="31" spans="1:13">
      <c r="A31" s="89" t="str">
        <f t="shared" si="1"/>
        <v xml:space="preserve"> </v>
      </c>
      <c r="B31" s="66"/>
      <c r="C31" s="31"/>
      <c r="D31" s="97"/>
      <c r="E31" s="98"/>
      <c r="F31" s="99"/>
      <c r="G31" s="20"/>
      <c r="H31" s="89"/>
      <c r="I31" s="89"/>
      <c r="J31" s="92"/>
      <c r="K31" s="31"/>
      <c r="L31" s="32"/>
      <c r="M31" s="33"/>
    </row>
    <row r="32" spans="1:13">
      <c r="A32" s="89" t="str">
        <f>IF(B32=""," ",#REF!+1)</f>
        <v xml:space="preserve"> </v>
      </c>
      <c r="B32" s="96"/>
      <c r="C32" s="31"/>
      <c r="D32" s="97"/>
      <c r="E32" s="98"/>
      <c r="F32" s="99"/>
      <c r="G32" s="20"/>
      <c r="H32" s="89"/>
      <c r="I32" s="89"/>
      <c r="J32" s="92"/>
      <c r="K32" s="31"/>
      <c r="L32" s="32"/>
      <c r="M32" s="33"/>
    </row>
    <row r="33" spans="1:13">
      <c r="A33" s="89" t="str">
        <f>IF(B33=""," ",#REF!+1)</f>
        <v xml:space="preserve"> </v>
      </c>
      <c r="B33" s="96"/>
      <c r="C33" s="31"/>
      <c r="D33" s="97"/>
      <c r="E33" s="98"/>
      <c r="F33" s="99"/>
      <c r="G33" s="21"/>
      <c r="H33" s="89"/>
      <c r="I33" s="89"/>
      <c r="J33" s="92"/>
      <c r="K33" s="31"/>
      <c r="L33" s="32"/>
      <c r="M33" s="33"/>
    </row>
    <row r="34" spans="1:13">
      <c r="A34" s="89" t="str">
        <f t="shared" si="1"/>
        <v xml:space="preserve"> </v>
      </c>
      <c r="B34" s="96"/>
      <c r="C34" s="31"/>
      <c r="D34" s="97"/>
      <c r="E34" s="98"/>
      <c r="F34" s="99"/>
      <c r="G34" s="21"/>
      <c r="H34" s="89"/>
      <c r="I34" s="89"/>
      <c r="J34" s="92"/>
      <c r="K34" s="31"/>
      <c r="L34" s="32"/>
      <c r="M34" s="33"/>
    </row>
    <row r="35" spans="1:13">
      <c r="A35" s="89" t="str">
        <f t="shared" si="1"/>
        <v xml:space="preserve"> </v>
      </c>
      <c r="B35" s="96"/>
      <c r="C35" s="31"/>
      <c r="D35" s="97"/>
      <c r="E35" s="98"/>
      <c r="F35" s="99"/>
      <c r="G35" s="21"/>
      <c r="H35" s="89"/>
      <c r="I35" s="89"/>
      <c r="J35" s="92"/>
      <c r="K35" s="31"/>
      <c r="L35" s="32"/>
      <c r="M35" s="33"/>
    </row>
    <row r="36" spans="1:13">
      <c r="A36" s="89" t="str">
        <f t="shared" si="1"/>
        <v xml:space="preserve"> </v>
      </c>
      <c r="B36" s="96"/>
      <c r="C36" s="31"/>
      <c r="D36" s="97"/>
      <c r="E36" s="98"/>
      <c r="F36" s="99"/>
      <c r="G36" s="21"/>
      <c r="H36" s="89"/>
      <c r="I36" s="89"/>
      <c r="J36" s="92"/>
      <c r="K36" s="31"/>
      <c r="L36" s="32"/>
      <c r="M36" s="33"/>
    </row>
    <row r="37" spans="1:13">
      <c r="A37" s="89" t="str">
        <f>IF(B37=""," ",A36+1)</f>
        <v xml:space="preserve"> </v>
      </c>
      <c r="B37" s="96"/>
      <c r="C37" s="31"/>
      <c r="D37" s="97"/>
      <c r="E37" s="98"/>
      <c r="F37" s="99"/>
      <c r="G37" s="21"/>
      <c r="H37" s="89"/>
      <c r="I37" s="89"/>
      <c r="J37" s="92"/>
      <c r="K37" s="31"/>
      <c r="L37" s="32"/>
      <c r="M37" s="33"/>
    </row>
    <row r="38" spans="1:13">
      <c r="A38" s="89" t="str">
        <f t="shared" si="1"/>
        <v xml:space="preserve"> </v>
      </c>
      <c r="B38" s="96"/>
      <c r="C38" s="31"/>
      <c r="D38" s="97"/>
      <c r="E38" s="98"/>
      <c r="F38" s="99"/>
      <c r="G38" s="21"/>
      <c r="H38" s="89"/>
      <c r="I38" s="89"/>
      <c r="J38" s="92"/>
      <c r="K38" s="31"/>
      <c r="L38" s="32"/>
      <c r="M38" s="33"/>
    </row>
    <row r="39" spans="1:13">
      <c r="A39" s="89" t="str">
        <f t="shared" si="1"/>
        <v xml:space="preserve"> </v>
      </c>
      <c r="B39" s="96"/>
      <c r="C39" s="31"/>
      <c r="D39" s="97"/>
      <c r="E39" s="98"/>
      <c r="F39" s="99"/>
      <c r="G39" s="21"/>
      <c r="H39" s="89"/>
      <c r="I39" s="89"/>
      <c r="J39" s="92"/>
      <c r="K39" s="31"/>
      <c r="L39" s="32"/>
      <c r="M39" s="33"/>
    </row>
    <row r="40" spans="1:13">
      <c r="A40" s="89" t="str">
        <f t="shared" si="1"/>
        <v xml:space="preserve"> </v>
      </c>
      <c r="B40" s="96"/>
      <c r="C40" s="31"/>
      <c r="D40" s="97"/>
      <c r="E40" s="98"/>
      <c r="F40" s="99"/>
      <c r="G40" s="21"/>
      <c r="H40" s="89"/>
      <c r="I40" s="89"/>
      <c r="J40" s="92"/>
      <c r="K40" s="31"/>
      <c r="L40" s="32"/>
      <c r="M40" s="33"/>
    </row>
    <row r="41" spans="1:13">
      <c r="A41" s="89" t="str">
        <f t="shared" si="1"/>
        <v xml:space="preserve"> </v>
      </c>
      <c r="B41" s="96"/>
      <c r="C41" s="31"/>
      <c r="D41" s="97"/>
      <c r="E41" s="98"/>
      <c r="F41" s="99"/>
      <c r="G41" s="21"/>
      <c r="H41" s="89"/>
      <c r="I41" s="89"/>
      <c r="J41" s="92"/>
      <c r="K41" s="31"/>
      <c r="L41" s="32"/>
      <c r="M41" s="33"/>
    </row>
    <row r="42" spans="1:13">
      <c r="A42" s="89" t="str">
        <f t="shared" si="1"/>
        <v xml:space="preserve"> </v>
      </c>
      <c r="B42" s="96"/>
      <c r="C42" s="31"/>
      <c r="D42" s="97"/>
      <c r="E42" s="98"/>
      <c r="F42" s="99"/>
      <c r="G42" s="21"/>
      <c r="H42" s="89"/>
      <c r="I42" s="89"/>
      <c r="J42" s="92"/>
      <c r="K42" s="31"/>
      <c r="L42" s="32"/>
      <c r="M42" s="33"/>
    </row>
    <row r="43" spans="1:13">
      <c r="A43" s="42" t="str">
        <f>IF(B43=""," ",A42+1)</f>
        <v xml:space="preserve"> </v>
      </c>
      <c r="B43" s="71"/>
      <c r="C43" s="13"/>
      <c r="D43" s="72"/>
      <c r="E43" s="73"/>
      <c r="F43" s="74"/>
      <c r="G43" s="20"/>
      <c r="H43" s="42"/>
      <c r="I43" s="42"/>
      <c r="J43" s="59"/>
      <c r="K43" s="609"/>
      <c r="L43" s="610"/>
      <c r="M43" s="611"/>
    </row>
    <row r="44" spans="1:13">
      <c r="A44" s="42" t="str">
        <f>IF(B44=""," ",#REF!+1)</f>
        <v xml:space="preserve"> </v>
      </c>
      <c r="B44" s="71"/>
      <c r="C44" s="13"/>
      <c r="D44" s="72"/>
      <c r="E44" s="73"/>
      <c r="F44" s="74"/>
      <c r="G44" s="20"/>
      <c r="H44" s="42"/>
      <c r="I44" s="42"/>
      <c r="J44" s="59"/>
      <c r="K44" s="609"/>
      <c r="L44" s="610"/>
      <c r="M44" s="611"/>
    </row>
    <row r="45" spans="1:13">
      <c r="A45" s="42" t="str">
        <f>IF(B45=""," ",#REF!+1)</f>
        <v xml:space="preserve"> </v>
      </c>
      <c r="B45" s="71"/>
      <c r="C45" s="13"/>
      <c r="D45" s="72"/>
      <c r="E45" s="73"/>
      <c r="F45" s="74"/>
      <c r="G45" s="20"/>
      <c r="H45" s="42"/>
      <c r="I45" s="42"/>
      <c r="J45" s="59"/>
      <c r="K45" s="13"/>
      <c r="L45" s="14"/>
      <c r="M45" s="15"/>
    </row>
    <row r="46" spans="1:13">
      <c r="A46" s="42" t="str">
        <f>IF(B46=""," ",A45+1)</f>
        <v xml:space="preserve"> </v>
      </c>
      <c r="B46" s="71"/>
      <c r="C46" s="13"/>
      <c r="D46" s="72"/>
      <c r="E46" s="73"/>
      <c r="F46" s="74"/>
      <c r="G46" s="20"/>
      <c r="H46" s="42"/>
      <c r="I46" s="42"/>
      <c r="J46" s="59"/>
      <c r="K46" s="13"/>
      <c r="L46" s="14"/>
      <c r="M46" s="15"/>
    </row>
    <row r="47" spans="1:13">
      <c r="A47" s="42" t="str">
        <f>IF(B47=""," ",A46+1)</f>
        <v xml:space="preserve"> </v>
      </c>
      <c r="B47" s="71"/>
      <c r="C47" s="13"/>
      <c r="D47" s="72"/>
      <c r="E47" s="73"/>
      <c r="F47" s="74"/>
      <c r="G47" s="20"/>
      <c r="H47" s="42"/>
      <c r="I47" s="42"/>
      <c r="J47" s="59"/>
      <c r="K47" s="609"/>
      <c r="L47" s="610"/>
      <c r="M47" s="611"/>
    </row>
    <row r="48" spans="1:13">
      <c r="A48" s="42" t="str">
        <f>IF(B48=""," ",#REF!+1)</f>
        <v xml:space="preserve"> </v>
      </c>
      <c r="B48" s="71"/>
      <c r="C48" s="13"/>
      <c r="D48" s="72"/>
      <c r="E48" s="73"/>
      <c r="F48" s="74"/>
      <c r="G48" s="20"/>
      <c r="H48" s="42"/>
      <c r="I48" s="42"/>
      <c r="J48" s="59"/>
      <c r="K48" s="609"/>
      <c r="L48" s="610"/>
      <c r="M48" s="611"/>
    </row>
    <row r="49" spans="1:13">
      <c r="A49" s="42" t="str">
        <f>IF(B49=""," ",#REF!+1)</f>
        <v xml:space="preserve"> </v>
      </c>
      <c r="B49" s="71"/>
      <c r="C49" s="13"/>
      <c r="D49" s="72"/>
      <c r="E49" s="73"/>
      <c r="F49" s="74"/>
      <c r="G49" s="20"/>
      <c r="H49" s="42"/>
      <c r="I49" s="42"/>
      <c r="J49" s="59"/>
      <c r="K49" s="13"/>
      <c r="L49" s="14"/>
      <c r="M49" s="15"/>
    </row>
    <row r="50" spans="1:13">
      <c r="A50" s="42" t="str">
        <f>IF(B50=""," ",A49+1)</f>
        <v xml:space="preserve"> </v>
      </c>
      <c r="B50" s="71"/>
      <c r="C50" s="13"/>
      <c r="D50" s="72"/>
      <c r="E50" s="73"/>
      <c r="F50" s="74"/>
      <c r="G50" s="20"/>
      <c r="H50" s="42"/>
      <c r="I50" s="42"/>
      <c r="J50" s="59"/>
      <c r="K50" s="13"/>
      <c r="L50" s="14"/>
      <c r="M50" s="15"/>
    </row>
    <row r="51" spans="1:13">
      <c r="A51" s="42" t="str">
        <f>IF(B51=""," ",A50+1)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2" spans="1:13">
      <c r="B102" s="16" t="s">
        <v>1691</v>
      </c>
    </row>
    <row r="104" spans="1:13">
      <c r="B104" s="16" t="s">
        <v>1692</v>
      </c>
      <c r="C104" s="16" t="s">
        <v>1693</v>
      </c>
      <c r="D104" s="16" t="s">
        <v>1695</v>
      </c>
    </row>
    <row r="105" spans="1:13">
      <c r="D105" s="16" t="s">
        <v>1694</v>
      </c>
    </row>
    <row r="106" spans="1:13">
      <c r="D106" s="16" t="s">
        <v>1726</v>
      </c>
    </row>
    <row r="107" spans="1:13">
      <c r="C107" s="16" t="s">
        <v>1720</v>
      </c>
      <c r="D107" s="16" t="s">
        <v>1724</v>
      </c>
    </row>
    <row r="108" spans="1:13">
      <c r="C108" s="16" t="s">
        <v>1725</v>
      </c>
    </row>
    <row r="110" spans="1:13">
      <c r="B110" s="16" t="s">
        <v>1766</v>
      </c>
      <c r="C110" s="16" t="s">
        <v>1765</v>
      </c>
      <c r="D110" s="16" t="s">
        <v>1768</v>
      </c>
    </row>
    <row r="111" spans="1:13">
      <c r="D111" s="16" t="s">
        <v>1769</v>
      </c>
    </row>
    <row r="112" spans="1:13">
      <c r="D112" s="16" t="s">
        <v>1770</v>
      </c>
    </row>
    <row r="114" spans="2:4">
      <c r="B114" s="16" t="s">
        <v>725</v>
      </c>
      <c r="C114" s="16" t="s">
        <v>1720</v>
      </c>
      <c r="D114" s="16" t="s">
        <v>748</v>
      </c>
    </row>
  </sheetData>
  <mergeCells count="67">
    <mergeCell ref="K99:M99"/>
    <mergeCell ref="K100:M100"/>
    <mergeCell ref="K91:M91"/>
    <mergeCell ref="K92:M92"/>
    <mergeCell ref="K95:M95"/>
    <mergeCell ref="K96:M96"/>
    <mergeCell ref="K83:M83"/>
    <mergeCell ref="K84:M84"/>
    <mergeCell ref="K87:M87"/>
    <mergeCell ref="K88:M88"/>
    <mergeCell ref="K75:M75"/>
    <mergeCell ref="K76:M76"/>
    <mergeCell ref="K79:M79"/>
    <mergeCell ref="K80:M80"/>
    <mergeCell ref="K67:M67"/>
    <mergeCell ref="K68:M68"/>
    <mergeCell ref="K71:M71"/>
    <mergeCell ref="K72:M72"/>
    <mergeCell ref="K59:M59"/>
    <mergeCell ref="K60:M60"/>
    <mergeCell ref="K63:M63"/>
    <mergeCell ref="K64:M64"/>
    <mergeCell ref="K51:M51"/>
    <mergeCell ref="K52:M52"/>
    <mergeCell ref="K55:M55"/>
    <mergeCell ref="K56:M56"/>
    <mergeCell ref="K43:M43"/>
    <mergeCell ref="K44:M44"/>
    <mergeCell ref="K47:M47"/>
    <mergeCell ref="K48:M48"/>
    <mergeCell ref="K30:M30"/>
    <mergeCell ref="K28:M28"/>
    <mergeCell ref="K24:M24"/>
    <mergeCell ref="A5:A6"/>
    <mergeCell ref="B5:C5"/>
    <mergeCell ref="K26:M26"/>
    <mergeCell ref="K27:M27"/>
    <mergeCell ref="K7:M7"/>
    <mergeCell ref="K16:M16"/>
    <mergeCell ref="K25:M25"/>
    <mergeCell ref="D5:H5"/>
    <mergeCell ref="K8:M8"/>
    <mergeCell ref="K5:M6"/>
    <mergeCell ref="K23:M23"/>
    <mergeCell ref="K19:M19"/>
    <mergeCell ref="K9:M9"/>
    <mergeCell ref="I5:J5"/>
    <mergeCell ref="K10:M10"/>
    <mergeCell ref="K12:M12"/>
    <mergeCell ref="K29:M29"/>
    <mergeCell ref="A2:B2"/>
    <mergeCell ref="A3:B3"/>
    <mergeCell ref="A4:B4"/>
    <mergeCell ref="H2:J2"/>
    <mergeCell ref="C2:G2"/>
    <mergeCell ref="C3:G3"/>
    <mergeCell ref="C4:G4"/>
    <mergeCell ref="H3:I3"/>
    <mergeCell ref="H4:I4"/>
    <mergeCell ref="K22:M22"/>
    <mergeCell ref="K20:M20"/>
    <mergeCell ref="K21:M21"/>
    <mergeCell ref="K13:M13"/>
    <mergeCell ref="K14:M14"/>
    <mergeCell ref="K15:M15"/>
    <mergeCell ref="K17:M17"/>
    <mergeCell ref="K18:M18"/>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9">
    <pageSetUpPr fitToPage="1"/>
  </sheetPr>
  <dimension ref="A1:P110"/>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c r="B1" s="47"/>
      <c r="C1" s="135" t="s">
        <v>390</v>
      </c>
    </row>
    <row r="2" spans="1:16">
      <c r="A2" s="643" t="s">
        <v>602</v>
      </c>
      <c r="B2" s="644"/>
      <c r="C2" s="643" t="s">
        <v>36</v>
      </c>
      <c r="D2" s="651"/>
      <c r="E2" s="651"/>
      <c r="F2" s="651"/>
      <c r="G2" s="644"/>
      <c r="H2" s="643"/>
      <c r="I2" s="651"/>
      <c r="J2" s="644"/>
      <c r="K2" s="37"/>
      <c r="L2" s="38" t="s">
        <v>37</v>
      </c>
      <c r="M2" s="38" t="s">
        <v>38</v>
      </c>
    </row>
    <row r="3" spans="1:16">
      <c r="A3" s="647"/>
      <c r="B3" s="648"/>
      <c r="C3" s="947" t="s">
        <v>302</v>
      </c>
      <c r="D3" s="948"/>
      <c r="E3" s="948"/>
      <c r="F3" s="948"/>
      <c r="G3" s="949"/>
      <c r="H3" s="643" t="s">
        <v>39</v>
      </c>
      <c r="I3" s="644"/>
      <c r="J3" s="39">
        <f>COUNT(A7:A100)</f>
        <v>10</v>
      </c>
      <c r="K3" s="38" t="s">
        <v>40</v>
      </c>
      <c r="L3" s="40">
        <v>38629</v>
      </c>
      <c r="M3" s="132" t="s">
        <v>56</v>
      </c>
      <c r="O3" s="16" t="s">
        <v>41</v>
      </c>
      <c r="P3" s="16" t="s">
        <v>42</v>
      </c>
    </row>
    <row r="4" spans="1:16">
      <c r="A4" s="649" t="s">
        <v>43</v>
      </c>
      <c r="B4" s="650"/>
      <c r="C4" s="950" t="s">
        <v>1472</v>
      </c>
      <c r="D4" s="951"/>
      <c r="E4" s="951"/>
      <c r="F4" s="951"/>
      <c r="G4" s="952"/>
      <c r="H4" s="643" t="s">
        <v>44</v>
      </c>
      <c r="I4" s="644"/>
      <c r="J4" s="39">
        <f>SUM(G7:G100)</f>
        <v>86</v>
      </c>
      <c r="K4" s="38" t="s">
        <v>45</v>
      </c>
      <c r="L4" s="40">
        <v>38803</v>
      </c>
      <c r="M4" s="42" t="s">
        <v>532</v>
      </c>
      <c r="O4" s="16" t="s">
        <v>1358</v>
      </c>
      <c r="P4" s="16" t="s">
        <v>1359</v>
      </c>
    </row>
    <row r="5" spans="1:16">
      <c r="A5" s="645" t="s">
        <v>1360</v>
      </c>
      <c r="B5" s="643" t="s">
        <v>46</v>
      </c>
      <c r="C5" s="651"/>
      <c r="D5" s="662" t="s">
        <v>47</v>
      </c>
      <c r="E5" s="651"/>
      <c r="F5" s="651"/>
      <c r="G5" s="651"/>
      <c r="H5" s="651"/>
      <c r="I5" s="643" t="s">
        <v>604</v>
      </c>
      <c r="J5" s="644"/>
      <c r="K5" s="656" t="s">
        <v>48</v>
      </c>
      <c r="L5" s="657"/>
      <c r="M5" s="658"/>
      <c r="P5" s="16" t="s">
        <v>605</v>
      </c>
    </row>
    <row r="6" spans="1:16">
      <c r="A6" s="646"/>
      <c r="B6" s="38" t="s">
        <v>49</v>
      </c>
      <c r="C6" s="35" t="s">
        <v>50</v>
      </c>
      <c r="D6" s="43" t="s">
        <v>42</v>
      </c>
      <c r="E6" s="44" t="s">
        <v>51</v>
      </c>
      <c r="F6" s="45" t="s">
        <v>52</v>
      </c>
      <c r="G6" s="38" t="s">
        <v>606</v>
      </c>
      <c r="H6" s="36" t="s">
        <v>53</v>
      </c>
      <c r="I6" s="36" t="s">
        <v>607</v>
      </c>
      <c r="J6" s="36" t="s">
        <v>608</v>
      </c>
      <c r="K6" s="659"/>
      <c r="L6" s="660"/>
      <c r="M6" s="661"/>
      <c r="P6" s="16" t="s">
        <v>609</v>
      </c>
    </row>
    <row r="7" spans="1:16">
      <c r="A7" s="42">
        <v>1</v>
      </c>
      <c r="B7" s="48" t="s">
        <v>512</v>
      </c>
      <c r="C7" s="49" t="s">
        <v>513</v>
      </c>
      <c r="D7" s="72" t="s">
        <v>55</v>
      </c>
      <c r="E7" s="73" t="s">
        <v>65</v>
      </c>
      <c r="F7" s="74"/>
      <c r="G7" s="21">
        <f t="shared" ref="G7:G15" si="0">IF(D7="DATE",4,IF(D7="CHAR",E7,IF(D7="SMALLINT",2,IF(D7="INTEGER",4,IF(D7="TIMESTAMP",10,IF(D7="TIME",3,0))))))</f>
        <v>2</v>
      </c>
      <c r="H7" s="42" t="s">
        <v>1435</v>
      </c>
      <c r="I7" s="42" t="s">
        <v>1435</v>
      </c>
      <c r="J7" s="59"/>
      <c r="K7" s="599" t="s">
        <v>514</v>
      </c>
      <c r="L7" s="600"/>
      <c r="M7" s="601"/>
    </row>
    <row r="8" spans="1:16">
      <c r="A8" s="42">
        <v>2</v>
      </c>
      <c r="B8" s="48" t="s">
        <v>510</v>
      </c>
      <c r="C8" s="49" t="s">
        <v>303</v>
      </c>
      <c r="D8" s="78" t="s">
        <v>1434</v>
      </c>
      <c r="E8" s="73">
        <v>10</v>
      </c>
      <c r="F8" s="74"/>
      <c r="G8" s="21">
        <f t="shared" si="0"/>
        <v>10</v>
      </c>
      <c r="H8" s="42" t="s">
        <v>1435</v>
      </c>
      <c r="I8" s="42" t="s">
        <v>1363</v>
      </c>
      <c r="J8" s="59"/>
      <c r="K8" s="599" t="s">
        <v>511</v>
      </c>
      <c r="L8" s="600"/>
      <c r="M8" s="601"/>
      <c r="P8" s="16" t="s">
        <v>55</v>
      </c>
    </row>
    <row r="9" spans="1:16">
      <c r="A9" s="42">
        <v>3</v>
      </c>
      <c r="B9" s="48" t="s">
        <v>546</v>
      </c>
      <c r="C9" s="49" t="s">
        <v>554</v>
      </c>
      <c r="D9" s="78" t="s">
        <v>553</v>
      </c>
      <c r="E9" s="73">
        <v>20</v>
      </c>
      <c r="F9" s="74"/>
      <c r="G9" s="21">
        <f t="shared" si="0"/>
        <v>20</v>
      </c>
      <c r="H9" s="42" t="s">
        <v>884</v>
      </c>
      <c r="I9" s="42"/>
      <c r="J9" s="59"/>
      <c r="K9" s="599" t="s">
        <v>555</v>
      </c>
      <c r="L9" s="600"/>
      <c r="M9" s="601"/>
      <c r="P9" s="16" t="s">
        <v>556</v>
      </c>
    </row>
    <row r="10" spans="1:16">
      <c r="A10" s="42">
        <v>4</v>
      </c>
      <c r="B10" s="48" t="s">
        <v>1215</v>
      </c>
      <c r="C10" s="49" t="s">
        <v>278</v>
      </c>
      <c r="D10" s="78" t="s">
        <v>553</v>
      </c>
      <c r="E10" s="73">
        <v>10</v>
      </c>
      <c r="F10" s="74"/>
      <c r="G10" s="21">
        <f t="shared" si="0"/>
        <v>10</v>
      </c>
      <c r="H10" s="42" t="s">
        <v>884</v>
      </c>
      <c r="I10" s="42"/>
      <c r="J10" s="59"/>
      <c r="K10" s="599" t="s">
        <v>1216</v>
      </c>
      <c r="L10" s="600"/>
      <c r="M10" s="601"/>
      <c r="P10" s="16" t="s">
        <v>556</v>
      </c>
    </row>
    <row r="11" spans="1:16" ht="65.099999999999994" customHeight="1">
      <c r="A11" s="42">
        <v>5</v>
      </c>
      <c r="B11" s="48" t="s">
        <v>507</v>
      </c>
      <c r="C11" s="49" t="s">
        <v>508</v>
      </c>
      <c r="D11" s="72" t="s">
        <v>55</v>
      </c>
      <c r="E11" s="73" t="s">
        <v>65</v>
      </c>
      <c r="F11" s="74"/>
      <c r="G11" s="21">
        <f t="shared" si="0"/>
        <v>2</v>
      </c>
      <c r="H11" s="42" t="s">
        <v>1392</v>
      </c>
      <c r="I11" s="42"/>
      <c r="J11" s="59"/>
      <c r="K11" s="599" t="s">
        <v>304</v>
      </c>
      <c r="L11" s="600"/>
      <c r="M11" s="601"/>
      <c r="P11" s="16" t="s">
        <v>557</v>
      </c>
    </row>
    <row r="12" spans="1:16" ht="11.25" customHeight="1">
      <c r="A12" s="42">
        <v>6</v>
      </c>
      <c r="B12" s="48" t="s">
        <v>509</v>
      </c>
      <c r="C12" s="49" t="s">
        <v>499</v>
      </c>
      <c r="D12" s="78" t="s">
        <v>524</v>
      </c>
      <c r="E12" s="73">
        <v>16</v>
      </c>
      <c r="F12" s="74"/>
      <c r="G12" s="21">
        <f t="shared" si="0"/>
        <v>16</v>
      </c>
      <c r="H12" s="42" t="s">
        <v>574</v>
      </c>
      <c r="I12" s="42"/>
      <c r="J12" s="59"/>
      <c r="K12" s="13" t="s">
        <v>1256</v>
      </c>
      <c r="L12" s="14"/>
      <c r="M12" s="15"/>
      <c r="P12" s="16" t="s">
        <v>305</v>
      </c>
    </row>
    <row r="13" spans="1:16" s="22" customFormat="1">
      <c r="A13" s="42">
        <v>7</v>
      </c>
      <c r="B13" s="64" t="s">
        <v>26</v>
      </c>
      <c r="C13" s="24" t="s">
        <v>1399</v>
      </c>
      <c r="D13" s="65" t="s">
        <v>519</v>
      </c>
      <c r="E13" s="51"/>
      <c r="F13" s="58"/>
      <c r="G13" s="21">
        <f t="shared" si="0"/>
        <v>4</v>
      </c>
      <c r="H13" s="42" t="s">
        <v>1400</v>
      </c>
      <c r="I13" s="42" t="s">
        <v>1400</v>
      </c>
      <c r="J13" s="165"/>
      <c r="K13" s="632" t="s">
        <v>1659</v>
      </c>
      <c r="L13" s="633"/>
      <c r="M13" s="634"/>
    </row>
    <row r="14" spans="1:16" s="22" customFormat="1">
      <c r="A14" s="42">
        <v>8</v>
      </c>
      <c r="B14" s="64" t="s">
        <v>27</v>
      </c>
      <c r="C14" s="24" t="s">
        <v>1401</v>
      </c>
      <c r="D14" s="65" t="s">
        <v>1402</v>
      </c>
      <c r="E14" s="51"/>
      <c r="F14" s="58"/>
      <c r="G14" s="21">
        <f t="shared" si="0"/>
        <v>4</v>
      </c>
      <c r="H14" s="42" t="s">
        <v>1403</v>
      </c>
      <c r="I14" s="53"/>
      <c r="J14" s="165"/>
      <c r="K14" s="632" t="s">
        <v>1660</v>
      </c>
      <c r="L14" s="633"/>
      <c r="M14" s="634"/>
    </row>
    <row r="15" spans="1:16" s="22" customFormat="1">
      <c r="A15" s="42">
        <v>9</v>
      </c>
      <c r="B15" s="64" t="s">
        <v>1083</v>
      </c>
      <c r="C15" s="24" t="s">
        <v>1111</v>
      </c>
      <c r="D15" s="72" t="s">
        <v>1431</v>
      </c>
      <c r="E15" s="51">
        <v>8</v>
      </c>
      <c r="F15" s="58"/>
      <c r="G15" s="20">
        <f t="shared" si="0"/>
        <v>8</v>
      </c>
      <c r="H15" s="53" t="s">
        <v>1432</v>
      </c>
      <c r="I15" s="89"/>
      <c r="J15" s="92"/>
      <c r="K15" s="602"/>
      <c r="L15" s="603"/>
      <c r="M15" s="604"/>
    </row>
    <row r="16" spans="1:16">
      <c r="A16" s="42">
        <v>10</v>
      </c>
      <c r="B16" s="93" t="s">
        <v>1724</v>
      </c>
      <c r="C16" s="26" t="s">
        <v>1404</v>
      </c>
      <c r="D16" s="94" t="s">
        <v>1405</v>
      </c>
      <c r="E16" s="95"/>
      <c r="F16" s="90"/>
      <c r="G16" s="21">
        <f>IF(D16="DATE",4,IF(D16="CHAR",E16,IF(D16="SMALLINT",2,IF(D16="INTEGER",4,IF(D16="TIMESTAMP",10,IF(D16="TIME",3,0))))))</f>
        <v>10</v>
      </c>
      <c r="H16" s="91" t="s">
        <v>1406</v>
      </c>
      <c r="I16" s="42"/>
      <c r="J16" s="59"/>
      <c r="K16" s="67"/>
      <c r="L16" s="14"/>
      <c r="M16" s="15"/>
    </row>
    <row r="17" spans="1:13">
      <c r="A17" s="42"/>
      <c r="B17" s="71"/>
      <c r="C17" s="13"/>
      <c r="D17" s="72"/>
      <c r="E17" s="73"/>
      <c r="F17" s="74"/>
      <c r="G17" s="20"/>
      <c r="H17" s="42"/>
      <c r="I17" s="42"/>
      <c r="J17" s="59"/>
      <c r="K17" s="13"/>
      <c r="L17" s="14"/>
      <c r="M17" s="15"/>
    </row>
    <row r="18" spans="1:13">
      <c r="A18" s="42"/>
      <c r="B18" s="71"/>
      <c r="C18" s="13"/>
      <c r="D18" s="72"/>
      <c r="E18" s="73"/>
      <c r="F18" s="74"/>
      <c r="G18" s="20"/>
      <c r="H18" s="42"/>
      <c r="I18" s="42"/>
      <c r="J18" s="59"/>
      <c r="K18" s="13"/>
      <c r="L18" s="14"/>
      <c r="M18" s="15"/>
    </row>
    <row r="19" spans="1:13">
      <c r="A19" s="42"/>
      <c r="B19" s="71"/>
      <c r="C19" s="13"/>
      <c r="D19" s="72"/>
      <c r="E19" s="73"/>
      <c r="F19" s="74"/>
      <c r="G19" s="20"/>
      <c r="H19" s="42"/>
      <c r="I19" s="42"/>
      <c r="J19" s="59"/>
      <c r="K19" s="13"/>
      <c r="L19" s="14"/>
      <c r="M19" s="15"/>
    </row>
    <row r="20" spans="1:13">
      <c r="A20" s="42"/>
      <c r="B20" s="71"/>
      <c r="C20" s="13"/>
      <c r="D20" s="72"/>
      <c r="E20" s="73"/>
      <c r="F20" s="74"/>
      <c r="G20" s="20"/>
      <c r="H20" s="42"/>
      <c r="I20" s="42"/>
      <c r="J20" s="59"/>
      <c r="K20" s="13"/>
      <c r="L20" s="14"/>
      <c r="M20" s="15"/>
    </row>
    <row r="21" spans="1:13">
      <c r="A21" s="42"/>
      <c r="B21" s="71"/>
      <c r="C21" s="13"/>
      <c r="D21" s="72"/>
      <c r="E21" s="73"/>
      <c r="F21" s="74"/>
      <c r="G21" s="20"/>
      <c r="H21" s="42"/>
      <c r="I21" s="42"/>
      <c r="J21" s="59"/>
      <c r="K21" s="13"/>
      <c r="L21" s="14"/>
      <c r="M21" s="15"/>
    </row>
    <row r="22" spans="1:13">
      <c r="A22" s="42"/>
      <c r="B22" s="71"/>
      <c r="C22" s="13"/>
      <c r="D22" s="72"/>
      <c r="E22" s="73"/>
      <c r="F22" s="74"/>
      <c r="G22" s="20"/>
      <c r="H22" s="42"/>
      <c r="I22" s="42"/>
      <c r="J22" s="59"/>
      <c r="K22" s="13"/>
      <c r="L22" s="14"/>
      <c r="M22" s="15"/>
    </row>
    <row r="23" spans="1:13">
      <c r="A23" s="89"/>
      <c r="B23" s="66"/>
      <c r="C23" s="31"/>
      <c r="D23" s="97"/>
      <c r="E23" s="98"/>
      <c r="F23" s="99"/>
      <c r="G23" s="20"/>
      <c r="H23" s="89"/>
      <c r="I23" s="89"/>
      <c r="J23" s="92"/>
      <c r="K23" s="31"/>
      <c r="L23" s="32"/>
      <c r="M23" s="33"/>
    </row>
    <row r="24" spans="1:13">
      <c r="A24" s="89"/>
      <c r="B24" s="96"/>
      <c r="C24" s="31"/>
      <c r="D24" s="97"/>
      <c r="E24" s="98"/>
      <c r="F24" s="99"/>
      <c r="G24" s="20"/>
      <c r="H24" s="89"/>
      <c r="I24" s="89"/>
      <c r="J24" s="92"/>
      <c r="K24" s="31"/>
      <c r="L24" s="32"/>
      <c r="M24" s="33"/>
    </row>
    <row r="25" spans="1:13">
      <c r="A25" s="89"/>
      <c r="B25" s="96"/>
      <c r="C25" s="31"/>
      <c r="D25" s="97"/>
      <c r="E25" s="98"/>
      <c r="F25" s="99"/>
      <c r="G25" s="20"/>
      <c r="H25" s="89"/>
      <c r="I25" s="89"/>
      <c r="J25" s="92"/>
      <c r="K25" s="31"/>
      <c r="L25" s="32"/>
      <c r="M25" s="33"/>
    </row>
    <row r="26" spans="1:13">
      <c r="A26" s="89"/>
      <c r="B26" s="96"/>
      <c r="C26" s="31"/>
      <c r="D26" s="97"/>
      <c r="E26" s="98"/>
      <c r="F26" s="99"/>
      <c r="G26" s="20"/>
      <c r="H26" s="89"/>
      <c r="I26" s="89"/>
      <c r="J26" s="92"/>
      <c r="K26" s="31"/>
      <c r="L26" s="32"/>
      <c r="M26" s="33"/>
    </row>
    <row r="27" spans="1:13">
      <c r="A27" s="89"/>
      <c r="B27" s="96"/>
      <c r="C27" s="31"/>
      <c r="D27" s="97"/>
      <c r="E27" s="98"/>
      <c r="F27" s="99"/>
      <c r="G27" s="20"/>
      <c r="H27" s="89"/>
      <c r="I27" s="89"/>
      <c r="J27" s="92"/>
      <c r="K27" s="31"/>
      <c r="L27" s="32"/>
      <c r="M27" s="33"/>
    </row>
    <row r="28" spans="1:13">
      <c r="A28" s="89"/>
      <c r="B28" s="96"/>
      <c r="C28" s="31"/>
      <c r="D28" s="97"/>
      <c r="E28" s="98"/>
      <c r="F28" s="99"/>
      <c r="G28" s="20"/>
      <c r="H28" s="89"/>
      <c r="I28" s="89"/>
      <c r="J28" s="92"/>
      <c r="K28" s="31"/>
      <c r="L28" s="32"/>
      <c r="M28" s="33"/>
    </row>
    <row r="29" spans="1:13">
      <c r="A29" s="89"/>
      <c r="B29" s="96"/>
      <c r="C29" s="31"/>
      <c r="D29" s="97"/>
      <c r="E29" s="98"/>
      <c r="F29" s="99"/>
      <c r="G29" s="20"/>
      <c r="H29" s="89"/>
      <c r="I29" s="89"/>
      <c r="J29" s="92"/>
      <c r="K29" s="31"/>
      <c r="L29" s="32"/>
      <c r="M29" s="33"/>
    </row>
    <row r="30" spans="1:13">
      <c r="A30" s="89"/>
      <c r="B30" s="96"/>
      <c r="C30" s="31"/>
      <c r="D30" s="97"/>
      <c r="E30" s="98"/>
      <c r="F30" s="99"/>
      <c r="G30" s="20"/>
      <c r="H30" s="89"/>
      <c r="I30" s="89"/>
      <c r="J30" s="92"/>
      <c r="K30" s="31"/>
      <c r="L30" s="32"/>
      <c r="M30" s="33"/>
    </row>
    <row r="31" spans="1:13">
      <c r="A31" s="89"/>
      <c r="B31" s="96"/>
      <c r="C31" s="31"/>
      <c r="D31" s="97"/>
      <c r="E31" s="98"/>
      <c r="F31" s="99"/>
      <c r="G31" s="20"/>
      <c r="H31" s="89"/>
      <c r="I31" s="89"/>
      <c r="J31" s="92"/>
      <c r="K31" s="31"/>
      <c r="L31" s="32"/>
      <c r="M31" s="33"/>
    </row>
    <row r="32" spans="1:13">
      <c r="A32" s="89"/>
      <c r="B32" s="96"/>
      <c r="C32" s="31"/>
      <c r="D32" s="97"/>
      <c r="E32" s="98"/>
      <c r="F32" s="99"/>
      <c r="G32" s="20"/>
      <c r="H32" s="89"/>
      <c r="I32" s="89"/>
      <c r="J32" s="92"/>
      <c r="K32" s="31"/>
      <c r="L32" s="32"/>
      <c r="M32" s="33"/>
    </row>
    <row r="33" spans="1:13">
      <c r="A33" s="89"/>
      <c r="B33" s="96"/>
      <c r="C33" s="31"/>
      <c r="D33" s="97"/>
      <c r="E33" s="98"/>
      <c r="F33" s="99"/>
      <c r="G33" s="21"/>
      <c r="H33" s="89"/>
      <c r="I33" s="89"/>
      <c r="J33" s="92"/>
      <c r="K33" s="31"/>
      <c r="L33" s="32"/>
      <c r="M33" s="33"/>
    </row>
    <row r="34" spans="1:13">
      <c r="A34" s="89"/>
      <c r="B34" s="96"/>
      <c r="C34" s="31"/>
      <c r="D34" s="97"/>
      <c r="E34" s="98"/>
      <c r="F34" s="99"/>
      <c r="G34" s="21"/>
      <c r="H34" s="89"/>
      <c r="I34" s="89"/>
      <c r="J34" s="92"/>
      <c r="K34" s="31"/>
      <c r="L34" s="32"/>
      <c r="M34" s="33"/>
    </row>
    <row r="35" spans="1:13">
      <c r="A35" s="42"/>
      <c r="B35" s="71"/>
      <c r="C35" s="13"/>
      <c r="D35" s="72"/>
      <c r="E35" s="73"/>
      <c r="F35" s="74"/>
      <c r="G35" s="20"/>
      <c r="H35" s="42"/>
      <c r="I35" s="42"/>
      <c r="J35" s="59"/>
      <c r="K35" s="609"/>
      <c r="L35" s="610"/>
      <c r="M35" s="611"/>
    </row>
    <row r="36" spans="1:13">
      <c r="A36" s="42"/>
      <c r="B36" s="71"/>
      <c r="C36" s="13"/>
      <c r="D36" s="72"/>
      <c r="E36" s="73"/>
      <c r="F36" s="74"/>
      <c r="G36" s="20"/>
      <c r="H36" s="42"/>
      <c r="I36" s="42"/>
      <c r="J36" s="59"/>
      <c r="K36" s="609"/>
      <c r="L36" s="610"/>
      <c r="M36" s="611"/>
    </row>
    <row r="37" spans="1:13">
      <c r="A37" s="42"/>
      <c r="B37" s="71"/>
      <c r="C37" s="13"/>
      <c r="D37" s="72"/>
      <c r="E37" s="73"/>
      <c r="F37" s="74"/>
      <c r="G37" s="20"/>
      <c r="H37" s="42"/>
      <c r="I37" s="42"/>
      <c r="J37" s="59"/>
      <c r="K37" s="13"/>
      <c r="L37" s="14"/>
      <c r="M37" s="15"/>
    </row>
    <row r="38" spans="1:13">
      <c r="A38" s="42"/>
      <c r="B38" s="71"/>
      <c r="C38" s="13"/>
      <c r="D38" s="72"/>
      <c r="E38" s="73"/>
      <c r="F38" s="74"/>
      <c r="G38" s="20"/>
      <c r="H38" s="42"/>
      <c r="I38" s="42"/>
      <c r="J38" s="59"/>
      <c r="K38" s="13"/>
      <c r="L38" s="14"/>
      <c r="M38" s="15"/>
    </row>
    <row r="39" spans="1:13">
      <c r="A39" s="42"/>
      <c r="B39" s="71"/>
      <c r="C39" s="13"/>
      <c r="D39" s="72"/>
      <c r="E39" s="73"/>
      <c r="F39" s="74"/>
      <c r="G39" s="20"/>
      <c r="H39" s="42"/>
      <c r="I39" s="42"/>
      <c r="J39" s="59"/>
      <c r="K39" s="609"/>
      <c r="L39" s="610"/>
      <c r="M39" s="611"/>
    </row>
    <row r="40" spans="1:13">
      <c r="A40" s="42"/>
      <c r="B40" s="71"/>
      <c r="C40" s="13"/>
      <c r="D40" s="72"/>
      <c r="E40" s="73"/>
      <c r="F40" s="74"/>
      <c r="G40" s="20"/>
      <c r="H40" s="42"/>
      <c r="I40" s="42"/>
      <c r="J40" s="59"/>
      <c r="K40" s="609"/>
      <c r="L40" s="610"/>
      <c r="M40" s="611"/>
    </row>
    <row r="41" spans="1:13">
      <c r="A41" s="42" t="str">
        <f>IF(B41=""," ",#REF!+1)</f>
        <v xml:space="preserve"> </v>
      </c>
      <c r="B41" s="71"/>
      <c r="C41" s="13"/>
      <c r="D41" s="72"/>
      <c r="E41" s="73"/>
      <c r="F41" s="74"/>
      <c r="G41" s="20"/>
      <c r="H41" s="42"/>
      <c r="I41" s="42"/>
      <c r="J41" s="59"/>
      <c r="K41" s="13"/>
      <c r="L41" s="14"/>
      <c r="M41" s="15"/>
    </row>
    <row r="42" spans="1:13">
      <c r="A42" s="42" t="str">
        <f>IF(B42=""," ",A41+1)</f>
        <v xml:space="preserve"> </v>
      </c>
      <c r="B42" s="71"/>
      <c r="C42" s="13"/>
      <c r="D42" s="72"/>
      <c r="E42" s="73"/>
      <c r="F42" s="74"/>
      <c r="G42" s="20"/>
      <c r="H42" s="42"/>
      <c r="I42" s="42"/>
      <c r="J42" s="59"/>
      <c r="K42" s="13"/>
      <c r="L42" s="14"/>
      <c r="M42" s="15"/>
    </row>
    <row r="43" spans="1:13">
      <c r="A43" s="42" t="str">
        <f>IF(B43=""," ",A42+1)</f>
        <v xml:space="preserve"> </v>
      </c>
      <c r="B43" s="71"/>
      <c r="C43" s="13"/>
      <c r="D43" s="72"/>
      <c r="E43" s="73"/>
      <c r="F43" s="74"/>
      <c r="G43" s="20"/>
      <c r="H43" s="42"/>
      <c r="I43" s="42"/>
      <c r="J43" s="59"/>
      <c r="K43" s="609"/>
      <c r="L43" s="610"/>
      <c r="M43" s="611"/>
    </row>
    <row r="44" spans="1:13">
      <c r="A44" s="42" t="str">
        <f>IF(B44=""," ",#REF!+1)</f>
        <v xml:space="preserve"> </v>
      </c>
      <c r="B44" s="71"/>
      <c r="C44" s="13"/>
      <c r="D44" s="72"/>
      <c r="E44" s="73"/>
      <c r="F44" s="74"/>
      <c r="G44" s="20"/>
      <c r="H44" s="42"/>
      <c r="I44" s="42"/>
      <c r="J44" s="59"/>
      <c r="K44" s="609"/>
      <c r="L44" s="610"/>
      <c r="M44" s="611"/>
    </row>
    <row r="45" spans="1:13">
      <c r="A45" s="42" t="str">
        <f>IF(B45=""," ",#REF!+1)</f>
        <v xml:space="preserve"> </v>
      </c>
      <c r="B45" s="71"/>
      <c r="C45" s="13"/>
      <c r="D45" s="72"/>
      <c r="E45" s="73"/>
      <c r="F45" s="74"/>
      <c r="G45" s="20"/>
      <c r="H45" s="42"/>
      <c r="I45" s="42"/>
      <c r="J45" s="59"/>
      <c r="K45" s="13"/>
      <c r="L45" s="14"/>
      <c r="M45" s="15"/>
    </row>
    <row r="46" spans="1:13">
      <c r="A46" s="42" t="str">
        <f>IF(B46=""," ",A45+1)</f>
        <v xml:space="preserve"> </v>
      </c>
      <c r="B46" s="71"/>
      <c r="C46" s="13"/>
      <c r="D46" s="72"/>
      <c r="E46" s="73"/>
      <c r="F46" s="74"/>
      <c r="G46" s="20"/>
      <c r="H46" s="42"/>
      <c r="I46" s="42"/>
      <c r="J46" s="59"/>
      <c r="K46" s="13"/>
      <c r="L46" s="14"/>
      <c r="M46" s="15"/>
    </row>
    <row r="47" spans="1:13">
      <c r="A47" s="42" t="str">
        <f>IF(B47=""," ",A46+1)</f>
        <v xml:space="preserve"> </v>
      </c>
      <c r="B47" s="71"/>
      <c r="C47" s="13"/>
      <c r="D47" s="72"/>
      <c r="E47" s="73"/>
      <c r="F47" s="74"/>
      <c r="G47" s="20"/>
      <c r="H47" s="42"/>
      <c r="I47" s="42"/>
      <c r="J47" s="59"/>
      <c r="K47" s="609"/>
      <c r="L47" s="610"/>
      <c r="M47" s="611"/>
    </row>
    <row r="48" spans="1:13">
      <c r="A48" s="42" t="str">
        <f>IF(B48=""," ",#REF!+1)</f>
        <v xml:space="preserve"> </v>
      </c>
      <c r="B48" s="71"/>
      <c r="C48" s="13"/>
      <c r="D48" s="72"/>
      <c r="E48" s="73"/>
      <c r="F48" s="74"/>
      <c r="G48" s="20"/>
      <c r="H48" s="42"/>
      <c r="I48" s="42"/>
      <c r="J48" s="59"/>
      <c r="K48" s="609"/>
      <c r="L48" s="610"/>
      <c r="M48" s="611"/>
    </row>
    <row r="49" spans="1:13">
      <c r="A49" s="42" t="str">
        <f>IF(B49=""," ",#REF!+1)</f>
        <v xml:space="preserve"> </v>
      </c>
      <c r="B49" s="71"/>
      <c r="C49" s="13"/>
      <c r="D49" s="72"/>
      <c r="E49" s="73"/>
      <c r="F49" s="74"/>
      <c r="G49" s="20"/>
      <c r="H49" s="42"/>
      <c r="I49" s="42"/>
      <c r="J49" s="59"/>
      <c r="K49" s="13"/>
      <c r="L49" s="14"/>
      <c r="M49" s="15"/>
    </row>
    <row r="50" spans="1:13">
      <c r="A50" s="42" t="str">
        <f>IF(B50=""," ",A49+1)</f>
        <v xml:space="preserve"> </v>
      </c>
      <c r="B50" s="71"/>
      <c r="C50" s="13"/>
      <c r="D50" s="72"/>
      <c r="E50" s="73"/>
      <c r="F50" s="74"/>
      <c r="G50" s="20"/>
      <c r="H50" s="42"/>
      <c r="I50" s="42"/>
      <c r="J50" s="59"/>
      <c r="K50" s="13"/>
      <c r="L50" s="14"/>
      <c r="M50" s="15"/>
    </row>
    <row r="51" spans="1:13">
      <c r="A51" s="42" t="str">
        <f>IF(B51=""," ",A50+1)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13"/>
      <c r="L99" s="14"/>
      <c r="M99" s="15"/>
    </row>
    <row r="100" spans="1:13">
      <c r="A100" s="42" t="str">
        <f>IF(B100=""," ",A99+1)</f>
        <v xml:space="preserve"> </v>
      </c>
      <c r="B100" s="71"/>
      <c r="C100" s="13"/>
      <c r="D100" s="72"/>
      <c r="E100" s="73"/>
      <c r="F100" s="74"/>
      <c r="G100" s="20"/>
      <c r="H100" s="42"/>
      <c r="I100" s="42"/>
      <c r="J100" s="59"/>
      <c r="K100" s="609"/>
      <c r="L100" s="610"/>
      <c r="M100" s="611"/>
    </row>
    <row r="102" spans="1:13">
      <c r="B102" s="16" t="s">
        <v>1691</v>
      </c>
    </row>
    <row r="104" spans="1:13">
      <c r="B104" s="16" t="s">
        <v>1692</v>
      </c>
      <c r="C104" s="16" t="s">
        <v>1693</v>
      </c>
      <c r="D104" s="16" t="s">
        <v>1695</v>
      </c>
    </row>
    <row r="105" spans="1:13">
      <c r="D105" s="16" t="s">
        <v>1694</v>
      </c>
    </row>
    <row r="106" spans="1:13">
      <c r="D106" s="16" t="s">
        <v>1726</v>
      </c>
    </row>
    <row r="107" spans="1:13">
      <c r="C107" s="16" t="s">
        <v>1720</v>
      </c>
      <c r="D107" s="16" t="s">
        <v>1724</v>
      </c>
    </row>
    <row r="108" spans="1:13">
      <c r="C108" s="16" t="s">
        <v>1725</v>
      </c>
    </row>
    <row r="110" spans="1:13">
      <c r="B110" s="16" t="s">
        <v>725</v>
      </c>
      <c r="C110" s="16" t="s">
        <v>1720</v>
      </c>
      <c r="D110" s="16" t="s">
        <v>748</v>
      </c>
    </row>
  </sheetData>
  <mergeCells count="55">
    <mergeCell ref="K83:M83"/>
    <mergeCell ref="K84:M84"/>
    <mergeCell ref="K87:M87"/>
    <mergeCell ref="K88:M88"/>
    <mergeCell ref="K100:M100"/>
    <mergeCell ref="K91:M91"/>
    <mergeCell ref="K92:M92"/>
    <mergeCell ref="K95:M95"/>
    <mergeCell ref="K96:M96"/>
    <mergeCell ref="K75:M75"/>
    <mergeCell ref="K76:M76"/>
    <mergeCell ref="K79:M79"/>
    <mergeCell ref="K80:M80"/>
    <mergeCell ref="K67:M67"/>
    <mergeCell ref="K68:M68"/>
    <mergeCell ref="K71:M71"/>
    <mergeCell ref="K72:M72"/>
    <mergeCell ref="K59:M59"/>
    <mergeCell ref="K60:M60"/>
    <mergeCell ref="K63:M63"/>
    <mergeCell ref="K64:M64"/>
    <mergeCell ref="K51:M51"/>
    <mergeCell ref="K52:M52"/>
    <mergeCell ref="K55:M55"/>
    <mergeCell ref="K56:M56"/>
    <mergeCell ref="K43:M43"/>
    <mergeCell ref="K44:M44"/>
    <mergeCell ref="K47:M47"/>
    <mergeCell ref="K48:M48"/>
    <mergeCell ref="K35:M35"/>
    <mergeCell ref="K36:M36"/>
    <mergeCell ref="K39:M39"/>
    <mergeCell ref="K40:M40"/>
    <mergeCell ref="K7:M7"/>
    <mergeCell ref="K15:M15"/>
    <mergeCell ref="K9:M9"/>
    <mergeCell ref="K11:M11"/>
    <mergeCell ref="K10:M10"/>
    <mergeCell ref="K13:M13"/>
    <mergeCell ref="K14:M14"/>
    <mergeCell ref="K8:M8"/>
    <mergeCell ref="A5:A6"/>
    <mergeCell ref="A2:B2"/>
    <mergeCell ref="A3:B3"/>
    <mergeCell ref="A4:B4"/>
    <mergeCell ref="H2:J2"/>
    <mergeCell ref="C2:G2"/>
    <mergeCell ref="C3:G3"/>
    <mergeCell ref="C4:G4"/>
    <mergeCell ref="B5:C5"/>
    <mergeCell ref="K5:M6"/>
    <mergeCell ref="I5:J5"/>
    <mergeCell ref="D5:H5"/>
    <mergeCell ref="H4:I4"/>
    <mergeCell ref="H3:I3"/>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60">
    <pageSetUpPr fitToPage="1"/>
  </sheetPr>
  <dimension ref="A1:P112"/>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c r="B1" s="47"/>
    </row>
    <row r="2" spans="1:16">
      <c r="A2" s="643" t="s">
        <v>1489</v>
      </c>
      <c r="B2" s="644"/>
      <c r="C2" s="643" t="s">
        <v>36</v>
      </c>
      <c r="D2" s="651"/>
      <c r="E2" s="651"/>
      <c r="F2" s="651"/>
      <c r="G2" s="644"/>
      <c r="H2" s="643"/>
      <c r="I2" s="651"/>
      <c r="J2" s="644"/>
      <c r="K2" s="37"/>
      <c r="L2" s="38" t="s">
        <v>37</v>
      </c>
      <c r="M2" s="38" t="s">
        <v>38</v>
      </c>
    </row>
    <row r="3" spans="1:16">
      <c r="A3" s="647"/>
      <c r="B3" s="648"/>
      <c r="C3" s="652" t="s">
        <v>1513</v>
      </c>
      <c r="D3" s="653"/>
      <c r="E3" s="653"/>
      <c r="F3" s="653"/>
      <c r="G3" s="654"/>
      <c r="H3" s="643" t="s">
        <v>39</v>
      </c>
      <c r="I3" s="644"/>
      <c r="J3" s="39">
        <f>COUNT(A7:A100)</f>
        <v>10</v>
      </c>
      <c r="K3" s="38" t="s">
        <v>40</v>
      </c>
      <c r="L3" s="40">
        <v>39475</v>
      </c>
      <c r="M3" s="469" t="s">
        <v>1514</v>
      </c>
      <c r="O3" s="16" t="s">
        <v>41</v>
      </c>
      <c r="P3" s="16" t="s">
        <v>42</v>
      </c>
    </row>
    <row r="4" spans="1:16">
      <c r="A4" s="649" t="s">
        <v>43</v>
      </c>
      <c r="B4" s="650"/>
      <c r="C4" s="649" t="s">
        <v>1502</v>
      </c>
      <c r="D4" s="655"/>
      <c r="E4" s="655"/>
      <c r="F4" s="655"/>
      <c r="G4" s="650"/>
      <c r="H4" s="643" t="s">
        <v>44</v>
      </c>
      <c r="I4" s="644"/>
      <c r="J4" s="39">
        <f>SUM(G7:G100)</f>
        <v>78</v>
      </c>
      <c r="K4" s="38" t="s">
        <v>45</v>
      </c>
      <c r="L4" s="40"/>
      <c r="M4" s="42"/>
      <c r="O4" s="16" t="s">
        <v>1490</v>
      </c>
      <c r="P4" s="16" t="s">
        <v>1491</v>
      </c>
    </row>
    <row r="5" spans="1:16">
      <c r="A5" s="645" t="s">
        <v>1492</v>
      </c>
      <c r="B5" s="643" t="s">
        <v>46</v>
      </c>
      <c r="C5" s="651"/>
      <c r="D5" s="662" t="s">
        <v>47</v>
      </c>
      <c r="E5" s="651"/>
      <c r="F5" s="651"/>
      <c r="G5" s="651"/>
      <c r="H5" s="651"/>
      <c r="I5" s="643" t="s">
        <v>1493</v>
      </c>
      <c r="J5" s="644"/>
      <c r="K5" s="656" t="s">
        <v>48</v>
      </c>
      <c r="L5" s="657"/>
      <c r="M5" s="658"/>
      <c r="P5" s="16" t="s">
        <v>1568</v>
      </c>
    </row>
    <row r="6" spans="1:16">
      <c r="A6" s="646"/>
      <c r="B6" s="38" t="s">
        <v>49</v>
      </c>
      <c r="C6" s="35" t="s">
        <v>50</v>
      </c>
      <c r="D6" s="43" t="s">
        <v>42</v>
      </c>
      <c r="E6" s="44" t="s">
        <v>51</v>
      </c>
      <c r="F6" s="45" t="s">
        <v>52</v>
      </c>
      <c r="G6" s="38" t="s">
        <v>1569</v>
      </c>
      <c r="H6" s="36" t="s">
        <v>53</v>
      </c>
      <c r="I6" s="36" t="s">
        <v>1570</v>
      </c>
      <c r="J6" s="36" t="s">
        <v>1571</v>
      </c>
      <c r="K6" s="659"/>
      <c r="L6" s="660"/>
      <c r="M6" s="661"/>
      <c r="P6" s="16" t="s">
        <v>1572</v>
      </c>
    </row>
    <row r="7" spans="1:16" ht="50.1" customHeight="1">
      <c r="A7" s="42">
        <v>1</v>
      </c>
      <c r="B7" s="48" t="s">
        <v>1503</v>
      </c>
      <c r="C7" s="49" t="s">
        <v>1504</v>
      </c>
      <c r="D7" s="78" t="s">
        <v>1574</v>
      </c>
      <c r="E7" s="73">
        <v>7</v>
      </c>
      <c r="F7" s="74"/>
      <c r="G7" s="470">
        <f>IF(D7="DATE",4,IF(D7="CHAR",E7,IF(D7="SMALLINT",2,IF(D7="INTEGER",4,IF(D7="TIMESTAMP",10,IF(D7="TIME",3,0))))))</f>
        <v>7</v>
      </c>
      <c r="H7" s="42" t="s">
        <v>1575</v>
      </c>
      <c r="I7" s="42" t="s">
        <v>1575</v>
      </c>
      <c r="J7" s="59"/>
      <c r="K7" s="956"/>
      <c r="L7" s="957"/>
      <c r="M7" s="958"/>
      <c r="P7" s="16" t="s">
        <v>1494</v>
      </c>
    </row>
    <row r="8" spans="1:16" ht="65.099999999999994" customHeight="1">
      <c r="A8" s="42">
        <f t="shared" ref="A8:A18" si="0">IF(B8=""," ",A7+1)</f>
        <v>2</v>
      </c>
      <c r="B8" s="48" t="s">
        <v>1505</v>
      </c>
      <c r="C8" s="49" t="s">
        <v>1506</v>
      </c>
      <c r="D8" s="78" t="s">
        <v>1019</v>
      </c>
      <c r="E8" s="73">
        <v>1</v>
      </c>
      <c r="F8" s="74"/>
      <c r="G8" s="470">
        <f>IF(D8="DATE",4,IF(D8="CHAR",E8,IF(D8="SMALLINT",2,IF(D8="INTEGER",4,IF(D8="TIMESTAMP",10,IF(D8="TIME",3,0))))))</f>
        <v>1</v>
      </c>
      <c r="H8" s="42" t="s">
        <v>1020</v>
      </c>
      <c r="I8" s="42"/>
      <c r="J8" s="59"/>
      <c r="K8" s="628" t="s">
        <v>1298</v>
      </c>
      <c r="L8" s="629"/>
      <c r="M8" s="630"/>
      <c r="N8" s="16" t="s">
        <v>640</v>
      </c>
      <c r="P8" s="16" t="s">
        <v>1600</v>
      </c>
    </row>
    <row r="9" spans="1:16">
      <c r="A9" s="42">
        <f t="shared" si="0"/>
        <v>3</v>
      </c>
      <c r="B9" s="48" t="s">
        <v>1507</v>
      </c>
      <c r="C9" s="49" t="s">
        <v>1508</v>
      </c>
      <c r="D9" s="78" t="s">
        <v>1574</v>
      </c>
      <c r="E9" s="73">
        <v>20</v>
      </c>
      <c r="F9" s="74"/>
      <c r="G9" s="470">
        <f>IF(D9="DATE",4,IF(D9="CHAR",E9,IF(D9="SMALLINT",2,IF(D9="INTEGER",4,IF(D9="TIMESTAMP",10,IF(D9="TIME",3,0))))))</f>
        <v>20</v>
      </c>
      <c r="H9" s="42" t="s">
        <v>1575</v>
      </c>
      <c r="I9" s="42"/>
      <c r="J9" s="59"/>
      <c r="K9" s="628" t="s">
        <v>1254</v>
      </c>
      <c r="L9" s="629"/>
      <c r="M9" s="630"/>
      <c r="P9" s="16" t="s">
        <v>1495</v>
      </c>
    </row>
    <row r="10" spans="1:16">
      <c r="A10" s="42">
        <f t="shared" si="0"/>
        <v>4</v>
      </c>
      <c r="B10" s="48" t="s">
        <v>1509</v>
      </c>
      <c r="C10" s="49" t="s">
        <v>1510</v>
      </c>
      <c r="D10" s="78" t="s">
        <v>1378</v>
      </c>
      <c r="E10" s="73" t="s">
        <v>65</v>
      </c>
      <c r="F10" s="74"/>
      <c r="G10" s="470">
        <f>IF(D10="DATE",4,IF(D10="CHAR",E10,IF(D10="SMALLINT",2,IF(D10="INTEGER",4,IF(D10="TIMESTAMP",10,IF(D10="TIME",3,0))))))</f>
        <v>2</v>
      </c>
      <c r="H10" s="42" t="s">
        <v>1379</v>
      </c>
      <c r="I10" s="42"/>
      <c r="J10" s="59"/>
      <c r="K10" s="628" t="s">
        <v>1511</v>
      </c>
      <c r="L10" s="629"/>
      <c r="M10" s="630"/>
      <c r="P10" s="16" t="s">
        <v>570</v>
      </c>
    </row>
    <row r="11" spans="1:16" ht="12.75" customHeight="1">
      <c r="A11" s="42">
        <f t="shared" si="0"/>
        <v>5</v>
      </c>
      <c r="B11" s="48" t="s">
        <v>1213</v>
      </c>
      <c r="C11" s="49" t="s">
        <v>1496</v>
      </c>
      <c r="D11" s="78" t="s">
        <v>55</v>
      </c>
      <c r="E11" s="73" t="s">
        <v>65</v>
      </c>
      <c r="F11" s="74"/>
      <c r="G11" s="470">
        <f>IF(D11="DATE",4,IF(D11="CHAR",E11,IF(D11="SMALLINT",2,IF(D11="INTEGER",4,IF(D11="TIMESTAMP",10,IF(D11="TIME",3,0))))))</f>
        <v>2</v>
      </c>
      <c r="H11" s="42" t="s">
        <v>1497</v>
      </c>
      <c r="I11" s="42"/>
      <c r="J11" s="59"/>
      <c r="K11" s="872" t="s">
        <v>1512</v>
      </c>
      <c r="L11" s="873"/>
      <c r="M11" s="874"/>
    </row>
    <row r="12" spans="1:16" ht="27" customHeight="1">
      <c r="A12" s="42">
        <f t="shared" si="0"/>
        <v>6</v>
      </c>
      <c r="B12" s="48" t="s">
        <v>1557</v>
      </c>
      <c r="C12" s="49" t="s">
        <v>1498</v>
      </c>
      <c r="D12" s="78" t="s">
        <v>1499</v>
      </c>
      <c r="E12" s="73">
        <v>128</v>
      </c>
      <c r="F12" s="74"/>
      <c r="G12" s="470">
        <v>20</v>
      </c>
      <c r="H12" s="42" t="s">
        <v>1020</v>
      </c>
      <c r="I12" s="42"/>
      <c r="J12" s="59"/>
      <c r="K12" s="959" t="s">
        <v>1559</v>
      </c>
      <c r="L12" s="960"/>
      <c r="M12" s="961"/>
      <c r="P12" s="16" t="s">
        <v>1500</v>
      </c>
    </row>
    <row r="13" spans="1:16" s="471" customFormat="1">
      <c r="A13" s="42">
        <f t="shared" si="0"/>
        <v>7</v>
      </c>
      <c r="B13" s="64" t="s">
        <v>26</v>
      </c>
      <c r="C13" s="24" t="s">
        <v>1030</v>
      </c>
      <c r="D13" s="65" t="s">
        <v>1031</v>
      </c>
      <c r="E13" s="51"/>
      <c r="F13" s="58"/>
      <c r="G13" s="470">
        <f>IF(D13="DATE",4,IF(D13="CHAR",E13,IF(D13="SMALLINT",2,IF(D13="INTEGER",4,IF(D13="TIMESTAMP",10,IF(D13="TIME",3,0))))))</f>
        <v>4</v>
      </c>
      <c r="H13" s="42" t="s">
        <v>1032</v>
      </c>
      <c r="I13" s="53" t="s">
        <v>1032</v>
      </c>
      <c r="J13" s="165"/>
      <c r="K13" s="632" t="s">
        <v>1409</v>
      </c>
      <c r="L13" s="633"/>
      <c r="M13" s="634"/>
    </row>
    <row r="14" spans="1:16" s="471" customFormat="1" ht="12" customHeight="1">
      <c r="A14" s="42">
        <f t="shared" si="0"/>
        <v>8</v>
      </c>
      <c r="B14" s="64" t="s">
        <v>27</v>
      </c>
      <c r="C14" s="24" t="s">
        <v>1033</v>
      </c>
      <c r="D14" s="65" t="s">
        <v>1031</v>
      </c>
      <c r="E14" s="51"/>
      <c r="F14" s="58"/>
      <c r="G14" s="470">
        <f>IF(D14="DATE",4,IF(D14="CHAR",E14,IF(D14="SMALLINT",2,IF(D14="INTEGER",4,IF(D14="TIMESTAMP",10,IF(D14="TIME",3,0))))))</f>
        <v>4</v>
      </c>
      <c r="H14" s="42" t="s">
        <v>1032</v>
      </c>
      <c r="I14" s="53"/>
      <c r="J14" s="165"/>
      <c r="K14" s="632" t="s">
        <v>1410</v>
      </c>
      <c r="L14" s="633"/>
      <c r="M14" s="634"/>
    </row>
    <row r="15" spans="1:16" ht="12" customHeight="1">
      <c r="A15" s="42">
        <f t="shared" si="0"/>
        <v>9</v>
      </c>
      <c r="B15" s="64" t="s">
        <v>1083</v>
      </c>
      <c r="C15" s="24" t="s">
        <v>1034</v>
      </c>
      <c r="D15" s="72" t="s">
        <v>1374</v>
      </c>
      <c r="E15" s="51">
        <v>8</v>
      </c>
      <c r="F15" s="58"/>
      <c r="G15" s="20">
        <f>IF(D15="DATE",4,IF(D15="CHAR",E15,IF(D15="SMALLINT",2,IF(D15="INTEGER",4,IF(D15="TIMESTAMP",10,IF(D15="TIME",3,0))))))</f>
        <v>8</v>
      </c>
      <c r="H15" s="53" t="s">
        <v>1375</v>
      </c>
      <c r="I15" s="53"/>
      <c r="J15" s="59"/>
      <c r="K15" s="609" t="s">
        <v>1501</v>
      </c>
      <c r="L15" s="610"/>
      <c r="M15" s="611"/>
    </row>
    <row r="16" spans="1:16" s="471" customFormat="1">
      <c r="A16" s="42">
        <f t="shared" si="0"/>
        <v>10</v>
      </c>
      <c r="B16" s="472" t="s">
        <v>1724</v>
      </c>
      <c r="C16" s="473" t="s">
        <v>1035</v>
      </c>
      <c r="D16" s="474" t="s">
        <v>1595</v>
      </c>
      <c r="E16" s="475"/>
      <c r="F16" s="476"/>
      <c r="G16" s="470">
        <f>IF(D16="DATE",4,IF(D16="CHAR",E16,IF(D16="SMALLINT",2,IF(D16="INTEGER",4,IF(D16="TIMESTAMP",10,IF(D16="TIME",3,0))))))</f>
        <v>10</v>
      </c>
      <c r="H16" s="477" t="s">
        <v>1596</v>
      </c>
      <c r="I16" s="478"/>
      <c r="J16" s="479"/>
      <c r="K16" s="962"/>
      <c r="L16" s="963"/>
      <c r="M16" s="964"/>
    </row>
    <row r="17" spans="1:13" ht="13.5" customHeight="1">
      <c r="A17" s="42" t="str">
        <f t="shared" si="0"/>
        <v xml:space="preserve"> </v>
      </c>
      <c r="B17" s="66"/>
      <c r="C17" s="13"/>
      <c r="D17" s="72"/>
      <c r="E17" s="73"/>
      <c r="F17" s="74"/>
      <c r="G17" s="20"/>
      <c r="H17" s="42"/>
      <c r="I17" s="42"/>
      <c r="J17" s="59"/>
      <c r="K17" s="628"/>
      <c r="L17" s="629"/>
      <c r="M17" s="630"/>
    </row>
    <row r="18" spans="1:13" ht="13.5" customHeight="1">
      <c r="A18" s="42" t="str">
        <f t="shared" si="0"/>
        <v xml:space="preserve"> </v>
      </c>
      <c r="B18" s="66"/>
      <c r="C18" s="13"/>
      <c r="D18" s="72"/>
      <c r="E18" s="73"/>
      <c r="F18" s="74"/>
      <c r="G18" s="20"/>
      <c r="H18" s="42"/>
      <c r="I18" s="42"/>
      <c r="J18" s="59"/>
      <c r="K18" s="628"/>
      <c r="L18" s="629"/>
      <c r="M18" s="630"/>
    </row>
    <row r="19" spans="1:13" ht="13.5" customHeight="1">
      <c r="A19" s="42" t="str">
        <f>IF(B19=""," ",#REF!+1)</f>
        <v xml:space="preserve"> </v>
      </c>
      <c r="B19" s="71"/>
      <c r="C19" s="13"/>
      <c r="D19" s="72"/>
      <c r="E19" s="73"/>
      <c r="F19" s="74"/>
      <c r="G19" s="20"/>
      <c r="H19" s="42"/>
      <c r="I19" s="42"/>
      <c r="J19" s="59"/>
      <c r="K19" s="628"/>
      <c r="L19" s="629"/>
      <c r="M19" s="630"/>
    </row>
    <row r="20" spans="1:13" ht="13.5" customHeight="1">
      <c r="A20" s="42" t="str">
        <f t="shared" ref="A20:A26" si="1">IF(B20=""," ",A19+1)</f>
        <v xml:space="preserve"> </v>
      </c>
      <c r="B20" s="71"/>
      <c r="C20" s="13"/>
      <c r="D20" s="72"/>
      <c r="E20" s="73"/>
      <c r="F20" s="74"/>
      <c r="G20" s="20"/>
      <c r="H20" s="42"/>
      <c r="I20" s="42"/>
      <c r="J20" s="59"/>
      <c r="K20" s="628"/>
      <c r="L20" s="629"/>
      <c r="M20" s="630"/>
    </row>
    <row r="21" spans="1:13" ht="13.5" customHeight="1">
      <c r="A21" s="42" t="str">
        <f t="shared" si="1"/>
        <v xml:space="preserve"> </v>
      </c>
      <c r="B21" s="71"/>
      <c r="C21" s="13"/>
      <c r="D21" s="72"/>
      <c r="E21" s="73"/>
      <c r="F21" s="74"/>
      <c r="G21" s="20"/>
      <c r="H21" s="42"/>
      <c r="I21" s="42"/>
      <c r="J21" s="59"/>
      <c r="K21" s="628"/>
      <c r="L21" s="629"/>
      <c r="M21" s="630"/>
    </row>
    <row r="22" spans="1:13" ht="13.5" customHeight="1">
      <c r="A22" s="42" t="str">
        <f t="shared" si="1"/>
        <v xml:space="preserve"> </v>
      </c>
      <c r="B22" s="71"/>
      <c r="C22" s="13"/>
      <c r="D22" s="72"/>
      <c r="E22" s="73"/>
      <c r="F22" s="74"/>
      <c r="G22" s="20"/>
      <c r="H22" s="42"/>
      <c r="I22" s="42"/>
      <c r="J22" s="59"/>
      <c r="K22" s="628"/>
      <c r="L22" s="629"/>
      <c r="M22" s="630"/>
    </row>
    <row r="23" spans="1:13" ht="13.5" customHeight="1">
      <c r="A23" s="42" t="str">
        <f t="shared" si="1"/>
        <v xml:space="preserve"> </v>
      </c>
      <c r="B23" s="71"/>
      <c r="C23" s="13"/>
      <c r="D23" s="72"/>
      <c r="E23" s="73"/>
      <c r="F23" s="74"/>
      <c r="G23" s="20"/>
      <c r="H23" s="42"/>
      <c r="I23" s="42"/>
      <c r="J23" s="59"/>
      <c r="K23" s="628"/>
      <c r="L23" s="629"/>
      <c r="M23" s="630"/>
    </row>
    <row r="24" spans="1:13" ht="13.5" customHeight="1">
      <c r="A24" s="42" t="str">
        <f t="shared" si="1"/>
        <v xml:space="preserve"> </v>
      </c>
      <c r="B24" s="71"/>
      <c r="C24" s="13"/>
      <c r="D24" s="72"/>
      <c r="E24" s="73"/>
      <c r="F24" s="74"/>
      <c r="G24" s="20"/>
      <c r="H24" s="42"/>
      <c r="I24" s="42"/>
      <c r="J24" s="59"/>
      <c r="K24" s="628"/>
      <c r="L24" s="629"/>
      <c r="M24" s="630"/>
    </row>
    <row r="25" spans="1:13" ht="13.5" customHeight="1">
      <c r="A25" s="42" t="str">
        <f t="shared" si="1"/>
        <v xml:space="preserve"> </v>
      </c>
      <c r="B25" s="71"/>
      <c r="C25" s="13"/>
      <c r="D25" s="72"/>
      <c r="E25" s="73"/>
      <c r="F25" s="74"/>
      <c r="G25" s="20"/>
      <c r="H25" s="42"/>
      <c r="I25" s="42"/>
      <c r="J25" s="59"/>
      <c r="K25" s="628"/>
      <c r="L25" s="629"/>
      <c r="M25" s="630"/>
    </row>
    <row r="26" spans="1:13">
      <c r="A26" s="478" t="str">
        <f t="shared" si="1"/>
        <v xml:space="preserve"> </v>
      </c>
      <c r="B26" s="66"/>
      <c r="C26" s="482"/>
      <c r="D26" s="483"/>
      <c r="E26" s="484"/>
      <c r="F26" s="485"/>
      <c r="G26" s="20"/>
      <c r="H26" s="478"/>
      <c r="I26" s="478"/>
      <c r="J26" s="479"/>
      <c r="K26" s="482"/>
      <c r="L26" s="480"/>
      <c r="M26" s="481"/>
    </row>
    <row r="27" spans="1:13">
      <c r="A27" s="478" t="str">
        <f>IF(B27=""," ",#REF!+1)</f>
        <v xml:space="preserve"> </v>
      </c>
      <c r="B27" s="486"/>
      <c r="C27" s="482"/>
      <c r="D27" s="483"/>
      <c r="E27" s="484"/>
      <c r="F27" s="485"/>
      <c r="G27" s="20"/>
      <c r="H27" s="478"/>
      <c r="I27" s="478"/>
      <c r="J27" s="479"/>
      <c r="K27" s="482"/>
      <c r="L27" s="480"/>
      <c r="M27" s="481"/>
    </row>
    <row r="28" spans="1:13">
      <c r="A28" s="478" t="str">
        <f>IF(B28=""," ",#REF!+1)</f>
        <v xml:space="preserve"> </v>
      </c>
      <c r="B28" s="486"/>
      <c r="C28" s="482"/>
      <c r="D28" s="483"/>
      <c r="E28" s="484"/>
      <c r="F28" s="485"/>
      <c r="G28" s="20"/>
      <c r="H28" s="478"/>
      <c r="I28" s="478"/>
      <c r="J28" s="479"/>
      <c r="K28" s="482"/>
      <c r="L28" s="480"/>
      <c r="M28" s="481"/>
    </row>
    <row r="29" spans="1:13">
      <c r="A29" s="478" t="str">
        <f t="shared" ref="A29:A38" si="2">IF(B29=""," ",A28+1)</f>
        <v xml:space="preserve"> </v>
      </c>
      <c r="B29" s="486"/>
      <c r="C29" s="482"/>
      <c r="D29" s="483"/>
      <c r="E29" s="484"/>
      <c r="F29" s="485"/>
      <c r="G29" s="20"/>
      <c r="H29" s="478"/>
      <c r="I29" s="478"/>
      <c r="J29" s="479"/>
      <c r="K29" s="482"/>
      <c r="L29" s="480"/>
      <c r="M29" s="481"/>
    </row>
    <row r="30" spans="1:13">
      <c r="A30" s="478" t="str">
        <f t="shared" si="2"/>
        <v xml:space="preserve"> </v>
      </c>
      <c r="B30" s="486"/>
      <c r="C30" s="482"/>
      <c r="D30" s="483"/>
      <c r="E30" s="484"/>
      <c r="F30" s="485"/>
      <c r="G30" s="20"/>
      <c r="H30" s="478"/>
      <c r="I30" s="478"/>
      <c r="J30" s="479"/>
      <c r="K30" s="482"/>
      <c r="L30" s="480"/>
      <c r="M30" s="481"/>
    </row>
    <row r="31" spans="1:13">
      <c r="A31" s="478" t="str">
        <f t="shared" si="2"/>
        <v xml:space="preserve"> </v>
      </c>
      <c r="B31" s="486"/>
      <c r="C31" s="482"/>
      <c r="D31" s="483"/>
      <c r="E31" s="484"/>
      <c r="F31" s="485"/>
      <c r="G31" s="20"/>
      <c r="H31" s="478"/>
      <c r="I31" s="478"/>
      <c r="J31" s="479"/>
      <c r="K31" s="482"/>
      <c r="L31" s="480"/>
      <c r="M31" s="481"/>
    </row>
    <row r="32" spans="1:13">
      <c r="A32" s="478" t="str">
        <f t="shared" si="2"/>
        <v xml:space="preserve"> </v>
      </c>
      <c r="B32" s="486"/>
      <c r="C32" s="482"/>
      <c r="D32" s="483"/>
      <c r="E32" s="484"/>
      <c r="F32" s="485"/>
      <c r="G32" s="470"/>
      <c r="H32" s="478"/>
      <c r="I32" s="478"/>
      <c r="J32" s="479"/>
      <c r="K32" s="482"/>
      <c r="L32" s="480"/>
      <c r="M32" s="481"/>
    </row>
    <row r="33" spans="1:13">
      <c r="A33" s="478" t="str">
        <f t="shared" si="2"/>
        <v xml:space="preserve"> </v>
      </c>
      <c r="B33" s="486"/>
      <c r="C33" s="482"/>
      <c r="D33" s="483"/>
      <c r="E33" s="484"/>
      <c r="F33" s="485"/>
      <c r="G33" s="470"/>
      <c r="H33" s="478"/>
      <c r="I33" s="478"/>
      <c r="J33" s="479"/>
      <c r="K33" s="482"/>
      <c r="L33" s="480"/>
      <c r="M33" s="481"/>
    </row>
    <row r="34" spans="1:13">
      <c r="A34" s="478" t="str">
        <f t="shared" si="2"/>
        <v xml:space="preserve"> </v>
      </c>
      <c r="B34" s="486"/>
      <c r="C34" s="482"/>
      <c r="D34" s="483"/>
      <c r="E34" s="484"/>
      <c r="F34" s="485"/>
      <c r="G34" s="470"/>
      <c r="H34" s="478"/>
      <c r="I34" s="478"/>
      <c r="J34" s="479"/>
      <c r="K34" s="482"/>
      <c r="L34" s="480"/>
      <c r="M34" s="481"/>
    </row>
    <row r="35" spans="1:13">
      <c r="A35" s="478" t="str">
        <f t="shared" si="2"/>
        <v xml:space="preserve"> </v>
      </c>
      <c r="B35" s="486"/>
      <c r="C35" s="482"/>
      <c r="D35" s="483"/>
      <c r="E35" s="484"/>
      <c r="F35" s="485"/>
      <c r="G35" s="470"/>
      <c r="H35" s="478"/>
      <c r="I35" s="478"/>
      <c r="J35" s="479"/>
      <c r="K35" s="482"/>
      <c r="L35" s="480"/>
      <c r="M35" s="481"/>
    </row>
    <row r="36" spans="1:13">
      <c r="A36" s="478" t="str">
        <f t="shared" si="2"/>
        <v xml:space="preserve"> </v>
      </c>
      <c r="B36" s="486"/>
      <c r="C36" s="482"/>
      <c r="D36" s="483"/>
      <c r="E36" s="484"/>
      <c r="F36" s="485"/>
      <c r="G36" s="470"/>
      <c r="H36" s="478"/>
      <c r="I36" s="478"/>
      <c r="J36" s="479"/>
      <c r="K36" s="482"/>
      <c r="L36" s="480"/>
      <c r="M36" s="481"/>
    </row>
    <row r="37" spans="1:13">
      <c r="A37" s="478" t="str">
        <f t="shared" si="2"/>
        <v xml:space="preserve"> </v>
      </c>
      <c r="B37" s="486"/>
      <c r="C37" s="482"/>
      <c r="D37" s="483"/>
      <c r="E37" s="484"/>
      <c r="F37" s="485"/>
      <c r="G37" s="470"/>
      <c r="H37" s="478"/>
      <c r="I37" s="478"/>
      <c r="J37" s="479"/>
      <c r="K37" s="482"/>
      <c r="L37" s="480"/>
      <c r="M37" s="481"/>
    </row>
    <row r="38" spans="1:13">
      <c r="A38" s="42" t="str">
        <f t="shared" si="2"/>
        <v xml:space="preserve"> </v>
      </c>
      <c r="B38" s="71"/>
      <c r="C38" s="13"/>
      <c r="D38" s="72"/>
      <c r="E38" s="73"/>
      <c r="F38" s="74"/>
      <c r="G38" s="20"/>
      <c r="H38" s="42"/>
      <c r="I38" s="42"/>
      <c r="J38" s="59"/>
      <c r="K38" s="609"/>
      <c r="L38" s="610"/>
      <c r="M38" s="611"/>
    </row>
    <row r="39" spans="1:13">
      <c r="A39" s="42" t="str">
        <f>IF(B39=""," ",#REF!+1)</f>
        <v xml:space="preserve"> </v>
      </c>
      <c r="B39" s="71"/>
      <c r="C39" s="13"/>
      <c r="D39" s="72"/>
      <c r="E39" s="73"/>
      <c r="F39" s="74"/>
      <c r="G39" s="20"/>
      <c r="H39" s="42"/>
      <c r="I39" s="42"/>
      <c r="J39" s="59"/>
      <c r="K39" s="609"/>
      <c r="L39" s="610"/>
      <c r="M39" s="611"/>
    </row>
    <row r="40" spans="1:13">
      <c r="A40" s="42" t="str">
        <f>IF(B40=""," ",#REF!+1)</f>
        <v xml:space="preserve"> </v>
      </c>
      <c r="B40" s="71"/>
      <c r="C40" s="13"/>
      <c r="D40" s="72"/>
      <c r="E40" s="73"/>
      <c r="F40" s="74"/>
      <c r="G40" s="20"/>
      <c r="H40" s="42"/>
      <c r="I40" s="42"/>
      <c r="J40" s="59"/>
      <c r="K40" s="13"/>
      <c r="L40" s="14"/>
      <c r="M40" s="15"/>
    </row>
    <row r="41" spans="1:13">
      <c r="A41" s="42" t="str">
        <f>IF(B41=""," ",A40+1)</f>
        <v xml:space="preserve"> </v>
      </c>
      <c r="B41" s="71"/>
      <c r="C41" s="13"/>
      <c r="D41" s="72"/>
      <c r="E41" s="73"/>
      <c r="F41" s="74"/>
      <c r="G41" s="20"/>
      <c r="H41" s="42"/>
      <c r="I41" s="42"/>
      <c r="J41" s="59"/>
      <c r="K41" s="13"/>
      <c r="L41" s="14"/>
      <c r="M41" s="15"/>
    </row>
    <row r="42" spans="1:13">
      <c r="A42" s="42" t="str">
        <f>IF(B42=""," ",A41+1)</f>
        <v xml:space="preserve"> </v>
      </c>
      <c r="B42" s="71"/>
      <c r="C42" s="13"/>
      <c r="D42" s="72"/>
      <c r="E42" s="73"/>
      <c r="F42" s="74"/>
      <c r="G42" s="20"/>
      <c r="H42" s="42"/>
      <c r="I42" s="42"/>
      <c r="J42" s="59"/>
      <c r="K42" s="609"/>
      <c r="L42" s="610"/>
      <c r="M42" s="611"/>
    </row>
    <row r="43" spans="1:13">
      <c r="A43" s="42" t="str">
        <f>IF(B43=""," ",#REF!+1)</f>
        <v xml:space="preserve"> </v>
      </c>
      <c r="B43" s="71"/>
      <c r="C43" s="13"/>
      <c r="D43" s="72"/>
      <c r="E43" s="73"/>
      <c r="F43" s="74"/>
      <c r="G43" s="20"/>
      <c r="H43" s="42"/>
      <c r="I43" s="42"/>
      <c r="J43" s="59"/>
      <c r="K43" s="609"/>
      <c r="L43" s="610"/>
      <c r="M43" s="611"/>
    </row>
    <row r="44" spans="1:13">
      <c r="A44" s="42" t="str">
        <f>IF(B44=""," ",#REF!+1)</f>
        <v xml:space="preserve"> </v>
      </c>
      <c r="B44" s="71"/>
      <c r="C44" s="13"/>
      <c r="D44" s="72"/>
      <c r="E44" s="73"/>
      <c r="F44" s="74"/>
      <c r="G44" s="20"/>
      <c r="H44" s="42"/>
      <c r="I44" s="42"/>
      <c r="J44" s="59"/>
      <c r="K44" s="13"/>
      <c r="L44" s="14"/>
      <c r="M44" s="15"/>
    </row>
    <row r="45" spans="1:13">
      <c r="A45" s="42" t="str">
        <f>IF(B45=""," ",A44+1)</f>
        <v xml:space="preserve"> </v>
      </c>
      <c r="B45" s="71"/>
      <c r="C45" s="13"/>
      <c r="D45" s="72"/>
      <c r="E45" s="73"/>
      <c r="F45" s="74"/>
      <c r="G45" s="20"/>
      <c r="H45" s="42"/>
      <c r="I45" s="42"/>
      <c r="J45" s="59"/>
      <c r="K45" s="13"/>
      <c r="L45" s="14"/>
      <c r="M45" s="15"/>
    </row>
    <row r="46" spans="1:13">
      <c r="A46" s="42" t="str">
        <f>IF(B46=""," ",A45+1)</f>
        <v xml:space="preserve"> </v>
      </c>
      <c r="B46" s="71"/>
      <c r="C46" s="13"/>
      <c r="D46" s="72"/>
      <c r="E46" s="73"/>
      <c r="F46" s="74"/>
      <c r="G46" s="20"/>
      <c r="H46" s="42"/>
      <c r="I46" s="42"/>
      <c r="J46" s="59"/>
      <c r="K46" s="609"/>
      <c r="L46" s="610"/>
      <c r="M46" s="611"/>
    </row>
    <row r="47" spans="1:13">
      <c r="A47" s="42" t="str">
        <f>IF(B47=""," ",#REF!+1)</f>
        <v xml:space="preserve"> </v>
      </c>
      <c r="B47" s="71"/>
      <c r="C47" s="13"/>
      <c r="D47" s="72"/>
      <c r="E47" s="73"/>
      <c r="F47" s="74"/>
      <c r="G47" s="20"/>
      <c r="H47" s="42"/>
      <c r="I47" s="42"/>
      <c r="J47" s="59"/>
      <c r="K47" s="609"/>
      <c r="L47" s="610"/>
      <c r="M47" s="611"/>
    </row>
    <row r="48" spans="1:13">
      <c r="A48" s="42" t="str">
        <f>IF(B48=""," ",#REF!+1)</f>
        <v xml:space="preserve"> </v>
      </c>
      <c r="B48" s="71"/>
      <c r="C48" s="13"/>
      <c r="D48" s="72"/>
      <c r="E48" s="73"/>
      <c r="F48" s="74"/>
      <c r="G48" s="20"/>
      <c r="H48" s="42"/>
      <c r="I48" s="42"/>
      <c r="J48" s="59"/>
      <c r="K48" s="13"/>
      <c r="L48" s="14"/>
      <c r="M48" s="15"/>
    </row>
    <row r="49" spans="1:13">
      <c r="A49" s="42" t="str">
        <f>IF(B49=""," ",A48+1)</f>
        <v xml:space="preserve"> </v>
      </c>
      <c r="B49" s="71"/>
      <c r="C49" s="13"/>
      <c r="D49" s="72"/>
      <c r="E49" s="73"/>
      <c r="F49" s="74"/>
      <c r="G49" s="20"/>
      <c r="H49" s="42"/>
      <c r="I49" s="42"/>
      <c r="J49" s="59"/>
      <c r="K49" s="13"/>
      <c r="L49" s="14"/>
      <c r="M49" s="15"/>
    </row>
    <row r="50" spans="1:13">
      <c r="A50" s="42" t="str">
        <f>IF(B50=""," ",A49+1)</f>
        <v xml:space="preserve"> </v>
      </c>
      <c r="B50" s="71"/>
      <c r="C50" s="13"/>
      <c r="D50" s="72"/>
      <c r="E50" s="73"/>
      <c r="F50" s="74"/>
      <c r="G50" s="20"/>
      <c r="H50" s="42"/>
      <c r="I50" s="42"/>
      <c r="J50" s="59"/>
      <c r="K50" s="609"/>
      <c r="L50" s="610"/>
      <c r="M50" s="611"/>
    </row>
    <row r="51" spans="1:13">
      <c r="A51" s="42" t="str">
        <f>IF(B51=""," ",#REF!+1)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13"/>
      <c r="L52" s="14"/>
      <c r="M52" s="15"/>
    </row>
    <row r="53" spans="1:13">
      <c r="A53" s="42" t="str">
        <f>IF(B53=""," ",A52+1)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609"/>
      <c r="L54" s="610"/>
      <c r="M54" s="611"/>
    </row>
    <row r="55" spans="1:13">
      <c r="A55" s="42" t="str">
        <f>IF(B55=""," ",#REF!+1)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13"/>
      <c r="L56" s="14"/>
      <c r="M56" s="15"/>
    </row>
    <row r="57" spans="1:13">
      <c r="A57" s="42" t="str">
        <f>IF(B57=""," ",A56+1)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609"/>
      <c r="L58" s="610"/>
      <c r="M58" s="611"/>
    </row>
    <row r="59" spans="1:13">
      <c r="A59" s="42" t="str">
        <f>IF(B59=""," ",#REF!+1)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13"/>
      <c r="L60" s="14"/>
      <c r="M60" s="15"/>
    </row>
    <row r="61" spans="1:13">
      <c r="A61" s="42" t="str">
        <f>IF(B61=""," ",A60+1)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2" spans="1:13">
      <c r="B102" s="16" t="s">
        <v>1691</v>
      </c>
    </row>
    <row r="112" spans="1:13">
      <c r="B112" s="75"/>
    </row>
  </sheetData>
  <mergeCells count="66">
    <mergeCell ref="K11:M11"/>
    <mergeCell ref="K13:M13"/>
    <mergeCell ref="K12:M12"/>
    <mergeCell ref="K23:M23"/>
    <mergeCell ref="K17:M17"/>
    <mergeCell ref="K18:M18"/>
    <mergeCell ref="K14:M14"/>
    <mergeCell ref="K16:M16"/>
    <mergeCell ref="K15:M15"/>
    <mergeCell ref="K24:M24"/>
    <mergeCell ref="K25:M25"/>
    <mergeCell ref="K19:M19"/>
    <mergeCell ref="K20:M20"/>
    <mergeCell ref="K21:M21"/>
    <mergeCell ref="K22:M22"/>
    <mergeCell ref="K10:M10"/>
    <mergeCell ref="A5:A6"/>
    <mergeCell ref="B5:C5"/>
    <mergeCell ref="K5:M6"/>
    <mergeCell ref="I5:J5"/>
    <mergeCell ref="D5:H5"/>
    <mergeCell ref="K8:M8"/>
    <mergeCell ref="K9:M9"/>
    <mergeCell ref="K7:M7"/>
    <mergeCell ref="A2:B2"/>
    <mergeCell ref="A3:B3"/>
    <mergeCell ref="A4:B4"/>
    <mergeCell ref="H2:J2"/>
    <mergeCell ref="C2:G2"/>
    <mergeCell ref="C3:G3"/>
    <mergeCell ref="C4:G4"/>
    <mergeCell ref="H4:I4"/>
    <mergeCell ref="H3:I3"/>
    <mergeCell ref="K59:M59"/>
    <mergeCell ref="K38:M38"/>
    <mergeCell ref="K39:M39"/>
    <mergeCell ref="K42:M42"/>
    <mergeCell ref="K43:M43"/>
    <mergeCell ref="K46:M46"/>
    <mergeCell ref="K47:M47"/>
    <mergeCell ref="K50:M50"/>
    <mergeCell ref="K51:M51"/>
    <mergeCell ref="K54:M54"/>
    <mergeCell ref="K55:M55"/>
    <mergeCell ref="K58:M58"/>
    <mergeCell ref="K83:M83"/>
    <mergeCell ref="K62:M62"/>
    <mergeCell ref="K63:M63"/>
    <mergeCell ref="K66:M66"/>
    <mergeCell ref="K67:M67"/>
    <mergeCell ref="K70:M70"/>
    <mergeCell ref="K71:M71"/>
    <mergeCell ref="K74:M74"/>
    <mergeCell ref="K75:M75"/>
    <mergeCell ref="K78:M78"/>
    <mergeCell ref="K79:M79"/>
    <mergeCell ref="K82:M82"/>
    <mergeCell ref="K86:M86"/>
    <mergeCell ref="K87:M87"/>
    <mergeCell ref="K90:M90"/>
    <mergeCell ref="K91:M91"/>
    <mergeCell ref="K100:M100"/>
    <mergeCell ref="K94:M94"/>
    <mergeCell ref="K95:M95"/>
    <mergeCell ref="K98:M98"/>
    <mergeCell ref="K99:M99"/>
  </mergeCells>
  <phoneticPr fontId="6"/>
  <pageMargins left="0.78740157480314965" right="0.19685039370078741" top="0.59055118110236227" bottom="0.59055118110236227" header="0.51181102362204722" footer="0.39370078740157483"/>
  <pageSetup paperSize="9" scale="68" fitToHeight="0" orientation="portrait" r:id="rId1"/>
  <headerFooter alignWithMargins="0">
    <oddFooter>&amp;C&amp;10&amp;P/&amp;N&amp;R&amp;10&amp;A</oddFooter>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8">
    <pageSetUpPr fitToPage="1"/>
  </sheetPr>
  <dimension ref="A1:P124"/>
  <sheetViews>
    <sheetView showGridLines="0" zoomScaleNormal="100" zoomScaleSheetLayoutView="100" workbookViewId="0">
      <pane ySplit="6" topLeftCell="A7" activePane="bottomLeft" state="frozen"/>
      <selection activeCell="A7" sqref="A7"/>
      <selection pane="bottomLeft"/>
    </sheetView>
  </sheetViews>
  <sheetFormatPr defaultRowHeight="12"/>
  <cols>
    <col min="1" max="1" width="3.875" style="88" customWidth="1"/>
    <col min="2" max="2" width="28.625" style="22" customWidth="1"/>
    <col min="3" max="3" width="13.375" style="22" customWidth="1"/>
    <col min="4" max="4" width="9.375" style="22" customWidth="1"/>
    <col min="5" max="5" width="4.875" style="22" bestFit="1" customWidth="1"/>
    <col min="6" max="6" width="4.75" style="22" bestFit="1" customWidth="1"/>
    <col min="7" max="7" width="6.125" style="22" bestFit="1" customWidth="1"/>
    <col min="8" max="8" width="4.75" style="22" bestFit="1" customWidth="1"/>
    <col min="9" max="9" width="4.75" style="22" customWidth="1"/>
    <col min="10" max="11" width="9.625" style="22" customWidth="1"/>
    <col min="12" max="12" width="10.25" style="22" customWidth="1"/>
    <col min="13" max="13" width="10.125" style="22" customWidth="1"/>
    <col min="14" max="14" width="9" style="22"/>
    <col min="15" max="16" width="0" style="22" hidden="1" customWidth="1"/>
    <col min="17" max="16384" width="9" style="22"/>
  </cols>
  <sheetData>
    <row r="1" spans="1:16">
      <c r="B1" s="47"/>
      <c r="C1" s="244"/>
    </row>
    <row r="2" spans="1:16">
      <c r="A2" s="670" t="s">
        <v>230</v>
      </c>
      <c r="B2" s="671"/>
      <c r="C2" s="670" t="s">
        <v>36</v>
      </c>
      <c r="D2" s="676"/>
      <c r="E2" s="676"/>
      <c r="F2" s="676"/>
      <c r="G2" s="671"/>
      <c r="H2" s="670"/>
      <c r="I2" s="676"/>
      <c r="J2" s="671"/>
      <c r="K2" s="81"/>
      <c r="L2" s="82" t="s">
        <v>37</v>
      </c>
      <c r="M2" s="82" t="s">
        <v>38</v>
      </c>
    </row>
    <row r="3" spans="1:16">
      <c r="A3" s="672"/>
      <c r="B3" s="673"/>
      <c r="C3" s="750" t="s">
        <v>374</v>
      </c>
      <c r="D3" s="751"/>
      <c r="E3" s="751"/>
      <c r="F3" s="751"/>
      <c r="G3" s="752"/>
      <c r="H3" s="670" t="s">
        <v>39</v>
      </c>
      <c r="I3" s="671"/>
      <c r="J3" s="83">
        <f>COUNT(A7:A101)</f>
        <v>14</v>
      </c>
      <c r="K3" s="82" t="s">
        <v>40</v>
      </c>
      <c r="L3" s="84">
        <v>38629</v>
      </c>
      <c r="M3" s="41" t="s">
        <v>56</v>
      </c>
      <c r="O3" s="22" t="s">
        <v>41</v>
      </c>
      <c r="P3" s="22" t="s">
        <v>42</v>
      </c>
    </row>
    <row r="4" spans="1:16">
      <c r="A4" s="674" t="s">
        <v>43</v>
      </c>
      <c r="B4" s="675"/>
      <c r="C4" s="674" t="s">
        <v>1479</v>
      </c>
      <c r="D4" s="753"/>
      <c r="E4" s="753"/>
      <c r="F4" s="753"/>
      <c r="G4" s="675"/>
      <c r="H4" s="670" t="s">
        <v>44</v>
      </c>
      <c r="I4" s="671"/>
      <c r="J4" s="83">
        <f>SUM(G7:G101)</f>
        <v>104</v>
      </c>
      <c r="K4" s="82" t="s">
        <v>45</v>
      </c>
      <c r="L4" s="40">
        <v>38816</v>
      </c>
      <c r="M4" s="42" t="s">
        <v>532</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ht="81" customHeight="1">
      <c r="A7" s="89">
        <v>1</v>
      </c>
      <c r="B7" s="48" t="s">
        <v>685</v>
      </c>
      <c r="C7" s="49" t="s">
        <v>376</v>
      </c>
      <c r="D7" s="78" t="s">
        <v>377</v>
      </c>
      <c r="E7" s="98">
        <v>1</v>
      </c>
      <c r="F7" s="245"/>
      <c r="G7" s="21">
        <f>IF(D7="DATE",4,IF(D7="CHAR",E7,IF(D7="SMALLINT",2,IF(D7="INTEGER",4,IF(D7="TIMESTAMP",10,IF(D7="TIME",3,0))))))</f>
        <v>1</v>
      </c>
      <c r="H7" s="89" t="s">
        <v>1403</v>
      </c>
      <c r="I7" s="91" t="s">
        <v>1403</v>
      </c>
      <c r="J7" s="246"/>
      <c r="K7" s="628" t="s">
        <v>1300</v>
      </c>
      <c r="L7" s="629"/>
      <c r="M7" s="630"/>
    </row>
    <row r="8" spans="1:16" ht="11.25" customHeight="1">
      <c r="A8" s="89">
        <v>2</v>
      </c>
      <c r="B8" s="48" t="s">
        <v>74</v>
      </c>
      <c r="C8" s="49" t="s">
        <v>1361</v>
      </c>
      <c r="D8" s="50" t="s">
        <v>506</v>
      </c>
      <c r="E8" s="51">
        <v>16</v>
      </c>
      <c r="F8" s="245"/>
      <c r="G8" s="21">
        <f>IF(D8="DATE",4,IF(D8="CHAR",E8,IF(D8="SMALLINT",2,IF(D8="INTEGER",4,IF(D8="TIMESTAMP",10,IF(D8="TIME",3,0))))))</f>
        <v>16</v>
      </c>
      <c r="H8" s="89" t="s">
        <v>1377</v>
      </c>
      <c r="I8" s="91" t="s">
        <v>1377</v>
      </c>
      <c r="J8" s="246"/>
      <c r="K8" s="599"/>
      <c r="L8" s="600"/>
      <c r="M8" s="601"/>
    </row>
    <row r="9" spans="1:16">
      <c r="A9" s="89">
        <v>3</v>
      </c>
      <c r="B9" s="48" t="s">
        <v>66</v>
      </c>
      <c r="C9" s="49" t="s">
        <v>1362</v>
      </c>
      <c r="D9" s="97" t="s">
        <v>548</v>
      </c>
      <c r="E9" s="98">
        <v>7</v>
      </c>
      <c r="F9" s="99"/>
      <c r="G9" s="21">
        <f>IF(D9="DATE",4,IF(D9="CHAR",E9,IF(D9="SMALLINT",2,IF(D9="INTEGER",4,IF(D9="TIMESTAMP",10,IF(D9="TIME",3,0))))))</f>
        <v>7</v>
      </c>
      <c r="H9" s="89" t="s">
        <v>547</v>
      </c>
      <c r="I9" s="91" t="s">
        <v>547</v>
      </c>
      <c r="J9" s="92"/>
      <c r="K9" s="599"/>
      <c r="L9" s="600"/>
      <c r="M9" s="601"/>
      <c r="P9" s="22" t="s">
        <v>55</v>
      </c>
    </row>
    <row r="10" spans="1:16" ht="60.75" customHeight="1">
      <c r="A10" s="89">
        <v>4</v>
      </c>
      <c r="B10" s="48" t="s">
        <v>119</v>
      </c>
      <c r="C10" s="49" t="s">
        <v>745</v>
      </c>
      <c r="D10" s="50" t="s">
        <v>524</v>
      </c>
      <c r="E10" s="51">
        <v>4</v>
      </c>
      <c r="F10" s="58"/>
      <c r="G10" s="20">
        <f>IF(D10="DATE",4,IF(D10="CHAR",E10,IF(D10="SMALLINT",2,IF(D10="INTEGER",4,IF(D10="TIMESTAMP",10,IF(D10="TIME",3,0))))))</f>
        <v>4</v>
      </c>
      <c r="H10" s="53" t="s">
        <v>574</v>
      </c>
      <c r="I10" s="53" t="s">
        <v>574</v>
      </c>
      <c r="J10" s="246"/>
      <c r="K10" s="599" t="s">
        <v>1365</v>
      </c>
      <c r="L10" s="600"/>
      <c r="M10" s="601"/>
    </row>
    <row r="11" spans="1:16" ht="32.25" customHeight="1">
      <c r="A11" s="89">
        <v>5</v>
      </c>
      <c r="B11" s="48" t="s">
        <v>525</v>
      </c>
      <c r="C11" s="49" t="s">
        <v>292</v>
      </c>
      <c r="D11" s="78" t="s">
        <v>506</v>
      </c>
      <c r="E11" s="98">
        <v>7</v>
      </c>
      <c r="F11" s="245"/>
      <c r="G11" s="21">
        <f t="shared" ref="G11:G20" si="0">IF(D11="DATE",4,IF(D11="CHAR",E11,IF(D11="SMALLINT",2,IF(D11="INTEGER",4,IF(D11="TIMESTAMP",10,IF(D11="TIME",3,0))))))</f>
        <v>7</v>
      </c>
      <c r="H11" s="89" t="s">
        <v>574</v>
      </c>
      <c r="I11" s="91" t="s">
        <v>574</v>
      </c>
      <c r="J11" s="246"/>
      <c r="K11" s="599" t="s">
        <v>1202</v>
      </c>
      <c r="L11" s="600"/>
      <c r="M11" s="601"/>
    </row>
    <row r="12" spans="1:16" ht="52.5" customHeight="1">
      <c r="A12" s="89">
        <v>6</v>
      </c>
      <c r="B12" s="48" t="s">
        <v>682</v>
      </c>
      <c r="C12" s="49" t="s">
        <v>683</v>
      </c>
      <c r="D12" s="78" t="s">
        <v>580</v>
      </c>
      <c r="E12" s="98">
        <v>1</v>
      </c>
      <c r="F12" s="245"/>
      <c r="G12" s="21">
        <f t="shared" si="0"/>
        <v>1</v>
      </c>
      <c r="H12" s="89" t="s">
        <v>581</v>
      </c>
      <c r="I12" s="91" t="s">
        <v>581</v>
      </c>
      <c r="J12" s="246"/>
      <c r="K12" s="628" t="s">
        <v>1204</v>
      </c>
      <c r="L12" s="629"/>
      <c r="M12" s="630"/>
    </row>
    <row r="13" spans="1:16" ht="25.5" customHeight="1">
      <c r="A13" s="89">
        <v>7</v>
      </c>
      <c r="B13" s="48" t="s">
        <v>681</v>
      </c>
      <c r="C13" s="49" t="s">
        <v>516</v>
      </c>
      <c r="D13" s="78" t="s">
        <v>1427</v>
      </c>
      <c r="E13" s="98">
        <v>1</v>
      </c>
      <c r="F13" s="99"/>
      <c r="G13" s="21">
        <f t="shared" si="0"/>
        <v>1</v>
      </c>
      <c r="H13" s="89" t="s">
        <v>1406</v>
      </c>
      <c r="I13" s="89" t="s">
        <v>1406</v>
      </c>
      <c r="J13" s="92"/>
      <c r="K13" s="628" t="s">
        <v>1203</v>
      </c>
      <c r="L13" s="629"/>
      <c r="M13" s="630"/>
    </row>
    <row r="14" spans="1:16" ht="43.5" customHeight="1">
      <c r="A14" s="89">
        <v>8</v>
      </c>
      <c r="B14" s="48" t="s">
        <v>31</v>
      </c>
      <c r="C14" s="49" t="s">
        <v>378</v>
      </c>
      <c r="D14" s="78" t="s">
        <v>1427</v>
      </c>
      <c r="E14" s="98">
        <v>1</v>
      </c>
      <c r="F14" s="99"/>
      <c r="G14" s="21">
        <f t="shared" si="0"/>
        <v>1</v>
      </c>
      <c r="H14" s="89" t="s">
        <v>1392</v>
      </c>
      <c r="I14" s="91"/>
      <c r="J14" s="92"/>
      <c r="K14" s="628" t="s">
        <v>736</v>
      </c>
      <c r="L14" s="629"/>
      <c r="M14" s="630"/>
    </row>
    <row r="15" spans="1:16">
      <c r="A15" s="89">
        <v>9</v>
      </c>
      <c r="B15" s="48" t="s">
        <v>1179</v>
      </c>
      <c r="C15" s="49" t="s">
        <v>380</v>
      </c>
      <c r="D15" s="50" t="s">
        <v>1427</v>
      </c>
      <c r="E15" s="95">
        <v>20</v>
      </c>
      <c r="F15" s="99"/>
      <c r="G15" s="21">
        <f t="shared" si="0"/>
        <v>20</v>
      </c>
      <c r="H15" s="89" t="s">
        <v>1406</v>
      </c>
      <c r="I15" s="89"/>
      <c r="J15" s="92"/>
      <c r="K15" s="628"/>
      <c r="L15" s="629"/>
      <c r="M15" s="630"/>
    </row>
    <row r="16" spans="1:16">
      <c r="A16" s="89">
        <v>10</v>
      </c>
      <c r="B16" s="48" t="s">
        <v>1180</v>
      </c>
      <c r="C16" s="49" t="s">
        <v>381</v>
      </c>
      <c r="D16" s="50" t="s">
        <v>569</v>
      </c>
      <c r="E16" s="95">
        <v>20</v>
      </c>
      <c r="F16" s="99"/>
      <c r="G16" s="21">
        <f t="shared" si="0"/>
        <v>20</v>
      </c>
      <c r="H16" s="89" t="s">
        <v>1400</v>
      </c>
      <c r="I16" s="89"/>
      <c r="J16" s="92"/>
      <c r="K16" s="628"/>
      <c r="L16" s="629"/>
      <c r="M16" s="630"/>
    </row>
    <row r="17" spans="1:13">
      <c r="A17" s="89">
        <v>11</v>
      </c>
      <c r="B17" s="64" t="s">
        <v>26</v>
      </c>
      <c r="C17" s="24" t="s">
        <v>1399</v>
      </c>
      <c r="D17" s="65" t="s">
        <v>519</v>
      </c>
      <c r="E17" s="51"/>
      <c r="F17" s="58"/>
      <c r="G17" s="21">
        <f t="shared" si="0"/>
        <v>4</v>
      </c>
      <c r="H17" s="89" t="s">
        <v>1400</v>
      </c>
      <c r="I17" s="89" t="s">
        <v>1400</v>
      </c>
      <c r="J17" s="165"/>
      <c r="K17" s="632" t="s">
        <v>1659</v>
      </c>
      <c r="L17" s="633"/>
      <c r="M17" s="634"/>
    </row>
    <row r="18" spans="1:13">
      <c r="A18" s="89">
        <v>12</v>
      </c>
      <c r="B18" s="64" t="s">
        <v>27</v>
      </c>
      <c r="C18" s="24" t="s">
        <v>1401</v>
      </c>
      <c r="D18" s="65" t="s">
        <v>1402</v>
      </c>
      <c r="E18" s="51"/>
      <c r="F18" s="58"/>
      <c r="G18" s="21">
        <f t="shared" si="0"/>
        <v>4</v>
      </c>
      <c r="H18" s="89" t="s">
        <v>1403</v>
      </c>
      <c r="I18" s="53"/>
      <c r="J18" s="165"/>
      <c r="K18" s="632" t="s">
        <v>1660</v>
      </c>
      <c r="L18" s="633"/>
      <c r="M18" s="634"/>
    </row>
    <row r="19" spans="1:13">
      <c r="A19" s="89">
        <f>IF(B19=""," ",A18+1)</f>
        <v>13</v>
      </c>
      <c r="B19" s="64" t="s">
        <v>1083</v>
      </c>
      <c r="C19" s="24" t="s">
        <v>1111</v>
      </c>
      <c r="D19" s="72" t="s">
        <v>1431</v>
      </c>
      <c r="E19" s="51">
        <v>8</v>
      </c>
      <c r="F19" s="58"/>
      <c r="G19" s="20">
        <f t="shared" si="0"/>
        <v>8</v>
      </c>
      <c r="H19" s="53" t="s">
        <v>1432</v>
      </c>
      <c r="I19" s="89"/>
      <c r="J19" s="92"/>
      <c r="K19" s="602"/>
      <c r="L19" s="692"/>
      <c r="M19" s="693"/>
    </row>
    <row r="20" spans="1:13">
      <c r="A20" s="89">
        <f>IF(B20=""," ",A19+1)</f>
        <v>14</v>
      </c>
      <c r="B20" s="93" t="s">
        <v>1724</v>
      </c>
      <c r="C20" s="26" t="s">
        <v>1404</v>
      </c>
      <c r="D20" s="94" t="s">
        <v>1405</v>
      </c>
      <c r="E20" s="95"/>
      <c r="F20" s="90"/>
      <c r="G20" s="21">
        <f t="shared" si="0"/>
        <v>10</v>
      </c>
      <c r="H20" s="91" t="s">
        <v>1406</v>
      </c>
      <c r="I20" s="89"/>
      <c r="J20" s="92"/>
      <c r="K20" s="669"/>
      <c r="L20" s="603"/>
      <c r="M20" s="604"/>
    </row>
    <row r="21" spans="1:13">
      <c r="A21" s="89" t="str">
        <f>IF(B21=""," ",A20+1)</f>
        <v xml:space="preserve"> </v>
      </c>
      <c r="B21" s="100"/>
      <c r="C21" s="137"/>
      <c r="D21" s="78"/>
      <c r="E21" s="98"/>
      <c r="F21" s="99"/>
      <c r="G21" s="21"/>
      <c r="H21" s="89"/>
      <c r="I21" s="89"/>
      <c r="J21" s="92"/>
      <c r="K21" s="628"/>
      <c r="L21" s="629"/>
      <c r="M21" s="630"/>
    </row>
    <row r="22" spans="1:13">
      <c r="A22" s="89" t="str">
        <f>IF(B22=""," ",A21+1)</f>
        <v xml:space="preserve"> </v>
      </c>
      <c r="B22" s="96"/>
      <c r="C22" s="31"/>
      <c r="D22" s="97"/>
      <c r="E22" s="98"/>
      <c r="F22" s="99"/>
      <c r="G22" s="21"/>
      <c r="H22" s="89"/>
      <c r="I22" s="89"/>
      <c r="J22" s="92"/>
      <c r="K22" s="602"/>
      <c r="L22" s="603"/>
      <c r="M22" s="604"/>
    </row>
    <row r="23" spans="1:13">
      <c r="A23" s="89" t="str">
        <f>IF(B23=""," ",A22+1)</f>
        <v xml:space="preserve"> </v>
      </c>
      <c r="B23" s="96"/>
      <c r="C23" s="31"/>
      <c r="D23" s="97"/>
      <c r="E23" s="98"/>
      <c r="F23" s="99"/>
      <c r="G23" s="21"/>
      <c r="H23" s="89"/>
      <c r="I23" s="89"/>
      <c r="J23" s="92"/>
      <c r="K23" s="602"/>
      <c r="L23" s="692"/>
      <c r="M23" s="693"/>
    </row>
    <row r="24" spans="1:13">
      <c r="A24" s="89" t="str">
        <f>IF(B24=""," ",#REF!+1)</f>
        <v xml:space="preserve"> </v>
      </c>
      <c r="B24" s="96"/>
      <c r="C24" s="31"/>
      <c r="D24" s="97"/>
      <c r="E24" s="98"/>
      <c r="F24" s="99"/>
      <c r="G24" s="21"/>
      <c r="H24" s="89"/>
      <c r="I24" s="89"/>
      <c r="J24" s="92"/>
      <c r="K24" s="669"/>
      <c r="L24" s="603"/>
      <c r="M24" s="604"/>
    </row>
    <row r="25" spans="1:13">
      <c r="A25" s="89" t="str">
        <f>IF(B25=""," ",A24+1)</f>
        <v xml:space="preserve"> </v>
      </c>
      <c r="B25" s="96"/>
      <c r="C25" s="31"/>
      <c r="D25" s="97"/>
      <c r="E25" s="98"/>
      <c r="F25" s="99"/>
      <c r="G25" s="21"/>
      <c r="H25" s="89"/>
      <c r="I25" s="89"/>
      <c r="J25" s="92"/>
      <c r="K25" s="669"/>
      <c r="L25" s="603"/>
      <c r="M25" s="604"/>
    </row>
    <row r="26" spans="1:13">
      <c r="A26" s="89" t="str">
        <f>IF(B26=""," ",#REF!+1)</f>
        <v xml:space="preserve"> </v>
      </c>
      <c r="B26" s="96"/>
      <c r="C26" s="31"/>
      <c r="D26" s="97"/>
      <c r="E26" s="98"/>
      <c r="F26" s="99"/>
      <c r="G26" s="21"/>
      <c r="H26" s="89"/>
      <c r="I26" s="89"/>
      <c r="J26" s="92"/>
      <c r="K26" s="31"/>
      <c r="L26" s="32"/>
      <c r="M26" s="33"/>
    </row>
    <row r="27" spans="1:13">
      <c r="A27" s="89" t="str">
        <f>IF(B27=""," ",A26+1)</f>
        <v xml:space="preserve"> </v>
      </c>
      <c r="B27" s="96"/>
      <c r="C27" s="31"/>
      <c r="D27" s="97"/>
      <c r="E27" s="98"/>
      <c r="F27" s="99"/>
      <c r="G27" s="21"/>
      <c r="H27" s="89"/>
      <c r="I27" s="89"/>
      <c r="J27" s="92"/>
      <c r="K27" s="31"/>
      <c r="L27" s="32"/>
      <c r="M27" s="33"/>
    </row>
    <row r="28" spans="1:13">
      <c r="A28" s="89" t="str">
        <f t="shared" ref="A28:A39" si="1">IF(B28=""," ",A27+1)</f>
        <v xml:space="preserve"> </v>
      </c>
      <c r="B28" s="66"/>
      <c r="C28" s="31"/>
      <c r="D28" s="97"/>
      <c r="E28" s="98"/>
      <c r="F28" s="99"/>
      <c r="G28" s="21"/>
      <c r="H28" s="89"/>
      <c r="I28" s="89"/>
      <c r="J28" s="92"/>
      <c r="K28" s="31"/>
      <c r="L28" s="32"/>
      <c r="M28" s="33"/>
    </row>
    <row r="29" spans="1:13">
      <c r="A29" s="89" t="str">
        <f>IF(B29=""," ",#REF!+1)</f>
        <v xml:space="preserve"> </v>
      </c>
      <c r="B29" s="96"/>
      <c r="C29" s="31"/>
      <c r="D29" s="97"/>
      <c r="E29" s="98"/>
      <c r="F29" s="99"/>
      <c r="G29" s="21"/>
      <c r="H29" s="89"/>
      <c r="I29" s="89"/>
      <c r="J29" s="92"/>
      <c r="K29" s="31"/>
      <c r="L29" s="32"/>
      <c r="M29" s="33"/>
    </row>
    <row r="30" spans="1:13">
      <c r="A30" s="89" t="str">
        <f>IF(B30=""," ",#REF!+1)</f>
        <v xml:space="preserve"> </v>
      </c>
      <c r="B30" s="96"/>
      <c r="C30" s="31"/>
      <c r="D30" s="97"/>
      <c r="E30" s="98"/>
      <c r="F30" s="99"/>
      <c r="G30" s="21"/>
      <c r="H30" s="89"/>
      <c r="I30" s="89"/>
      <c r="J30" s="92"/>
      <c r="K30" s="31"/>
      <c r="L30" s="32"/>
      <c r="M30" s="33"/>
    </row>
    <row r="31" spans="1:13">
      <c r="A31" s="89" t="str">
        <f t="shared" si="1"/>
        <v xml:space="preserve"> </v>
      </c>
      <c r="B31" s="96"/>
      <c r="C31" s="31"/>
      <c r="D31" s="97"/>
      <c r="E31" s="98"/>
      <c r="F31" s="99"/>
      <c r="G31" s="21"/>
      <c r="H31" s="89"/>
      <c r="I31" s="89"/>
      <c r="J31" s="92"/>
      <c r="K31" s="31"/>
      <c r="L31" s="32"/>
      <c r="M31" s="33"/>
    </row>
    <row r="32" spans="1:13">
      <c r="A32" s="89" t="str">
        <f t="shared" si="1"/>
        <v xml:space="preserve"> </v>
      </c>
      <c r="B32" s="96"/>
      <c r="C32" s="31"/>
      <c r="D32" s="97"/>
      <c r="E32" s="98"/>
      <c r="F32" s="99"/>
      <c r="G32" s="21"/>
      <c r="H32" s="89"/>
      <c r="I32" s="89"/>
      <c r="J32" s="92"/>
      <c r="K32" s="31"/>
      <c r="L32" s="32"/>
      <c r="M32" s="33"/>
    </row>
    <row r="33" spans="1:13">
      <c r="A33" s="89" t="str">
        <f t="shared" si="1"/>
        <v xml:space="preserve"> </v>
      </c>
      <c r="B33" s="96"/>
      <c r="C33" s="31"/>
      <c r="D33" s="97"/>
      <c r="E33" s="98"/>
      <c r="F33" s="99"/>
      <c r="G33" s="21"/>
      <c r="H33" s="89"/>
      <c r="I33" s="89"/>
      <c r="J33" s="92"/>
      <c r="K33" s="31"/>
      <c r="L33" s="32"/>
      <c r="M33" s="33"/>
    </row>
    <row r="34" spans="1:13">
      <c r="A34" s="89" t="str">
        <f>IF(B34=""," ",A33+1)</f>
        <v xml:space="preserve"> </v>
      </c>
      <c r="B34" s="96"/>
      <c r="C34" s="31"/>
      <c r="D34" s="97"/>
      <c r="E34" s="98"/>
      <c r="F34" s="99"/>
      <c r="G34" s="21"/>
      <c r="H34" s="89"/>
      <c r="I34" s="89"/>
      <c r="J34" s="92"/>
      <c r="K34" s="31"/>
      <c r="L34" s="32"/>
      <c r="M34" s="33"/>
    </row>
    <row r="35" spans="1:13">
      <c r="A35" s="89" t="str">
        <f t="shared" si="1"/>
        <v xml:space="preserve"> </v>
      </c>
      <c r="B35" s="96"/>
      <c r="C35" s="31"/>
      <c r="D35" s="97"/>
      <c r="E35" s="98"/>
      <c r="F35" s="99"/>
      <c r="G35" s="21"/>
      <c r="H35" s="89"/>
      <c r="I35" s="89"/>
      <c r="J35" s="92"/>
      <c r="K35" s="31"/>
      <c r="L35" s="32"/>
      <c r="M35" s="33"/>
    </row>
    <row r="36" spans="1:13">
      <c r="A36" s="89" t="str">
        <f t="shared" si="1"/>
        <v xml:space="preserve"> </v>
      </c>
      <c r="B36" s="96"/>
      <c r="C36" s="31"/>
      <c r="D36" s="97"/>
      <c r="E36" s="98"/>
      <c r="F36" s="99"/>
      <c r="G36" s="21"/>
      <c r="H36" s="89"/>
      <c r="I36" s="89"/>
      <c r="J36" s="92"/>
      <c r="K36" s="31"/>
      <c r="L36" s="32"/>
      <c r="M36" s="33"/>
    </row>
    <row r="37" spans="1:13">
      <c r="A37" s="89" t="str">
        <f t="shared" si="1"/>
        <v xml:space="preserve"> </v>
      </c>
      <c r="B37" s="96"/>
      <c r="C37" s="31"/>
      <c r="D37" s="97"/>
      <c r="E37" s="98"/>
      <c r="F37" s="99"/>
      <c r="G37" s="21"/>
      <c r="H37" s="89"/>
      <c r="I37" s="89"/>
      <c r="J37" s="92"/>
      <c r="K37" s="31"/>
      <c r="L37" s="32"/>
      <c r="M37" s="33"/>
    </row>
    <row r="38" spans="1:13">
      <c r="A38" s="89" t="str">
        <f t="shared" si="1"/>
        <v xml:space="preserve"> </v>
      </c>
      <c r="B38" s="96"/>
      <c r="C38" s="31"/>
      <c r="D38" s="97"/>
      <c r="E38" s="98"/>
      <c r="F38" s="99"/>
      <c r="G38" s="21"/>
      <c r="H38" s="89"/>
      <c r="I38" s="89"/>
      <c r="J38" s="92"/>
      <c r="K38" s="31"/>
      <c r="L38" s="32"/>
      <c r="M38" s="33"/>
    </row>
    <row r="39" spans="1:13">
      <c r="A39" s="89" t="str">
        <f t="shared" si="1"/>
        <v xml:space="preserve"> </v>
      </c>
      <c r="B39" s="96"/>
      <c r="C39" s="31"/>
      <c r="D39" s="97"/>
      <c r="E39" s="98"/>
      <c r="F39" s="99"/>
      <c r="G39" s="21"/>
      <c r="H39" s="89"/>
      <c r="I39" s="89"/>
      <c r="J39" s="92"/>
      <c r="K39" s="31"/>
      <c r="L39" s="32"/>
      <c r="M39" s="33"/>
    </row>
    <row r="40" spans="1:13">
      <c r="A40" s="42" t="str">
        <f>IF(B40=""," ",A39+1)</f>
        <v xml:space="preserve"> </v>
      </c>
      <c r="B40" s="71"/>
      <c r="C40" s="13"/>
      <c r="D40" s="72"/>
      <c r="E40" s="73"/>
      <c r="F40" s="74"/>
      <c r="G40" s="20"/>
      <c r="H40" s="42"/>
      <c r="I40" s="42"/>
      <c r="J40" s="59"/>
      <c r="K40" s="609"/>
      <c r="L40" s="610"/>
      <c r="M40" s="611"/>
    </row>
    <row r="41" spans="1:13">
      <c r="A41" s="42" t="str">
        <f>IF(B41=""," ",#REF!+1)</f>
        <v xml:space="preserve"> </v>
      </c>
      <c r="B41" s="71"/>
      <c r="C41" s="13"/>
      <c r="D41" s="72"/>
      <c r="E41" s="73"/>
      <c r="F41" s="74"/>
      <c r="G41" s="20"/>
      <c r="H41" s="42"/>
      <c r="I41" s="42"/>
      <c r="J41" s="59"/>
      <c r="K41" s="609"/>
      <c r="L41" s="610"/>
      <c r="M41" s="611"/>
    </row>
    <row r="42" spans="1:13">
      <c r="A42" s="42" t="str">
        <f>IF(B42=""," ",#REF!+1)</f>
        <v xml:space="preserve"> </v>
      </c>
      <c r="B42" s="71"/>
      <c r="C42" s="13"/>
      <c r="D42" s="72"/>
      <c r="E42" s="73"/>
      <c r="F42" s="74"/>
      <c r="G42" s="20"/>
      <c r="H42" s="42"/>
      <c r="I42" s="42"/>
      <c r="J42" s="59"/>
      <c r="K42" s="13"/>
      <c r="L42" s="14"/>
      <c r="M42" s="15"/>
    </row>
    <row r="43" spans="1:13">
      <c r="A43" s="42" t="str">
        <f>IF(B43=""," ",A42+1)</f>
        <v xml:space="preserve"> </v>
      </c>
      <c r="B43" s="71"/>
      <c r="C43" s="13"/>
      <c r="D43" s="72"/>
      <c r="E43" s="73"/>
      <c r="F43" s="74"/>
      <c r="G43" s="20"/>
      <c r="H43" s="42"/>
      <c r="I43" s="42"/>
      <c r="J43" s="59"/>
      <c r="K43" s="13"/>
      <c r="L43" s="14"/>
      <c r="M43" s="15"/>
    </row>
    <row r="44" spans="1:13">
      <c r="A44" s="42" t="str">
        <f>IF(B44=""," ",A43+1)</f>
        <v xml:space="preserve"> </v>
      </c>
      <c r="B44" s="71"/>
      <c r="C44" s="13"/>
      <c r="D44" s="72"/>
      <c r="E44" s="73"/>
      <c r="F44" s="74"/>
      <c r="G44" s="20"/>
      <c r="H44" s="42"/>
      <c r="I44" s="42"/>
      <c r="J44" s="59"/>
      <c r="K44" s="609"/>
      <c r="L44" s="610"/>
      <c r="M44" s="611"/>
    </row>
    <row r="45" spans="1:13">
      <c r="A45" s="42" t="str">
        <f>IF(B45=""," ",#REF!+1)</f>
        <v xml:space="preserve"> </v>
      </c>
      <c r="B45" s="71"/>
      <c r="C45" s="13"/>
      <c r="D45" s="72"/>
      <c r="E45" s="73"/>
      <c r="F45" s="74"/>
      <c r="G45" s="20"/>
      <c r="H45" s="42"/>
      <c r="I45" s="42"/>
      <c r="J45" s="59"/>
      <c r="K45" s="609"/>
      <c r="L45" s="610"/>
      <c r="M45" s="611"/>
    </row>
    <row r="46" spans="1:13">
      <c r="A46" s="42" t="str">
        <f>IF(B46=""," ",#REF!+1)</f>
        <v xml:space="preserve"> </v>
      </c>
      <c r="B46" s="71"/>
      <c r="C46" s="13"/>
      <c r="D46" s="72"/>
      <c r="E46" s="73"/>
      <c r="F46" s="74"/>
      <c r="G46" s="20"/>
      <c r="H46" s="42"/>
      <c r="I46" s="42"/>
      <c r="J46" s="59"/>
      <c r="K46" s="13"/>
      <c r="L46" s="14"/>
      <c r="M46" s="15"/>
    </row>
    <row r="47" spans="1:13">
      <c r="A47" s="42" t="str">
        <f>IF(B47=""," ",A46+1)</f>
        <v xml:space="preserve"> </v>
      </c>
      <c r="B47" s="71"/>
      <c r="C47" s="13"/>
      <c r="D47" s="72"/>
      <c r="E47" s="73"/>
      <c r="F47" s="74"/>
      <c r="G47" s="20"/>
      <c r="H47" s="42"/>
      <c r="I47" s="42"/>
      <c r="J47" s="59"/>
      <c r="K47" s="13"/>
      <c r="L47" s="14"/>
      <c r="M47" s="15"/>
    </row>
    <row r="48" spans="1:13">
      <c r="A48" s="42" t="str">
        <f>IF(B48=""," ",A47+1)</f>
        <v xml:space="preserve"> </v>
      </c>
      <c r="B48" s="71"/>
      <c r="C48" s="13"/>
      <c r="D48" s="72"/>
      <c r="E48" s="73"/>
      <c r="F48" s="74"/>
      <c r="G48" s="20"/>
      <c r="H48" s="42"/>
      <c r="I48" s="42"/>
      <c r="J48" s="59"/>
      <c r="K48" s="609"/>
      <c r="L48" s="610"/>
      <c r="M48" s="611"/>
    </row>
    <row r="49" spans="1:13">
      <c r="A49" s="42" t="str">
        <f>IF(B49=""," ",#REF!+1)</f>
        <v xml:space="preserve"> </v>
      </c>
      <c r="B49" s="71"/>
      <c r="C49" s="13"/>
      <c r="D49" s="72"/>
      <c r="E49" s="73"/>
      <c r="F49" s="74"/>
      <c r="G49" s="20"/>
      <c r="H49" s="42"/>
      <c r="I49" s="42"/>
      <c r="J49" s="59"/>
      <c r="K49" s="609"/>
      <c r="L49" s="610"/>
      <c r="M49" s="611"/>
    </row>
    <row r="50" spans="1:13">
      <c r="A50" s="42" t="str">
        <f>IF(B50=""," ",#REF!+1)</f>
        <v xml:space="preserve"> </v>
      </c>
      <c r="B50" s="71"/>
      <c r="C50" s="13"/>
      <c r="D50" s="72"/>
      <c r="E50" s="73"/>
      <c r="F50" s="74"/>
      <c r="G50" s="20"/>
      <c r="H50" s="42"/>
      <c r="I50" s="42"/>
      <c r="J50" s="59"/>
      <c r="K50" s="13"/>
      <c r="L50" s="14"/>
      <c r="M50" s="15"/>
    </row>
    <row r="51" spans="1:13">
      <c r="A51" s="42" t="str">
        <f>IF(B51=""," ",A50+1)</f>
        <v xml:space="preserve"> </v>
      </c>
      <c r="B51" s="71"/>
      <c r="C51" s="13"/>
      <c r="D51" s="72"/>
      <c r="E51" s="73"/>
      <c r="F51" s="74"/>
      <c r="G51" s="20"/>
      <c r="H51" s="42"/>
      <c r="I51" s="42"/>
      <c r="J51" s="59"/>
      <c r="K51" s="13"/>
      <c r="L51" s="14"/>
      <c r="M51" s="15"/>
    </row>
    <row r="52" spans="1:13">
      <c r="A52" s="42" t="str">
        <f>IF(B52=""," ",A51+1)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609"/>
      <c r="L53" s="610"/>
      <c r="M53" s="611"/>
    </row>
    <row r="54" spans="1:13">
      <c r="A54" s="42" t="str">
        <f>IF(B54=""," ",#REF!+1)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13"/>
      <c r="L55" s="14"/>
      <c r="M55" s="15"/>
    </row>
    <row r="56" spans="1:13">
      <c r="A56" s="42" t="str">
        <f>IF(B56=""," ",A55+1)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609"/>
      <c r="L57" s="610"/>
      <c r="M57" s="611"/>
    </row>
    <row r="58" spans="1:13">
      <c r="A58" s="42" t="str">
        <f>IF(B58=""," ",#REF!+1)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13"/>
      <c r="L59" s="14"/>
      <c r="M59" s="15"/>
    </row>
    <row r="60" spans="1:13">
      <c r="A60" s="42" t="str">
        <f>IF(B60=""," ",A59+1)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13"/>
      <c r="L98" s="14"/>
      <c r="M98" s="15"/>
    </row>
    <row r="99" spans="1:13">
      <c r="A99" s="42" t="str">
        <f>IF(B99=""," ",A97+1)</f>
        <v xml:space="preserve"> </v>
      </c>
      <c r="B99" s="71"/>
      <c r="C99" s="13"/>
      <c r="D99" s="72"/>
      <c r="E99" s="73"/>
      <c r="F99" s="74"/>
      <c r="G99" s="20"/>
      <c r="H99" s="42"/>
      <c r="I99" s="42"/>
      <c r="J99" s="59"/>
      <c r="K99" s="13"/>
      <c r="L99" s="14"/>
      <c r="M99" s="15"/>
    </row>
    <row r="100" spans="1:13">
      <c r="A100" s="42" t="str">
        <f>IF(B100=""," ",A98+1)</f>
        <v xml:space="preserve"> </v>
      </c>
      <c r="B100" s="71"/>
      <c r="C100" s="13"/>
      <c r="D100" s="72"/>
      <c r="E100" s="73"/>
      <c r="F100" s="74"/>
      <c r="G100" s="20"/>
      <c r="H100" s="42"/>
      <c r="I100" s="42"/>
      <c r="J100" s="59"/>
      <c r="K100" s="13"/>
      <c r="L100" s="14"/>
      <c r="M100" s="15"/>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c r="B110" s="22" t="s">
        <v>1654</v>
      </c>
      <c r="C110" s="22" t="s">
        <v>1334</v>
      </c>
    </row>
    <row r="111" spans="1:13">
      <c r="C111" s="22" t="s">
        <v>1335</v>
      </c>
    </row>
    <row r="112" spans="1:13">
      <c r="C112" s="22" t="s">
        <v>1336</v>
      </c>
    </row>
    <row r="114" spans="2:11">
      <c r="B114" s="22" t="s">
        <v>725</v>
      </c>
      <c r="C114" s="22" t="s">
        <v>726</v>
      </c>
    </row>
    <row r="115" spans="2:11">
      <c r="C115" s="22" t="s">
        <v>20</v>
      </c>
      <c r="D115" s="22" t="s">
        <v>730</v>
      </c>
    </row>
    <row r="116" spans="2:11">
      <c r="D116" s="22" t="s">
        <v>731</v>
      </c>
    </row>
    <row r="117" spans="2:11">
      <c r="C117" s="355"/>
      <c r="D117" s="22" t="s">
        <v>734</v>
      </c>
    </row>
    <row r="118" spans="2:11">
      <c r="D118" s="22" t="s">
        <v>732</v>
      </c>
    </row>
    <row r="119" spans="2:11">
      <c r="D119" s="22" t="s">
        <v>733</v>
      </c>
    </row>
    <row r="121" spans="2:11">
      <c r="C121" s="22" t="s">
        <v>1720</v>
      </c>
      <c r="D121" s="22" t="s">
        <v>735</v>
      </c>
    </row>
    <row r="122" spans="2:11">
      <c r="C122" s="16" t="s">
        <v>1720</v>
      </c>
      <c r="D122" s="16" t="s">
        <v>748</v>
      </c>
    </row>
    <row r="124" spans="2:11">
      <c r="B124" s="385" t="s">
        <v>1712</v>
      </c>
      <c r="C124" s="385" t="s">
        <v>20</v>
      </c>
      <c r="D124" s="385" t="s">
        <v>296</v>
      </c>
      <c r="E124" s="385"/>
      <c r="F124" s="385"/>
      <c r="G124" s="385"/>
      <c r="H124" s="385"/>
      <c r="I124" s="385"/>
      <c r="J124" s="385"/>
      <c r="K124" s="22" t="s">
        <v>294</v>
      </c>
    </row>
  </sheetData>
  <mergeCells count="63">
    <mergeCell ref="K96:M96"/>
    <mergeCell ref="K97:M97"/>
    <mergeCell ref="K88:M88"/>
    <mergeCell ref="K89:M89"/>
    <mergeCell ref="K92:M92"/>
    <mergeCell ref="K93:M93"/>
    <mergeCell ref="K80:M80"/>
    <mergeCell ref="K81:M81"/>
    <mergeCell ref="K84:M84"/>
    <mergeCell ref="K85:M85"/>
    <mergeCell ref="K72:M72"/>
    <mergeCell ref="K73:M73"/>
    <mergeCell ref="K76:M76"/>
    <mergeCell ref="K77:M77"/>
    <mergeCell ref="K64:M64"/>
    <mergeCell ref="K65:M65"/>
    <mergeCell ref="K68:M68"/>
    <mergeCell ref="K69:M69"/>
    <mergeCell ref="K56:M56"/>
    <mergeCell ref="K57:M57"/>
    <mergeCell ref="K60:M60"/>
    <mergeCell ref="K61:M61"/>
    <mergeCell ref="K48:M48"/>
    <mergeCell ref="K49:M49"/>
    <mergeCell ref="K52:M52"/>
    <mergeCell ref="K53:M53"/>
    <mergeCell ref="K40:M40"/>
    <mergeCell ref="K41:M41"/>
    <mergeCell ref="K44:M44"/>
    <mergeCell ref="K45:M45"/>
    <mergeCell ref="A2:B2"/>
    <mergeCell ref="A3:B3"/>
    <mergeCell ref="A4:B4"/>
    <mergeCell ref="H2:J2"/>
    <mergeCell ref="C2:G2"/>
    <mergeCell ref="A5:A6"/>
    <mergeCell ref="B5:C5"/>
    <mergeCell ref="K25:M25"/>
    <mergeCell ref="K20:M20"/>
    <mergeCell ref="K21:M21"/>
    <mergeCell ref="K22:M22"/>
    <mergeCell ref="K23:M23"/>
    <mergeCell ref="K8:M8"/>
    <mergeCell ref="K7:M7"/>
    <mergeCell ref="K24:M24"/>
    <mergeCell ref="K16:M16"/>
    <mergeCell ref="K17:M17"/>
    <mergeCell ref="K18:M18"/>
    <mergeCell ref="K19:M19"/>
    <mergeCell ref="K10:M10"/>
    <mergeCell ref="K15:M15"/>
    <mergeCell ref="K14:M14"/>
    <mergeCell ref="K12:M12"/>
    <mergeCell ref="C3:G3"/>
    <mergeCell ref="C4:G4"/>
    <mergeCell ref="H4:I4"/>
    <mergeCell ref="H3:I3"/>
    <mergeCell ref="K9:M9"/>
    <mergeCell ref="K5:M6"/>
    <mergeCell ref="I5:J5"/>
    <mergeCell ref="D5:H5"/>
    <mergeCell ref="K11:M11"/>
    <mergeCell ref="K13:M13"/>
  </mergeCells>
  <phoneticPr fontId="6"/>
  <pageMargins left="0.78740157480314965" right="0.19685039370078741" top="0.59055118110236227" bottom="0.59055118110236227" header="0.51181102362204722" footer="0.39370078740157483"/>
  <pageSetup paperSize="9" scale="68" fitToHeight="0" orientation="portrait" r:id="rId1"/>
  <headerFooter alignWithMargins="0">
    <oddFooter>&amp;C&amp;10&amp;P/&amp;N&amp;R&amp;10&amp;A</oddFooter>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0">
    <pageSetUpPr fitToPage="1"/>
  </sheetPr>
  <dimension ref="A1:P124"/>
  <sheetViews>
    <sheetView showGridLines="0" tabSelected="1" zoomScaleNormal="100" zoomScaleSheetLayoutView="100" workbookViewId="0">
      <pane ySplit="6" topLeftCell="A13" activePane="bottomLeft" state="frozen"/>
      <selection activeCell="A7" sqref="A7"/>
      <selection pane="bottomLeft" activeCell="F13" sqref="F13"/>
    </sheetView>
  </sheetViews>
  <sheetFormatPr defaultRowHeight="12"/>
  <cols>
    <col min="1" max="1" width="3.875" style="88" customWidth="1"/>
    <col min="2" max="2" width="28.625" style="22" customWidth="1"/>
    <col min="3" max="3" width="13.375" style="22" customWidth="1"/>
    <col min="4" max="4" width="9.375" style="22" customWidth="1"/>
    <col min="5" max="5" width="4.875" style="22" bestFit="1" customWidth="1"/>
    <col min="6" max="6" width="4.75" style="22" bestFit="1" customWidth="1"/>
    <col min="7" max="7" width="6.125" style="22" bestFit="1" customWidth="1"/>
    <col min="8" max="8" width="4.75" style="22" bestFit="1" customWidth="1"/>
    <col min="9" max="9" width="4.75" style="22" customWidth="1"/>
    <col min="10" max="11" width="9.625" style="22" customWidth="1"/>
    <col min="12" max="12" width="10.25" style="22" customWidth="1"/>
    <col min="13" max="13" width="10.125" style="22" customWidth="1"/>
    <col min="14" max="14" width="9" style="22"/>
    <col min="15" max="16" width="0" style="22" hidden="1" customWidth="1"/>
    <col min="17" max="16384" width="9" style="22"/>
  </cols>
  <sheetData>
    <row r="1" spans="1:16">
      <c r="B1" s="47"/>
      <c r="C1" s="244"/>
    </row>
    <row r="2" spans="1:16">
      <c r="A2" s="670" t="s">
        <v>602</v>
      </c>
      <c r="B2" s="671"/>
      <c r="C2" s="670" t="s">
        <v>36</v>
      </c>
      <c r="D2" s="676"/>
      <c r="E2" s="676"/>
      <c r="F2" s="676"/>
      <c r="G2" s="671"/>
      <c r="H2" s="670"/>
      <c r="I2" s="676"/>
      <c r="J2" s="671"/>
      <c r="K2" s="81"/>
      <c r="L2" s="82" t="s">
        <v>37</v>
      </c>
      <c r="M2" s="82" t="s">
        <v>38</v>
      </c>
    </row>
    <row r="3" spans="1:16">
      <c r="A3" s="672"/>
      <c r="B3" s="673"/>
      <c r="C3" s="750" t="s">
        <v>762</v>
      </c>
      <c r="D3" s="751"/>
      <c r="E3" s="751"/>
      <c r="F3" s="751"/>
      <c r="G3" s="752"/>
      <c r="H3" s="670" t="s">
        <v>39</v>
      </c>
      <c r="I3" s="671"/>
      <c r="J3" s="83">
        <f>COUNT(A7:A100)</f>
        <v>18</v>
      </c>
      <c r="K3" s="82" t="s">
        <v>40</v>
      </c>
      <c r="L3" s="84">
        <v>38713</v>
      </c>
      <c r="M3" s="41" t="s">
        <v>532</v>
      </c>
      <c r="O3" s="22" t="s">
        <v>41</v>
      </c>
      <c r="P3" s="22" t="s">
        <v>42</v>
      </c>
    </row>
    <row r="4" spans="1:16">
      <c r="A4" s="674" t="s">
        <v>43</v>
      </c>
      <c r="B4" s="675"/>
      <c r="C4" s="674" t="s">
        <v>1485</v>
      </c>
      <c r="D4" s="753"/>
      <c r="E4" s="753"/>
      <c r="F4" s="753"/>
      <c r="G4" s="675"/>
      <c r="H4" s="670" t="s">
        <v>44</v>
      </c>
      <c r="I4" s="671"/>
      <c r="J4" s="83">
        <f>SUM(G7:G100)</f>
        <v>134</v>
      </c>
      <c r="K4" s="82" t="s">
        <v>45</v>
      </c>
      <c r="L4" s="84">
        <v>39107</v>
      </c>
      <c r="M4" s="89" t="s">
        <v>675</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ht="12.75" customHeight="1">
      <c r="A7" s="89">
        <v>1</v>
      </c>
      <c r="B7" s="48" t="s">
        <v>74</v>
      </c>
      <c r="C7" s="49" t="s">
        <v>1361</v>
      </c>
      <c r="D7" s="50" t="s">
        <v>1164</v>
      </c>
      <c r="E7" s="51">
        <v>16</v>
      </c>
      <c r="F7" s="99"/>
      <c r="G7" s="21">
        <f>IF(D7="DATE",4,IF(D7="CHAR",E7,IF(D7="SMALLINT",2,IF(D7="INTEGER",4,IF(D7="TIMESTAMP",10,IF(D7="TIME",3,0))))))</f>
        <v>16</v>
      </c>
      <c r="H7" s="89" t="s">
        <v>1377</v>
      </c>
      <c r="I7" s="89" t="s">
        <v>1363</v>
      </c>
      <c r="J7" s="92"/>
      <c r="K7" s="602"/>
      <c r="L7" s="603"/>
      <c r="M7" s="604"/>
    </row>
    <row r="8" spans="1:16" ht="12.75" customHeight="1">
      <c r="A8" s="89">
        <v>2</v>
      </c>
      <c r="B8" s="48" t="s">
        <v>66</v>
      </c>
      <c r="C8" s="49" t="s">
        <v>1362</v>
      </c>
      <c r="D8" s="97" t="s">
        <v>506</v>
      </c>
      <c r="E8" s="98">
        <v>7</v>
      </c>
      <c r="F8" s="99"/>
      <c r="G8" s="21">
        <f>IF(D8="DATE",4,IF(D8="CHAR",E8,IF(D8="SMALLINT",2,IF(D8="INTEGER",4,IF(D8="TIMESTAMP",10,IF(D8="TIME",3,0))))))</f>
        <v>7</v>
      </c>
      <c r="H8" s="89" t="s">
        <v>547</v>
      </c>
      <c r="I8" s="89" t="s">
        <v>547</v>
      </c>
      <c r="J8" s="92"/>
      <c r="K8" s="666"/>
      <c r="L8" s="667"/>
      <c r="M8" s="668"/>
    </row>
    <row r="9" spans="1:16" ht="67.5" customHeight="1">
      <c r="A9" s="89">
        <v>3</v>
      </c>
      <c r="B9" s="93" t="s">
        <v>1317</v>
      </c>
      <c r="C9" s="26" t="s">
        <v>312</v>
      </c>
      <c r="D9" s="97" t="s">
        <v>569</v>
      </c>
      <c r="E9" s="98">
        <v>7</v>
      </c>
      <c r="F9" s="99"/>
      <c r="G9" s="21">
        <f t="shared" ref="G9:G23" si="0">IF(D9="DATE",4,IF(D9="CHAR",E9,IF(D9="SMALLINT",2,IF(D9="INTEGER",4,IF(D9="TIMESTAMP",10,IF(D9="TIME",3,0))))))</f>
        <v>7</v>
      </c>
      <c r="H9" s="89" t="s">
        <v>1400</v>
      </c>
      <c r="I9" s="89"/>
      <c r="J9" s="92"/>
      <c r="K9" s="965" t="s">
        <v>1327</v>
      </c>
      <c r="L9" s="966"/>
      <c r="M9" s="967"/>
    </row>
    <row r="10" spans="1:16">
      <c r="A10" s="89">
        <v>4</v>
      </c>
      <c r="B10" s="93" t="s">
        <v>1318</v>
      </c>
      <c r="C10" s="26" t="s">
        <v>313</v>
      </c>
      <c r="D10" s="97" t="s">
        <v>569</v>
      </c>
      <c r="E10" s="98">
        <v>7</v>
      </c>
      <c r="F10" s="90"/>
      <c r="G10" s="21">
        <f t="shared" si="0"/>
        <v>7</v>
      </c>
      <c r="H10" s="89" t="s">
        <v>1400</v>
      </c>
      <c r="I10" s="91"/>
      <c r="J10" s="170"/>
      <c r="K10" s="694" t="s">
        <v>1330</v>
      </c>
      <c r="L10" s="664"/>
      <c r="M10" s="665"/>
    </row>
    <row r="11" spans="1:16">
      <c r="A11" s="89">
        <v>5</v>
      </c>
      <c r="B11" s="93" t="s">
        <v>1319</v>
      </c>
      <c r="C11" s="26" t="s">
        <v>314</v>
      </c>
      <c r="D11" s="97" t="s">
        <v>569</v>
      </c>
      <c r="E11" s="98">
        <v>7</v>
      </c>
      <c r="F11" s="90"/>
      <c r="G11" s="21">
        <f t="shared" si="0"/>
        <v>7</v>
      </c>
      <c r="H11" s="89" t="s">
        <v>1400</v>
      </c>
      <c r="I11" s="91"/>
      <c r="J11" s="170"/>
      <c r="K11" s="694" t="s">
        <v>315</v>
      </c>
      <c r="L11" s="664"/>
      <c r="M11" s="665"/>
    </row>
    <row r="12" spans="1:16">
      <c r="A12" s="89">
        <v>6</v>
      </c>
      <c r="B12" s="93" t="s">
        <v>1320</v>
      </c>
      <c r="C12" s="26" t="s">
        <v>316</v>
      </c>
      <c r="D12" s="97" t="s">
        <v>569</v>
      </c>
      <c r="E12" s="98">
        <v>7</v>
      </c>
      <c r="F12" s="90"/>
      <c r="G12" s="21">
        <f t="shared" si="0"/>
        <v>7</v>
      </c>
      <c r="H12" s="89" t="s">
        <v>1400</v>
      </c>
      <c r="I12" s="91"/>
      <c r="J12" s="170"/>
      <c r="K12" s="694" t="s">
        <v>315</v>
      </c>
      <c r="L12" s="664"/>
      <c r="M12" s="665"/>
    </row>
    <row r="13" spans="1:16">
      <c r="A13" s="89">
        <v>7</v>
      </c>
      <c r="B13" s="93" t="s">
        <v>1321</v>
      </c>
      <c r="C13" s="26" t="s">
        <v>317</v>
      </c>
      <c r="D13" s="65" t="s">
        <v>569</v>
      </c>
      <c r="E13" s="95">
        <v>7</v>
      </c>
      <c r="F13" s="90"/>
      <c r="G13" s="21">
        <f t="shared" si="0"/>
        <v>7</v>
      </c>
      <c r="H13" s="89" t="s">
        <v>1400</v>
      </c>
      <c r="I13" s="89"/>
      <c r="J13" s="170"/>
      <c r="K13" s="694" t="s">
        <v>315</v>
      </c>
      <c r="L13" s="664"/>
      <c r="M13" s="665"/>
    </row>
    <row r="14" spans="1:16">
      <c r="A14" s="89">
        <v>8</v>
      </c>
      <c r="B14" s="100" t="s">
        <v>525</v>
      </c>
      <c r="C14" s="24" t="s">
        <v>292</v>
      </c>
      <c r="D14" s="65" t="s">
        <v>523</v>
      </c>
      <c r="E14" s="51">
        <v>7</v>
      </c>
      <c r="F14" s="58"/>
      <c r="G14" s="20">
        <f>IF(D14="DATE",4,IF(D14="CHAR",E14,IF(D14="SMALLINT",2,IF(D14="INTEGER",4,IF(D14="TIMESTAMP",10,IF(D14="TIME",3,0))))))</f>
        <v>7</v>
      </c>
      <c r="H14" s="89" t="s">
        <v>574</v>
      </c>
      <c r="I14" s="91" t="s">
        <v>505</v>
      </c>
      <c r="J14" s="170"/>
      <c r="K14" s="26" t="s">
        <v>744</v>
      </c>
      <c r="L14" s="153"/>
      <c r="M14" s="154"/>
    </row>
    <row r="15" spans="1:16" ht="57.75" customHeight="1">
      <c r="A15" s="89">
        <v>9</v>
      </c>
      <c r="B15" s="93" t="s">
        <v>1324</v>
      </c>
      <c r="C15" s="26" t="s">
        <v>318</v>
      </c>
      <c r="D15" s="94" t="s">
        <v>68</v>
      </c>
      <c r="E15" s="95"/>
      <c r="F15" s="90"/>
      <c r="G15" s="21">
        <f t="shared" si="0"/>
        <v>2</v>
      </c>
      <c r="H15" s="91" t="s">
        <v>574</v>
      </c>
      <c r="I15" s="89" t="s">
        <v>505</v>
      </c>
      <c r="J15" s="92"/>
      <c r="K15" s="602" t="s">
        <v>1328</v>
      </c>
      <c r="L15" s="603"/>
      <c r="M15" s="604"/>
    </row>
    <row r="16" spans="1:16" ht="24.75" customHeight="1">
      <c r="A16" s="89">
        <v>10</v>
      </c>
      <c r="B16" s="93" t="s">
        <v>1322</v>
      </c>
      <c r="C16" s="26" t="s">
        <v>319</v>
      </c>
      <c r="D16" s="97" t="s">
        <v>549</v>
      </c>
      <c r="E16" s="98">
        <v>10</v>
      </c>
      <c r="F16" s="99"/>
      <c r="G16" s="21">
        <f t="shared" si="0"/>
        <v>10</v>
      </c>
      <c r="H16" s="89" t="s">
        <v>1369</v>
      </c>
      <c r="I16" s="89"/>
      <c r="J16" s="92"/>
      <c r="K16" s="666" t="s">
        <v>1329</v>
      </c>
      <c r="L16" s="667"/>
      <c r="M16" s="668"/>
    </row>
    <row r="17" spans="1:13">
      <c r="A17" s="89">
        <v>11</v>
      </c>
      <c r="B17" s="93" t="s">
        <v>1323</v>
      </c>
      <c r="C17" s="26" t="s">
        <v>320</v>
      </c>
      <c r="D17" s="97" t="s">
        <v>549</v>
      </c>
      <c r="E17" s="98">
        <v>10</v>
      </c>
      <c r="F17" s="90"/>
      <c r="G17" s="21">
        <f t="shared" si="0"/>
        <v>10</v>
      </c>
      <c r="H17" s="89" t="s">
        <v>1369</v>
      </c>
      <c r="I17" s="91"/>
      <c r="J17" s="170"/>
      <c r="K17" s="694"/>
      <c r="L17" s="664"/>
      <c r="M17" s="665"/>
    </row>
    <row r="18" spans="1:13" ht="58.5" customHeight="1">
      <c r="A18" s="89">
        <v>12</v>
      </c>
      <c r="B18" s="93" t="s">
        <v>1731</v>
      </c>
      <c r="C18" s="26" t="s">
        <v>321</v>
      </c>
      <c r="D18" s="97" t="s">
        <v>549</v>
      </c>
      <c r="E18" s="98">
        <v>1</v>
      </c>
      <c r="F18" s="99"/>
      <c r="G18" s="21">
        <f t="shared" si="0"/>
        <v>1</v>
      </c>
      <c r="H18" s="89" t="s">
        <v>1369</v>
      </c>
      <c r="I18" s="89"/>
      <c r="J18" s="92"/>
      <c r="K18" s="666" t="s">
        <v>1729</v>
      </c>
      <c r="L18" s="667"/>
      <c r="M18" s="668"/>
    </row>
    <row r="19" spans="1:13">
      <c r="A19" s="89">
        <v>13</v>
      </c>
      <c r="B19" s="93" t="s">
        <v>322</v>
      </c>
      <c r="C19" s="26" t="s">
        <v>323</v>
      </c>
      <c r="D19" s="97" t="s">
        <v>1416</v>
      </c>
      <c r="E19" s="98">
        <v>10</v>
      </c>
      <c r="F19" s="90"/>
      <c r="G19" s="21">
        <f t="shared" si="0"/>
        <v>10</v>
      </c>
      <c r="H19" s="89" t="s">
        <v>1392</v>
      </c>
      <c r="I19" s="91"/>
      <c r="J19" s="170"/>
      <c r="K19" s="694" t="s">
        <v>763</v>
      </c>
      <c r="L19" s="664"/>
      <c r="M19" s="665"/>
    </row>
    <row r="20" spans="1:13">
      <c r="A20" s="89">
        <v>14</v>
      </c>
      <c r="B20" s="93" t="s">
        <v>324</v>
      </c>
      <c r="C20" s="26" t="s">
        <v>325</v>
      </c>
      <c r="D20" s="97" t="s">
        <v>1416</v>
      </c>
      <c r="E20" s="98">
        <v>10</v>
      </c>
      <c r="F20" s="90"/>
      <c r="G20" s="21">
        <f t="shared" si="0"/>
        <v>10</v>
      </c>
      <c r="H20" s="89" t="s">
        <v>1392</v>
      </c>
      <c r="I20" s="91"/>
      <c r="J20" s="170"/>
      <c r="K20" s="694" t="s">
        <v>764</v>
      </c>
      <c r="L20" s="664"/>
      <c r="M20" s="665"/>
    </row>
    <row r="21" spans="1:13">
      <c r="A21" s="89">
        <v>15</v>
      </c>
      <c r="B21" s="93" t="s">
        <v>26</v>
      </c>
      <c r="C21" s="26" t="s">
        <v>1399</v>
      </c>
      <c r="D21" s="65" t="s">
        <v>519</v>
      </c>
      <c r="E21" s="95">
        <v>10</v>
      </c>
      <c r="F21" s="90"/>
      <c r="G21" s="21">
        <f t="shared" si="0"/>
        <v>4</v>
      </c>
      <c r="H21" s="89" t="s">
        <v>1400</v>
      </c>
      <c r="I21" s="89" t="s">
        <v>1400</v>
      </c>
      <c r="J21" s="170"/>
      <c r="K21" s="26" t="s">
        <v>1659</v>
      </c>
      <c r="L21" s="153"/>
      <c r="M21" s="154"/>
    </row>
    <row r="22" spans="1:13">
      <c r="A22" s="89">
        <v>16</v>
      </c>
      <c r="B22" s="93" t="s">
        <v>27</v>
      </c>
      <c r="C22" s="26" t="s">
        <v>1401</v>
      </c>
      <c r="D22" s="65" t="s">
        <v>1402</v>
      </c>
      <c r="E22" s="95">
        <v>10</v>
      </c>
      <c r="F22" s="90"/>
      <c r="G22" s="21">
        <f t="shared" si="0"/>
        <v>4</v>
      </c>
      <c r="H22" s="89" t="s">
        <v>1403</v>
      </c>
      <c r="I22" s="91"/>
      <c r="J22" s="170"/>
      <c r="K22" s="26" t="s">
        <v>1660</v>
      </c>
      <c r="L22" s="153"/>
      <c r="M22" s="154"/>
    </row>
    <row r="23" spans="1:13">
      <c r="A23" s="89">
        <v>17</v>
      </c>
      <c r="B23" s="64" t="s">
        <v>1083</v>
      </c>
      <c r="C23" s="24" t="s">
        <v>1111</v>
      </c>
      <c r="D23" s="72" t="s">
        <v>1431</v>
      </c>
      <c r="E23" s="51">
        <v>8</v>
      </c>
      <c r="F23" s="58"/>
      <c r="G23" s="21">
        <f t="shared" si="0"/>
        <v>8</v>
      </c>
      <c r="H23" s="53" t="s">
        <v>1432</v>
      </c>
      <c r="I23" s="89"/>
      <c r="J23" s="92"/>
      <c r="K23" s="34"/>
      <c r="L23" s="32"/>
      <c r="M23" s="33"/>
    </row>
    <row r="24" spans="1:13">
      <c r="A24" s="89">
        <f t="shared" ref="A24:A31" si="1">IF(B24=""," ",A23+1)</f>
        <v>18</v>
      </c>
      <c r="B24" s="93" t="s">
        <v>1724</v>
      </c>
      <c r="C24" s="26" t="s">
        <v>1404</v>
      </c>
      <c r="D24" s="94" t="s">
        <v>1405</v>
      </c>
      <c r="E24" s="95"/>
      <c r="F24" s="90"/>
      <c r="G24" s="21">
        <f>IF(D24="DATE",4,IF(D24="CHAR",E24,IF(D24="SMALLINT",2,IF(D24="INTEGER",4,IF(D24="TIMESTAMP",10,IF(D24="TIME",3,0))))))</f>
        <v>10</v>
      </c>
      <c r="H24" s="91" t="s">
        <v>1406</v>
      </c>
      <c r="I24" s="89"/>
      <c r="J24" s="92"/>
      <c r="K24" s="31"/>
      <c r="L24" s="32"/>
      <c r="M24" s="33"/>
    </row>
    <row r="25" spans="1:13">
      <c r="A25" s="89" t="str">
        <f t="shared" si="1"/>
        <v xml:space="preserve"> </v>
      </c>
      <c r="B25" s="48"/>
      <c r="C25" s="49"/>
      <c r="D25" s="50"/>
      <c r="E25" s="51"/>
      <c r="F25" s="99"/>
      <c r="G25" s="21"/>
      <c r="H25" s="89"/>
      <c r="I25" s="89"/>
      <c r="J25" s="92"/>
      <c r="K25" s="31"/>
      <c r="L25" s="32"/>
      <c r="M25" s="33"/>
    </row>
    <row r="26" spans="1:13">
      <c r="A26" s="89" t="str">
        <f>IF(B26=""," ",A25+1)</f>
        <v xml:space="preserve"> </v>
      </c>
      <c r="B26" s="96"/>
      <c r="C26" s="31"/>
      <c r="D26" s="97"/>
      <c r="E26" s="98"/>
      <c r="F26" s="99"/>
      <c r="G26" s="21"/>
      <c r="H26" s="89"/>
      <c r="I26" s="89"/>
      <c r="J26" s="92"/>
      <c r="K26" s="31"/>
      <c r="L26" s="32"/>
      <c r="M26" s="33"/>
    </row>
    <row r="27" spans="1:13">
      <c r="A27" s="89" t="str">
        <f t="shared" si="1"/>
        <v xml:space="preserve"> </v>
      </c>
      <c r="B27" s="96"/>
      <c r="C27" s="31"/>
      <c r="D27" s="97"/>
      <c r="E27" s="98"/>
      <c r="F27" s="99"/>
      <c r="G27" s="21"/>
      <c r="H27" s="89"/>
      <c r="I27" s="89"/>
      <c r="J27" s="92"/>
      <c r="K27" s="31"/>
      <c r="L27" s="32"/>
      <c r="M27" s="33"/>
    </row>
    <row r="28" spans="1:13" ht="12" customHeight="1">
      <c r="A28" s="89" t="str">
        <f t="shared" si="1"/>
        <v xml:space="preserve"> </v>
      </c>
      <c r="B28" s="96"/>
      <c r="C28" s="31"/>
      <c r="D28" s="97"/>
      <c r="E28" s="98"/>
      <c r="F28" s="99"/>
      <c r="G28" s="21"/>
      <c r="H28" s="89"/>
      <c r="I28" s="89"/>
      <c r="J28" s="92"/>
      <c r="K28" s="31"/>
      <c r="L28" s="32"/>
      <c r="M28" s="33"/>
    </row>
    <row r="29" spans="1:13" ht="12" customHeight="1">
      <c r="A29" s="89" t="str">
        <f t="shared" si="1"/>
        <v xml:space="preserve"> </v>
      </c>
      <c r="B29" s="96"/>
      <c r="C29" s="31"/>
      <c r="D29" s="97"/>
      <c r="E29" s="98"/>
      <c r="F29" s="99"/>
      <c r="G29" s="21"/>
      <c r="H29" s="89"/>
      <c r="I29" s="89"/>
      <c r="J29" s="92"/>
      <c r="K29" s="31"/>
      <c r="L29" s="32"/>
      <c r="M29" s="33"/>
    </row>
    <row r="30" spans="1:13" ht="12" customHeight="1">
      <c r="A30" s="89" t="str">
        <f t="shared" si="1"/>
        <v xml:space="preserve"> </v>
      </c>
      <c r="B30" s="96"/>
      <c r="C30" s="31"/>
      <c r="D30" s="97"/>
      <c r="E30" s="98"/>
      <c r="F30" s="99"/>
      <c r="G30" s="21"/>
      <c r="H30" s="89"/>
      <c r="I30" s="89"/>
      <c r="J30" s="92"/>
      <c r="K30" s="31"/>
      <c r="L30" s="32"/>
      <c r="M30" s="33"/>
    </row>
    <row r="31" spans="1:13" ht="12" customHeight="1">
      <c r="A31" s="89" t="str">
        <f t="shared" si="1"/>
        <v xml:space="preserve"> </v>
      </c>
      <c r="B31" s="96"/>
      <c r="C31" s="31"/>
      <c r="D31" s="97"/>
      <c r="E31" s="98"/>
      <c r="F31" s="99"/>
      <c r="G31" s="21"/>
      <c r="H31" s="89"/>
      <c r="I31" s="89"/>
      <c r="J31" s="92"/>
      <c r="K31" s="31"/>
      <c r="L31" s="32"/>
      <c r="M31" s="33"/>
    </row>
    <row r="32" spans="1:13" ht="12" customHeight="1">
      <c r="A32" s="42" t="str">
        <f>IF(B32=""," ",A31+1)</f>
        <v xml:space="preserve"> </v>
      </c>
      <c r="B32" s="71"/>
      <c r="C32" s="13"/>
      <c r="D32" s="72"/>
      <c r="E32" s="73"/>
      <c r="F32" s="74"/>
      <c r="G32" s="20"/>
      <c r="H32" s="42"/>
      <c r="I32" s="42"/>
      <c r="J32" s="59"/>
      <c r="K32" s="609"/>
      <c r="L32" s="610"/>
      <c r="M32" s="611"/>
    </row>
    <row r="33" spans="1:13" ht="12" customHeight="1">
      <c r="A33" s="42" t="str">
        <f>IF(B33=""," ",#REF!+1)</f>
        <v xml:space="preserve"> </v>
      </c>
      <c r="B33" s="71"/>
      <c r="C33" s="13"/>
      <c r="D33" s="72"/>
      <c r="E33" s="73"/>
      <c r="F33" s="74"/>
      <c r="G33" s="20"/>
      <c r="H33" s="42"/>
      <c r="I33" s="42"/>
      <c r="J33" s="59"/>
      <c r="K33" s="13"/>
      <c r="L33" s="14"/>
      <c r="M33" s="15"/>
    </row>
    <row r="34" spans="1:13" ht="12" customHeight="1">
      <c r="A34" s="42" t="str">
        <f>IF(B34=""," ",A33+1)</f>
        <v xml:space="preserve"> </v>
      </c>
      <c r="B34" s="71"/>
      <c r="C34" s="13"/>
      <c r="D34" s="72"/>
      <c r="E34" s="73"/>
      <c r="F34" s="74"/>
      <c r="G34" s="20"/>
      <c r="H34" s="42"/>
      <c r="I34" s="42"/>
      <c r="J34" s="59"/>
      <c r="K34" s="609"/>
      <c r="L34" s="610"/>
      <c r="M34" s="611"/>
    </row>
    <row r="35" spans="1:13" ht="12" customHeight="1">
      <c r="A35" s="42" t="str">
        <f>IF(B35=""," ",#REF!+1)</f>
        <v xml:space="preserve"> </v>
      </c>
      <c r="B35" s="71"/>
      <c r="C35" s="13"/>
      <c r="D35" s="72"/>
      <c r="E35" s="73"/>
      <c r="F35" s="74"/>
      <c r="G35" s="20"/>
      <c r="H35" s="42"/>
      <c r="I35" s="42"/>
      <c r="J35" s="59"/>
      <c r="K35" s="609"/>
      <c r="L35" s="610"/>
      <c r="M35" s="611"/>
    </row>
    <row r="36" spans="1:13" ht="12" customHeight="1">
      <c r="A36" s="42" t="str">
        <f>IF(B36=""," ",#REF!+1)</f>
        <v xml:space="preserve"> </v>
      </c>
      <c r="B36" s="71"/>
      <c r="C36" s="13"/>
      <c r="D36" s="72"/>
      <c r="E36" s="73"/>
      <c r="F36" s="74"/>
      <c r="G36" s="20"/>
      <c r="H36" s="42"/>
      <c r="I36" s="42"/>
      <c r="J36" s="59"/>
      <c r="K36" s="13"/>
      <c r="L36" s="14"/>
      <c r="M36" s="15"/>
    </row>
    <row r="37" spans="1:13" ht="12" customHeight="1">
      <c r="A37" s="42" t="str">
        <f>IF(B37=""," ",A36+1)</f>
        <v xml:space="preserve"> </v>
      </c>
      <c r="B37" s="71"/>
      <c r="C37" s="13"/>
      <c r="D37" s="72"/>
      <c r="E37" s="73"/>
      <c r="F37" s="74"/>
      <c r="G37" s="20"/>
      <c r="H37" s="42"/>
      <c r="I37" s="42"/>
      <c r="J37" s="59"/>
      <c r="K37" s="13"/>
      <c r="L37" s="14"/>
      <c r="M37" s="15"/>
    </row>
    <row r="38" spans="1:13" ht="12" customHeight="1">
      <c r="A38" s="42" t="str">
        <f>IF(B38=""," ",A37+1)</f>
        <v xml:space="preserve"> </v>
      </c>
      <c r="B38" s="71"/>
      <c r="C38" s="13"/>
      <c r="D38" s="72"/>
      <c r="E38" s="73"/>
      <c r="F38" s="74"/>
      <c r="G38" s="20"/>
      <c r="H38" s="42"/>
      <c r="I38" s="42"/>
      <c r="J38" s="59"/>
      <c r="K38" s="609"/>
      <c r="L38" s="610"/>
      <c r="M38" s="611"/>
    </row>
    <row r="39" spans="1:13" ht="12" customHeight="1">
      <c r="A39" s="42" t="str">
        <f>IF(B39=""," ",#REF!+1)</f>
        <v xml:space="preserve"> </v>
      </c>
      <c r="B39" s="71"/>
      <c r="C39" s="13"/>
      <c r="D39" s="72"/>
      <c r="E39" s="73"/>
      <c r="F39" s="74"/>
      <c r="G39" s="20"/>
      <c r="H39" s="42"/>
      <c r="I39" s="42"/>
      <c r="J39" s="59"/>
      <c r="K39" s="609"/>
      <c r="L39" s="610"/>
      <c r="M39" s="611"/>
    </row>
    <row r="40" spans="1:13" ht="12" customHeight="1">
      <c r="A40" s="42" t="str">
        <f>IF(B40=""," ",#REF!+1)</f>
        <v xml:space="preserve"> </v>
      </c>
      <c r="B40" s="71"/>
      <c r="C40" s="13"/>
      <c r="D40" s="72"/>
      <c r="E40" s="73"/>
      <c r="F40" s="74"/>
      <c r="G40" s="20"/>
      <c r="H40" s="42"/>
      <c r="I40" s="42"/>
      <c r="J40" s="59"/>
      <c r="K40" s="13"/>
      <c r="L40" s="14"/>
      <c r="M40" s="15"/>
    </row>
    <row r="41" spans="1:13" ht="12" customHeight="1">
      <c r="A41" s="42" t="str">
        <f>IF(B41=""," ",A40+1)</f>
        <v xml:space="preserve"> </v>
      </c>
      <c r="B41" s="71"/>
      <c r="C41" s="13"/>
      <c r="D41" s="72"/>
      <c r="E41" s="73"/>
      <c r="F41" s="74"/>
      <c r="G41" s="20"/>
      <c r="H41" s="42"/>
      <c r="I41" s="42"/>
      <c r="J41" s="59"/>
      <c r="K41" s="13"/>
      <c r="L41" s="14"/>
      <c r="M41" s="15"/>
    </row>
    <row r="42" spans="1:13" ht="12" customHeight="1">
      <c r="A42" s="42" t="str">
        <f>IF(B42=""," ",A41+1)</f>
        <v xml:space="preserve"> </v>
      </c>
      <c r="B42" s="71"/>
      <c r="C42" s="13"/>
      <c r="D42" s="72"/>
      <c r="E42" s="73"/>
      <c r="F42" s="74"/>
      <c r="G42" s="20"/>
      <c r="H42" s="42"/>
      <c r="I42" s="42"/>
      <c r="J42" s="59"/>
      <c r="K42" s="609"/>
      <c r="L42" s="610"/>
      <c r="M42" s="611"/>
    </row>
    <row r="43" spans="1:13" ht="12" customHeight="1">
      <c r="A43" s="42" t="str">
        <f>IF(B43=""," ",#REF!+1)</f>
        <v xml:space="preserve"> </v>
      </c>
      <c r="B43" s="71"/>
      <c r="C43" s="13"/>
      <c r="D43" s="72"/>
      <c r="E43" s="73"/>
      <c r="F43" s="74"/>
      <c r="G43" s="20"/>
      <c r="H43" s="42"/>
      <c r="I43" s="42"/>
      <c r="J43" s="59"/>
      <c r="K43" s="609"/>
      <c r="L43" s="610"/>
      <c r="M43" s="611"/>
    </row>
    <row r="44" spans="1:13" ht="12" customHeight="1">
      <c r="A44" s="42" t="str">
        <f>IF(B44=""," ",#REF!+1)</f>
        <v xml:space="preserve"> </v>
      </c>
      <c r="B44" s="71"/>
      <c r="C44" s="13"/>
      <c r="D44" s="72"/>
      <c r="E44" s="73"/>
      <c r="F44" s="74"/>
      <c r="G44" s="20"/>
      <c r="H44" s="42"/>
      <c r="I44" s="42"/>
      <c r="J44" s="59"/>
      <c r="K44" s="13"/>
      <c r="L44" s="14"/>
      <c r="M44" s="15"/>
    </row>
    <row r="45" spans="1:13" ht="12" customHeight="1">
      <c r="A45" s="42" t="str">
        <f>IF(B45=""," ",A44+1)</f>
        <v xml:space="preserve"> </v>
      </c>
      <c r="B45" s="71"/>
      <c r="C45" s="13"/>
      <c r="D45" s="72"/>
      <c r="E45" s="73"/>
      <c r="F45" s="74"/>
      <c r="G45" s="20"/>
      <c r="H45" s="42"/>
      <c r="I45" s="42"/>
      <c r="J45" s="59"/>
      <c r="K45" s="13"/>
      <c r="L45" s="14"/>
      <c r="M45" s="15"/>
    </row>
    <row r="46" spans="1:13" ht="12" customHeight="1">
      <c r="A46" s="42" t="str">
        <f>IF(B46=""," ",A45+1)</f>
        <v xml:space="preserve"> </v>
      </c>
      <c r="B46" s="71"/>
      <c r="C46" s="13"/>
      <c r="D46" s="72"/>
      <c r="E46" s="73"/>
      <c r="F46" s="74"/>
      <c r="G46" s="20"/>
      <c r="H46" s="42"/>
      <c r="I46" s="42"/>
      <c r="J46" s="59"/>
      <c r="K46" s="609"/>
      <c r="L46" s="610"/>
      <c r="M46" s="611"/>
    </row>
    <row r="47" spans="1:13" ht="12" customHeight="1">
      <c r="A47" s="42" t="str">
        <f>IF(B47=""," ",#REF!+1)</f>
        <v xml:space="preserve"> </v>
      </c>
      <c r="B47" s="71"/>
      <c r="C47" s="13"/>
      <c r="D47" s="72"/>
      <c r="E47" s="73"/>
      <c r="F47" s="74"/>
      <c r="G47" s="20"/>
      <c r="H47" s="42"/>
      <c r="I47" s="42"/>
      <c r="J47" s="59"/>
      <c r="K47" s="609"/>
      <c r="L47" s="610"/>
      <c r="M47" s="611"/>
    </row>
    <row r="48" spans="1:13" ht="12" customHeight="1">
      <c r="A48" s="42" t="str">
        <f>IF(B48=""," ",#REF!+1)</f>
        <v xml:space="preserve"> </v>
      </c>
      <c r="B48" s="71"/>
      <c r="C48" s="13"/>
      <c r="D48" s="72"/>
      <c r="E48" s="73"/>
      <c r="F48" s="74"/>
      <c r="G48" s="20"/>
      <c r="H48" s="42"/>
      <c r="I48" s="42"/>
      <c r="J48" s="59"/>
      <c r="K48" s="13"/>
      <c r="L48" s="14"/>
      <c r="M48" s="15"/>
    </row>
    <row r="49" spans="1:13" ht="12" customHeight="1">
      <c r="A49" s="42" t="str">
        <f>IF(B49=""," ",A48+1)</f>
        <v xml:space="preserve"> </v>
      </c>
      <c r="B49" s="71"/>
      <c r="C49" s="13"/>
      <c r="D49" s="72"/>
      <c r="E49" s="73"/>
      <c r="F49" s="74"/>
      <c r="G49" s="20"/>
      <c r="H49" s="42"/>
      <c r="I49" s="42"/>
      <c r="J49" s="59"/>
      <c r="K49" s="13"/>
      <c r="L49" s="14"/>
      <c r="M49" s="15"/>
    </row>
    <row r="50" spans="1:13" ht="12" customHeight="1">
      <c r="A50" s="42" t="str">
        <f>IF(B50=""," ",A49+1)</f>
        <v xml:space="preserve"> </v>
      </c>
      <c r="B50" s="71"/>
      <c r="C50" s="13"/>
      <c r="D50" s="72"/>
      <c r="E50" s="73"/>
      <c r="F50" s="74"/>
      <c r="G50" s="20"/>
      <c r="H50" s="42"/>
      <c r="I50" s="42"/>
      <c r="J50" s="59"/>
      <c r="K50" s="609"/>
      <c r="L50" s="610"/>
      <c r="M50" s="611"/>
    </row>
    <row r="51" spans="1:13" ht="12" customHeight="1">
      <c r="A51" s="42" t="str">
        <f>IF(B51=""," ",#REF!+1)</f>
        <v xml:space="preserve"> </v>
      </c>
      <c r="B51" s="71"/>
      <c r="C51" s="13"/>
      <c r="D51" s="72"/>
      <c r="E51" s="73"/>
      <c r="F51" s="74"/>
      <c r="G51" s="20"/>
      <c r="H51" s="42"/>
      <c r="I51" s="42"/>
      <c r="J51" s="59"/>
      <c r="K51" s="609"/>
      <c r="L51" s="610"/>
      <c r="M51" s="611"/>
    </row>
    <row r="52" spans="1:13" ht="12" customHeight="1">
      <c r="A52" s="42" t="str">
        <f>IF(B52=""," ",#REF!+1)</f>
        <v xml:space="preserve"> </v>
      </c>
      <c r="B52" s="71"/>
      <c r="C52" s="13"/>
      <c r="D52" s="72"/>
      <c r="E52" s="73"/>
      <c r="F52" s="74"/>
      <c r="G52" s="20"/>
      <c r="H52" s="42"/>
      <c r="I52" s="42"/>
      <c r="J52" s="59"/>
      <c r="K52" s="13"/>
      <c r="L52" s="14"/>
      <c r="M52" s="15"/>
    </row>
    <row r="53" spans="1:13" ht="12" customHeight="1">
      <c r="A53" s="42" t="str">
        <f>IF(B53=""," ",A52+1)</f>
        <v xml:space="preserve"> </v>
      </c>
      <c r="B53" s="71"/>
      <c r="C53" s="13"/>
      <c r="D53" s="72"/>
      <c r="E53" s="73"/>
      <c r="F53" s="74"/>
      <c r="G53" s="20"/>
      <c r="H53" s="42"/>
      <c r="I53" s="42"/>
      <c r="J53" s="59"/>
      <c r="K53" s="13"/>
      <c r="L53" s="14"/>
      <c r="M53" s="15"/>
    </row>
    <row r="54" spans="1:13" ht="12" customHeight="1">
      <c r="A54" s="42" t="str">
        <f>IF(B54=""," ",A53+1)</f>
        <v xml:space="preserve"> </v>
      </c>
      <c r="B54" s="71"/>
      <c r="C54" s="13"/>
      <c r="D54" s="72"/>
      <c r="E54" s="73"/>
      <c r="F54" s="74"/>
      <c r="G54" s="20"/>
      <c r="H54" s="42"/>
      <c r="I54" s="42"/>
      <c r="J54" s="59"/>
      <c r="K54" s="609"/>
      <c r="L54" s="610"/>
      <c r="M54" s="611"/>
    </row>
    <row r="55" spans="1:13" ht="12" customHeight="1">
      <c r="A55" s="42" t="str">
        <f>IF(B55=""," ",#REF!+1)</f>
        <v xml:space="preserve"> </v>
      </c>
      <c r="B55" s="71"/>
      <c r="C55" s="13"/>
      <c r="D55" s="72"/>
      <c r="E55" s="73"/>
      <c r="F55" s="74"/>
      <c r="G55" s="20"/>
      <c r="H55" s="42"/>
      <c r="I55" s="42"/>
      <c r="J55" s="59"/>
      <c r="K55" s="609"/>
      <c r="L55" s="610"/>
      <c r="M55" s="611"/>
    </row>
    <row r="56" spans="1:13" ht="12" customHeight="1">
      <c r="A56" s="42" t="str">
        <f>IF(B56=""," ",#REF!+1)</f>
        <v xml:space="preserve"> </v>
      </c>
      <c r="B56" s="71"/>
      <c r="C56" s="13"/>
      <c r="D56" s="72"/>
      <c r="E56" s="73"/>
      <c r="F56" s="74"/>
      <c r="G56" s="20"/>
      <c r="H56" s="42"/>
      <c r="I56" s="42"/>
      <c r="J56" s="59"/>
      <c r="K56" s="13"/>
      <c r="L56" s="14"/>
      <c r="M56" s="15"/>
    </row>
    <row r="57" spans="1:13" ht="12" customHeight="1">
      <c r="A57" s="42" t="str">
        <f>IF(B57=""," ",A56+1)</f>
        <v xml:space="preserve"> </v>
      </c>
      <c r="B57" s="71"/>
      <c r="C57" s="13"/>
      <c r="D57" s="72"/>
      <c r="E57" s="73"/>
      <c r="F57" s="74"/>
      <c r="G57" s="20"/>
      <c r="H57" s="42"/>
      <c r="I57" s="42"/>
      <c r="J57" s="59"/>
      <c r="K57" s="13"/>
      <c r="L57" s="14"/>
      <c r="M57" s="15"/>
    </row>
    <row r="58" spans="1:13" ht="12" customHeight="1">
      <c r="A58" s="42" t="str">
        <f>IF(B58=""," ",A57+1)</f>
        <v xml:space="preserve"> </v>
      </c>
      <c r="B58" s="71"/>
      <c r="C58" s="13"/>
      <c r="D58" s="72"/>
      <c r="E58" s="73"/>
      <c r="F58" s="74"/>
      <c r="G58" s="20"/>
      <c r="H58" s="42"/>
      <c r="I58" s="42"/>
      <c r="J58" s="59"/>
      <c r="K58" s="609"/>
      <c r="L58" s="610"/>
      <c r="M58" s="611"/>
    </row>
    <row r="59" spans="1:13" ht="12" customHeight="1">
      <c r="A59" s="42" t="str">
        <f>IF(B59=""," ",#REF!+1)</f>
        <v xml:space="preserve"> </v>
      </c>
      <c r="B59" s="71"/>
      <c r="C59" s="13"/>
      <c r="D59" s="72"/>
      <c r="E59" s="73"/>
      <c r="F59" s="74"/>
      <c r="G59" s="20"/>
      <c r="H59" s="42"/>
      <c r="I59" s="42"/>
      <c r="J59" s="59"/>
      <c r="K59" s="609"/>
      <c r="L59" s="610"/>
      <c r="M59" s="611"/>
    </row>
    <row r="60" spans="1:13" ht="12" customHeight="1">
      <c r="A60" s="42" t="str">
        <f>IF(B60=""," ",#REF!+1)</f>
        <v xml:space="preserve"> </v>
      </c>
      <c r="B60" s="71"/>
      <c r="C60" s="13"/>
      <c r="D60" s="72"/>
      <c r="E60" s="73"/>
      <c r="F60" s="74"/>
      <c r="G60" s="20"/>
      <c r="H60" s="42"/>
      <c r="I60" s="42"/>
      <c r="J60" s="59"/>
      <c r="K60" s="13"/>
      <c r="L60" s="14"/>
      <c r="M60" s="15"/>
    </row>
    <row r="61" spans="1:13" ht="12" customHeight="1">
      <c r="A61" s="42" t="str">
        <f>IF(B61=""," ",A60+1)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609"/>
      <c r="L97" s="610"/>
      <c r="M97" s="611"/>
    </row>
    <row r="98" spans="1:13">
      <c r="A98" s="42" t="str">
        <f>IF(B98=""," ",A97+1)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c r="B110" s="22" t="s">
        <v>1654</v>
      </c>
      <c r="C110" s="22" t="s">
        <v>1331</v>
      </c>
    </row>
    <row r="111" spans="1:13">
      <c r="C111" s="22" t="s">
        <v>1332</v>
      </c>
    </row>
    <row r="112" spans="1:13">
      <c r="C112" s="22" t="s">
        <v>1333</v>
      </c>
    </row>
    <row r="114" spans="2:10">
      <c r="B114" s="22" t="s">
        <v>725</v>
      </c>
      <c r="C114" s="385" t="s">
        <v>20</v>
      </c>
      <c r="D114" s="385" t="s">
        <v>750</v>
      </c>
      <c r="E114" s="385"/>
      <c r="F114" s="385"/>
      <c r="G114" s="385"/>
      <c r="H114" s="385"/>
      <c r="I114" s="385"/>
      <c r="J114" s="22" t="s">
        <v>294</v>
      </c>
    </row>
    <row r="115" spans="2:10">
      <c r="C115" s="385"/>
      <c r="D115" s="385" t="s">
        <v>295</v>
      </c>
      <c r="E115" s="385"/>
      <c r="F115" s="385"/>
      <c r="G115" s="385"/>
      <c r="H115" s="385"/>
      <c r="I115" s="385"/>
    </row>
    <row r="116" spans="2:10">
      <c r="C116" s="22" t="s">
        <v>726</v>
      </c>
    </row>
    <row r="117" spans="2:10">
      <c r="C117" s="22" t="s">
        <v>751</v>
      </c>
    </row>
    <row r="118" spans="2:10">
      <c r="C118" s="16" t="s">
        <v>1720</v>
      </c>
      <c r="D118" s="16" t="s">
        <v>749</v>
      </c>
    </row>
    <row r="120" spans="2:10">
      <c r="B120" s="22" t="s">
        <v>1303</v>
      </c>
      <c r="C120" s="22" t="s">
        <v>1304</v>
      </c>
    </row>
    <row r="122" spans="2:10">
      <c r="B122" s="22" t="s">
        <v>1730</v>
      </c>
      <c r="C122" s="22" t="s">
        <v>1734</v>
      </c>
    </row>
    <row r="123" spans="2:10">
      <c r="D123" s="22" t="s">
        <v>1733</v>
      </c>
    </row>
    <row r="124" spans="2:10">
      <c r="D124" s="22" t="s">
        <v>1732</v>
      </c>
    </row>
  </sheetData>
  <mergeCells count="62">
    <mergeCell ref="K79:M79"/>
    <mergeCell ref="K91:M91"/>
    <mergeCell ref="K92:M92"/>
    <mergeCell ref="K82:M82"/>
    <mergeCell ref="K83:M83"/>
    <mergeCell ref="K86:M86"/>
    <mergeCell ref="K87:M87"/>
    <mergeCell ref="K71:M71"/>
    <mergeCell ref="K74:M74"/>
    <mergeCell ref="K75:M75"/>
    <mergeCell ref="K78:M78"/>
    <mergeCell ref="K63:M63"/>
    <mergeCell ref="K66:M66"/>
    <mergeCell ref="K67:M67"/>
    <mergeCell ref="K70:M70"/>
    <mergeCell ref="K58:M58"/>
    <mergeCell ref="K59:M59"/>
    <mergeCell ref="K62:M62"/>
    <mergeCell ref="K47:M47"/>
    <mergeCell ref="K50:M50"/>
    <mergeCell ref="K51:M51"/>
    <mergeCell ref="K54:M54"/>
    <mergeCell ref="A2:B2"/>
    <mergeCell ref="A3:B3"/>
    <mergeCell ref="A4:B4"/>
    <mergeCell ref="H2:J2"/>
    <mergeCell ref="C2:G2"/>
    <mergeCell ref="C3:G3"/>
    <mergeCell ref="C4:G4"/>
    <mergeCell ref="H4:I4"/>
    <mergeCell ref="H3:I3"/>
    <mergeCell ref="K20:M20"/>
    <mergeCell ref="K19:M19"/>
    <mergeCell ref="A5:A6"/>
    <mergeCell ref="B5:C5"/>
    <mergeCell ref="K5:M6"/>
    <mergeCell ref="I5:J5"/>
    <mergeCell ref="D5:H5"/>
    <mergeCell ref="K7:M7"/>
    <mergeCell ref="K9:M9"/>
    <mergeCell ref="K8:M8"/>
    <mergeCell ref="K18:M18"/>
    <mergeCell ref="K15:M15"/>
    <mergeCell ref="K16:M16"/>
    <mergeCell ref="K17:M17"/>
    <mergeCell ref="K10:M10"/>
    <mergeCell ref="K96:M96"/>
    <mergeCell ref="K97:M97"/>
    <mergeCell ref="K99:M99"/>
    <mergeCell ref="K100:M100"/>
    <mergeCell ref="K11:M11"/>
    <mergeCell ref="K12:M12"/>
    <mergeCell ref="K39:M39"/>
    <mergeCell ref="K42:M42"/>
    <mergeCell ref="K43:M43"/>
    <mergeCell ref="K46:M46"/>
    <mergeCell ref="K32:M32"/>
    <mergeCell ref="K34:M34"/>
    <mergeCell ref="K35:M35"/>
    <mergeCell ref="K38:M38"/>
    <mergeCell ref="K55:M55"/>
    <mergeCell ref="K13:M13"/>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6">
    <pageSetUpPr fitToPage="1"/>
  </sheetPr>
  <dimension ref="A1:P111"/>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customWidth="1"/>
    <col min="2" max="2" width="28.625" style="22" customWidth="1"/>
    <col min="3" max="3" width="13.375" style="22" customWidth="1"/>
    <col min="4" max="4" width="9.375" style="22" customWidth="1"/>
    <col min="5" max="5" width="4.875" style="22" bestFit="1" customWidth="1"/>
    <col min="6" max="6" width="4.75" style="22" bestFit="1" customWidth="1"/>
    <col min="7" max="7" width="6.125" style="22" bestFit="1" customWidth="1"/>
    <col min="8" max="8" width="4.75" style="22" bestFit="1" customWidth="1"/>
    <col min="9" max="9" width="4.75" style="22" customWidth="1"/>
    <col min="10" max="11" width="9.625" style="22" customWidth="1"/>
    <col min="12" max="12" width="10.25" style="22" customWidth="1"/>
    <col min="13" max="13" width="10.125" style="22" customWidth="1"/>
    <col min="14" max="14" width="9" style="22"/>
    <col min="15" max="16" width="0" style="22" hidden="1" customWidth="1"/>
    <col min="17" max="16384" width="9" style="22"/>
  </cols>
  <sheetData>
    <row r="1" spans="1:16">
      <c r="B1" s="47"/>
    </row>
    <row r="2" spans="1:16">
      <c r="A2" s="670" t="s">
        <v>602</v>
      </c>
      <c r="B2" s="671"/>
      <c r="C2" s="670" t="s">
        <v>36</v>
      </c>
      <c r="D2" s="676"/>
      <c r="E2" s="676"/>
      <c r="F2" s="676"/>
      <c r="G2" s="671"/>
      <c r="H2" s="670"/>
      <c r="I2" s="676"/>
      <c r="J2" s="671"/>
      <c r="K2" s="81"/>
      <c r="L2" s="82" t="s">
        <v>37</v>
      </c>
      <c r="M2" s="82" t="s">
        <v>38</v>
      </c>
    </row>
    <row r="3" spans="1:16">
      <c r="A3" s="672"/>
      <c r="B3" s="673"/>
      <c r="C3" s="750" t="s">
        <v>327</v>
      </c>
      <c r="D3" s="751"/>
      <c r="E3" s="751"/>
      <c r="F3" s="751"/>
      <c r="G3" s="752"/>
      <c r="H3" s="670" t="s">
        <v>39</v>
      </c>
      <c r="I3" s="671"/>
      <c r="J3" s="83">
        <f>COUNT(A7:A100)</f>
        <v>6</v>
      </c>
      <c r="K3" s="82" t="s">
        <v>40</v>
      </c>
      <c r="L3" s="84">
        <v>38629</v>
      </c>
      <c r="M3" s="41" t="s">
        <v>56</v>
      </c>
      <c r="O3" s="22" t="s">
        <v>41</v>
      </c>
      <c r="P3" s="22" t="s">
        <v>42</v>
      </c>
    </row>
    <row r="4" spans="1:16">
      <c r="A4" s="674" t="s">
        <v>43</v>
      </c>
      <c r="B4" s="675"/>
      <c r="C4" s="674" t="s">
        <v>1481</v>
      </c>
      <c r="D4" s="753"/>
      <c r="E4" s="753"/>
      <c r="F4" s="753"/>
      <c r="G4" s="675"/>
      <c r="H4" s="670" t="s">
        <v>44</v>
      </c>
      <c r="I4" s="671"/>
      <c r="J4" s="83">
        <f>SUM(G7:G100)</f>
        <v>48</v>
      </c>
      <c r="K4" s="82" t="s">
        <v>45</v>
      </c>
      <c r="L4" s="40">
        <v>38764</v>
      </c>
      <c r="M4" s="89" t="s">
        <v>1407</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c r="A7" s="89">
        <v>1</v>
      </c>
      <c r="B7" s="48" t="s">
        <v>328</v>
      </c>
      <c r="C7" s="49" t="s">
        <v>333</v>
      </c>
      <c r="D7" s="78" t="s">
        <v>1434</v>
      </c>
      <c r="E7" s="98">
        <v>2</v>
      </c>
      <c r="F7" s="99"/>
      <c r="G7" s="21">
        <f t="shared" ref="G7:G12" si="0">IF(D7="DATE",4,IF(D7="CHAR",E7,IF(D7="SMALLINT",2,IF(D7="INTEGER",4,IF(D7="TIMESTAMP",10,IF(D7="TIME",3,0))))))</f>
        <v>2</v>
      </c>
      <c r="H7" s="91" t="s">
        <v>1435</v>
      </c>
      <c r="I7" s="91" t="s">
        <v>1435</v>
      </c>
      <c r="J7" s="170"/>
      <c r="K7" s="599"/>
      <c r="L7" s="600"/>
      <c r="M7" s="601"/>
      <c r="P7" s="22" t="s">
        <v>55</v>
      </c>
    </row>
    <row r="8" spans="1:16" ht="12.75" customHeight="1">
      <c r="A8" s="42">
        <f t="shared" ref="A8:A17" si="1">IF(B8=""," ",A7+1)</f>
        <v>2</v>
      </c>
      <c r="B8" s="93" t="s">
        <v>1217</v>
      </c>
      <c r="C8" s="26" t="s">
        <v>334</v>
      </c>
      <c r="D8" s="97" t="s">
        <v>553</v>
      </c>
      <c r="E8" s="98">
        <v>20</v>
      </c>
      <c r="F8" s="99"/>
      <c r="G8" s="21">
        <f t="shared" si="0"/>
        <v>20</v>
      </c>
      <c r="H8" s="91" t="s">
        <v>884</v>
      </c>
      <c r="I8" s="89"/>
      <c r="J8" s="92"/>
      <c r="K8" s="602" t="s">
        <v>1217</v>
      </c>
      <c r="L8" s="603"/>
      <c r="M8" s="604"/>
    </row>
    <row r="9" spans="1:16">
      <c r="A9" s="42">
        <f t="shared" si="1"/>
        <v>3</v>
      </c>
      <c r="B9" s="93" t="s">
        <v>26</v>
      </c>
      <c r="C9" s="26" t="s">
        <v>1399</v>
      </c>
      <c r="D9" s="65" t="s">
        <v>519</v>
      </c>
      <c r="E9" s="95"/>
      <c r="F9" s="90"/>
      <c r="G9" s="21">
        <f t="shared" si="0"/>
        <v>4</v>
      </c>
      <c r="H9" s="91" t="s">
        <v>1400</v>
      </c>
      <c r="I9" s="91" t="s">
        <v>1400</v>
      </c>
      <c r="J9" s="170"/>
      <c r="K9" s="694" t="s">
        <v>1409</v>
      </c>
      <c r="L9" s="664"/>
      <c r="M9" s="665"/>
    </row>
    <row r="10" spans="1:16">
      <c r="A10" s="42">
        <f t="shared" si="1"/>
        <v>4</v>
      </c>
      <c r="B10" s="93" t="s">
        <v>27</v>
      </c>
      <c r="C10" s="26" t="s">
        <v>1401</v>
      </c>
      <c r="D10" s="65" t="s">
        <v>1402</v>
      </c>
      <c r="E10" s="95"/>
      <c r="F10" s="90"/>
      <c r="G10" s="21">
        <f t="shared" si="0"/>
        <v>4</v>
      </c>
      <c r="H10" s="91" t="s">
        <v>1403</v>
      </c>
      <c r="I10" s="91"/>
      <c r="J10" s="170"/>
      <c r="K10" s="694" t="s">
        <v>1410</v>
      </c>
      <c r="L10" s="664"/>
      <c r="M10" s="665"/>
    </row>
    <row r="11" spans="1:16" s="16" customFormat="1" ht="12" customHeight="1">
      <c r="A11" s="42">
        <f t="shared" si="1"/>
        <v>5</v>
      </c>
      <c r="B11" s="64" t="s">
        <v>1083</v>
      </c>
      <c r="C11" s="24" t="s">
        <v>1111</v>
      </c>
      <c r="D11" s="72" t="s">
        <v>1431</v>
      </c>
      <c r="E11" s="51">
        <v>8</v>
      </c>
      <c r="F11" s="58"/>
      <c r="G11" s="21">
        <f t="shared" si="0"/>
        <v>8</v>
      </c>
      <c r="H11" s="53" t="s">
        <v>1432</v>
      </c>
      <c r="I11" s="53"/>
      <c r="J11" s="59"/>
      <c r="K11" s="609" t="s">
        <v>1112</v>
      </c>
      <c r="L11" s="610"/>
      <c r="M11" s="611"/>
    </row>
    <row r="12" spans="1:16">
      <c r="A12" s="42">
        <f t="shared" si="1"/>
        <v>6</v>
      </c>
      <c r="B12" s="93" t="s">
        <v>1724</v>
      </c>
      <c r="C12" s="26" t="s">
        <v>1404</v>
      </c>
      <c r="D12" s="94" t="s">
        <v>1405</v>
      </c>
      <c r="E12" s="95"/>
      <c r="F12" s="90"/>
      <c r="G12" s="21">
        <f t="shared" si="0"/>
        <v>10</v>
      </c>
      <c r="H12" s="91" t="s">
        <v>1406</v>
      </c>
      <c r="I12" s="89"/>
      <c r="J12" s="92"/>
      <c r="K12" s="602"/>
      <c r="L12" s="603"/>
      <c r="M12" s="604"/>
    </row>
    <row r="13" spans="1:16">
      <c r="A13" s="89" t="str">
        <f t="shared" si="1"/>
        <v xml:space="preserve"> </v>
      </c>
      <c r="B13" s="96"/>
      <c r="C13" s="31"/>
      <c r="D13" s="97"/>
      <c r="E13" s="98"/>
      <c r="F13" s="99"/>
      <c r="G13" s="21"/>
      <c r="H13" s="89"/>
      <c r="I13" s="89"/>
      <c r="J13" s="92"/>
      <c r="K13" s="669"/>
      <c r="L13" s="603"/>
      <c r="M13" s="604"/>
    </row>
    <row r="14" spans="1:16">
      <c r="A14" s="89" t="str">
        <f t="shared" si="1"/>
        <v xml:space="preserve"> </v>
      </c>
      <c r="B14" s="96"/>
      <c r="C14" s="31"/>
      <c r="D14" s="97"/>
      <c r="E14" s="98"/>
      <c r="F14" s="99"/>
      <c r="G14" s="21"/>
      <c r="H14" s="89"/>
      <c r="I14" s="89"/>
      <c r="J14" s="92"/>
      <c r="K14" s="602"/>
      <c r="L14" s="603"/>
      <c r="M14" s="604"/>
    </row>
    <row r="15" spans="1:16">
      <c r="A15" s="89" t="str">
        <f t="shared" si="1"/>
        <v xml:space="preserve"> </v>
      </c>
      <c r="B15" s="100"/>
      <c r="C15" s="137"/>
      <c r="D15" s="78"/>
      <c r="E15" s="98"/>
      <c r="F15" s="99"/>
      <c r="G15" s="21"/>
      <c r="H15" s="89"/>
      <c r="I15" s="89"/>
      <c r="J15" s="92"/>
      <c r="K15" s="628"/>
      <c r="L15" s="629"/>
      <c r="M15" s="630"/>
    </row>
    <row r="16" spans="1:16">
      <c r="A16" s="89" t="str">
        <f t="shared" si="1"/>
        <v xml:space="preserve"> </v>
      </c>
      <c r="B16" s="96"/>
      <c r="C16" s="31"/>
      <c r="D16" s="97"/>
      <c r="E16" s="98"/>
      <c r="F16" s="99"/>
      <c r="G16" s="21"/>
      <c r="H16" s="89"/>
      <c r="I16" s="89"/>
      <c r="J16" s="92"/>
      <c r="K16" s="602"/>
      <c r="L16" s="603"/>
      <c r="M16" s="604"/>
    </row>
    <row r="17" spans="1:13">
      <c r="A17" s="89" t="str">
        <f t="shared" si="1"/>
        <v xml:space="preserve"> </v>
      </c>
      <c r="B17" s="96"/>
      <c r="C17" s="31"/>
      <c r="D17" s="97"/>
      <c r="E17" s="98"/>
      <c r="F17" s="99"/>
      <c r="G17" s="21"/>
      <c r="H17" s="89"/>
      <c r="I17" s="89"/>
      <c r="J17" s="92"/>
      <c r="K17" s="602"/>
      <c r="L17" s="692"/>
      <c r="M17" s="693"/>
    </row>
    <row r="18" spans="1:13">
      <c r="A18" s="89" t="str">
        <f>IF(B18=""," ",#REF!+1)</f>
        <v xml:space="preserve"> </v>
      </c>
      <c r="B18" s="96"/>
      <c r="C18" s="31"/>
      <c r="D18" s="97"/>
      <c r="E18" s="98"/>
      <c r="F18" s="99"/>
      <c r="G18" s="21"/>
      <c r="H18" s="89"/>
      <c r="I18" s="89"/>
      <c r="J18" s="92"/>
      <c r="K18" s="669"/>
      <c r="L18" s="603"/>
      <c r="M18" s="604"/>
    </row>
    <row r="19" spans="1:13">
      <c r="A19" s="89" t="str">
        <f>IF(B19=""," ",A18+1)</f>
        <v xml:space="preserve"> </v>
      </c>
      <c r="B19" s="96"/>
      <c r="C19" s="31"/>
      <c r="D19" s="97"/>
      <c r="E19" s="98"/>
      <c r="F19" s="99"/>
      <c r="G19" s="21"/>
      <c r="H19" s="89"/>
      <c r="I19" s="89"/>
      <c r="J19" s="92"/>
      <c r="K19" s="669"/>
      <c r="L19" s="603"/>
      <c r="M19" s="604"/>
    </row>
    <row r="20" spans="1:13">
      <c r="A20" s="89" t="str">
        <f>IF(B20=""," ",#REF!+1)</f>
        <v xml:space="preserve"> </v>
      </c>
      <c r="B20" s="96"/>
      <c r="C20" s="31"/>
      <c r="D20" s="97"/>
      <c r="E20" s="98"/>
      <c r="F20" s="99"/>
      <c r="G20" s="21"/>
      <c r="H20" s="89"/>
      <c r="I20" s="89"/>
      <c r="J20" s="92"/>
      <c r="K20" s="31"/>
      <c r="L20" s="32"/>
      <c r="M20" s="33"/>
    </row>
    <row r="21" spans="1:13">
      <c r="A21" s="89" t="str">
        <f>IF(B21=""," ",A20+1)</f>
        <v xml:space="preserve"> </v>
      </c>
      <c r="B21" s="96"/>
      <c r="C21" s="31"/>
      <c r="D21" s="97"/>
      <c r="E21" s="98"/>
      <c r="F21" s="99"/>
      <c r="G21" s="21"/>
      <c r="H21" s="89"/>
      <c r="I21" s="89"/>
      <c r="J21" s="92"/>
      <c r="K21" s="31"/>
      <c r="L21" s="32"/>
      <c r="M21" s="33"/>
    </row>
    <row r="22" spans="1:13">
      <c r="A22" s="89" t="str">
        <f t="shared" ref="A22:A33" si="2">IF(B22=""," ",A21+1)</f>
        <v xml:space="preserve"> </v>
      </c>
      <c r="B22" s="66"/>
      <c r="C22" s="31"/>
      <c r="D22" s="97"/>
      <c r="E22" s="98"/>
      <c r="F22" s="99"/>
      <c r="G22" s="21"/>
      <c r="H22" s="89"/>
      <c r="I22" s="89"/>
      <c r="J22" s="92"/>
      <c r="K22" s="31"/>
      <c r="L22" s="32"/>
      <c r="M22" s="33"/>
    </row>
    <row r="23" spans="1:13">
      <c r="A23" s="89" t="str">
        <f>IF(B23=""," ",#REF!+1)</f>
        <v xml:space="preserve"> </v>
      </c>
      <c r="B23" s="96"/>
      <c r="C23" s="31"/>
      <c r="D23" s="97"/>
      <c r="E23" s="98"/>
      <c r="F23" s="99"/>
      <c r="G23" s="21"/>
      <c r="H23" s="89"/>
      <c r="I23" s="89"/>
      <c r="J23" s="92"/>
      <c r="K23" s="31"/>
      <c r="L23" s="32"/>
      <c r="M23" s="33"/>
    </row>
    <row r="24" spans="1:13">
      <c r="A24" s="89" t="str">
        <f>IF(B24=""," ",#REF!+1)</f>
        <v xml:space="preserve"> </v>
      </c>
      <c r="B24" s="96"/>
      <c r="C24" s="31"/>
      <c r="D24" s="97"/>
      <c r="E24" s="98"/>
      <c r="F24" s="99"/>
      <c r="G24" s="21"/>
      <c r="H24" s="89"/>
      <c r="I24" s="89"/>
      <c r="J24" s="92"/>
      <c r="K24" s="31"/>
      <c r="L24" s="32"/>
      <c r="M24" s="33"/>
    </row>
    <row r="25" spans="1:13">
      <c r="A25" s="89" t="str">
        <f t="shared" si="2"/>
        <v xml:space="preserve"> </v>
      </c>
      <c r="B25" s="96"/>
      <c r="C25" s="31"/>
      <c r="D25" s="97"/>
      <c r="E25" s="98"/>
      <c r="F25" s="99"/>
      <c r="G25" s="21"/>
      <c r="H25" s="89"/>
      <c r="I25" s="89"/>
      <c r="J25" s="92"/>
      <c r="K25" s="31"/>
      <c r="L25" s="32"/>
      <c r="M25" s="33"/>
    </row>
    <row r="26" spans="1:13">
      <c r="A26" s="89" t="str">
        <f t="shared" si="2"/>
        <v xml:space="preserve"> </v>
      </c>
      <c r="B26" s="96"/>
      <c r="C26" s="31"/>
      <c r="D26" s="97"/>
      <c r="E26" s="98"/>
      <c r="F26" s="99"/>
      <c r="G26" s="21"/>
      <c r="H26" s="89"/>
      <c r="I26" s="89"/>
      <c r="J26" s="92"/>
      <c r="K26" s="31"/>
      <c r="L26" s="32"/>
      <c r="M26" s="33"/>
    </row>
    <row r="27" spans="1:13">
      <c r="A27" s="89" t="str">
        <f t="shared" si="2"/>
        <v xml:space="preserve"> </v>
      </c>
      <c r="B27" s="96"/>
      <c r="C27" s="31"/>
      <c r="D27" s="97"/>
      <c r="E27" s="98"/>
      <c r="F27" s="99"/>
      <c r="G27" s="21"/>
      <c r="H27" s="89"/>
      <c r="I27" s="89"/>
      <c r="J27" s="92"/>
      <c r="K27" s="31"/>
      <c r="L27" s="32"/>
      <c r="M27" s="33"/>
    </row>
    <row r="28" spans="1:13">
      <c r="A28" s="89" t="str">
        <f>IF(B28=""," ",A27+1)</f>
        <v xml:space="preserve"> </v>
      </c>
      <c r="B28" s="96"/>
      <c r="C28" s="31"/>
      <c r="D28" s="97"/>
      <c r="E28" s="98"/>
      <c r="F28" s="99"/>
      <c r="G28" s="21"/>
      <c r="H28" s="89"/>
      <c r="I28" s="89"/>
      <c r="J28" s="92"/>
      <c r="K28" s="31"/>
      <c r="L28" s="32"/>
      <c r="M28" s="33"/>
    </row>
    <row r="29" spans="1:13">
      <c r="A29" s="89" t="str">
        <f t="shared" si="2"/>
        <v xml:space="preserve"> </v>
      </c>
      <c r="B29" s="96"/>
      <c r="C29" s="31"/>
      <c r="D29" s="97"/>
      <c r="E29" s="98"/>
      <c r="F29" s="99"/>
      <c r="G29" s="21"/>
      <c r="H29" s="89"/>
      <c r="I29" s="89"/>
      <c r="J29" s="92"/>
      <c r="K29" s="31"/>
      <c r="L29" s="32"/>
      <c r="M29" s="33"/>
    </row>
    <row r="30" spans="1:13">
      <c r="A30" s="89" t="str">
        <f t="shared" si="2"/>
        <v xml:space="preserve"> </v>
      </c>
      <c r="B30" s="96"/>
      <c r="C30" s="31"/>
      <c r="D30" s="97"/>
      <c r="E30" s="98"/>
      <c r="F30" s="99"/>
      <c r="G30" s="21"/>
      <c r="H30" s="89"/>
      <c r="I30" s="89"/>
      <c r="J30" s="92"/>
      <c r="K30" s="31"/>
      <c r="L30" s="32"/>
      <c r="M30" s="33"/>
    </row>
    <row r="31" spans="1:13">
      <c r="A31" s="89" t="str">
        <f t="shared" si="2"/>
        <v xml:space="preserve"> </v>
      </c>
      <c r="B31" s="96"/>
      <c r="C31" s="31"/>
      <c r="D31" s="97"/>
      <c r="E31" s="98"/>
      <c r="F31" s="99"/>
      <c r="G31" s="21"/>
      <c r="H31" s="89"/>
      <c r="I31" s="89"/>
      <c r="J31" s="92"/>
      <c r="K31" s="31"/>
      <c r="L31" s="32"/>
      <c r="M31" s="33"/>
    </row>
    <row r="32" spans="1:13">
      <c r="A32" s="89" t="str">
        <f t="shared" si="2"/>
        <v xml:space="preserve"> </v>
      </c>
      <c r="B32" s="96"/>
      <c r="C32" s="31"/>
      <c r="D32" s="97"/>
      <c r="E32" s="98"/>
      <c r="F32" s="99"/>
      <c r="G32" s="21"/>
      <c r="H32" s="89"/>
      <c r="I32" s="89"/>
      <c r="J32" s="92"/>
      <c r="K32" s="31"/>
      <c r="L32" s="32"/>
      <c r="M32" s="33"/>
    </row>
    <row r="33" spans="1:13">
      <c r="A33" s="89" t="str">
        <f t="shared" si="2"/>
        <v xml:space="preserve"> </v>
      </c>
      <c r="B33" s="96"/>
      <c r="C33" s="31"/>
      <c r="D33" s="97"/>
      <c r="E33" s="98"/>
      <c r="F33" s="99"/>
      <c r="G33" s="21"/>
      <c r="H33" s="89"/>
      <c r="I33" s="89"/>
      <c r="J33" s="92"/>
      <c r="K33" s="31"/>
      <c r="L33" s="32"/>
      <c r="M33" s="33"/>
    </row>
    <row r="34" spans="1:13">
      <c r="A34" s="42" t="str">
        <f>IF(B34=""," ",A33+1)</f>
        <v xml:space="preserve"> </v>
      </c>
      <c r="B34" s="71"/>
      <c r="C34" s="13"/>
      <c r="D34" s="72"/>
      <c r="E34" s="73"/>
      <c r="F34" s="74"/>
      <c r="G34" s="20"/>
      <c r="H34" s="42"/>
      <c r="I34" s="42"/>
      <c r="J34" s="59"/>
      <c r="K34" s="609"/>
      <c r="L34" s="610"/>
      <c r="M34" s="611"/>
    </row>
    <row r="35" spans="1:13">
      <c r="A35" s="42" t="str">
        <f>IF(B35=""," ",#REF!+1)</f>
        <v xml:space="preserve"> </v>
      </c>
      <c r="B35" s="71"/>
      <c r="C35" s="13"/>
      <c r="D35" s="72"/>
      <c r="E35" s="73"/>
      <c r="F35" s="74"/>
      <c r="G35" s="20"/>
      <c r="H35" s="42"/>
      <c r="I35" s="42"/>
      <c r="J35" s="59"/>
      <c r="K35" s="609"/>
      <c r="L35" s="610"/>
      <c r="M35" s="611"/>
    </row>
    <row r="36" spans="1:13">
      <c r="A36" s="42" t="str">
        <f>IF(B36=""," ",#REF!+1)</f>
        <v xml:space="preserve"> </v>
      </c>
      <c r="B36" s="71"/>
      <c r="C36" s="13"/>
      <c r="D36" s="72"/>
      <c r="E36" s="73"/>
      <c r="F36" s="74"/>
      <c r="G36" s="20"/>
      <c r="H36" s="42"/>
      <c r="I36" s="42"/>
      <c r="J36" s="59"/>
      <c r="K36" s="13"/>
      <c r="L36" s="14"/>
      <c r="M36" s="15"/>
    </row>
    <row r="37" spans="1:13">
      <c r="A37" s="42" t="str">
        <f>IF(B37=""," ",A36+1)</f>
        <v xml:space="preserve"> </v>
      </c>
      <c r="B37" s="71"/>
      <c r="C37" s="13"/>
      <c r="D37" s="72"/>
      <c r="E37" s="73"/>
      <c r="F37" s="74"/>
      <c r="G37" s="20"/>
      <c r="H37" s="42"/>
      <c r="I37" s="42"/>
      <c r="J37" s="59"/>
      <c r="K37" s="13"/>
      <c r="L37" s="14"/>
      <c r="M37" s="15"/>
    </row>
    <row r="38" spans="1:13">
      <c r="A38" s="42" t="str">
        <f>IF(B38=""," ",A37+1)</f>
        <v xml:space="preserve"> </v>
      </c>
      <c r="B38" s="71"/>
      <c r="C38" s="13"/>
      <c r="D38" s="72"/>
      <c r="E38" s="73"/>
      <c r="F38" s="74"/>
      <c r="G38" s="20"/>
      <c r="H38" s="42"/>
      <c r="I38" s="42"/>
      <c r="J38" s="59"/>
      <c r="K38" s="609"/>
      <c r="L38" s="610"/>
      <c r="M38" s="611"/>
    </row>
    <row r="39" spans="1:13">
      <c r="A39" s="42" t="str">
        <f>IF(B39=""," ",#REF!+1)</f>
        <v xml:space="preserve"> </v>
      </c>
      <c r="B39" s="71"/>
      <c r="C39" s="13"/>
      <c r="D39" s="72"/>
      <c r="E39" s="73"/>
      <c r="F39" s="74"/>
      <c r="G39" s="20"/>
      <c r="H39" s="42"/>
      <c r="I39" s="42"/>
      <c r="J39" s="59"/>
      <c r="K39" s="609"/>
      <c r="L39" s="610"/>
      <c r="M39" s="611"/>
    </row>
    <row r="40" spans="1:13">
      <c r="A40" s="42" t="str">
        <f>IF(B40=""," ",#REF!+1)</f>
        <v xml:space="preserve"> </v>
      </c>
      <c r="B40" s="71"/>
      <c r="C40" s="13"/>
      <c r="D40" s="72"/>
      <c r="E40" s="73"/>
      <c r="F40" s="74"/>
      <c r="G40" s="20"/>
      <c r="H40" s="42"/>
      <c r="I40" s="42"/>
      <c r="J40" s="59"/>
      <c r="K40" s="13"/>
      <c r="L40" s="14"/>
      <c r="M40" s="15"/>
    </row>
    <row r="41" spans="1:13">
      <c r="A41" s="42" t="str">
        <f>IF(B41=""," ",A40+1)</f>
        <v xml:space="preserve"> </v>
      </c>
      <c r="B41" s="71"/>
      <c r="C41" s="13"/>
      <c r="D41" s="72"/>
      <c r="E41" s="73"/>
      <c r="F41" s="74"/>
      <c r="G41" s="20"/>
      <c r="H41" s="42"/>
      <c r="I41" s="42"/>
      <c r="J41" s="59"/>
      <c r="K41" s="13"/>
      <c r="L41" s="14"/>
      <c r="M41" s="15"/>
    </row>
    <row r="42" spans="1:13">
      <c r="A42" s="42" t="str">
        <f>IF(B42=""," ",A41+1)</f>
        <v xml:space="preserve"> </v>
      </c>
      <c r="B42" s="71"/>
      <c r="C42" s="13"/>
      <c r="D42" s="72"/>
      <c r="E42" s="73"/>
      <c r="F42" s="74"/>
      <c r="G42" s="20"/>
      <c r="H42" s="42"/>
      <c r="I42" s="42"/>
      <c r="J42" s="59"/>
      <c r="K42" s="609"/>
      <c r="L42" s="610"/>
      <c r="M42" s="611"/>
    </row>
    <row r="43" spans="1:13">
      <c r="A43" s="42" t="str">
        <f>IF(B43=""," ",#REF!+1)</f>
        <v xml:space="preserve"> </v>
      </c>
      <c r="B43" s="71"/>
      <c r="C43" s="13"/>
      <c r="D43" s="72"/>
      <c r="E43" s="73"/>
      <c r="F43" s="74"/>
      <c r="G43" s="20"/>
      <c r="H43" s="42"/>
      <c r="I43" s="42"/>
      <c r="J43" s="59"/>
      <c r="K43" s="609"/>
      <c r="L43" s="610"/>
      <c r="M43" s="611"/>
    </row>
    <row r="44" spans="1:13">
      <c r="A44" s="42" t="str">
        <f>IF(B44=""," ",#REF!+1)</f>
        <v xml:space="preserve"> </v>
      </c>
      <c r="B44" s="71"/>
      <c r="C44" s="13"/>
      <c r="D44" s="72"/>
      <c r="E44" s="73"/>
      <c r="F44" s="74"/>
      <c r="G44" s="20"/>
      <c r="H44" s="42"/>
      <c r="I44" s="42"/>
      <c r="J44" s="59"/>
      <c r="K44" s="13"/>
      <c r="L44" s="14"/>
      <c r="M44" s="15"/>
    </row>
    <row r="45" spans="1:13">
      <c r="A45" s="42" t="str">
        <f>IF(B45=""," ",A44+1)</f>
        <v xml:space="preserve"> </v>
      </c>
      <c r="B45" s="71"/>
      <c r="C45" s="13"/>
      <c r="D45" s="72"/>
      <c r="E45" s="73"/>
      <c r="F45" s="74"/>
      <c r="G45" s="20"/>
      <c r="H45" s="42"/>
      <c r="I45" s="42"/>
      <c r="J45" s="59"/>
      <c r="K45" s="13"/>
      <c r="L45" s="14"/>
      <c r="M45" s="15"/>
    </row>
    <row r="46" spans="1:13">
      <c r="A46" s="42" t="str">
        <f>IF(B46=""," ",A45+1)</f>
        <v xml:space="preserve"> </v>
      </c>
      <c r="B46" s="71"/>
      <c r="C46" s="13"/>
      <c r="D46" s="72"/>
      <c r="E46" s="73"/>
      <c r="F46" s="74"/>
      <c r="G46" s="20"/>
      <c r="H46" s="42"/>
      <c r="I46" s="42"/>
      <c r="J46" s="59"/>
      <c r="K46" s="609"/>
      <c r="L46" s="610"/>
      <c r="M46" s="611"/>
    </row>
    <row r="47" spans="1:13">
      <c r="A47" s="42" t="str">
        <f>IF(B47=""," ",#REF!+1)</f>
        <v xml:space="preserve"> </v>
      </c>
      <c r="B47" s="71"/>
      <c r="C47" s="13"/>
      <c r="D47" s="72"/>
      <c r="E47" s="73"/>
      <c r="F47" s="74"/>
      <c r="G47" s="20"/>
      <c r="H47" s="42"/>
      <c r="I47" s="42"/>
      <c r="J47" s="59"/>
      <c r="K47" s="609"/>
      <c r="L47" s="610"/>
      <c r="M47" s="611"/>
    </row>
    <row r="48" spans="1:13">
      <c r="A48" s="42" t="str">
        <f>IF(B48=""," ",#REF!+1)</f>
        <v xml:space="preserve"> </v>
      </c>
      <c r="B48" s="71"/>
      <c r="C48" s="13"/>
      <c r="D48" s="72"/>
      <c r="E48" s="73"/>
      <c r="F48" s="74"/>
      <c r="G48" s="20"/>
      <c r="H48" s="42"/>
      <c r="I48" s="42"/>
      <c r="J48" s="59"/>
      <c r="K48" s="13"/>
      <c r="L48" s="14"/>
      <c r="M48" s="15"/>
    </row>
    <row r="49" spans="1:13">
      <c r="A49" s="42" t="str">
        <f>IF(B49=""," ",A48+1)</f>
        <v xml:space="preserve"> </v>
      </c>
      <c r="B49" s="71"/>
      <c r="C49" s="13"/>
      <c r="D49" s="72"/>
      <c r="E49" s="73"/>
      <c r="F49" s="74"/>
      <c r="G49" s="20"/>
      <c r="H49" s="42"/>
      <c r="I49" s="42"/>
      <c r="J49" s="59"/>
      <c r="K49" s="13"/>
      <c r="L49" s="14"/>
      <c r="M49" s="15"/>
    </row>
    <row r="50" spans="1:13">
      <c r="A50" s="42" t="str">
        <f>IF(B50=""," ",A49+1)</f>
        <v xml:space="preserve"> </v>
      </c>
      <c r="B50" s="71"/>
      <c r="C50" s="13"/>
      <c r="D50" s="72"/>
      <c r="E50" s="73"/>
      <c r="F50" s="74"/>
      <c r="G50" s="20"/>
      <c r="H50" s="42"/>
      <c r="I50" s="42"/>
      <c r="J50" s="59"/>
      <c r="K50" s="609"/>
      <c r="L50" s="610"/>
      <c r="M50" s="611"/>
    </row>
    <row r="51" spans="1:13">
      <c r="A51" s="42" t="str">
        <f>IF(B51=""," ",#REF!+1)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13"/>
      <c r="L52" s="14"/>
      <c r="M52" s="15"/>
    </row>
    <row r="53" spans="1:13">
      <c r="A53" s="42" t="str">
        <f>IF(B53=""," ",A52+1)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609"/>
      <c r="L54" s="610"/>
      <c r="M54" s="611"/>
    </row>
    <row r="55" spans="1:13">
      <c r="A55" s="42" t="str">
        <f>IF(B55=""," ",#REF!+1)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13"/>
      <c r="L56" s="14"/>
      <c r="M56" s="15"/>
    </row>
    <row r="57" spans="1:13">
      <c r="A57" s="42" t="str">
        <f>IF(B57=""," ",A56+1)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609"/>
      <c r="L58" s="610"/>
      <c r="M58" s="611"/>
    </row>
    <row r="59" spans="1:13">
      <c r="A59" s="42" t="str">
        <f>IF(B59=""," ",#REF!+1)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13"/>
      <c r="L60" s="14"/>
      <c r="M60" s="15"/>
    </row>
    <row r="61" spans="1:13">
      <c r="A61" s="42" t="str">
        <f>IF(B61=""," ",A60+1)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1" spans="1:13">
      <c r="A101" s="42" t="str">
        <f>IF(B101=""," ",#REF!+1)</f>
        <v xml:space="preserve"> </v>
      </c>
      <c r="B101" s="71"/>
      <c r="C101" s="13"/>
      <c r="D101" s="72"/>
      <c r="E101" s="73"/>
      <c r="F101" s="74"/>
      <c r="G101" s="20"/>
      <c r="H101" s="42"/>
      <c r="I101" s="42"/>
      <c r="J101" s="59"/>
      <c r="K101" s="13"/>
      <c r="L101" s="14"/>
      <c r="M101" s="15"/>
    </row>
    <row r="103" spans="1:13">
      <c r="B103" s="16" t="s">
        <v>1691</v>
      </c>
      <c r="C103" s="16"/>
      <c r="D103" s="16"/>
      <c r="E103" s="16"/>
      <c r="F103" s="16"/>
      <c r="G103" s="16"/>
      <c r="H103" s="16"/>
      <c r="I103" s="16"/>
      <c r="J103" s="16"/>
      <c r="K103" s="16"/>
    </row>
    <row r="104" spans="1:13">
      <c r="B104" s="16"/>
      <c r="C104" s="16"/>
      <c r="D104" s="16"/>
      <c r="E104" s="16"/>
      <c r="F104" s="16"/>
      <c r="G104" s="16"/>
      <c r="H104" s="16"/>
      <c r="I104" s="16"/>
      <c r="J104" s="16"/>
      <c r="K104" s="16"/>
    </row>
    <row r="105" spans="1:13">
      <c r="B105" s="16" t="s">
        <v>1692</v>
      </c>
      <c r="C105" s="16" t="s">
        <v>1693</v>
      </c>
      <c r="D105" s="16" t="s">
        <v>1695</v>
      </c>
      <c r="E105" s="16"/>
      <c r="F105" s="16"/>
      <c r="G105" s="16"/>
      <c r="H105" s="16"/>
      <c r="I105" s="16"/>
      <c r="J105" s="16"/>
      <c r="K105" s="16"/>
    </row>
    <row r="106" spans="1:13">
      <c r="B106" s="16"/>
      <c r="C106" s="16"/>
      <c r="D106" s="16" t="s">
        <v>1694</v>
      </c>
      <c r="E106" s="16"/>
      <c r="F106" s="16"/>
      <c r="G106" s="16"/>
      <c r="H106" s="16"/>
      <c r="I106" s="16"/>
      <c r="J106" s="16"/>
      <c r="K106" s="16"/>
    </row>
    <row r="107" spans="1:13">
      <c r="C107" s="16"/>
      <c r="D107" s="16" t="s">
        <v>1726</v>
      </c>
    </row>
    <row r="108" spans="1:13">
      <c r="C108" s="16" t="s">
        <v>1720</v>
      </c>
      <c r="D108" s="16" t="s">
        <v>1724</v>
      </c>
    </row>
    <row r="109" spans="1:13">
      <c r="C109" s="16" t="s">
        <v>1725</v>
      </c>
      <c r="D109" s="16"/>
    </row>
    <row r="111" spans="1:13" s="16" customFormat="1">
      <c r="A111" s="46"/>
      <c r="B111" s="75" t="s">
        <v>1463</v>
      </c>
      <c r="C111" s="16" t="s">
        <v>1411</v>
      </c>
    </row>
  </sheetData>
  <mergeCells count="61">
    <mergeCell ref="K99:M99"/>
    <mergeCell ref="K100:M100"/>
    <mergeCell ref="K90:M90"/>
    <mergeCell ref="K91:M91"/>
    <mergeCell ref="K94:M94"/>
    <mergeCell ref="K95:M95"/>
    <mergeCell ref="K82:M82"/>
    <mergeCell ref="K83:M83"/>
    <mergeCell ref="K86:M86"/>
    <mergeCell ref="K87:M87"/>
    <mergeCell ref="K74:M74"/>
    <mergeCell ref="K75:M75"/>
    <mergeCell ref="K78:M78"/>
    <mergeCell ref="K79:M79"/>
    <mergeCell ref="K66:M66"/>
    <mergeCell ref="K67:M67"/>
    <mergeCell ref="K70:M70"/>
    <mergeCell ref="K71:M71"/>
    <mergeCell ref="K58:M58"/>
    <mergeCell ref="K59:M59"/>
    <mergeCell ref="K62:M62"/>
    <mergeCell ref="K63:M63"/>
    <mergeCell ref="K50:M50"/>
    <mergeCell ref="K51:M51"/>
    <mergeCell ref="K54:M54"/>
    <mergeCell ref="K55:M55"/>
    <mergeCell ref="K42:M42"/>
    <mergeCell ref="K43:M43"/>
    <mergeCell ref="K46:M46"/>
    <mergeCell ref="K47:M47"/>
    <mergeCell ref="K34:M34"/>
    <mergeCell ref="K35:M35"/>
    <mergeCell ref="K38:M38"/>
    <mergeCell ref="K39:M39"/>
    <mergeCell ref="K13:M13"/>
    <mergeCell ref="K18:M18"/>
    <mergeCell ref="K19:M19"/>
    <mergeCell ref="K14:M14"/>
    <mergeCell ref="K15:M15"/>
    <mergeCell ref="K16:M16"/>
    <mergeCell ref="K17:M17"/>
    <mergeCell ref="K8:M8"/>
    <mergeCell ref="K9:M9"/>
    <mergeCell ref="K10:M10"/>
    <mergeCell ref="K12:M12"/>
    <mergeCell ref="K11:M11"/>
    <mergeCell ref="K7:M7"/>
    <mergeCell ref="A2:B2"/>
    <mergeCell ref="A3:B3"/>
    <mergeCell ref="A4:B4"/>
    <mergeCell ref="H2:J2"/>
    <mergeCell ref="C2:G2"/>
    <mergeCell ref="C3:G3"/>
    <mergeCell ref="C4:G4"/>
    <mergeCell ref="H4:I4"/>
    <mergeCell ref="H3:I3"/>
    <mergeCell ref="A5:A6"/>
    <mergeCell ref="B5:C5"/>
    <mergeCell ref="K5:M6"/>
    <mergeCell ref="I5:J5"/>
    <mergeCell ref="D5:H5"/>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1">
    <pageSetUpPr fitToPage="1"/>
  </sheetPr>
  <dimension ref="A1:P119"/>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c r="B1" s="47"/>
      <c r="C1" s="244"/>
    </row>
    <row r="2" spans="1:16">
      <c r="A2" s="643" t="s">
        <v>602</v>
      </c>
      <c r="B2" s="644"/>
      <c r="C2" s="643" t="s">
        <v>36</v>
      </c>
      <c r="D2" s="651"/>
      <c r="E2" s="651"/>
      <c r="F2" s="651"/>
      <c r="G2" s="644"/>
      <c r="H2" s="643"/>
      <c r="I2" s="651"/>
      <c r="J2" s="644"/>
      <c r="K2" s="37"/>
      <c r="L2" s="38" t="s">
        <v>37</v>
      </c>
      <c r="M2" s="38" t="s">
        <v>38</v>
      </c>
    </row>
    <row r="3" spans="1:16">
      <c r="A3" s="647"/>
      <c r="B3" s="648"/>
      <c r="C3" s="652" t="s">
        <v>867</v>
      </c>
      <c r="D3" s="653"/>
      <c r="E3" s="653"/>
      <c r="F3" s="653"/>
      <c r="G3" s="654"/>
      <c r="H3" s="643" t="s">
        <v>39</v>
      </c>
      <c r="I3" s="644"/>
      <c r="J3" s="39">
        <f>COUNT(A7:A97)</f>
        <v>10</v>
      </c>
      <c r="K3" s="38" t="s">
        <v>40</v>
      </c>
      <c r="L3" s="40">
        <v>38629</v>
      </c>
      <c r="M3" s="132" t="s">
        <v>56</v>
      </c>
      <c r="O3" s="16" t="s">
        <v>41</v>
      </c>
      <c r="P3" s="16" t="s">
        <v>42</v>
      </c>
    </row>
    <row r="4" spans="1:16">
      <c r="A4" s="649" t="s">
        <v>43</v>
      </c>
      <c r="B4" s="650"/>
      <c r="C4" s="649" t="s">
        <v>1008</v>
      </c>
      <c r="D4" s="655"/>
      <c r="E4" s="655"/>
      <c r="F4" s="655"/>
      <c r="G4" s="650"/>
      <c r="H4" s="643" t="s">
        <v>44</v>
      </c>
      <c r="I4" s="644"/>
      <c r="J4" s="39">
        <f>SUM(G7:G97)</f>
        <v>62</v>
      </c>
      <c r="K4" s="38" t="s">
        <v>45</v>
      </c>
      <c r="L4" s="40">
        <v>38816</v>
      </c>
      <c r="M4" s="42" t="s">
        <v>532</v>
      </c>
      <c r="O4" s="16" t="s">
        <v>1358</v>
      </c>
      <c r="P4" s="16" t="s">
        <v>1359</v>
      </c>
    </row>
    <row r="5" spans="1:16">
      <c r="A5" s="645" t="s">
        <v>1360</v>
      </c>
      <c r="B5" s="643" t="s">
        <v>46</v>
      </c>
      <c r="C5" s="651"/>
      <c r="D5" s="662" t="s">
        <v>47</v>
      </c>
      <c r="E5" s="651"/>
      <c r="F5" s="651"/>
      <c r="G5" s="651"/>
      <c r="H5" s="651"/>
      <c r="I5" s="643" t="s">
        <v>604</v>
      </c>
      <c r="J5" s="644"/>
      <c r="K5" s="656" t="s">
        <v>48</v>
      </c>
      <c r="L5" s="657"/>
      <c r="M5" s="658"/>
      <c r="P5" s="16" t="s">
        <v>605</v>
      </c>
    </row>
    <row r="6" spans="1:16">
      <c r="A6" s="646"/>
      <c r="B6" s="38" t="s">
        <v>49</v>
      </c>
      <c r="C6" s="35" t="s">
        <v>50</v>
      </c>
      <c r="D6" s="43" t="s">
        <v>42</v>
      </c>
      <c r="E6" s="44" t="s">
        <v>51</v>
      </c>
      <c r="F6" s="45" t="s">
        <v>52</v>
      </c>
      <c r="G6" s="38" t="s">
        <v>606</v>
      </c>
      <c r="H6" s="36" t="s">
        <v>53</v>
      </c>
      <c r="I6" s="36" t="s">
        <v>607</v>
      </c>
      <c r="J6" s="36" t="s">
        <v>608</v>
      </c>
      <c r="K6" s="659"/>
      <c r="L6" s="660"/>
      <c r="M6" s="661"/>
      <c r="P6" s="16" t="s">
        <v>609</v>
      </c>
    </row>
    <row r="7" spans="1:16" ht="28.5" customHeight="1">
      <c r="A7" s="42">
        <v>1</v>
      </c>
      <c r="B7" s="48" t="s">
        <v>74</v>
      </c>
      <c r="C7" s="49" t="s">
        <v>1361</v>
      </c>
      <c r="D7" s="50" t="s">
        <v>1164</v>
      </c>
      <c r="E7" s="51">
        <v>16</v>
      </c>
      <c r="F7" s="52"/>
      <c r="G7" s="20">
        <f t="shared" ref="G7:G16" si="0">IF(D7="DATE",4,IF(D7="CHAR",E7,IF(D7="SMALLINT",2,IF(D7="INTEGER",4,IF(D7="TIMESTAMP",10,IF(D7="TIME",3,0))))))</f>
        <v>16</v>
      </c>
      <c r="H7" s="53" t="s">
        <v>1377</v>
      </c>
      <c r="I7" s="53" t="s">
        <v>1377</v>
      </c>
      <c r="J7" s="60"/>
      <c r="K7" s="599" t="s">
        <v>677</v>
      </c>
      <c r="L7" s="600"/>
      <c r="M7" s="601"/>
    </row>
    <row r="8" spans="1:16" ht="33" customHeight="1">
      <c r="A8" s="42">
        <v>2</v>
      </c>
      <c r="B8" s="48" t="s">
        <v>66</v>
      </c>
      <c r="C8" s="49" t="s">
        <v>1362</v>
      </c>
      <c r="D8" s="78" t="s">
        <v>506</v>
      </c>
      <c r="E8" s="98">
        <v>7</v>
      </c>
      <c r="F8" s="58"/>
      <c r="G8" s="20">
        <f t="shared" si="0"/>
        <v>7</v>
      </c>
      <c r="H8" s="53" t="s">
        <v>547</v>
      </c>
      <c r="I8" s="53" t="s">
        <v>1363</v>
      </c>
      <c r="J8" s="59"/>
      <c r="K8" s="599" t="s">
        <v>747</v>
      </c>
      <c r="L8" s="600"/>
      <c r="M8" s="601"/>
      <c r="P8" s="16" t="s">
        <v>839</v>
      </c>
    </row>
    <row r="9" spans="1:16" s="113" customFormat="1">
      <c r="A9" s="42">
        <v>3</v>
      </c>
      <c r="B9" s="100" t="s">
        <v>525</v>
      </c>
      <c r="C9" s="24" t="s">
        <v>292</v>
      </c>
      <c r="D9" s="65" t="s">
        <v>523</v>
      </c>
      <c r="E9" s="51">
        <v>7</v>
      </c>
      <c r="F9" s="58"/>
      <c r="G9" s="20">
        <f>IF(D9="DATE",4,IF(D9="CHAR",E9,IF(D9="SMALLINT",2,IF(D9="INTEGER",4,IF(D9="TIMESTAMP",10,IF(D9="TIME",3,0))))))</f>
        <v>7</v>
      </c>
      <c r="H9" s="89" t="s">
        <v>574</v>
      </c>
      <c r="I9" s="166" t="s">
        <v>574</v>
      </c>
      <c r="J9" s="167"/>
      <c r="K9" s="599" t="s">
        <v>744</v>
      </c>
      <c r="L9" s="600"/>
      <c r="M9" s="601"/>
    </row>
    <row r="10" spans="1:16" ht="60.75" customHeight="1">
      <c r="A10" s="42">
        <v>4</v>
      </c>
      <c r="B10" s="48" t="s">
        <v>119</v>
      </c>
      <c r="C10" s="49" t="s">
        <v>745</v>
      </c>
      <c r="D10" s="50" t="s">
        <v>524</v>
      </c>
      <c r="E10" s="51">
        <v>4</v>
      </c>
      <c r="F10" s="58"/>
      <c r="G10" s="20">
        <f t="shared" si="0"/>
        <v>4</v>
      </c>
      <c r="H10" s="53" t="s">
        <v>574</v>
      </c>
      <c r="I10" s="53" t="s">
        <v>574</v>
      </c>
      <c r="J10" s="59"/>
      <c r="K10" s="599" t="s">
        <v>1366</v>
      </c>
      <c r="L10" s="600"/>
      <c r="M10" s="601"/>
      <c r="P10" s="16" t="s">
        <v>552</v>
      </c>
    </row>
    <row r="11" spans="1:16" ht="144" customHeight="1">
      <c r="A11" s="42">
        <v>5</v>
      </c>
      <c r="B11" s="48" t="s">
        <v>492</v>
      </c>
      <c r="C11" s="49" t="s">
        <v>868</v>
      </c>
      <c r="D11" s="50" t="s">
        <v>55</v>
      </c>
      <c r="E11" s="51">
        <v>10</v>
      </c>
      <c r="F11" s="58"/>
      <c r="G11" s="20">
        <f t="shared" si="0"/>
        <v>2</v>
      </c>
      <c r="H11" s="53" t="s">
        <v>1370</v>
      </c>
      <c r="I11" s="53"/>
      <c r="J11" s="59"/>
      <c r="K11" s="599" t="s">
        <v>1709</v>
      </c>
      <c r="L11" s="600"/>
      <c r="M11" s="601"/>
      <c r="P11" s="16" t="s">
        <v>808</v>
      </c>
    </row>
    <row r="12" spans="1:16" ht="169.5" customHeight="1">
      <c r="A12" s="42">
        <v>6</v>
      </c>
      <c r="B12" s="48" t="s">
        <v>490</v>
      </c>
      <c r="C12" s="49" t="s">
        <v>491</v>
      </c>
      <c r="D12" s="50" t="s">
        <v>560</v>
      </c>
      <c r="E12" s="51">
        <v>128</v>
      </c>
      <c r="F12" s="58"/>
      <c r="G12" s="20">
        <f t="shared" si="0"/>
        <v>0</v>
      </c>
      <c r="H12" s="53" t="s">
        <v>1369</v>
      </c>
      <c r="I12" s="53"/>
      <c r="J12" s="59"/>
      <c r="K12" s="599" t="s">
        <v>1453</v>
      </c>
      <c r="L12" s="600"/>
      <c r="M12" s="601"/>
      <c r="P12" s="16" t="s">
        <v>869</v>
      </c>
    </row>
    <row r="13" spans="1:16" s="22" customFormat="1" ht="13.5" customHeight="1">
      <c r="A13" s="42">
        <v>7</v>
      </c>
      <c r="B13" s="64" t="s">
        <v>26</v>
      </c>
      <c r="C13" s="24" t="s">
        <v>870</v>
      </c>
      <c r="D13" s="65" t="s">
        <v>561</v>
      </c>
      <c r="E13" s="51">
        <v>10</v>
      </c>
      <c r="F13" s="58"/>
      <c r="G13" s="20">
        <f t="shared" si="0"/>
        <v>4</v>
      </c>
      <c r="H13" s="53" t="s">
        <v>1369</v>
      </c>
      <c r="I13" s="53" t="s">
        <v>1369</v>
      </c>
      <c r="J13" s="165"/>
      <c r="K13" s="632" t="s">
        <v>1659</v>
      </c>
      <c r="L13" s="633"/>
      <c r="M13" s="634"/>
    </row>
    <row r="14" spans="1:16" s="22" customFormat="1">
      <c r="A14" s="42">
        <v>8</v>
      </c>
      <c r="B14" s="64" t="s">
        <v>27</v>
      </c>
      <c r="C14" s="24" t="s">
        <v>871</v>
      </c>
      <c r="D14" s="65" t="s">
        <v>561</v>
      </c>
      <c r="E14" s="51">
        <v>10</v>
      </c>
      <c r="F14" s="58"/>
      <c r="G14" s="20">
        <f t="shared" si="0"/>
        <v>4</v>
      </c>
      <c r="H14" s="53" t="s">
        <v>1369</v>
      </c>
      <c r="I14" s="53"/>
      <c r="J14" s="165"/>
      <c r="K14" s="632" t="s">
        <v>1660</v>
      </c>
      <c r="L14" s="633"/>
      <c r="M14" s="634"/>
    </row>
    <row r="15" spans="1:16" s="22" customFormat="1">
      <c r="A15" s="42">
        <v>9</v>
      </c>
      <c r="B15" s="64" t="s">
        <v>1083</v>
      </c>
      <c r="C15" s="24" t="s">
        <v>1111</v>
      </c>
      <c r="D15" s="72" t="s">
        <v>1431</v>
      </c>
      <c r="E15" s="51">
        <v>8</v>
      </c>
      <c r="F15" s="58"/>
      <c r="G15" s="20">
        <f t="shared" si="0"/>
        <v>8</v>
      </c>
      <c r="H15" s="53" t="s">
        <v>1432</v>
      </c>
      <c r="I15" s="89"/>
      <c r="J15" s="92"/>
      <c r="K15" s="602"/>
      <c r="L15" s="603"/>
      <c r="M15" s="604"/>
    </row>
    <row r="16" spans="1:16">
      <c r="A16" s="42">
        <f>IF(B16=""," ",A12+1)</f>
        <v>7</v>
      </c>
      <c r="B16" s="64" t="s">
        <v>1724</v>
      </c>
      <c r="C16" s="24" t="s">
        <v>1404</v>
      </c>
      <c r="D16" s="65" t="s">
        <v>1405</v>
      </c>
      <c r="E16" s="51"/>
      <c r="F16" s="58"/>
      <c r="G16" s="20">
        <f t="shared" si="0"/>
        <v>10</v>
      </c>
      <c r="H16" s="53" t="s">
        <v>1406</v>
      </c>
      <c r="I16" s="42"/>
      <c r="J16" s="59"/>
      <c r="K16" s="637" t="s">
        <v>1455</v>
      </c>
      <c r="L16" s="638"/>
      <c r="M16" s="639"/>
    </row>
    <row r="17" spans="1:13">
      <c r="A17" s="42" t="str">
        <f t="shared" ref="A17:A48" si="1">IF(B17=""," ",A16+1)</f>
        <v xml:space="preserve"> </v>
      </c>
      <c r="B17" s="100"/>
      <c r="C17" s="137"/>
      <c r="D17" s="78"/>
      <c r="E17" s="73"/>
      <c r="F17" s="74"/>
      <c r="G17" s="20"/>
      <c r="H17" s="42"/>
      <c r="I17" s="42"/>
      <c r="J17" s="59"/>
      <c r="K17" s="640"/>
      <c r="L17" s="641"/>
      <c r="M17" s="642"/>
    </row>
    <row r="18" spans="1:13">
      <c r="A18" s="42" t="str">
        <f t="shared" si="1"/>
        <v xml:space="preserve"> </v>
      </c>
      <c r="B18" s="100"/>
      <c r="C18" s="137"/>
      <c r="D18" s="78"/>
      <c r="E18" s="73"/>
      <c r="F18" s="74"/>
      <c r="G18" s="20"/>
      <c r="H18" s="42"/>
      <c r="I18" s="42"/>
      <c r="J18" s="59"/>
      <c r="K18" s="640"/>
      <c r="L18" s="641"/>
      <c r="M18" s="642"/>
    </row>
    <row r="19" spans="1:13">
      <c r="A19" s="42" t="str">
        <f t="shared" si="1"/>
        <v xml:space="preserve"> </v>
      </c>
      <c r="B19" s="100"/>
      <c r="C19" s="137"/>
      <c r="D19" s="78"/>
      <c r="E19" s="73"/>
      <c r="F19" s="74"/>
      <c r="G19" s="20"/>
      <c r="H19" s="42"/>
      <c r="I19" s="42"/>
      <c r="J19" s="59"/>
      <c r="K19" s="640"/>
      <c r="L19" s="641"/>
      <c r="M19" s="642"/>
    </row>
    <row r="20" spans="1:13">
      <c r="A20" s="42" t="str">
        <f t="shared" si="1"/>
        <v xml:space="preserve"> </v>
      </c>
      <c r="B20" s="100"/>
      <c r="C20" s="137"/>
      <c r="D20" s="78"/>
      <c r="E20" s="73"/>
      <c r="F20" s="74"/>
      <c r="G20" s="20"/>
      <c r="H20" s="42"/>
      <c r="I20" s="42"/>
      <c r="J20" s="59"/>
      <c r="K20" s="640"/>
      <c r="L20" s="641"/>
      <c r="M20" s="642"/>
    </row>
    <row r="21" spans="1:13">
      <c r="A21" s="42" t="str">
        <f t="shared" si="1"/>
        <v xml:space="preserve"> </v>
      </c>
      <c r="B21" s="100"/>
      <c r="C21" s="137"/>
      <c r="D21" s="78"/>
      <c r="E21" s="73"/>
      <c r="F21" s="74"/>
      <c r="G21" s="20"/>
      <c r="H21" s="42"/>
      <c r="I21" s="42"/>
      <c r="J21" s="59"/>
      <c r="K21" s="640"/>
      <c r="L21" s="641"/>
      <c r="M21" s="642"/>
    </row>
    <row r="22" spans="1:13">
      <c r="A22" s="42" t="str">
        <f t="shared" si="1"/>
        <v xml:space="preserve"> </v>
      </c>
      <c r="B22" s="100"/>
      <c r="C22" s="137"/>
      <c r="D22" s="129"/>
      <c r="E22" s="73"/>
      <c r="F22" s="74"/>
      <c r="G22" s="20"/>
      <c r="H22" s="42"/>
      <c r="I22" s="42"/>
      <c r="J22" s="59"/>
      <c r="K22" s="640"/>
      <c r="L22" s="641"/>
      <c r="M22" s="642"/>
    </row>
    <row r="23" spans="1:13">
      <c r="A23" s="42" t="str">
        <f t="shared" si="1"/>
        <v xml:space="preserve"> </v>
      </c>
      <c r="B23" s="66"/>
      <c r="C23" s="13"/>
      <c r="D23" s="72"/>
      <c r="E23" s="73"/>
      <c r="F23" s="74"/>
      <c r="G23" s="20"/>
      <c r="H23" s="42"/>
      <c r="I23" s="42"/>
      <c r="J23" s="59"/>
      <c r="K23" s="640"/>
      <c r="L23" s="641"/>
      <c r="M23" s="642"/>
    </row>
    <row r="24" spans="1:13">
      <c r="A24" s="42" t="str">
        <f t="shared" si="1"/>
        <v xml:space="preserve"> </v>
      </c>
      <c r="B24" s="66"/>
      <c r="C24" s="13"/>
      <c r="D24" s="72"/>
      <c r="E24" s="73"/>
      <c r="F24" s="74"/>
      <c r="G24" s="20"/>
      <c r="H24" s="42"/>
      <c r="I24" s="42"/>
      <c r="J24" s="59"/>
      <c r="K24" s="640"/>
      <c r="L24" s="641"/>
      <c r="M24" s="642"/>
    </row>
    <row r="25" spans="1:13">
      <c r="A25" s="42" t="str">
        <f t="shared" si="1"/>
        <v xml:space="preserve"> </v>
      </c>
      <c r="B25" s="66"/>
      <c r="C25" s="13"/>
      <c r="D25" s="72"/>
      <c r="E25" s="73"/>
      <c r="F25" s="74"/>
      <c r="G25" s="20"/>
      <c r="H25" s="42"/>
      <c r="I25" s="42"/>
      <c r="J25" s="59"/>
      <c r="K25" s="640"/>
      <c r="L25" s="641"/>
      <c r="M25" s="642"/>
    </row>
    <row r="26" spans="1:13">
      <c r="A26" s="42" t="str">
        <f t="shared" si="1"/>
        <v xml:space="preserve"> </v>
      </c>
      <c r="B26" s="66"/>
      <c r="C26" s="194"/>
      <c r="D26" s="72"/>
      <c r="E26" s="73"/>
      <c r="F26" s="74"/>
      <c r="G26" s="20"/>
      <c r="H26" s="42"/>
      <c r="I26" s="42"/>
      <c r="J26" s="59"/>
      <c r="K26" s="640"/>
      <c r="L26" s="641"/>
      <c r="M26" s="642"/>
    </row>
    <row r="27" spans="1:13">
      <c r="A27" s="42" t="str">
        <f t="shared" si="1"/>
        <v xml:space="preserve"> </v>
      </c>
      <c r="B27" s="66"/>
      <c r="C27" s="13"/>
      <c r="D27" s="72"/>
      <c r="E27" s="73"/>
      <c r="F27" s="74"/>
      <c r="G27" s="20"/>
      <c r="H27" s="42"/>
      <c r="I27" s="42"/>
      <c r="J27" s="59"/>
      <c r="K27" s="640"/>
      <c r="L27" s="641"/>
      <c r="M27" s="642"/>
    </row>
    <row r="28" spans="1:13">
      <c r="A28" s="42" t="str">
        <f t="shared" si="1"/>
        <v xml:space="preserve"> </v>
      </c>
      <c r="B28" s="66"/>
      <c r="C28" s="13"/>
      <c r="D28" s="72"/>
      <c r="E28" s="73"/>
      <c r="F28" s="74"/>
      <c r="G28" s="20"/>
      <c r="H28" s="42"/>
      <c r="I28" s="42"/>
      <c r="J28" s="59"/>
      <c r="K28" s="640"/>
      <c r="L28" s="641"/>
      <c r="M28" s="642"/>
    </row>
    <row r="29" spans="1:13">
      <c r="A29" s="42" t="str">
        <f t="shared" si="1"/>
        <v xml:space="preserve"> </v>
      </c>
      <c r="B29" s="66"/>
      <c r="C29" s="13"/>
      <c r="D29" s="72"/>
      <c r="E29" s="73"/>
      <c r="F29" s="74"/>
      <c r="G29" s="20"/>
      <c r="H29" s="42"/>
      <c r="I29" s="42"/>
      <c r="J29" s="59"/>
      <c r="K29" s="640"/>
      <c r="L29" s="641"/>
      <c r="M29" s="642"/>
    </row>
    <row r="30" spans="1:13">
      <c r="A30" s="42" t="str">
        <f t="shared" si="1"/>
        <v xml:space="preserve"> </v>
      </c>
      <c r="B30" s="71"/>
      <c r="C30" s="13"/>
      <c r="D30" s="72"/>
      <c r="E30" s="73"/>
      <c r="F30" s="74"/>
      <c r="G30" s="20"/>
      <c r="H30" s="42"/>
      <c r="I30" s="42"/>
      <c r="J30" s="59"/>
      <c r="K30" s="640"/>
      <c r="L30" s="641"/>
      <c r="M30" s="642"/>
    </row>
    <row r="31" spans="1:13" ht="12" customHeight="1">
      <c r="A31" s="42" t="str">
        <f t="shared" si="1"/>
        <v xml:space="preserve"> </v>
      </c>
      <c r="B31" s="71"/>
      <c r="C31" s="13"/>
      <c r="D31" s="72"/>
      <c r="E31" s="73"/>
      <c r="F31" s="74"/>
      <c r="G31" s="20"/>
      <c r="H31" s="42"/>
      <c r="I31" s="42"/>
      <c r="J31" s="59"/>
      <c r="K31" s="640"/>
      <c r="L31" s="641"/>
      <c r="M31" s="642"/>
    </row>
    <row r="32" spans="1:13" ht="12" customHeight="1">
      <c r="A32" s="42" t="str">
        <f>IF(B32=""," ",A31+1)</f>
        <v xml:space="preserve"> </v>
      </c>
      <c r="B32" s="71"/>
      <c r="C32" s="13"/>
      <c r="D32" s="72"/>
      <c r="E32" s="73"/>
      <c r="F32" s="74"/>
      <c r="G32" s="20"/>
      <c r="H32" s="42"/>
      <c r="I32" s="42"/>
      <c r="J32" s="59"/>
      <c r="K32" s="640"/>
      <c r="L32" s="641"/>
      <c r="M32" s="642"/>
    </row>
    <row r="33" spans="1:13" ht="12" customHeight="1">
      <c r="A33" s="42" t="str">
        <f t="shared" si="1"/>
        <v xml:space="preserve"> </v>
      </c>
      <c r="B33" s="71"/>
      <c r="C33" s="13"/>
      <c r="D33" s="72"/>
      <c r="E33" s="73"/>
      <c r="F33" s="74"/>
      <c r="G33" s="20"/>
      <c r="H33" s="42"/>
      <c r="I33" s="42"/>
      <c r="J33" s="59"/>
      <c r="K33" s="640"/>
      <c r="L33" s="641"/>
      <c r="M33" s="642"/>
    </row>
    <row r="34" spans="1:13" ht="12" customHeight="1">
      <c r="A34" s="42" t="str">
        <f t="shared" si="1"/>
        <v xml:space="preserve"> </v>
      </c>
      <c r="B34" s="71"/>
      <c r="C34" s="13"/>
      <c r="D34" s="72"/>
      <c r="E34" s="73"/>
      <c r="F34" s="74"/>
      <c r="G34" s="20"/>
      <c r="H34" s="42"/>
      <c r="I34" s="42"/>
      <c r="J34" s="59"/>
      <c r="K34" s="640"/>
      <c r="L34" s="641"/>
      <c r="M34" s="642"/>
    </row>
    <row r="35" spans="1:13" ht="12" customHeight="1">
      <c r="A35" s="42" t="str">
        <f t="shared" si="1"/>
        <v xml:space="preserve"> </v>
      </c>
      <c r="B35" s="71"/>
      <c r="C35" s="13"/>
      <c r="D35" s="72"/>
      <c r="E35" s="73"/>
      <c r="F35" s="74"/>
      <c r="G35" s="20"/>
      <c r="H35" s="42"/>
      <c r="I35" s="42"/>
      <c r="J35" s="59"/>
      <c r="K35" s="640"/>
      <c r="L35" s="641"/>
      <c r="M35" s="642"/>
    </row>
    <row r="36" spans="1:13" ht="12" customHeight="1">
      <c r="A36" s="42" t="str">
        <f t="shared" si="1"/>
        <v xml:space="preserve"> </v>
      </c>
      <c r="B36" s="71"/>
      <c r="C36" s="13"/>
      <c r="D36" s="72"/>
      <c r="E36" s="73"/>
      <c r="F36" s="74"/>
      <c r="G36" s="20"/>
      <c r="H36" s="42"/>
      <c r="I36" s="42"/>
      <c r="J36" s="59"/>
      <c r="K36" s="640"/>
      <c r="L36" s="641"/>
      <c r="M36" s="642"/>
    </row>
    <row r="37" spans="1:13" ht="12" customHeight="1">
      <c r="A37" s="42" t="str">
        <f t="shared" si="1"/>
        <v xml:space="preserve"> </v>
      </c>
      <c r="B37" s="71"/>
      <c r="C37" s="13"/>
      <c r="D37" s="72"/>
      <c r="E37" s="73"/>
      <c r="F37" s="74"/>
      <c r="G37" s="20"/>
      <c r="H37" s="42"/>
      <c r="I37" s="42"/>
      <c r="J37" s="59"/>
      <c r="K37" s="640"/>
      <c r="L37" s="641"/>
      <c r="M37" s="642"/>
    </row>
    <row r="38" spans="1:13" ht="12" customHeight="1">
      <c r="A38" s="42" t="str">
        <f t="shared" si="1"/>
        <v xml:space="preserve"> </v>
      </c>
      <c r="B38" s="71"/>
      <c r="C38" s="13"/>
      <c r="D38" s="72"/>
      <c r="E38" s="73"/>
      <c r="F38" s="74"/>
      <c r="G38" s="20"/>
      <c r="H38" s="42"/>
      <c r="I38" s="42"/>
      <c r="J38" s="59"/>
      <c r="K38" s="640"/>
      <c r="L38" s="641"/>
      <c r="M38" s="642"/>
    </row>
    <row r="39" spans="1:13" ht="12" customHeight="1">
      <c r="A39" s="42" t="str">
        <f t="shared" si="1"/>
        <v xml:space="preserve"> </v>
      </c>
      <c r="B39" s="71"/>
      <c r="C39" s="13"/>
      <c r="D39" s="72"/>
      <c r="E39" s="73"/>
      <c r="F39" s="74"/>
      <c r="G39" s="20"/>
      <c r="H39" s="42"/>
      <c r="I39" s="42"/>
      <c r="J39" s="59"/>
      <c r="K39" s="640"/>
      <c r="L39" s="641"/>
      <c r="M39" s="642"/>
    </row>
    <row r="40" spans="1:13" ht="12" customHeight="1">
      <c r="A40" s="42" t="str">
        <f t="shared" si="1"/>
        <v xml:space="preserve"> </v>
      </c>
      <c r="B40" s="71"/>
      <c r="C40" s="13"/>
      <c r="D40" s="72"/>
      <c r="E40" s="73"/>
      <c r="F40" s="74"/>
      <c r="G40" s="20"/>
      <c r="H40" s="42"/>
      <c r="I40" s="42"/>
      <c r="J40" s="59"/>
      <c r="K40" s="640"/>
      <c r="L40" s="641"/>
      <c r="M40" s="642"/>
    </row>
    <row r="41" spans="1:13" ht="12" customHeight="1">
      <c r="A41" s="42" t="str">
        <f t="shared" si="1"/>
        <v xml:space="preserve"> </v>
      </c>
      <c r="B41" s="71"/>
      <c r="C41" s="13"/>
      <c r="D41" s="72"/>
      <c r="E41" s="73"/>
      <c r="F41" s="74"/>
      <c r="G41" s="20"/>
      <c r="H41" s="42"/>
      <c r="I41" s="42"/>
      <c r="J41" s="59"/>
      <c r="K41" s="640"/>
      <c r="L41" s="641"/>
      <c r="M41" s="642"/>
    </row>
    <row r="42" spans="1:13" ht="12" customHeight="1">
      <c r="A42" s="42" t="str">
        <f t="shared" si="1"/>
        <v xml:space="preserve"> </v>
      </c>
      <c r="B42" s="71"/>
      <c r="C42" s="13"/>
      <c r="D42" s="72"/>
      <c r="E42" s="73"/>
      <c r="F42" s="74"/>
      <c r="G42" s="20"/>
      <c r="H42" s="42"/>
      <c r="I42" s="42"/>
      <c r="J42" s="59"/>
      <c r="K42" s="640"/>
      <c r="L42" s="641"/>
      <c r="M42" s="642"/>
    </row>
    <row r="43" spans="1:13" ht="12" customHeight="1">
      <c r="A43" s="42" t="str">
        <f t="shared" si="1"/>
        <v xml:space="preserve"> </v>
      </c>
      <c r="B43" s="71"/>
      <c r="C43" s="13"/>
      <c r="D43" s="72"/>
      <c r="E43" s="73"/>
      <c r="F43" s="74"/>
      <c r="G43" s="20"/>
      <c r="H43" s="42"/>
      <c r="I43" s="42"/>
      <c r="J43" s="59"/>
      <c r="K43" s="968"/>
      <c r="L43" s="969"/>
      <c r="M43" s="970"/>
    </row>
    <row r="44" spans="1:13" ht="12" customHeight="1">
      <c r="A44" s="42" t="str">
        <f>IF(B44=""," ",#REF!+1)</f>
        <v xml:space="preserve"> </v>
      </c>
      <c r="B44" s="71"/>
      <c r="C44" s="13"/>
      <c r="D44" s="72"/>
      <c r="E44" s="73"/>
      <c r="F44" s="74"/>
      <c r="G44" s="20"/>
      <c r="H44" s="42"/>
      <c r="I44" s="42"/>
      <c r="J44" s="59"/>
      <c r="K44" s="13"/>
      <c r="L44" s="14"/>
      <c r="M44" s="15"/>
    </row>
    <row r="45" spans="1:13" ht="12" customHeight="1">
      <c r="A45" s="42" t="str">
        <f t="shared" si="1"/>
        <v xml:space="preserve"> </v>
      </c>
      <c r="B45" s="71"/>
      <c r="C45" s="13"/>
      <c r="D45" s="72"/>
      <c r="E45" s="73"/>
      <c r="F45" s="74"/>
      <c r="G45" s="20"/>
      <c r="H45" s="42"/>
      <c r="I45" s="42"/>
      <c r="J45" s="59"/>
      <c r="K45" s="13"/>
      <c r="L45" s="14"/>
      <c r="M45" s="15"/>
    </row>
    <row r="46" spans="1:13" ht="12" customHeight="1">
      <c r="A46" s="42" t="str">
        <f t="shared" si="1"/>
        <v xml:space="preserve"> </v>
      </c>
      <c r="B46" s="71"/>
      <c r="C46" s="13"/>
      <c r="D46" s="72"/>
      <c r="E46" s="73"/>
      <c r="F46" s="74"/>
      <c r="G46" s="20"/>
      <c r="H46" s="42"/>
      <c r="I46" s="42"/>
      <c r="J46" s="59"/>
      <c r="K46" s="13"/>
      <c r="L46" s="14"/>
      <c r="M46" s="15"/>
    </row>
    <row r="47" spans="1:13">
      <c r="A47" s="42" t="str">
        <f>IF(B47=""," ",#REF!+1)</f>
        <v xml:space="preserve"> </v>
      </c>
      <c r="B47" s="71"/>
      <c r="C47" s="13"/>
      <c r="D47" s="72"/>
      <c r="E47" s="73"/>
      <c r="F47" s="74"/>
      <c r="G47" s="20"/>
      <c r="H47" s="42"/>
      <c r="I47" s="42"/>
      <c r="J47" s="59"/>
      <c r="K47" s="13"/>
      <c r="L47" s="14"/>
      <c r="M47" s="15"/>
    </row>
    <row r="48" spans="1:13">
      <c r="A48" s="42" t="str">
        <f t="shared" si="1"/>
        <v xml:space="preserve"> </v>
      </c>
      <c r="B48" s="71"/>
      <c r="C48" s="13"/>
      <c r="D48" s="72"/>
      <c r="E48" s="73"/>
      <c r="F48" s="74"/>
      <c r="G48" s="20"/>
      <c r="H48" s="42"/>
      <c r="I48" s="42"/>
      <c r="J48" s="59"/>
      <c r="K48" s="13"/>
      <c r="L48" s="14"/>
      <c r="M48" s="15"/>
    </row>
    <row r="49" spans="1:13">
      <c r="A49" s="42" t="str">
        <f>IF(B49=""," ",A48+1)</f>
        <v xml:space="preserve"> </v>
      </c>
      <c r="B49" s="71"/>
      <c r="C49" s="13"/>
      <c r="D49" s="72"/>
      <c r="E49" s="73"/>
      <c r="F49" s="74"/>
      <c r="G49" s="20"/>
      <c r="H49" s="42"/>
      <c r="I49" s="42"/>
      <c r="J49" s="59"/>
      <c r="K49" s="13"/>
      <c r="L49" s="14"/>
      <c r="M49" s="15"/>
    </row>
    <row r="50" spans="1:13">
      <c r="A50" s="89" t="str">
        <f t="shared" ref="A50:A61" si="2">IF(B50=""," ",A49+1)</f>
        <v xml:space="preserve"> </v>
      </c>
      <c r="B50" s="66"/>
      <c r="C50" s="31"/>
      <c r="D50" s="97"/>
      <c r="E50" s="98"/>
      <c r="F50" s="99"/>
      <c r="G50" s="21"/>
      <c r="H50" s="89"/>
      <c r="I50" s="89"/>
      <c r="J50" s="92"/>
      <c r="K50" s="31"/>
      <c r="L50" s="32"/>
      <c r="M50" s="33"/>
    </row>
    <row r="51" spans="1:13">
      <c r="A51" s="89" t="str">
        <f>IF(B51=""," ",#REF!+1)</f>
        <v xml:space="preserve"> </v>
      </c>
      <c r="B51" s="96"/>
      <c r="C51" s="31"/>
      <c r="D51" s="97"/>
      <c r="E51" s="98"/>
      <c r="F51" s="99"/>
      <c r="G51" s="21"/>
      <c r="H51" s="89"/>
      <c r="I51" s="89"/>
      <c r="J51" s="92"/>
      <c r="K51" s="31"/>
      <c r="L51" s="32"/>
      <c r="M51" s="33"/>
    </row>
    <row r="52" spans="1:13">
      <c r="A52" s="89" t="str">
        <f>IF(B52=""," ",#REF!+1)</f>
        <v xml:space="preserve"> </v>
      </c>
      <c r="B52" s="96"/>
      <c r="C52" s="31"/>
      <c r="D52" s="97"/>
      <c r="E52" s="98"/>
      <c r="F52" s="99"/>
      <c r="G52" s="21"/>
      <c r="H52" s="89"/>
      <c r="I52" s="89"/>
      <c r="J52" s="92"/>
      <c r="K52" s="31"/>
      <c r="L52" s="32"/>
      <c r="M52" s="33"/>
    </row>
    <row r="53" spans="1:13">
      <c r="A53" s="89" t="str">
        <f t="shared" si="2"/>
        <v xml:space="preserve"> </v>
      </c>
      <c r="B53" s="96"/>
      <c r="C53" s="31"/>
      <c r="D53" s="97"/>
      <c r="E53" s="98"/>
      <c r="F53" s="99"/>
      <c r="G53" s="21"/>
      <c r="H53" s="89"/>
      <c r="I53" s="89"/>
      <c r="J53" s="92"/>
      <c r="K53" s="31"/>
      <c r="L53" s="32"/>
      <c r="M53" s="33"/>
    </row>
    <row r="54" spans="1:13">
      <c r="A54" s="89" t="str">
        <f t="shared" si="2"/>
        <v xml:space="preserve"> </v>
      </c>
      <c r="B54" s="96"/>
      <c r="C54" s="31"/>
      <c r="D54" s="97"/>
      <c r="E54" s="98"/>
      <c r="F54" s="99"/>
      <c r="G54" s="21"/>
      <c r="H54" s="89"/>
      <c r="I54" s="89"/>
      <c r="J54" s="92"/>
      <c r="K54" s="31"/>
      <c r="L54" s="32"/>
      <c r="M54" s="33"/>
    </row>
    <row r="55" spans="1:13">
      <c r="A55" s="89" t="str">
        <f t="shared" si="2"/>
        <v xml:space="preserve"> </v>
      </c>
      <c r="B55" s="96"/>
      <c r="C55" s="31"/>
      <c r="D55" s="97"/>
      <c r="E55" s="98"/>
      <c r="F55" s="99"/>
      <c r="G55" s="21"/>
      <c r="H55" s="89"/>
      <c r="I55" s="89"/>
      <c r="J55" s="92"/>
      <c r="K55" s="31"/>
      <c r="L55" s="32"/>
      <c r="M55" s="33"/>
    </row>
    <row r="56" spans="1:13">
      <c r="A56" s="89" t="str">
        <f>IF(B56=""," ",A55+1)</f>
        <v xml:space="preserve"> </v>
      </c>
      <c r="B56" s="96"/>
      <c r="C56" s="31"/>
      <c r="D56" s="97"/>
      <c r="E56" s="98"/>
      <c r="F56" s="99"/>
      <c r="G56" s="21"/>
      <c r="H56" s="89"/>
      <c r="I56" s="89"/>
      <c r="J56" s="92"/>
      <c r="K56" s="31"/>
      <c r="L56" s="32"/>
      <c r="M56" s="33"/>
    </row>
    <row r="57" spans="1:13">
      <c r="A57" s="89" t="str">
        <f t="shared" si="2"/>
        <v xml:space="preserve"> </v>
      </c>
      <c r="B57" s="96"/>
      <c r="C57" s="31"/>
      <c r="D57" s="97"/>
      <c r="E57" s="98"/>
      <c r="F57" s="99"/>
      <c r="G57" s="21"/>
      <c r="H57" s="89"/>
      <c r="I57" s="89"/>
      <c r="J57" s="92"/>
      <c r="K57" s="31"/>
      <c r="L57" s="32"/>
      <c r="M57" s="33"/>
    </row>
    <row r="58" spans="1:13">
      <c r="A58" s="89" t="str">
        <f t="shared" si="2"/>
        <v xml:space="preserve"> </v>
      </c>
      <c r="B58" s="96"/>
      <c r="C58" s="31"/>
      <c r="D58" s="97"/>
      <c r="E58" s="98"/>
      <c r="F58" s="99"/>
      <c r="G58" s="21"/>
      <c r="H58" s="89"/>
      <c r="I58" s="89"/>
      <c r="J58" s="92"/>
      <c r="K58" s="31"/>
      <c r="L58" s="32"/>
      <c r="M58" s="33"/>
    </row>
    <row r="59" spans="1:13">
      <c r="A59" s="89" t="str">
        <f t="shared" si="2"/>
        <v xml:space="preserve"> </v>
      </c>
      <c r="B59" s="96"/>
      <c r="C59" s="31"/>
      <c r="D59" s="97"/>
      <c r="E59" s="98"/>
      <c r="F59" s="99"/>
      <c r="G59" s="21"/>
      <c r="H59" s="89"/>
      <c r="I59" s="89"/>
      <c r="J59" s="92"/>
      <c r="K59" s="31"/>
      <c r="L59" s="32"/>
      <c r="M59" s="33"/>
    </row>
    <row r="60" spans="1:13">
      <c r="A60" s="89" t="str">
        <f t="shared" si="2"/>
        <v xml:space="preserve"> </v>
      </c>
      <c r="B60" s="96"/>
      <c r="C60" s="31"/>
      <c r="D60" s="97"/>
      <c r="E60" s="98"/>
      <c r="F60" s="99"/>
      <c r="G60" s="21"/>
      <c r="H60" s="89"/>
      <c r="I60" s="89"/>
      <c r="J60" s="92"/>
      <c r="K60" s="31"/>
      <c r="L60" s="32"/>
      <c r="M60" s="33"/>
    </row>
    <row r="61" spans="1:13">
      <c r="A61" s="89" t="str">
        <f t="shared" si="2"/>
        <v xml:space="preserve"> </v>
      </c>
      <c r="B61" s="96"/>
      <c r="C61" s="31"/>
      <c r="D61" s="97"/>
      <c r="E61" s="98"/>
      <c r="F61" s="99"/>
      <c r="G61" s="21"/>
      <c r="H61" s="89"/>
      <c r="I61" s="89"/>
      <c r="J61" s="92"/>
      <c r="K61" s="31"/>
      <c r="L61" s="32"/>
      <c r="M61" s="33"/>
    </row>
    <row r="62" spans="1:13">
      <c r="A62" s="42" t="str">
        <f>IF(B62=""," ",A61+1)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13"/>
      <c r="L97" s="14"/>
      <c r="M97" s="15"/>
    </row>
    <row r="99" spans="1:13">
      <c r="B99" s="16" t="s">
        <v>1691</v>
      </c>
    </row>
    <row r="101" spans="1:13">
      <c r="B101" s="16" t="s">
        <v>1692</v>
      </c>
      <c r="C101" s="16" t="s">
        <v>1693</v>
      </c>
      <c r="D101" s="16" t="s">
        <v>1695</v>
      </c>
    </row>
    <row r="102" spans="1:13">
      <c r="D102" s="16" t="s">
        <v>1694</v>
      </c>
    </row>
    <row r="103" spans="1:13">
      <c r="D103" s="16" t="s">
        <v>1726</v>
      </c>
    </row>
    <row r="104" spans="1:13">
      <c r="C104" s="16" t="s">
        <v>1720</v>
      </c>
      <c r="D104" s="16" t="s">
        <v>1724</v>
      </c>
    </row>
    <row r="105" spans="1:13">
      <c r="C105" s="16" t="s">
        <v>1725</v>
      </c>
    </row>
    <row r="107" spans="1:13">
      <c r="B107" s="16" t="s">
        <v>1456</v>
      </c>
      <c r="C107" s="16" t="s">
        <v>1720</v>
      </c>
      <c r="D107" s="16" t="s">
        <v>525</v>
      </c>
    </row>
    <row r="108" spans="1:13">
      <c r="C108" s="16" t="s">
        <v>1462</v>
      </c>
    </row>
    <row r="109" spans="1:13">
      <c r="C109" s="16" t="s">
        <v>1457</v>
      </c>
    </row>
    <row r="110" spans="1:13">
      <c r="C110" s="16" t="s">
        <v>1458</v>
      </c>
    </row>
    <row r="111" spans="1:13">
      <c r="C111" s="16" t="s">
        <v>1459</v>
      </c>
    </row>
    <row r="112" spans="1:13">
      <c r="C112" s="16" t="s">
        <v>1460</v>
      </c>
    </row>
    <row r="113" spans="2:10">
      <c r="C113" s="16" t="s">
        <v>1461</v>
      </c>
    </row>
    <row r="115" spans="2:10">
      <c r="B115" s="16" t="s">
        <v>725</v>
      </c>
      <c r="C115" s="16" t="s">
        <v>726</v>
      </c>
    </row>
    <row r="116" spans="2:10">
      <c r="C116" s="16" t="s">
        <v>20</v>
      </c>
      <c r="D116" s="16" t="s">
        <v>743</v>
      </c>
    </row>
    <row r="117" spans="2:10">
      <c r="C117" s="16" t="s">
        <v>1720</v>
      </c>
      <c r="D117" s="16" t="s">
        <v>748</v>
      </c>
    </row>
    <row r="118" spans="2:10">
      <c r="C118" s="385" t="s">
        <v>20</v>
      </c>
      <c r="D118" s="385" t="s">
        <v>750</v>
      </c>
      <c r="E118" s="385"/>
      <c r="F118" s="385"/>
      <c r="G118" s="385"/>
      <c r="H118" s="386"/>
      <c r="I118" s="386"/>
      <c r="J118" s="16" t="s">
        <v>294</v>
      </c>
    </row>
    <row r="119" spans="2:10">
      <c r="C119" s="385"/>
      <c r="D119" s="385" t="s">
        <v>295</v>
      </c>
      <c r="E119" s="385"/>
      <c r="F119" s="385"/>
      <c r="G119" s="385"/>
      <c r="H119" s="386"/>
      <c r="I119" s="386"/>
    </row>
  </sheetData>
  <mergeCells count="42">
    <mergeCell ref="K94:M94"/>
    <mergeCell ref="K95:M95"/>
    <mergeCell ref="K86:M86"/>
    <mergeCell ref="K87:M87"/>
    <mergeCell ref="K90:M90"/>
    <mergeCell ref="K91:M91"/>
    <mergeCell ref="K83:M83"/>
    <mergeCell ref="K70:M70"/>
    <mergeCell ref="K71:M71"/>
    <mergeCell ref="K74:M74"/>
    <mergeCell ref="K75:M75"/>
    <mergeCell ref="K14:M14"/>
    <mergeCell ref="K15:M15"/>
    <mergeCell ref="K78:M78"/>
    <mergeCell ref="K79:M79"/>
    <mergeCell ref="K82:M82"/>
    <mergeCell ref="K62:M62"/>
    <mergeCell ref="K63:M63"/>
    <mergeCell ref="K66:M66"/>
    <mergeCell ref="K67:M67"/>
    <mergeCell ref="K16:M43"/>
    <mergeCell ref="K9:M9"/>
    <mergeCell ref="K8:M8"/>
    <mergeCell ref="K10:M10"/>
    <mergeCell ref="K13:M13"/>
    <mergeCell ref="K7:M7"/>
    <mergeCell ref="K11:M11"/>
    <mergeCell ref="K12:M12"/>
    <mergeCell ref="A5:A6"/>
    <mergeCell ref="B5:C5"/>
    <mergeCell ref="K5:M6"/>
    <mergeCell ref="I5:J5"/>
    <mergeCell ref="D5:H5"/>
    <mergeCell ref="A2:B2"/>
    <mergeCell ref="A3:B3"/>
    <mergeCell ref="A4:B4"/>
    <mergeCell ref="H2:J2"/>
    <mergeCell ref="C2:G2"/>
    <mergeCell ref="C3:G3"/>
    <mergeCell ref="C4:G4"/>
    <mergeCell ref="H3:I3"/>
    <mergeCell ref="H4:I4"/>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67">
    <pageSetUpPr fitToPage="1"/>
  </sheetPr>
  <dimension ref="A1:P110"/>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customWidth="1"/>
    <col min="2" max="2" width="28.625" style="22" customWidth="1"/>
    <col min="3" max="3" width="13.375" style="22" customWidth="1"/>
    <col min="4" max="4" width="9.375" style="22" customWidth="1"/>
    <col min="5" max="5" width="4.875" style="22" bestFit="1" customWidth="1"/>
    <col min="6" max="6" width="4.75" style="22" bestFit="1" customWidth="1"/>
    <col min="7" max="7" width="6.125" style="22" bestFit="1" customWidth="1"/>
    <col min="8" max="8" width="4.75" style="22" bestFit="1" customWidth="1"/>
    <col min="9" max="9" width="4.75" style="22" customWidth="1"/>
    <col min="10" max="11" width="9.625" style="22" customWidth="1"/>
    <col min="12" max="12" width="10.25" style="22" customWidth="1"/>
    <col min="13" max="13" width="10.125" style="22" customWidth="1"/>
    <col min="14" max="14" width="9" style="22"/>
    <col min="15" max="16" width="0" style="22" hidden="1" customWidth="1"/>
    <col min="17" max="16384" width="9" style="22"/>
  </cols>
  <sheetData>
    <row r="1" spans="1:16">
      <c r="B1" s="47"/>
    </row>
    <row r="2" spans="1:16">
      <c r="A2" s="670" t="s">
        <v>230</v>
      </c>
      <c r="B2" s="671"/>
      <c r="C2" s="670" t="s">
        <v>36</v>
      </c>
      <c r="D2" s="676"/>
      <c r="E2" s="676"/>
      <c r="F2" s="676"/>
      <c r="G2" s="671"/>
      <c r="H2" s="670"/>
      <c r="I2" s="676"/>
      <c r="J2" s="671"/>
      <c r="K2" s="81"/>
      <c r="L2" s="82" t="s">
        <v>37</v>
      </c>
      <c r="M2" s="82" t="s">
        <v>38</v>
      </c>
    </row>
    <row r="3" spans="1:16">
      <c r="A3" s="672"/>
      <c r="B3" s="673"/>
      <c r="C3" s="750" t="s">
        <v>1349</v>
      </c>
      <c r="D3" s="751"/>
      <c r="E3" s="751"/>
      <c r="F3" s="751"/>
      <c r="G3" s="752"/>
      <c r="H3" s="670" t="s">
        <v>39</v>
      </c>
      <c r="I3" s="671"/>
      <c r="J3" s="83">
        <f>COUNT(A7:A100)</f>
        <v>7</v>
      </c>
      <c r="K3" s="82" t="s">
        <v>40</v>
      </c>
      <c r="L3" s="84">
        <v>38629</v>
      </c>
      <c r="M3" s="41" t="s">
        <v>56</v>
      </c>
      <c r="O3" s="22" t="s">
        <v>41</v>
      </c>
      <c r="P3" s="22" t="s">
        <v>42</v>
      </c>
    </row>
    <row r="4" spans="1:16">
      <c r="A4" s="674" t="s">
        <v>43</v>
      </c>
      <c r="B4" s="675"/>
      <c r="C4" s="674" t="s">
        <v>1482</v>
      </c>
      <c r="D4" s="753"/>
      <c r="E4" s="753"/>
      <c r="F4" s="753"/>
      <c r="G4" s="675"/>
      <c r="H4" s="670" t="s">
        <v>44</v>
      </c>
      <c r="I4" s="671"/>
      <c r="J4" s="83">
        <f>SUM(G7:G100)</f>
        <v>50</v>
      </c>
      <c r="K4" s="82" t="s">
        <v>45</v>
      </c>
      <c r="L4" s="40">
        <v>38764</v>
      </c>
      <c r="M4" s="89" t="s">
        <v>1407</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c r="A7" s="42">
        <f t="shared" ref="A7:A13" si="0">IF(B7=""," ",A6+1)</f>
        <v>1</v>
      </c>
      <c r="B7" s="48" t="s">
        <v>1350</v>
      </c>
      <c r="C7" s="49" t="s">
        <v>348</v>
      </c>
      <c r="D7" s="78" t="s">
        <v>523</v>
      </c>
      <c r="E7" s="98">
        <v>3</v>
      </c>
      <c r="F7" s="99"/>
      <c r="G7" s="21">
        <f t="shared" ref="G7:G12" si="1">IF(D7="DATE",4,IF(D7="CHAR",E7,IF(D7="SMALLINT",2,IF(D7="INTEGER",4,IF(D7="TIMESTAMP",10,IF(D7="TIME",3,0))))))</f>
        <v>3</v>
      </c>
      <c r="H7" s="91" t="s">
        <v>982</v>
      </c>
      <c r="I7" s="91" t="s">
        <v>982</v>
      </c>
      <c r="J7" s="92"/>
      <c r="K7" s="599"/>
      <c r="L7" s="600"/>
      <c r="M7" s="601"/>
      <c r="P7" s="22" t="s">
        <v>55</v>
      </c>
    </row>
    <row r="8" spans="1:16" ht="12.75" customHeight="1">
      <c r="A8" s="42">
        <f t="shared" si="0"/>
        <v>2</v>
      </c>
      <c r="B8" s="93" t="s">
        <v>1351</v>
      </c>
      <c r="C8" s="26" t="s">
        <v>349</v>
      </c>
      <c r="D8" s="97" t="s">
        <v>1165</v>
      </c>
      <c r="E8" s="98">
        <v>20</v>
      </c>
      <c r="F8" s="99"/>
      <c r="G8" s="21">
        <f t="shared" si="1"/>
        <v>20</v>
      </c>
      <c r="H8" s="91" t="s">
        <v>982</v>
      </c>
      <c r="I8" s="89"/>
      <c r="J8" s="92"/>
      <c r="K8" s="602" t="s">
        <v>1351</v>
      </c>
      <c r="L8" s="603"/>
      <c r="M8" s="604"/>
    </row>
    <row r="9" spans="1:16" ht="27" customHeight="1">
      <c r="A9" s="42">
        <f t="shared" si="0"/>
        <v>3</v>
      </c>
      <c r="B9" s="93" t="s">
        <v>1516</v>
      </c>
      <c r="C9" s="26" t="s">
        <v>350</v>
      </c>
      <c r="D9" s="97" t="s">
        <v>351</v>
      </c>
      <c r="E9" s="98">
        <v>1</v>
      </c>
      <c r="F9" s="99"/>
      <c r="G9" s="21">
        <f t="shared" si="1"/>
        <v>1</v>
      </c>
      <c r="H9" s="91" t="s">
        <v>352</v>
      </c>
      <c r="I9" s="89"/>
      <c r="J9" s="92"/>
      <c r="K9" s="666" t="s">
        <v>1517</v>
      </c>
      <c r="L9" s="667"/>
      <c r="M9" s="668"/>
    </row>
    <row r="10" spans="1:16">
      <c r="A10" s="42">
        <f t="shared" si="0"/>
        <v>4</v>
      </c>
      <c r="B10" s="93" t="s">
        <v>26</v>
      </c>
      <c r="C10" s="26" t="s">
        <v>1399</v>
      </c>
      <c r="D10" s="65" t="s">
        <v>519</v>
      </c>
      <c r="E10" s="95"/>
      <c r="F10" s="90"/>
      <c r="G10" s="21">
        <f t="shared" si="1"/>
        <v>4</v>
      </c>
      <c r="H10" s="91" t="s">
        <v>1400</v>
      </c>
      <c r="I10" s="91" t="s">
        <v>1400</v>
      </c>
      <c r="J10" s="170"/>
      <c r="K10" s="694" t="s">
        <v>1409</v>
      </c>
      <c r="L10" s="664"/>
      <c r="M10" s="665"/>
    </row>
    <row r="11" spans="1:16">
      <c r="A11" s="42">
        <f t="shared" si="0"/>
        <v>5</v>
      </c>
      <c r="B11" s="93" t="s">
        <v>27</v>
      </c>
      <c r="C11" s="26" t="s">
        <v>1401</v>
      </c>
      <c r="D11" s="65" t="s">
        <v>1402</v>
      </c>
      <c r="E11" s="95"/>
      <c r="F11" s="90"/>
      <c r="G11" s="21">
        <f t="shared" si="1"/>
        <v>4</v>
      </c>
      <c r="H11" s="91" t="s">
        <v>1403</v>
      </c>
      <c r="I11" s="91"/>
      <c r="J11" s="170"/>
      <c r="K11" s="694" t="s">
        <v>1410</v>
      </c>
      <c r="L11" s="664"/>
      <c r="M11" s="665"/>
    </row>
    <row r="12" spans="1:16" s="16" customFormat="1" ht="12" customHeight="1">
      <c r="A12" s="42">
        <f>IF(B12=""," ",A11+1)</f>
        <v>6</v>
      </c>
      <c r="B12" s="64" t="s">
        <v>1083</v>
      </c>
      <c r="C12" s="24" t="s">
        <v>1111</v>
      </c>
      <c r="D12" s="72" t="s">
        <v>1431</v>
      </c>
      <c r="E12" s="51">
        <v>8</v>
      </c>
      <c r="F12" s="58"/>
      <c r="G12" s="21">
        <f t="shared" si="1"/>
        <v>8</v>
      </c>
      <c r="H12" s="53" t="s">
        <v>1432</v>
      </c>
      <c r="I12" s="53"/>
      <c r="J12" s="59"/>
      <c r="K12" s="609" t="s">
        <v>1112</v>
      </c>
      <c r="L12" s="610"/>
      <c r="M12" s="611"/>
    </row>
    <row r="13" spans="1:16">
      <c r="A13" s="42">
        <f t="shared" si="0"/>
        <v>7</v>
      </c>
      <c r="B13" s="93" t="s">
        <v>1724</v>
      </c>
      <c r="C13" s="26" t="s">
        <v>1404</v>
      </c>
      <c r="D13" s="94" t="s">
        <v>1405</v>
      </c>
      <c r="E13" s="95"/>
      <c r="F13" s="90"/>
      <c r="G13" s="21">
        <f>IF(D13="DATE",4,IF(D13="CHAR",E13,IF(D13="SMALLINT",2,IF(D13="INTEGER",4,IF(D13="TIMESTAMP",10,IF(D13="TIME",3,0))))))</f>
        <v>10</v>
      </c>
      <c r="H13" s="91" t="s">
        <v>1406</v>
      </c>
      <c r="I13" s="89"/>
      <c r="J13" s="92"/>
      <c r="K13" s="602"/>
      <c r="L13" s="603"/>
      <c r="M13" s="604"/>
    </row>
    <row r="14" spans="1:16">
      <c r="A14" s="89" t="str">
        <f>IF(B14=""," ",A13+1)</f>
        <v xml:space="preserve"> </v>
      </c>
      <c r="B14" s="96"/>
      <c r="C14" s="31"/>
      <c r="D14" s="97"/>
      <c r="E14" s="98"/>
      <c r="F14" s="99"/>
      <c r="G14" s="21"/>
      <c r="H14" s="89"/>
      <c r="I14" s="89"/>
      <c r="J14" s="92"/>
      <c r="K14" s="669"/>
      <c r="L14" s="603"/>
      <c r="M14" s="604"/>
    </row>
    <row r="15" spans="1:16">
      <c r="A15" s="89" t="str">
        <f>IF(B15=""," ",A14+1)</f>
        <v xml:space="preserve"> </v>
      </c>
      <c r="B15" s="96"/>
      <c r="C15" s="31"/>
      <c r="D15" s="97"/>
      <c r="E15" s="98"/>
      <c r="F15" s="99"/>
      <c r="G15" s="21"/>
      <c r="H15" s="89"/>
      <c r="I15" s="89"/>
      <c r="J15" s="92"/>
      <c r="K15" s="602"/>
      <c r="L15" s="603"/>
      <c r="M15" s="604"/>
    </row>
    <row r="16" spans="1:16">
      <c r="A16" s="89" t="str">
        <f>IF(B16=""," ",A15+1)</f>
        <v xml:space="preserve"> </v>
      </c>
      <c r="B16" s="100"/>
      <c r="C16" s="137"/>
      <c r="D16" s="78"/>
      <c r="E16" s="98"/>
      <c r="F16" s="99"/>
      <c r="G16" s="21"/>
      <c r="H16" s="89"/>
      <c r="I16" s="89"/>
      <c r="J16" s="92"/>
      <c r="K16" s="628"/>
      <c r="L16" s="629"/>
      <c r="M16" s="630"/>
    </row>
    <row r="17" spans="1:13">
      <c r="A17" s="89" t="str">
        <f>IF(B17=""," ",A16+1)</f>
        <v xml:space="preserve"> </v>
      </c>
      <c r="B17" s="96"/>
      <c r="C17" s="31"/>
      <c r="D17" s="97"/>
      <c r="E17" s="98"/>
      <c r="F17" s="99"/>
      <c r="G17" s="21"/>
      <c r="H17" s="89"/>
      <c r="I17" s="89"/>
      <c r="J17" s="92"/>
      <c r="K17" s="602"/>
      <c r="L17" s="603"/>
      <c r="M17" s="604"/>
    </row>
    <row r="18" spans="1:13">
      <c r="A18" s="89" t="str">
        <f>IF(B18=""," ",A17+1)</f>
        <v xml:space="preserve"> </v>
      </c>
      <c r="B18" s="96"/>
      <c r="C18" s="31"/>
      <c r="D18" s="97"/>
      <c r="E18" s="98"/>
      <c r="F18" s="99"/>
      <c r="G18" s="21"/>
      <c r="H18" s="89"/>
      <c r="I18" s="89"/>
      <c r="J18" s="92"/>
      <c r="K18" s="602"/>
      <c r="L18" s="692"/>
      <c r="M18" s="693"/>
    </row>
    <row r="19" spans="1:13">
      <c r="A19" s="89" t="str">
        <f>IF(B19=""," ",#REF!+1)</f>
        <v xml:space="preserve"> </v>
      </c>
      <c r="B19" s="96"/>
      <c r="C19" s="31"/>
      <c r="D19" s="97"/>
      <c r="E19" s="98"/>
      <c r="F19" s="99"/>
      <c r="G19" s="21"/>
      <c r="H19" s="89"/>
      <c r="I19" s="89"/>
      <c r="J19" s="92"/>
      <c r="K19" s="669"/>
      <c r="L19" s="603"/>
      <c r="M19" s="604"/>
    </row>
    <row r="20" spans="1:13">
      <c r="A20" s="89" t="str">
        <f>IF(B20=""," ",A19+1)</f>
        <v xml:space="preserve"> </v>
      </c>
      <c r="B20" s="96"/>
      <c r="C20" s="31"/>
      <c r="D20" s="97"/>
      <c r="E20" s="98"/>
      <c r="F20" s="99"/>
      <c r="G20" s="21"/>
      <c r="H20" s="89"/>
      <c r="I20" s="89"/>
      <c r="J20" s="92"/>
      <c r="K20" s="669"/>
      <c r="L20" s="603"/>
      <c r="M20" s="604"/>
    </row>
    <row r="21" spans="1:13">
      <c r="A21" s="89" t="str">
        <f>IF(B21=""," ",#REF!+1)</f>
        <v xml:space="preserve"> </v>
      </c>
      <c r="B21" s="96"/>
      <c r="C21" s="31"/>
      <c r="D21" s="97"/>
      <c r="E21" s="98"/>
      <c r="F21" s="99"/>
      <c r="G21" s="21"/>
      <c r="H21" s="89"/>
      <c r="I21" s="89"/>
      <c r="J21" s="92"/>
      <c r="K21" s="31"/>
      <c r="L21" s="32"/>
      <c r="M21" s="33"/>
    </row>
    <row r="22" spans="1:13">
      <c r="A22" s="89" t="str">
        <f>IF(B22=""," ",A21+1)</f>
        <v xml:space="preserve"> </v>
      </c>
      <c r="B22" s="96"/>
      <c r="C22" s="31"/>
      <c r="D22" s="97"/>
      <c r="E22" s="98"/>
      <c r="F22" s="99"/>
      <c r="G22" s="21"/>
      <c r="H22" s="89"/>
      <c r="I22" s="89"/>
      <c r="J22" s="92"/>
      <c r="K22" s="31"/>
      <c r="L22" s="32"/>
      <c r="M22" s="33"/>
    </row>
    <row r="23" spans="1:13">
      <c r="A23" s="89" t="str">
        <f t="shared" ref="A23:A34" si="2">IF(B23=""," ",A22+1)</f>
        <v xml:space="preserve"> </v>
      </c>
      <c r="B23" s="66"/>
      <c r="C23" s="31"/>
      <c r="D23" s="97"/>
      <c r="E23" s="98"/>
      <c r="F23" s="99"/>
      <c r="G23" s="21"/>
      <c r="H23" s="89"/>
      <c r="I23" s="89"/>
      <c r="J23" s="92"/>
      <c r="K23" s="31"/>
      <c r="L23" s="32"/>
      <c r="M23" s="33"/>
    </row>
    <row r="24" spans="1:13">
      <c r="A24" s="89" t="str">
        <f>IF(B24=""," ",#REF!+1)</f>
        <v xml:space="preserve"> </v>
      </c>
      <c r="B24" s="96"/>
      <c r="C24" s="31"/>
      <c r="D24" s="97"/>
      <c r="E24" s="98"/>
      <c r="F24" s="99"/>
      <c r="G24" s="21"/>
      <c r="H24" s="89"/>
      <c r="I24" s="89"/>
      <c r="J24" s="92"/>
      <c r="K24" s="31"/>
      <c r="L24" s="32"/>
      <c r="M24" s="33"/>
    </row>
    <row r="25" spans="1:13">
      <c r="A25" s="89" t="str">
        <f>IF(B25=""," ",#REF!+1)</f>
        <v xml:space="preserve"> </v>
      </c>
      <c r="B25" s="96"/>
      <c r="C25" s="31"/>
      <c r="D25" s="97"/>
      <c r="E25" s="98"/>
      <c r="F25" s="99"/>
      <c r="G25" s="21"/>
      <c r="H25" s="89"/>
      <c r="I25" s="89"/>
      <c r="J25" s="92"/>
      <c r="K25" s="31"/>
      <c r="L25" s="32"/>
      <c r="M25" s="33"/>
    </row>
    <row r="26" spans="1:13">
      <c r="A26" s="89" t="str">
        <f t="shared" si="2"/>
        <v xml:space="preserve"> </v>
      </c>
      <c r="B26" s="96"/>
      <c r="C26" s="31"/>
      <c r="D26" s="97"/>
      <c r="E26" s="98"/>
      <c r="F26" s="99"/>
      <c r="G26" s="21"/>
      <c r="H26" s="89"/>
      <c r="I26" s="89"/>
      <c r="J26" s="92"/>
      <c r="K26" s="31"/>
      <c r="L26" s="32"/>
      <c r="M26" s="33"/>
    </row>
    <row r="27" spans="1:13">
      <c r="A27" s="89" t="str">
        <f t="shared" si="2"/>
        <v xml:space="preserve"> </v>
      </c>
      <c r="B27" s="96"/>
      <c r="C27" s="31"/>
      <c r="D27" s="97"/>
      <c r="E27" s="98"/>
      <c r="F27" s="99"/>
      <c r="G27" s="21"/>
      <c r="H27" s="89"/>
      <c r="I27" s="89"/>
      <c r="J27" s="92"/>
      <c r="K27" s="31"/>
      <c r="L27" s="32"/>
      <c r="M27" s="33"/>
    </row>
    <row r="28" spans="1:13">
      <c r="A28" s="89" t="str">
        <f t="shared" si="2"/>
        <v xml:space="preserve"> </v>
      </c>
      <c r="B28" s="96"/>
      <c r="C28" s="31"/>
      <c r="D28" s="97"/>
      <c r="E28" s="98"/>
      <c r="F28" s="99"/>
      <c r="G28" s="21"/>
      <c r="H28" s="89"/>
      <c r="I28" s="89"/>
      <c r="J28" s="92"/>
      <c r="K28" s="31"/>
      <c r="L28" s="32"/>
      <c r="M28" s="33"/>
    </row>
    <row r="29" spans="1:13">
      <c r="A29" s="89" t="str">
        <f>IF(B29=""," ",A28+1)</f>
        <v xml:space="preserve"> </v>
      </c>
      <c r="B29" s="96"/>
      <c r="C29" s="31"/>
      <c r="D29" s="97"/>
      <c r="E29" s="98"/>
      <c r="F29" s="99"/>
      <c r="G29" s="21"/>
      <c r="H29" s="89"/>
      <c r="I29" s="89"/>
      <c r="J29" s="92"/>
      <c r="K29" s="31"/>
      <c r="L29" s="32"/>
      <c r="M29" s="33"/>
    </row>
    <row r="30" spans="1:13">
      <c r="A30" s="89" t="str">
        <f t="shared" si="2"/>
        <v xml:space="preserve"> </v>
      </c>
      <c r="B30" s="96"/>
      <c r="C30" s="31"/>
      <c r="D30" s="97"/>
      <c r="E30" s="98"/>
      <c r="F30" s="99"/>
      <c r="G30" s="21"/>
      <c r="H30" s="89"/>
      <c r="I30" s="89"/>
      <c r="J30" s="92"/>
      <c r="K30" s="31"/>
      <c r="L30" s="32"/>
      <c r="M30" s="33"/>
    </row>
    <row r="31" spans="1:13">
      <c r="A31" s="89" t="str">
        <f t="shared" si="2"/>
        <v xml:space="preserve"> </v>
      </c>
      <c r="B31" s="96"/>
      <c r="C31" s="31"/>
      <c r="D31" s="97"/>
      <c r="E31" s="98"/>
      <c r="F31" s="99"/>
      <c r="G31" s="21"/>
      <c r="H31" s="89"/>
      <c r="I31" s="89"/>
      <c r="J31" s="92"/>
      <c r="K31" s="31"/>
      <c r="L31" s="32"/>
      <c r="M31" s="33"/>
    </row>
    <row r="32" spans="1:13">
      <c r="A32" s="89" t="str">
        <f t="shared" si="2"/>
        <v xml:space="preserve"> </v>
      </c>
      <c r="B32" s="96"/>
      <c r="C32" s="31"/>
      <c r="D32" s="97"/>
      <c r="E32" s="98"/>
      <c r="F32" s="99"/>
      <c r="G32" s="21"/>
      <c r="H32" s="89"/>
      <c r="I32" s="89"/>
      <c r="J32" s="92"/>
      <c r="K32" s="31"/>
      <c r="L32" s="32"/>
      <c r="M32" s="33"/>
    </row>
    <row r="33" spans="1:13">
      <c r="A33" s="89" t="str">
        <f t="shared" si="2"/>
        <v xml:space="preserve"> </v>
      </c>
      <c r="B33" s="96"/>
      <c r="C33" s="31"/>
      <c r="D33" s="97"/>
      <c r="E33" s="98"/>
      <c r="F33" s="99"/>
      <c r="G33" s="21"/>
      <c r="H33" s="89"/>
      <c r="I33" s="89"/>
      <c r="J33" s="92"/>
      <c r="K33" s="31"/>
      <c r="L33" s="32"/>
      <c r="M33" s="33"/>
    </row>
    <row r="34" spans="1:13">
      <c r="A34" s="89" t="str">
        <f t="shared" si="2"/>
        <v xml:space="preserve"> </v>
      </c>
      <c r="B34" s="96"/>
      <c r="C34" s="31"/>
      <c r="D34" s="97"/>
      <c r="E34" s="98"/>
      <c r="F34" s="99"/>
      <c r="G34" s="21"/>
      <c r="H34" s="89"/>
      <c r="I34" s="89"/>
      <c r="J34" s="92"/>
      <c r="K34" s="31"/>
      <c r="L34" s="32"/>
      <c r="M34" s="33"/>
    </row>
    <row r="35" spans="1:13">
      <c r="A35" s="42" t="str">
        <f>IF(B35=""," ",A34+1)</f>
        <v xml:space="preserve"> </v>
      </c>
      <c r="B35" s="71"/>
      <c r="C35" s="13"/>
      <c r="D35" s="72"/>
      <c r="E35" s="73"/>
      <c r="F35" s="74"/>
      <c r="G35" s="20"/>
      <c r="H35" s="42"/>
      <c r="I35" s="42"/>
      <c r="J35" s="59"/>
      <c r="K35" s="609"/>
      <c r="L35" s="610"/>
      <c r="M35" s="611"/>
    </row>
    <row r="36" spans="1:13">
      <c r="A36" s="42" t="str">
        <f>IF(B36=""," ",#REF!+1)</f>
        <v xml:space="preserve"> </v>
      </c>
      <c r="B36" s="71"/>
      <c r="C36" s="13"/>
      <c r="D36" s="72"/>
      <c r="E36" s="73"/>
      <c r="F36" s="74"/>
      <c r="G36" s="20"/>
      <c r="H36" s="42"/>
      <c r="I36" s="42"/>
      <c r="J36" s="59"/>
      <c r="K36" s="609"/>
      <c r="L36" s="610"/>
      <c r="M36" s="611"/>
    </row>
    <row r="37" spans="1:13">
      <c r="A37" s="42" t="str">
        <f>IF(B37=""," ",#REF!+1)</f>
        <v xml:space="preserve"> </v>
      </c>
      <c r="B37" s="71"/>
      <c r="C37" s="13"/>
      <c r="D37" s="72"/>
      <c r="E37" s="73"/>
      <c r="F37" s="74"/>
      <c r="G37" s="20"/>
      <c r="H37" s="42"/>
      <c r="I37" s="42"/>
      <c r="J37" s="59"/>
      <c r="K37" s="13"/>
      <c r="L37" s="14"/>
      <c r="M37" s="15"/>
    </row>
    <row r="38" spans="1:13">
      <c r="A38" s="42" t="str">
        <f>IF(B38=""," ",A37+1)</f>
        <v xml:space="preserve"> </v>
      </c>
      <c r="B38" s="71"/>
      <c r="C38" s="13"/>
      <c r="D38" s="72"/>
      <c r="E38" s="73"/>
      <c r="F38" s="74"/>
      <c r="G38" s="20"/>
      <c r="H38" s="42"/>
      <c r="I38" s="42"/>
      <c r="J38" s="59"/>
      <c r="K38" s="13"/>
      <c r="L38" s="14"/>
      <c r="M38" s="15"/>
    </row>
    <row r="39" spans="1:13">
      <c r="A39" s="42" t="str">
        <f>IF(B39=""," ",A38+1)</f>
        <v xml:space="preserve"> </v>
      </c>
      <c r="B39" s="71"/>
      <c r="C39" s="13"/>
      <c r="D39" s="72"/>
      <c r="E39" s="73"/>
      <c r="F39" s="74"/>
      <c r="G39" s="20"/>
      <c r="H39" s="42"/>
      <c r="I39" s="42"/>
      <c r="J39" s="59"/>
      <c r="K39" s="609"/>
      <c r="L39" s="610"/>
      <c r="M39" s="611"/>
    </row>
    <row r="40" spans="1:13">
      <c r="A40" s="42" t="str">
        <f>IF(B40=""," ",#REF!+1)</f>
        <v xml:space="preserve"> </v>
      </c>
      <c r="B40" s="71"/>
      <c r="C40" s="13"/>
      <c r="D40" s="72"/>
      <c r="E40" s="73"/>
      <c r="F40" s="74"/>
      <c r="G40" s="20"/>
      <c r="H40" s="42"/>
      <c r="I40" s="42"/>
      <c r="J40" s="59"/>
      <c r="K40" s="609"/>
      <c r="L40" s="610"/>
      <c r="M40" s="611"/>
    </row>
    <row r="41" spans="1:13">
      <c r="A41" s="42" t="str">
        <f>IF(B41=""," ",#REF!+1)</f>
        <v xml:space="preserve"> </v>
      </c>
      <c r="B41" s="71"/>
      <c r="C41" s="13"/>
      <c r="D41" s="72"/>
      <c r="E41" s="73"/>
      <c r="F41" s="74"/>
      <c r="G41" s="20"/>
      <c r="H41" s="42"/>
      <c r="I41" s="42"/>
      <c r="J41" s="59"/>
      <c r="K41" s="13"/>
      <c r="L41" s="14"/>
      <c r="M41" s="15"/>
    </row>
    <row r="42" spans="1:13">
      <c r="A42" s="42" t="str">
        <f>IF(B42=""," ",A41+1)</f>
        <v xml:space="preserve"> </v>
      </c>
      <c r="B42" s="71"/>
      <c r="C42" s="13"/>
      <c r="D42" s="72"/>
      <c r="E42" s="73"/>
      <c r="F42" s="74"/>
      <c r="G42" s="20"/>
      <c r="H42" s="42"/>
      <c r="I42" s="42"/>
      <c r="J42" s="59"/>
      <c r="K42" s="13"/>
      <c r="L42" s="14"/>
      <c r="M42" s="15"/>
    </row>
    <row r="43" spans="1:13">
      <c r="A43" s="42" t="str">
        <f>IF(B43=""," ",A42+1)</f>
        <v xml:space="preserve"> </v>
      </c>
      <c r="B43" s="71"/>
      <c r="C43" s="13"/>
      <c r="D43" s="72"/>
      <c r="E43" s="73"/>
      <c r="F43" s="74"/>
      <c r="G43" s="20"/>
      <c r="H43" s="42"/>
      <c r="I43" s="42"/>
      <c r="J43" s="59"/>
      <c r="K43" s="609"/>
      <c r="L43" s="610"/>
      <c r="M43" s="611"/>
    </row>
    <row r="44" spans="1:13">
      <c r="A44" s="42" t="str">
        <f>IF(B44=""," ",#REF!+1)</f>
        <v xml:space="preserve"> </v>
      </c>
      <c r="B44" s="71"/>
      <c r="C44" s="13"/>
      <c r="D44" s="72"/>
      <c r="E44" s="73"/>
      <c r="F44" s="74"/>
      <c r="G44" s="20"/>
      <c r="H44" s="42"/>
      <c r="I44" s="42"/>
      <c r="J44" s="59"/>
      <c r="K44" s="609"/>
      <c r="L44" s="610"/>
      <c r="M44" s="611"/>
    </row>
    <row r="45" spans="1:13">
      <c r="A45" s="42" t="str">
        <f>IF(B45=""," ",#REF!+1)</f>
        <v xml:space="preserve"> </v>
      </c>
      <c r="B45" s="71"/>
      <c r="C45" s="13"/>
      <c r="D45" s="72"/>
      <c r="E45" s="73"/>
      <c r="F45" s="74"/>
      <c r="G45" s="20"/>
      <c r="H45" s="42"/>
      <c r="I45" s="42"/>
      <c r="J45" s="59"/>
      <c r="K45" s="13"/>
      <c r="L45" s="14"/>
      <c r="M45" s="15"/>
    </row>
    <row r="46" spans="1:13">
      <c r="A46" s="42" t="str">
        <f>IF(B46=""," ",A45+1)</f>
        <v xml:space="preserve"> </v>
      </c>
      <c r="B46" s="71"/>
      <c r="C46" s="13"/>
      <c r="D46" s="72"/>
      <c r="E46" s="73"/>
      <c r="F46" s="74"/>
      <c r="G46" s="20"/>
      <c r="H46" s="42"/>
      <c r="I46" s="42"/>
      <c r="J46" s="59"/>
      <c r="K46" s="13"/>
      <c r="L46" s="14"/>
      <c r="M46" s="15"/>
    </row>
    <row r="47" spans="1:13">
      <c r="A47" s="42" t="str">
        <f>IF(B47=""," ",A46+1)</f>
        <v xml:space="preserve"> </v>
      </c>
      <c r="B47" s="71"/>
      <c r="C47" s="13"/>
      <c r="D47" s="72"/>
      <c r="E47" s="73"/>
      <c r="F47" s="74"/>
      <c r="G47" s="20"/>
      <c r="H47" s="42"/>
      <c r="I47" s="42"/>
      <c r="J47" s="59"/>
      <c r="K47" s="609"/>
      <c r="L47" s="610"/>
      <c r="M47" s="611"/>
    </row>
    <row r="48" spans="1:13">
      <c r="A48" s="42" t="str">
        <f>IF(B48=""," ",#REF!+1)</f>
        <v xml:space="preserve"> </v>
      </c>
      <c r="B48" s="71"/>
      <c r="C48" s="13"/>
      <c r="D48" s="72"/>
      <c r="E48" s="73"/>
      <c r="F48" s="74"/>
      <c r="G48" s="20"/>
      <c r="H48" s="42"/>
      <c r="I48" s="42"/>
      <c r="J48" s="59"/>
      <c r="K48" s="609"/>
      <c r="L48" s="610"/>
      <c r="M48" s="611"/>
    </row>
    <row r="49" spans="1:13">
      <c r="A49" s="42" t="str">
        <f>IF(B49=""," ",#REF!+1)</f>
        <v xml:space="preserve"> </v>
      </c>
      <c r="B49" s="71"/>
      <c r="C49" s="13"/>
      <c r="D49" s="72"/>
      <c r="E49" s="73"/>
      <c r="F49" s="74"/>
      <c r="G49" s="20"/>
      <c r="H49" s="42"/>
      <c r="I49" s="42"/>
      <c r="J49" s="59"/>
      <c r="K49" s="13"/>
      <c r="L49" s="14"/>
      <c r="M49" s="15"/>
    </row>
    <row r="50" spans="1:13">
      <c r="A50" s="42" t="str">
        <f>IF(B50=""," ",A49+1)</f>
        <v xml:space="preserve"> </v>
      </c>
      <c r="B50" s="71"/>
      <c r="C50" s="13"/>
      <c r="D50" s="72"/>
      <c r="E50" s="73"/>
      <c r="F50" s="74"/>
      <c r="G50" s="20"/>
      <c r="H50" s="42"/>
      <c r="I50" s="42"/>
      <c r="J50" s="59"/>
      <c r="K50" s="13"/>
      <c r="L50" s="14"/>
      <c r="M50" s="15"/>
    </row>
    <row r="51" spans="1:13">
      <c r="A51" s="42" t="str">
        <f>IF(B51=""," ",A50+1)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13"/>
      <c r="L99" s="14"/>
      <c r="M99" s="15"/>
    </row>
    <row r="100" spans="1:13">
      <c r="A100" s="42" t="str">
        <f>IF(B100=""," ",A99+1)</f>
        <v xml:space="preserve"> </v>
      </c>
      <c r="B100" s="71"/>
      <c r="C100" s="13"/>
      <c r="D100" s="72"/>
      <c r="E100" s="73"/>
      <c r="F100" s="74"/>
      <c r="G100" s="20"/>
      <c r="H100" s="42"/>
      <c r="I100" s="42"/>
      <c r="J100" s="59"/>
      <c r="K100" s="609"/>
      <c r="L100" s="610"/>
      <c r="M100" s="611"/>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s="16" customFormat="1">
      <c r="A110" s="46"/>
      <c r="B110" s="75" t="s">
        <v>1463</v>
      </c>
      <c r="C110" s="16" t="s">
        <v>1411</v>
      </c>
    </row>
  </sheetData>
  <mergeCells count="61">
    <mergeCell ref="K83:M83"/>
    <mergeCell ref="K84:M84"/>
    <mergeCell ref="K87:M87"/>
    <mergeCell ref="K88:M88"/>
    <mergeCell ref="K100:M100"/>
    <mergeCell ref="K91:M91"/>
    <mergeCell ref="K92:M92"/>
    <mergeCell ref="K95:M95"/>
    <mergeCell ref="K96:M96"/>
    <mergeCell ref="K75:M75"/>
    <mergeCell ref="K76:M76"/>
    <mergeCell ref="K79:M79"/>
    <mergeCell ref="K80:M80"/>
    <mergeCell ref="K67:M67"/>
    <mergeCell ref="K68:M68"/>
    <mergeCell ref="K71:M71"/>
    <mergeCell ref="K72:M72"/>
    <mergeCell ref="K59:M59"/>
    <mergeCell ref="K60:M60"/>
    <mergeCell ref="K63:M63"/>
    <mergeCell ref="K64:M64"/>
    <mergeCell ref="K51:M51"/>
    <mergeCell ref="K52:M52"/>
    <mergeCell ref="K55:M55"/>
    <mergeCell ref="K56:M56"/>
    <mergeCell ref="K7:M7"/>
    <mergeCell ref="K43:M43"/>
    <mergeCell ref="K44:M44"/>
    <mergeCell ref="K47:M47"/>
    <mergeCell ref="K48:M48"/>
    <mergeCell ref="K35:M35"/>
    <mergeCell ref="K36:M36"/>
    <mergeCell ref="K39:M39"/>
    <mergeCell ref="K40:M40"/>
    <mergeCell ref="K8:M8"/>
    <mergeCell ref="K10:M10"/>
    <mergeCell ref="K11:M11"/>
    <mergeCell ref="K13:M13"/>
    <mergeCell ref="K9:M9"/>
    <mergeCell ref="K12:M12"/>
    <mergeCell ref="K14:M14"/>
    <mergeCell ref="A5:A6"/>
    <mergeCell ref="B5:C5"/>
    <mergeCell ref="K5:M6"/>
    <mergeCell ref="I5:J5"/>
    <mergeCell ref="D5:H5"/>
    <mergeCell ref="A2:B2"/>
    <mergeCell ref="A3:B3"/>
    <mergeCell ref="A4:B4"/>
    <mergeCell ref="H2:J2"/>
    <mergeCell ref="C2:G2"/>
    <mergeCell ref="C3:G3"/>
    <mergeCell ref="C4:G4"/>
    <mergeCell ref="H4:I4"/>
    <mergeCell ref="H3:I3"/>
    <mergeCell ref="K19:M19"/>
    <mergeCell ref="K20:M20"/>
    <mergeCell ref="K15:M15"/>
    <mergeCell ref="K16:M16"/>
    <mergeCell ref="K17:M17"/>
    <mergeCell ref="K18:M18"/>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1">
    <pageSetUpPr fitToPage="1"/>
  </sheetPr>
  <dimension ref="A1:R112"/>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bestFit="1" customWidth="1"/>
    <col min="2" max="2" width="28.625" style="22" customWidth="1"/>
    <col min="3" max="3" width="13.375" style="22" customWidth="1"/>
    <col min="4" max="4" width="9.375" style="22" customWidth="1"/>
    <col min="5" max="6" width="4.75" style="22" bestFit="1" customWidth="1"/>
    <col min="7" max="7" width="6.125" style="22" bestFit="1" customWidth="1"/>
    <col min="8" max="8" width="4.75" style="22" bestFit="1" customWidth="1"/>
    <col min="9" max="9" width="4.75" style="22" customWidth="1"/>
    <col min="10" max="11" width="9.625" style="22" customWidth="1"/>
    <col min="12" max="13" width="10.25" style="22" customWidth="1"/>
    <col min="14" max="14" width="9" style="22"/>
    <col min="15" max="16" width="0" style="22" hidden="1" customWidth="1"/>
    <col min="17" max="16384" width="9" style="22"/>
  </cols>
  <sheetData>
    <row r="1" spans="1:18">
      <c r="B1" s="47"/>
    </row>
    <row r="2" spans="1:18">
      <c r="A2" s="670" t="s">
        <v>1447</v>
      </c>
      <c r="B2" s="671"/>
      <c r="C2" s="670" t="s">
        <v>36</v>
      </c>
      <c r="D2" s="676"/>
      <c r="E2" s="676"/>
      <c r="F2" s="676"/>
      <c r="G2" s="671"/>
      <c r="H2" s="670"/>
      <c r="I2" s="676"/>
      <c r="J2" s="671"/>
      <c r="K2" s="81"/>
      <c r="L2" s="82" t="s">
        <v>37</v>
      </c>
      <c r="M2" s="82" t="s">
        <v>38</v>
      </c>
    </row>
    <row r="3" spans="1:18">
      <c r="A3" s="672"/>
      <c r="B3" s="673"/>
      <c r="C3" s="750" t="s">
        <v>1452</v>
      </c>
      <c r="D3" s="751"/>
      <c r="E3" s="751"/>
      <c r="F3" s="751"/>
      <c r="G3" s="752"/>
      <c r="H3" s="670" t="s">
        <v>39</v>
      </c>
      <c r="I3" s="671"/>
      <c r="J3" s="83">
        <f>COUNT(A7:A100)</f>
        <v>55</v>
      </c>
      <c r="K3" s="82" t="s">
        <v>40</v>
      </c>
      <c r="L3" s="84">
        <v>38629</v>
      </c>
      <c r="M3" s="41" t="s">
        <v>56</v>
      </c>
      <c r="O3" s="22" t="s">
        <v>41</v>
      </c>
      <c r="P3" s="22" t="s">
        <v>42</v>
      </c>
    </row>
    <row r="4" spans="1:18">
      <c r="A4" s="674" t="s">
        <v>43</v>
      </c>
      <c r="B4" s="675"/>
      <c r="C4" s="674" t="s">
        <v>1341</v>
      </c>
      <c r="D4" s="753"/>
      <c r="E4" s="753"/>
      <c r="F4" s="753"/>
      <c r="G4" s="675"/>
      <c r="H4" s="670" t="s">
        <v>44</v>
      </c>
      <c r="I4" s="671"/>
      <c r="J4" s="83">
        <f>SUM(G7:G100)</f>
        <v>546</v>
      </c>
      <c r="K4" s="82" t="s">
        <v>45</v>
      </c>
      <c r="L4" s="40">
        <v>38816</v>
      </c>
      <c r="M4" s="89" t="s">
        <v>532</v>
      </c>
      <c r="O4" s="22" t="s">
        <v>1368</v>
      </c>
      <c r="P4" s="22" t="s">
        <v>1367</v>
      </c>
    </row>
    <row r="5" spans="1:18">
      <c r="A5" s="683" t="s">
        <v>1448</v>
      </c>
      <c r="B5" s="670" t="s">
        <v>46</v>
      </c>
      <c r="C5" s="676"/>
      <c r="D5" s="691" t="s">
        <v>47</v>
      </c>
      <c r="E5" s="676"/>
      <c r="F5" s="676"/>
      <c r="G5" s="676"/>
      <c r="H5" s="676"/>
      <c r="I5" s="670" t="s">
        <v>604</v>
      </c>
      <c r="J5" s="671"/>
      <c r="K5" s="685" t="s">
        <v>48</v>
      </c>
      <c r="L5" s="686"/>
      <c r="M5" s="687"/>
      <c r="P5" s="22" t="s">
        <v>605</v>
      </c>
    </row>
    <row r="6" spans="1:18">
      <c r="A6" s="684"/>
      <c r="B6" s="82" t="s">
        <v>49</v>
      </c>
      <c r="C6" s="30" t="s">
        <v>50</v>
      </c>
      <c r="D6" s="85" t="s">
        <v>42</v>
      </c>
      <c r="E6" s="86" t="s">
        <v>51</v>
      </c>
      <c r="F6" s="87" t="s">
        <v>52</v>
      </c>
      <c r="G6" s="82" t="s">
        <v>606</v>
      </c>
      <c r="H6" s="29" t="s">
        <v>53</v>
      </c>
      <c r="I6" s="29" t="s">
        <v>607</v>
      </c>
      <c r="J6" s="29" t="s">
        <v>608</v>
      </c>
      <c r="K6" s="688"/>
      <c r="L6" s="689"/>
      <c r="M6" s="690"/>
      <c r="P6" s="22" t="s">
        <v>609</v>
      </c>
    </row>
    <row r="7" spans="1:18">
      <c r="A7" s="89">
        <v>1</v>
      </c>
      <c r="B7" s="66" t="s">
        <v>525</v>
      </c>
      <c r="C7" s="26" t="s">
        <v>292</v>
      </c>
      <c r="D7" s="94" t="s">
        <v>524</v>
      </c>
      <c r="E7" s="95">
        <v>7</v>
      </c>
      <c r="F7" s="90"/>
      <c r="G7" s="20">
        <f>IF(D7="DATE",4,IF(D7="CHAR",E7,IF(D7="SMALLINT",2,IF(D7="INTEGER",4,IF(D7="TIMESTAMP",10,IF(D7="TIME",3,0))))))</f>
        <v>7</v>
      </c>
      <c r="H7" s="91" t="s">
        <v>574</v>
      </c>
      <c r="I7" s="91" t="s">
        <v>574</v>
      </c>
      <c r="J7" s="92"/>
      <c r="K7" s="31"/>
      <c r="L7" s="32"/>
      <c r="M7" s="33"/>
    </row>
    <row r="8" spans="1:18">
      <c r="A8" s="42">
        <f t="shared" ref="A8:A61" si="0">IF(B8=""," ",A7+1)</f>
        <v>2</v>
      </c>
      <c r="B8" s="100" t="s">
        <v>1162</v>
      </c>
      <c r="C8" s="101" t="s">
        <v>1172</v>
      </c>
      <c r="D8" s="102" t="s">
        <v>523</v>
      </c>
      <c r="E8" s="103">
        <v>3</v>
      </c>
      <c r="F8" s="104"/>
      <c r="G8" s="105">
        <v>3</v>
      </c>
      <c r="H8" s="106" t="s">
        <v>528</v>
      </c>
      <c r="I8" s="106" t="s">
        <v>528</v>
      </c>
      <c r="J8" s="107"/>
      <c r="K8" s="628" t="s">
        <v>1355</v>
      </c>
      <c r="L8" s="629"/>
      <c r="M8" s="630"/>
      <c r="N8" s="108"/>
      <c r="O8" s="109"/>
      <c r="P8" s="109"/>
      <c r="Q8" s="110"/>
      <c r="R8" s="111"/>
    </row>
    <row r="9" spans="1:18">
      <c r="A9" s="42">
        <f>IF(B9=""," ",A8+1)</f>
        <v>3</v>
      </c>
      <c r="B9" s="66" t="s">
        <v>66</v>
      </c>
      <c r="C9" s="24" t="s">
        <v>1362</v>
      </c>
      <c r="D9" s="68" t="s">
        <v>548</v>
      </c>
      <c r="E9" s="51">
        <v>7</v>
      </c>
      <c r="F9" s="90"/>
      <c r="G9" s="20">
        <f t="shared" ref="G9:G60" si="1">IF(D9="DATE",4,IF(D9="CHAR",E9,IF(D9="SMALLINT",2,IF(D9="INTEGER",4,IF(D9="TIMESTAMP",10,IF(D9="TIME",3,0))))))</f>
        <v>7</v>
      </c>
      <c r="H9" s="91" t="s">
        <v>547</v>
      </c>
      <c r="I9" s="91" t="s">
        <v>547</v>
      </c>
      <c r="J9" s="92"/>
      <c r="K9" s="669" t="s">
        <v>67</v>
      </c>
      <c r="L9" s="603"/>
      <c r="M9" s="604"/>
    </row>
    <row r="10" spans="1:18" s="16" customFormat="1" ht="12" customHeight="1">
      <c r="A10" s="42">
        <f t="shared" si="0"/>
        <v>4</v>
      </c>
      <c r="B10" s="48" t="s">
        <v>1441</v>
      </c>
      <c r="C10" s="49" t="s">
        <v>1415</v>
      </c>
      <c r="D10" s="50" t="s">
        <v>1416</v>
      </c>
      <c r="E10" s="51">
        <v>3</v>
      </c>
      <c r="F10" s="58"/>
      <c r="G10" s="20">
        <f t="shared" si="1"/>
        <v>3</v>
      </c>
      <c r="H10" s="53" t="s">
        <v>1392</v>
      </c>
      <c r="I10" s="53" t="s">
        <v>1363</v>
      </c>
      <c r="J10" s="59"/>
      <c r="K10" s="599" t="s">
        <v>1417</v>
      </c>
      <c r="L10" s="600"/>
      <c r="M10" s="601"/>
      <c r="P10" s="16" t="s">
        <v>1418</v>
      </c>
    </row>
    <row r="11" spans="1:18" s="16" customFormat="1" ht="12" customHeight="1">
      <c r="A11" s="42">
        <f>IF(B11=""," ",A10+1)</f>
        <v>5</v>
      </c>
      <c r="B11" s="66" t="s">
        <v>121</v>
      </c>
      <c r="C11" s="76" t="s">
        <v>1443</v>
      </c>
      <c r="D11" s="65" t="s">
        <v>580</v>
      </c>
      <c r="E11" s="51">
        <v>2</v>
      </c>
      <c r="F11" s="58"/>
      <c r="G11" s="20">
        <f t="shared" si="1"/>
        <v>2</v>
      </c>
      <c r="H11" s="53" t="s">
        <v>581</v>
      </c>
      <c r="I11" s="53" t="s">
        <v>581</v>
      </c>
      <c r="J11" s="59"/>
      <c r="K11" s="609" t="s">
        <v>1419</v>
      </c>
      <c r="L11" s="610"/>
      <c r="M11" s="611"/>
      <c r="P11" s="16" t="s">
        <v>1420</v>
      </c>
    </row>
    <row r="12" spans="1:18" s="16" customFormat="1" ht="12" customHeight="1">
      <c r="A12" s="42">
        <f>IF(B12=""," ",A11+1)</f>
        <v>6</v>
      </c>
      <c r="B12" s="66" t="s">
        <v>119</v>
      </c>
      <c r="C12" s="24" t="s">
        <v>1421</v>
      </c>
      <c r="D12" s="65" t="s">
        <v>1422</v>
      </c>
      <c r="E12" s="51">
        <v>4</v>
      </c>
      <c r="F12" s="58"/>
      <c r="G12" s="20">
        <f t="shared" si="1"/>
        <v>4</v>
      </c>
      <c r="H12" s="53" t="s">
        <v>576</v>
      </c>
      <c r="I12" s="53" t="s">
        <v>581</v>
      </c>
      <c r="J12" s="59"/>
      <c r="K12" s="609" t="s">
        <v>120</v>
      </c>
      <c r="L12" s="610"/>
      <c r="M12" s="611"/>
      <c r="P12" s="16" t="s">
        <v>1423</v>
      </c>
    </row>
    <row r="13" spans="1:18" s="16" customFormat="1" ht="12" customHeight="1">
      <c r="A13" s="42">
        <f>IF(B13=""," ",A12+1)</f>
        <v>7</v>
      </c>
      <c r="B13" s="64" t="s">
        <v>129</v>
      </c>
      <c r="C13" s="24" t="s">
        <v>1424</v>
      </c>
      <c r="D13" s="72" t="s">
        <v>1425</v>
      </c>
      <c r="E13" s="51">
        <v>2</v>
      </c>
      <c r="F13" s="58"/>
      <c r="G13" s="20">
        <f t="shared" si="1"/>
        <v>2</v>
      </c>
      <c r="H13" s="53" t="s">
        <v>582</v>
      </c>
      <c r="I13" s="53"/>
      <c r="J13" s="59"/>
      <c r="K13" s="609" t="s">
        <v>130</v>
      </c>
      <c r="L13" s="610"/>
      <c r="M13" s="611"/>
      <c r="P13" s="16" t="s">
        <v>1426</v>
      </c>
    </row>
    <row r="14" spans="1:18" s="16" customFormat="1" ht="12" customHeight="1">
      <c r="A14" s="42">
        <f t="shared" si="0"/>
        <v>8</v>
      </c>
      <c r="B14" s="66" t="s">
        <v>125</v>
      </c>
      <c r="C14" s="24" t="s">
        <v>126</v>
      </c>
      <c r="D14" s="72" t="s">
        <v>523</v>
      </c>
      <c r="E14" s="51">
        <v>3</v>
      </c>
      <c r="F14" s="58"/>
      <c r="G14" s="20">
        <f t="shared" si="1"/>
        <v>3</v>
      </c>
      <c r="H14" s="53" t="s">
        <v>583</v>
      </c>
      <c r="I14" s="53"/>
      <c r="J14" s="59"/>
      <c r="K14" s="609" t="s">
        <v>127</v>
      </c>
      <c r="L14" s="610"/>
      <c r="M14" s="611"/>
      <c r="P14" s="16" t="s">
        <v>55</v>
      </c>
    </row>
    <row r="15" spans="1:18" s="16" customFormat="1" ht="12" customHeight="1">
      <c r="A15" s="42">
        <f t="shared" si="0"/>
        <v>9</v>
      </c>
      <c r="B15" s="64" t="s">
        <v>180</v>
      </c>
      <c r="C15" s="24" t="s">
        <v>181</v>
      </c>
      <c r="D15" s="72" t="s">
        <v>523</v>
      </c>
      <c r="E15" s="51">
        <v>5</v>
      </c>
      <c r="F15" s="58"/>
      <c r="G15" s="20">
        <f t="shared" si="1"/>
        <v>5</v>
      </c>
      <c r="H15" s="53" t="s">
        <v>583</v>
      </c>
      <c r="I15" s="53"/>
      <c r="J15" s="59"/>
      <c r="K15" s="609" t="s">
        <v>182</v>
      </c>
      <c r="L15" s="610"/>
      <c r="M15" s="611"/>
    </row>
    <row r="16" spans="1:18" s="16" customFormat="1" ht="12" customHeight="1">
      <c r="A16" s="42">
        <f t="shared" si="0"/>
        <v>10</v>
      </c>
      <c r="B16" s="64" t="s">
        <v>183</v>
      </c>
      <c r="C16" s="24" t="s">
        <v>184</v>
      </c>
      <c r="D16" s="77" t="s">
        <v>523</v>
      </c>
      <c r="E16" s="51">
        <v>5</v>
      </c>
      <c r="F16" s="58"/>
      <c r="G16" s="20">
        <f t="shared" si="1"/>
        <v>5</v>
      </c>
      <c r="H16" s="53" t="s">
        <v>583</v>
      </c>
      <c r="I16" s="53"/>
      <c r="J16" s="59"/>
      <c r="K16" s="609" t="s">
        <v>185</v>
      </c>
      <c r="L16" s="610"/>
      <c r="M16" s="611"/>
    </row>
    <row r="17" spans="1:13" s="16" customFormat="1" ht="12" customHeight="1">
      <c r="A17" s="42">
        <f t="shared" si="0"/>
        <v>11</v>
      </c>
      <c r="B17" s="64" t="s">
        <v>1446</v>
      </c>
      <c r="C17" s="24" t="s">
        <v>149</v>
      </c>
      <c r="D17" s="72" t="s">
        <v>1427</v>
      </c>
      <c r="E17" s="51">
        <v>8</v>
      </c>
      <c r="F17" s="58"/>
      <c r="G17" s="20">
        <f t="shared" si="1"/>
        <v>8</v>
      </c>
      <c r="H17" s="53" t="s">
        <v>1406</v>
      </c>
      <c r="I17" s="53"/>
      <c r="J17" s="59"/>
      <c r="K17" s="609" t="s">
        <v>1445</v>
      </c>
      <c r="L17" s="610"/>
      <c r="M17" s="611"/>
    </row>
    <row r="18" spans="1:13" s="16" customFormat="1" ht="12" customHeight="1">
      <c r="A18" s="42">
        <f t="shared" si="0"/>
        <v>12</v>
      </c>
      <c r="B18" s="64" t="s">
        <v>529</v>
      </c>
      <c r="C18" s="24" t="s">
        <v>584</v>
      </c>
      <c r="D18" s="72" t="s">
        <v>1427</v>
      </c>
      <c r="E18" s="51">
        <v>8</v>
      </c>
      <c r="F18" s="58"/>
      <c r="G18" s="20">
        <f t="shared" si="1"/>
        <v>8</v>
      </c>
      <c r="H18" s="53" t="s">
        <v>1406</v>
      </c>
      <c r="I18" s="53"/>
      <c r="J18" s="59"/>
      <c r="K18" s="609" t="s">
        <v>530</v>
      </c>
      <c r="L18" s="610"/>
      <c r="M18" s="611"/>
    </row>
    <row r="19" spans="1:13" s="16" customFormat="1" ht="12" customHeight="1">
      <c r="A19" s="42">
        <f t="shared" si="0"/>
        <v>13</v>
      </c>
      <c r="B19" s="48" t="s">
        <v>79</v>
      </c>
      <c r="C19" s="49" t="s">
        <v>586</v>
      </c>
      <c r="D19" s="78" t="s">
        <v>1367</v>
      </c>
      <c r="E19" s="51">
        <v>8</v>
      </c>
      <c r="F19" s="58"/>
      <c r="G19" s="20">
        <f t="shared" si="1"/>
        <v>8</v>
      </c>
      <c r="H19" s="53" t="s">
        <v>1368</v>
      </c>
      <c r="I19" s="53"/>
      <c r="J19" s="59"/>
      <c r="K19" s="599" t="s">
        <v>80</v>
      </c>
      <c r="L19" s="600"/>
      <c r="M19" s="601"/>
    </row>
    <row r="20" spans="1:13" s="16" customFormat="1" ht="12" customHeight="1">
      <c r="A20" s="42">
        <f t="shared" si="0"/>
        <v>14</v>
      </c>
      <c r="B20" s="48" t="s">
        <v>77</v>
      </c>
      <c r="C20" s="49" t="s">
        <v>585</v>
      </c>
      <c r="D20" s="78" t="s">
        <v>1367</v>
      </c>
      <c r="E20" s="51">
        <v>8</v>
      </c>
      <c r="F20" s="58"/>
      <c r="G20" s="20">
        <f t="shared" si="1"/>
        <v>8</v>
      </c>
      <c r="H20" s="53" t="s">
        <v>1368</v>
      </c>
      <c r="I20" s="53"/>
      <c r="J20" s="59"/>
      <c r="K20" s="599" t="s">
        <v>78</v>
      </c>
      <c r="L20" s="600"/>
      <c r="M20" s="601"/>
    </row>
    <row r="21" spans="1:13" s="16" customFormat="1" ht="12" customHeight="1">
      <c r="A21" s="42">
        <f t="shared" si="0"/>
        <v>15</v>
      </c>
      <c r="B21" s="64" t="s">
        <v>186</v>
      </c>
      <c r="C21" s="24" t="s">
        <v>588</v>
      </c>
      <c r="D21" s="72" t="s">
        <v>1367</v>
      </c>
      <c r="E21" s="51">
        <v>8</v>
      </c>
      <c r="F21" s="58"/>
      <c r="G21" s="20">
        <f t="shared" si="1"/>
        <v>8</v>
      </c>
      <c r="H21" s="53" t="s">
        <v>1368</v>
      </c>
      <c r="I21" s="53"/>
      <c r="J21" s="59"/>
      <c r="K21" s="609" t="s">
        <v>187</v>
      </c>
      <c r="L21" s="610"/>
      <c r="M21" s="611"/>
    </row>
    <row r="22" spans="1:13" s="16" customFormat="1" ht="12" customHeight="1">
      <c r="A22" s="42">
        <f t="shared" si="0"/>
        <v>16</v>
      </c>
      <c r="B22" s="64" t="s">
        <v>188</v>
      </c>
      <c r="C22" s="24" t="s">
        <v>587</v>
      </c>
      <c r="D22" s="72" t="s">
        <v>1367</v>
      </c>
      <c r="E22" s="51">
        <v>8</v>
      </c>
      <c r="F22" s="58"/>
      <c r="G22" s="20">
        <f t="shared" si="1"/>
        <v>8</v>
      </c>
      <c r="H22" s="53" t="s">
        <v>1368</v>
      </c>
      <c r="I22" s="53"/>
      <c r="J22" s="59"/>
      <c r="K22" s="609" t="s">
        <v>189</v>
      </c>
      <c r="L22" s="610"/>
      <c r="M22" s="611"/>
    </row>
    <row r="23" spans="1:13" s="16" customFormat="1" ht="12" customHeight="1">
      <c r="A23" s="42">
        <f t="shared" si="0"/>
        <v>17</v>
      </c>
      <c r="B23" s="64" t="s">
        <v>162</v>
      </c>
      <c r="C23" s="24" t="s">
        <v>163</v>
      </c>
      <c r="D23" s="72" t="s">
        <v>1367</v>
      </c>
      <c r="E23" s="51">
        <v>8</v>
      </c>
      <c r="F23" s="58"/>
      <c r="G23" s="20">
        <f t="shared" si="1"/>
        <v>8</v>
      </c>
      <c r="H23" s="53" t="s">
        <v>1368</v>
      </c>
      <c r="I23" s="53"/>
      <c r="J23" s="59"/>
      <c r="K23" s="609" t="s">
        <v>164</v>
      </c>
      <c r="L23" s="610"/>
      <c r="M23" s="611"/>
    </row>
    <row r="24" spans="1:13" s="16" customFormat="1" ht="12" customHeight="1">
      <c r="A24" s="42">
        <f t="shared" si="0"/>
        <v>18</v>
      </c>
      <c r="B24" s="64" t="s">
        <v>165</v>
      </c>
      <c r="C24" s="24" t="s">
        <v>166</v>
      </c>
      <c r="D24" s="72" t="s">
        <v>1367</v>
      </c>
      <c r="E24" s="51">
        <v>8</v>
      </c>
      <c r="F24" s="58"/>
      <c r="G24" s="20">
        <f t="shared" si="1"/>
        <v>8</v>
      </c>
      <c r="H24" s="53" t="s">
        <v>1368</v>
      </c>
      <c r="I24" s="53"/>
      <c r="J24" s="59"/>
      <c r="K24" s="609" t="s">
        <v>167</v>
      </c>
      <c r="L24" s="610"/>
      <c r="M24" s="611"/>
    </row>
    <row r="25" spans="1:13" s="16" customFormat="1" ht="12" customHeight="1">
      <c r="A25" s="42">
        <f t="shared" si="0"/>
        <v>19</v>
      </c>
      <c r="B25" s="48" t="s">
        <v>115</v>
      </c>
      <c r="C25" s="49" t="s">
        <v>590</v>
      </c>
      <c r="D25" s="79" t="s">
        <v>1367</v>
      </c>
      <c r="E25" s="51">
        <v>8</v>
      </c>
      <c r="F25" s="58"/>
      <c r="G25" s="20">
        <f t="shared" si="1"/>
        <v>8</v>
      </c>
      <c r="H25" s="53" t="s">
        <v>1368</v>
      </c>
      <c r="I25" s="53"/>
      <c r="J25" s="59"/>
      <c r="K25" s="599" t="s">
        <v>116</v>
      </c>
      <c r="L25" s="600"/>
      <c r="M25" s="601"/>
    </row>
    <row r="26" spans="1:13" s="16" customFormat="1" ht="12" customHeight="1">
      <c r="A26" s="42">
        <f t="shared" si="0"/>
        <v>20</v>
      </c>
      <c r="B26" s="48" t="s">
        <v>113</v>
      </c>
      <c r="C26" s="49" t="s">
        <v>589</v>
      </c>
      <c r="D26" s="78" t="s">
        <v>1367</v>
      </c>
      <c r="E26" s="51">
        <v>8</v>
      </c>
      <c r="F26" s="58"/>
      <c r="G26" s="20">
        <f t="shared" si="1"/>
        <v>8</v>
      </c>
      <c r="H26" s="53" t="s">
        <v>1368</v>
      </c>
      <c r="I26" s="53"/>
      <c r="J26" s="59"/>
      <c r="K26" s="599" t="s">
        <v>114</v>
      </c>
      <c r="L26" s="600"/>
      <c r="M26" s="601"/>
    </row>
    <row r="27" spans="1:13" s="16" customFormat="1" ht="12" customHeight="1">
      <c r="A27" s="42">
        <f t="shared" si="0"/>
        <v>21</v>
      </c>
      <c r="B27" s="64" t="s">
        <v>202</v>
      </c>
      <c r="C27" s="24" t="s">
        <v>591</v>
      </c>
      <c r="D27" s="77" t="s">
        <v>1367</v>
      </c>
      <c r="E27" s="51">
        <v>8</v>
      </c>
      <c r="F27" s="58"/>
      <c r="G27" s="20">
        <f t="shared" si="1"/>
        <v>8</v>
      </c>
      <c r="H27" s="53" t="s">
        <v>1368</v>
      </c>
      <c r="I27" s="53"/>
      <c r="J27" s="59"/>
      <c r="K27" s="609" t="s">
        <v>203</v>
      </c>
      <c r="L27" s="610"/>
      <c r="M27" s="611"/>
    </row>
    <row r="28" spans="1:13" s="16" customFormat="1" ht="12" customHeight="1">
      <c r="A28" s="42">
        <f t="shared" si="0"/>
        <v>22</v>
      </c>
      <c r="B28" s="64" t="s">
        <v>204</v>
      </c>
      <c r="C28" s="24" t="s">
        <v>592</v>
      </c>
      <c r="D28" s="77" t="s">
        <v>1367</v>
      </c>
      <c r="E28" s="51">
        <v>8</v>
      </c>
      <c r="F28" s="58"/>
      <c r="G28" s="20">
        <f t="shared" si="1"/>
        <v>8</v>
      </c>
      <c r="H28" s="53" t="s">
        <v>1368</v>
      </c>
      <c r="I28" s="53"/>
      <c r="J28" s="59"/>
      <c r="K28" s="609" t="s">
        <v>205</v>
      </c>
      <c r="L28" s="610"/>
      <c r="M28" s="611"/>
    </row>
    <row r="29" spans="1:13" s="16" customFormat="1" ht="39.950000000000003" customHeight="1">
      <c r="A29" s="42">
        <f t="shared" si="0"/>
        <v>23</v>
      </c>
      <c r="B29" s="64" t="s">
        <v>1428</v>
      </c>
      <c r="C29" s="24" t="s">
        <v>1444</v>
      </c>
      <c r="D29" s="80" t="s">
        <v>55</v>
      </c>
      <c r="E29" s="51" t="s">
        <v>65</v>
      </c>
      <c r="F29" s="58"/>
      <c r="G29" s="20">
        <f t="shared" si="1"/>
        <v>2</v>
      </c>
      <c r="H29" s="53" t="s">
        <v>1368</v>
      </c>
      <c r="I29" s="53"/>
      <c r="J29" s="59"/>
      <c r="K29" s="749" t="s">
        <v>1429</v>
      </c>
      <c r="L29" s="755"/>
      <c r="M29" s="756"/>
    </row>
    <row r="30" spans="1:13" s="16" customFormat="1" ht="12" customHeight="1">
      <c r="A30" s="42">
        <f t="shared" si="0"/>
        <v>24</v>
      </c>
      <c r="B30" s="64" t="s">
        <v>150</v>
      </c>
      <c r="C30" s="24" t="s">
        <v>151</v>
      </c>
      <c r="D30" s="72" t="s">
        <v>533</v>
      </c>
      <c r="E30" s="51">
        <v>24</v>
      </c>
      <c r="F30" s="58"/>
      <c r="G30" s="20">
        <f t="shared" si="1"/>
        <v>24</v>
      </c>
      <c r="H30" s="53" t="s">
        <v>1368</v>
      </c>
      <c r="I30" s="53"/>
      <c r="J30" s="59"/>
      <c r="K30" s="609" t="s">
        <v>152</v>
      </c>
      <c r="L30" s="610"/>
      <c r="M30" s="611"/>
    </row>
    <row r="31" spans="1:13" s="16" customFormat="1" ht="12" customHeight="1">
      <c r="A31" s="42">
        <f t="shared" si="0"/>
        <v>25</v>
      </c>
      <c r="B31" s="64" t="s">
        <v>153</v>
      </c>
      <c r="C31" s="24" t="s">
        <v>154</v>
      </c>
      <c r="D31" s="72" t="s">
        <v>533</v>
      </c>
      <c r="E31" s="51">
        <v>24</v>
      </c>
      <c r="F31" s="58"/>
      <c r="G31" s="20">
        <f t="shared" si="1"/>
        <v>24</v>
      </c>
      <c r="H31" s="53" t="s">
        <v>1368</v>
      </c>
      <c r="I31" s="53"/>
      <c r="J31" s="59"/>
      <c r="K31" s="609" t="s">
        <v>155</v>
      </c>
      <c r="L31" s="610"/>
      <c r="M31" s="611"/>
    </row>
    <row r="32" spans="1:13" s="16" customFormat="1" ht="12" customHeight="1">
      <c r="A32" s="42">
        <f t="shared" si="0"/>
        <v>26</v>
      </c>
      <c r="B32" s="48" t="s">
        <v>87</v>
      </c>
      <c r="C32" s="49" t="s">
        <v>88</v>
      </c>
      <c r="D32" s="79" t="s">
        <v>533</v>
      </c>
      <c r="E32" s="51">
        <v>24</v>
      </c>
      <c r="F32" s="58"/>
      <c r="G32" s="20">
        <f t="shared" si="1"/>
        <v>24</v>
      </c>
      <c r="H32" s="53" t="s">
        <v>1368</v>
      </c>
      <c r="I32" s="53"/>
      <c r="J32" s="59"/>
      <c r="K32" s="599" t="s">
        <v>89</v>
      </c>
      <c r="L32" s="600"/>
      <c r="M32" s="601"/>
    </row>
    <row r="33" spans="1:13" s="16" customFormat="1" ht="12" customHeight="1">
      <c r="A33" s="42">
        <f t="shared" si="0"/>
        <v>27</v>
      </c>
      <c r="B33" s="48" t="s">
        <v>110</v>
      </c>
      <c r="C33" s="49" t="s">
        <v>111</v>
      </c>
      <c r="D33" s="79" t="s">
        <v>533</v>
      </c>
      <c r="E33" s="51">
        <v>24</v>
      </c>
      <c r="F33" s="58"/>
      <c r="G33" s="20">
        <f t="shared" si="1"/>
        <v>24</v>
      </c>
      <c r="H33" s="53" t="s">
        <v>1368</v>
      </c>
      <c r="I33" s="53"/>
      <c r="J33" s="59"/>
      <c r="K33" s="599" t="s">
        <v>112</v>
      </c>
      <c r="L33" s="600"/>
      <c r="M33" s="601"/>
    </row>
    <row r="34" spans="1:13" s="16" customFormat="1" ht="12" customHeight="1">
      <c r="A34" s="42">
        <f t="shared" si="0"/>
        <v>28</v>
      </c>
      <c r="B34" s="64" t="s">
        <v>190</v>
      </c>
      <c r="C34" s="24" t="s">
        <v>191</v>
      </c>
      <c r="D34" s="72" t="s">
        <v>533</v>
      </c>
      <c r="E34" s="51">
        <v>24</v>
      </c>
      <c r="F34" s="58"/>
      <c r="G34" s="20">
        <f t="shared" si="1"/>
        <v>24</v>
      </c>
      <c r="H34" s="53" t="s">
        <v>1368</v>
      </c>
      <c r="I34" s="53"/>
      <c r="J34" s="59"/>
      <c r="K34" s="609" t="s">
        <v>192</v>
      </c>
      <c r="L34" s="610"/>
      <c r="M34" s="611"/>
    </row>
    <row r="35" spans="1:13" s="16" customFormat="1" ht="12" customHeight="1">
      <c r="A35" s="42">
        <f t="shared" si="0"/>
        <v>29</v>
      </c>
      <c r="B35" s="64" t="s">
        <v>193</v>
      </c>
      <c r="C35" s="24" t="s">
        <v>194</v>
      </c>
      <c r="D35" s="72" t="s">
        <v>533</v>
      </c>
      <c r="E35" s="51">
        <v>24</v>
      </c>
      <c r="F35" s="58"/>
      <c r="G35" s="20">
        <f t="shared" si="1"/>
        <v>24</v>
      </c>
      <c r="H35" s="53" t="s">
        <v>1368</v>
      </c>
      <c r="I35" s="53"/>
      <c r="J35" s="59"/>
      <c r="K35" s="609" t="s">
        <v>195</v>
      </c>
      <c r="L35" s="610"/>
      <c r="M35" s="611"/>
    </row>
    <row r="36" spans="1:13" s="16" customFormat="1" ht="12" customHeight="1">
      <c r="A36" s="42">
        <f t="shared" si="0"/>
        <v>30</v>
      </c>
      <c r="B36" s="64" t="s">
        <v>174</v>
      </c>
      <c r="C36" s="24" t="s">
        <v>175</v>
      </c>
      <c r="D36" s="72" t="s">
        <v>533</v>
      </c>
      <c r="E36" s="51">
        <v>8</v>
      </c>
      <c r="F36" s="58"/>
      <c r="G36" s="20">
        <f t="shared" si="1"/>
        <v>8</v>
      </c>
      <c r="H36" s="53" t="s">
        <v>1368</v>
      </c>
      <c r="I36" s="53"/>
      <c r="J36" s="59"/>
      <c r="K36" s="609" t="s">
        <v>176</v>
      </c>
      <c r="L36" s="610"/>
      <c r="M36" s="611"/>
    </row>
    <row r="37" spans="1:13" s="16" customFormat="1" ht="12" customHeight="1">
      <c r="A37" s="42">
        <f t="shared" si="0"/>
        <v>31</v>
      </c>
      <c r="B37" s="64" t="s">
        <v>177</v>
      </c>
      <c r="C37" s="24" t="s">
        <v>178</v>
      </c>
      <c r="D37" s="72" t="s">
        <v>533</v>
      </c>
      <c r="E37" s="51">
        <v>8</v>
      </c>
      <c r="F37" s="58"/>
      <c r="G37" s="20">
        <f t="shared" si="1"/>
        <v>8</v>
      </c>
      <c r="H37" s="53" t="s">
        <v>1368</v>
      </c>
      <c r="I37" s="53"/>
      <c r="J37" s="59"/>
      <c r="K37" s="609" t="s">
        <v>179</v>
      </c>
      <c r="L37" s="610"/>
      <c r="M37" s="611"/>
    </row>
    <row r="38" spans="1:13" s="16" customFormat="1" ht="12" customHeight="1">
      <c r="A38" s="42">
        <f t="shared" si="0"/>
        <v>32</v>
      </c>
      <c r="B38" s="64" t="s">
        <v>156</v>
      </c>
      <c r="C38" s="24" t="s">
        <v>157</v>
      </c>
      <c r="D38" s="72" t="s">
        <v>533</v>
      </c>
      <c r="E38" s="51">
        <v>8</v>
      </c>
      <c r="F38" s="58"/>
      <c r="G38" s="20">
        <f t="shared" si="1"/>
        <v>8</v>
      </c>
      <c r="H38" s="53" t="s">
        <v>1368</v>
      </c>
      <c r="I38" s="53"/>
      <c r="J38" s="59"/>
      <c r="K38" s="609" t="s">
        <v>158</v>
      </c>
      <c r="L38" s="610"/>
      <c r="M38" s="611"/>
    </row>
    <row r="39" spans="1:13" s="16" customFormat="1" ht="12" customHeight="1">
      <c r="A39" s="42">
        <f t="shared" si="0"/>
        <v>33</v>
      </c>
      <c r="B39" s="64" t="s">
        <v>159</v>
      </c>
      <c r="C39" s="24" t="s">
        <v>160</v>
      </c>
      <c r="D39" s="72" t="s">
        <v>533</v>
      </c>
      <c r="E39" s="51">
        <v>8</v>
      </c>
      <c r="F39" s="58"/>
      <c r="G39" s="20">
        <f t="shared" si="1"/>
        <v>8</v>
      </c>
      <c r="H39" s="53" t="s">
        <v>1368</v>
      </c>
      <c r="I39" s="53"/>
      <c r="J39" s="59"/>
      <c r="K39" s="609" t="s">
        <v>161</v>
      </c>
      <c r="L39" s="610"/>
      <c r="M39" s="611"/>
    </row>
    <row r="40" spans="1:13" s="16" customFormat="1" ht="12" customHeight="1">
      <c r="A40" s="42">
        <f t="shared" si="0"/>
        <v>34</v>
      </c>
      <c r="B40" s="64" t="s">
        <v>168</v>
      </c>
      <c r="C40" s="24" t="s">
        <v>169</v>
      </c>
      <c r="D40" s="72" t="s">
        <v>533</v>
      </c>
      <c r="E40" s="51">
        <v>8</v>
      </c>
      <c r="F40" s="58"/>
      <c r="G40" s="20">
        <f t="shared" si="1"/>
        <v>8</v>
      </c>
      <c r="H40" s="53" t="s">
        <v>1368</v>
      </c>
      <c r="I40" s="53"/>
      <c r="J40" s="59"/>
      <c r="K40" s="609" t="s">
        <v>170</v>
      </c>
      <c r="L40" s="610"/>
      <c r="M40" s="611"/>
    </row>
    <row r="41" spans="1:13" s="16" customFormat="1" ht="12" customHeight="1">
      <c r="A41" s="42">
        <f t="shared" si="0"/>
        <v>35</v>
      </c>
      <c r="B41" s="64" t="s">
        <v>171</v>
      </c>
      <c r="C41" s="24" t="s">
        <v>172</v>
      </c>
      <c r="D41" s="72" t="s">
        <v>533</v>
      </c>
      <c r="E41" s="51">
        <v>8</v>
      </c>
      <c r="F41" s="58"/>
      <c r="G41" s="20">
        <f t="shared" si="1"/>
        <v>8</v>
      </c>
      <c r="H41" s="53" t="s">
        <v>1368</v>
      </c>
      <c r="I41" s="53"/>
      <c r="J41" s="59"/>
      <c r="K41" s="609" t="s">
        <v>173</v>
      </c>
      <c r="L41" s="610"/>
      <c r="M41" s="611"/>
    </row>
    <row r="42" spans="1:13" s="16" customFormat="1" ht="12" customHeight="1">
      <c r="A42" s="42">
        <f t="shared" si="0"/>
        <v>36</v>
      </c>
      <c r="B42" s="64" t="s">
        <v>137</v>
      </c>
      <c r="C42" s="24" t="s">
        <v>138</v>
      </c>
      <c r="D42" s="72" t="s">
        <v>533</v>
      </c>
      <c r="E42" s="51">
        <v>8</v>
      </c>
      <c r="F42" s="58"/>
      <c r="G42" s="20">
        <f t="shared" si="1"/>
        <v>8</v>
      </c>
      <c r="H42" s="53" t="s">
        <v>1368</v>
      </c>
      <c r="I42" s="53"/>
      <c r="J42" s="59"/>
      <c r="K42" s="609" t="s">
        <v>139</v>
      </c>
      <c r="L42" s="610"/>
      <c r="M42" s="611"/>
    </row>
    <row r="43" spans="1:13" s="16" customFormat="1" ht="12" customHeight="1">
      <c r="A43" s="42">
        <f t="shared" si="0"/>
        <v>37</v>
      </c>
      <c r="B43" s="64" t="s">
        <v>140</v>
      </c>
      <c r="C43" s="24" t="s">
        <v>141</v>
      </c>
      <c r="D43" s="72" t="s">
        <v>533</v>
      </c>
      <c r="E43" s="51">
        <v>8</v>
      </c>
      <c r="F43" s="58"/>
      <c r="G43" s="20">
        <f t="shared" si="1"/>
        <v>8</v>
      </c>
      <c r="H43" s="53" t="s">
        <v>1368</v>
      </c>
      <c r="I43" s="53"/>
      <c r="J43" s="59"/>
      <c r="K43" s="609" t="s">
        <v>142</v>
      </c>
      <c r="L43" s="610"/>
      <c r="M43" s="611"/>
    </row>
    <row r="44" spans="1:13" s="16" customFormat="1" ht="12" customHeight="1">
      <c r="A44" s="42">
        <f t="shared" si="0"/>
        <v>38</v>
      </c>
      <c r="B44" s="48" t="s">
        <v>81</v>
      </c>
      <c r="C44" s="49" t="s">
        <v>82</v>
      </c>
      <c r="D44" s="79" t="s">
        <v>533</v>
      </c>
      <c r="E44" s="51">
        <v>8</v>
      </c>
      <c r="F44" s="58"/>
      <c r="G44" s="20">
        <f t="shared" si="1"/>
        <v>8</v>
      </c>
      <c r="H44" s="53" t="s">
        <v>1368</v>
      </c>
      <c r="I44" s="53"/>
      <c r="J44" s="59"/>
      <c r="K44" s="599" t="s">
        <v>83</v>
      </c>
      <c r="L44" s="600"/>
      <c r="M44" s="601"/>
    </row>
    <row r="45" spans="1:13" s="16" customFormat="1" ht="12" customHeight="1">
      <c r="A45" s="42">
        <f t="shared" si="0"/>
        <v>39</v>
      </c>
      <c r="B45" s="48" t="s">
        <v>84</v>
      </c>
      <c r="C45" s="49" t="s">
        <v>85</v>
      </c>
      <c r="D45" s="79" t="s">
        <v>533</v>
      </c>
      <c r="E45" s="51">
        <v>8</v>
      </c>
      <c r="F45" s="58"/>
      <c r="G45" s="20">
        <f t="shared" si="1"/>
        <v>8</v>
      </c>
      <c r="H45" s="53" t="s">
        <v>1368</v>
      </c>
      <c r="I45" s="53"/>
      <c r="J45" s="59"/>
      <c r="K45" s="599" t="s">
        <v>86</v>
      </c>
      <c r="L45" s="600"/>
      <c r="M45" s="601"/>
    </row>
    <row r="46" spans="1:13" s="16" customFormat="1" ht="12" customHeight="1">
      <c r="A46" s="42">
        <f t="shared" si="0"/>
        <v>40</v>
      </c>
      <c r="B46" s="64" t="s">
        <v>131</v>
      </c>
      <c r="C46" s="24" t="s">
        <v>132</v>
      </c>
      <c r="D46" s="72" t="s">
        <v>533</v>
      </c>
      <c r="E46" s="51">
        <v>8</v>
      </c>
      <c r="F46" s="58"/>
      <c r="G46" s="20">
        <f t="shared" si="1"/>
        <v>8</v>
      </c>
      <c r="H46" s="53" t="s">
        <v>1368</v>
      </c>
      <c r="I46" s="53"/>
      <c r="J46" s="59"/>
      <c r="K46" s="609" t="s">
        <v>133</v>
      </c>
      <c r="L46" s="610"/>
      <c r="M46" s="611"/>
    </row>
    <row r="47" spans="1:13" s="16" customFormat="1" ht="12" customHeight="1">
      <c r="A47" s="42">
        <f t="shared" si="0"/>
        <v>41</v>
      </c>
      <c r="B47" s="64" t="s">
        <v>134</v>
      </c>
      <c r="C47" s="24" t="s">
        <v>135</v>
      </c>
      <c r="D47" s="72" t="s">
        <v>533</v>
      </c>
      <c r="E47" s="51">
        <v>8</v>
      </c>
      <c r="F47" s="58"/>
      <c r="G47" s="20">
        <f t="shared" si="1"/>
        <v>8</v>
      </c>
      <c r="H47" s="53" t="s">
        <v>1368</v>
      </c>
      <c r="I47" s="53"/>
      <c r="J47" s="59"/>
      <c r="K47" s="609" t="s">
        <v>136</v>
      </c>
      <c r="L47" s="610"/>
      <c r="M47" s="611"/>
    </row>
    <row r="48" spans="1:13" s="16" customFormat="1" ht="12" customHeight="1">
      <c r="A48" s="42">
        <f t="shared" si="0"/>
        <v>42</v>
      </c>
      <c r="B48" s="64" t="s">
        <v>212</v>
      </c>
      <c r="C48" s="24" t="s">
        <v>213</v>
      </c>
      <c r="D48" s="72" t="s">
        <v>533</v>
      </c>
      <c r="E48" s="51">
        <v>8</v>
      </c>
      <c r="F48" s="58"/>
      <c r="G48" s="20">
        <f t="shared" si="1"/>
        <v>8</v>
      </c>
      <c r="H48" s="53" t="s">
        <v>1368</v>
      </c>
      <c r="I48" s="53"/>
      <c r="J48" s="59"/>
      <c r="K48" s="609" t="s">
        <v>214</v>
      </c>
      <c r="L48" s="610"/>
      <c r="M48" s="611"/>
    </row>
    <row r="49" spans="1:13" s="16" customFormat="1" ht="12" customHeight="1">
      <c r="A49" s="42">
        <f t="shared" si="0"/>
        <v>43</v>
      </c>
      <c r="B49" s="64" t="s">
        <v>215</v>
      </c>
      <c r="C49" s="24" t="s">
        <v>216</v>
      </c>
      <c r="D49" s="72" t="s">
        <v>533</v>
      </c>
      <c r="E49" s="51">
        <v>8</v>
      </c>
      <c r="F49" s="58"/>
      <c r="G49" s="20">
        <f t="shared" si="1"/>
        <v>8</v>
      </c>
      <c r="H49" s="53" t="s">
        <v>1368</v>
      </c>
      <c r="I49" s="53"/>
      <c r="J49" s="59"/>
      <c r="K49" s="609" t="s">
        <v>217</v>
      </c>
      <c r="L49" s="610"/>
      <c r="M49" s="611"/>
    </row>
    <row r="50" spans="1:13" s="16" customFormat="1" ht="12" customHeight="1">
      <c r="A50" s="42">
        <f t="shared" si="0"/>
        <v>44</v>
      </c>
      <c r="B50" s="64" t="s">
        <v>196</v>
      </c>
      <c r="C50" s="24" t="s">
        <v>197</v>
      </c>
      <c r="D50" s="72" t="s">
        <v>533</v>
      </c>
      <c r="E50" s="51">
        <v>8</v>
      </c>
      <c r="F50" s="58"/>
      <c r="G50" s="20">
        <f t="shared" si="1"/>
        <v>8</v>
      </c>
      <c r="H50" s="53" t="s">
        <v>1368</v>
      </c>
      <c r="I50" s="53"/>
      <c r="J50" s="59"/>
      <c r="K50" s="609" t="s">
        <v>198</v>
      </c>
      <c r="L50" s="610"/>
      <c r="M50" s="611"/>
    </row>
    <row r="51" spans="1:13" s="16" customFormat="1" ht="12" customHeight="1">
      <c r="A51" s="42">
        <f t="shared" si="0"/>
        <v>45</v>
      </c>
      <c r="B51" s="64" t="s">
        <v>199</v>
      </c>
      <c r="C51" s="24" t="s">
        <v>200</v>
      </c>
      <c r="D51" s="72" t="s">
        <v>533</v>
      </c>
      <c r="E51" s="51">
        <v>8</v>
      </c>
      <c r="F51" s="58"/>
      <c r="G51" s="20">
        <f t="shared" si="1"/>
        <v>8</v>
      </c>
      <c r="H51" s="53" t="s">
        <v>1368</v>
      </c>
      <c r="I51" s="53"/>
      <c r="J51" s="59"/>
      <c r="K51" s="609" t="s">
        <v>201</v>
      </c>
      <c r="L51" s="610"/>
      <c r="M51" s="611"/>
    </row>
    <row r="52" spans="1:13" s="16" customFormat="1" ht="12" customHeight="1">
      <c r="A52" s="42">
        <f t="shared" si="0"/>
        <v>46</v>
      </c>
      <c r="B52" s="64" t="s">
        <v>206</v>
      </c>
      <c r="C52" s="24" t="s">
        <v>207</v>
      </c>
      <c r="D52" s="72" t="s">
        <v>533</v>
      </c>
      <c r="E52" s="51">
        <v>8</v>
      </c>
      <c r="F52" s="58"/>
      <c r="G52" s="20">
        <f t="shared" si="1"/>
        <v>8</v>
      </c>
      <c r="H52" s="53" t="s">
        <v>1368</v>
      </c>
      <c r="I52" s="53"/>
      <c r="J52" s="59"/>
      <c r="K52" s="609" t="s">
        <v>208</v>
      </c>
      <c r="L52" s="610"/>
      <c r="M52" s="611"/>
    </row>
    <row r="53" spans="1:13" s="16" customFormat="1" ht="12" customHeight="1">
      <c r="A53" s="42">
        <f t="shared" si="0"/>
        <v>47</v>
      </c>
      <c r="B53" s="64" t="s">
        <v>209</v>
      </c>
      <c r="C53" s="24" t="s">
        <v>210</v>
      </c>
      <c r="D53" s="72" t="s">
        <v>533</v>
      </c>
      <c r="E53" s="51">
        <v>8</v>
      </c>
      <c r="F53" s="58"/>
      <c r="G53" s="20">
        <f t="shared" si="1"/>
        <v>8</v>
      </c>
      <c r="H53" s="53" t="s">
        <v>1368</v>
      </c>
      <c r="I53" s="53"/>
      <c r="J53" s="59"/>
      <c r="K53" s="609" t="s">
        <v>211</v>
      </c>
      <c r="L53" s="610"/>
      <c r="M53" s="611"/>
    </row>
    <row r="54" spans="1:13" s="16" customFormat="1" ht="12" customHeight="1">
      <c r="A54" s="42">
        <f t="shared" si="0"/>
        <v>48</v>
      </c>
      <c r="B54" s="64" t="s">
        <v>143</v>
      </c>
      <c r="C54" s="24" t="s">
        <v>144</v>
      </c>
      <c r="D54" s="72" t="s">
        <v>533</v>
      </c>
      <c r="E54" s="51">
        <v>16</v>
      </c>
      <c r="F54" s="58"/>
      <c r="G54" s="20">
        <f t="shared" si="1"/>
        <v>16</v>
      </c>
      <c r="H54" s="53" t="s">
        <v>583</v>
      </c>
      <c r="I54" s="53"/>
      <c r="J54" s="59"/>
      <c r="K54" s="609" t="s">
        <v>145</v>
      </c>
      <c r="L54" s="610"/>
      <c r="M54" s="611"/>
    </row>
    <row r="55" spans="1:13" s="16" customFormat="1" ht="12" customHeight="1">
      <c r="A55" s="42">
        <f t="shared" si="0"/>
        <v>49</v>
      </c>
      <c r="B55" s="64" t="s">
        <v>146</v>
      </c>
      <c r="C55" s="24" t="s">
        <v>147</v>
      </c>
      <c r="D55" s="72" t="s">
        <v>533</v>
      </c>
      <c r="E55" s="51">
        <v>16</v>
      </c>
      <c r="F55" s="58"/>
      <c r="G55" s="20">
        <f t="shared" si="1"/>
        <v>16</v>
      </c>
      <c r="H55" s="53" t="s">
        <v>583</v>
      </c>
      <c r="I55" s="53"/>
      <c r="J55" s="59"/>
      <c r="K55" s="609" t="s">
        <v>148</v>
      </c>
      <c r="L55" s="610"/>
      <c r="M55" s="611"/>
    </row>
    <row r="56" spans="1:13" s="16" customFormat="1" ht="12" customHeight="1">
      <c r="A56" s="42">
        <f t="shared" si="0"/>
        <v>50</v>
      </c>
      <c r="B56" s="66" t="s">
        <v>122</v>
      </c>
      <c r="C56" s="24" t="s">
        <v>123</v>
      </c>
      <c r="D56" s="72" t="s">
        <v>533</v>
      </c>
      <c r="E56" s="51">
        <v>60</v>
      </c>
      <c r="F56" s="58"/>
      <c r="G56" s="20">
        <f t="shared" si="1"/>
        <v>60</v>
      </c>
      <c r="H56" s="53" t="s">
        <v>581</v>
      </c>
      <c r="I56" s="53"/>
      <c r="J56" s="59"/>
      <c r="K56" s="609" t="s">
        <v>124</v>
      </c>
      <c r="L56" s="610"/>
      <c r="M56" s="611"/>
    </row>
    <row r="57" spans="1:13" s="16" customFormat="1" ht="27" customHeight="1">
      <c r="A57" s="42">
        <f t="shared" si="0"/>
        <v>51</v>
      </c>
      <c r="B57" s="66" t="s">
        <v>117</v>
      </c>
      <c r="C57" s="24" t="s">
        <v>118</v>
      </c>
      <c r="D57" s="77" t="s">
        <v>523</v>
      </c>
      <c r="E57" s="51">
        <v>1</v>
      </c>
      <c r="F57" s="58"/>
      <c r="G57" s="20">
        <f t="shared" si="1"/>
        <v>1</v>
      </c>
      <c r="H57" s="53" t="s">
        <v>1392</v>
      </c>
      <c r="I57" s="53"/>
      <c r="J57" s="59"/>
      <c r="K57" s="749" t="s">
        <v>1430</v>
      </c>
      <c r="L57" s="755"/>
      <c r="M57" s="756"/>
    </row>
    <row r="58" spans="1:13" s="16" customFormat="1" ht="12" customHeight="1">
      <c r="A58" s="42">
        <f t="shared" si="0"/>
        <v>52</v>
      </c>
      <c r="B58" s="64" t="s">
        <v>26</v>
      </c>
      <c r="C58" s="24" t="s">
        <v>1399</v>
      </c>
      <c r="D58" s="72" t="s">
        <v>519</v>
      </c>
      <c r="E58" s="51"/>
      <c r="F58" s="58"/>
      <c r="G58" s="20">
        <f t="shared" si="1"/>
        <v>4</v>
      </c>
      <c r="H58" s="53" t="s">
        <v>1400</v>
      </c>
      <c r="I58" s="53" t="s">
        <v>1400</v>
      </c>
      <c r="J58" s="59"/>
      <c r="K58" s="609" t="s">
        <v>1409</v>
      </c>
      <c r="L58" s="610"/>
      <c r="M58" s="611"/>
    </row>
    <row r="59" spans="1:13" s="16" customFormat="1" ht="12" customHeight="1">
      <c r="A59" s="42">
        <f t="shared" si="0"/>
        <v>53</v>
      </c>
      <c r="B59" s="64" t="s">
        <v>27</v>
      </c>
      <c r="C59" s="24" t="s">
        <v>1401</v>
      </c>
      <c r="D59" s="72" t="s">
        <v>1402</v>
      </c>
      <c r="E59" s="51"/>
      <c r="F59" s="58"/>
      <c r="G59" s="20">
        <f t="shared" si="1"/>
        <v>4</v>
      </c>
      <c r="H59" s="53" t="s">
        <v>1403</v>
      </c>
      <c r="I59" s="53"/>
      <c r="J59" s="59"/>
      <c r="K59" s="609" t="s">
        <v>1410</v>
      </c>
      <c r="L59" s="610"/>
      <c r="M59" s="611"/>
    </row>
    <row r="60" spans="1:13" s="16" customFormat="1" ht="12" customHeight="1">
      <c r="A60" s="42">
        <f t="shared" si="0"/>
        <v>54</v>
      </c>
      <c r="B60" s="64" t="s">
        <v>1083</v>
      </c>
      <c r="C60" s="24" t="s">
        <v>1084</v>
      </c>
      <c r="D60" s="72" t="s">
        <v>506</v>
      </c>
      <c r="E60" s="51">
        <v>8</v>
      </c>
      <c r="F60" s="58"/>
      <c r="G60" s="20">
        <f t="shared" si="1"/>
        <v>8</v>
      </c>
      <c r="H60" s="53" t="s">
        <v>1432</v>
      </c>
      <c r="I60" s="53"/>
      <c r="J60" s="59"/>
      <c r="K60" s="609" t="s">
        <v>1087</v>
      </c>
      <c r="L60" s="610"/>
      <c r="M60" s="611"/>
    </row>
    <row r="61" spans="1:13" s="16" customFormat="1" ht="12" customHeight="1">
      <c r="A61" s="42">
        <f t="shared" si="0"/>
        <v>55</v>
      </c>
      <c r="B61" s="64" t="s">
        <v>1724</v>
      </c>
      <c r="C61" s="24" t="s">
        <v>1404</v>
      </c>
      <c r="D61" s="65" t="s">
        <v>1405</v>
      </c>
      <c r="E61" s="51"/>
      <c r="F61" s="58"/>
      <c r="G61" s="20">
        <f>IF(D61="DATE",4,IF(D61="CHAR",E61,IF(D61="SMALLINT",2,IF(D61="INTEGER",4,IF(D61="TIMESTAMP",10,IF(D61="TIME",3,0))))))</f>
        <v>10</v>
      </c>
      <c r="H61" s="53" t="s">
        <v>1406</v>
      </c>
      <c r="I61" s="42"/>
      <c r="J61" s="59"/>
      <c r="K61" s="749"/>
      <c r="L61" s="610"/>
      <c r="M61" s="611"/>
    </row>
    <row r="62" spans="1:13">
      <c r="A62" s="89"/>
      <c r="B62" s="96"/>
      <c r="C62" s="31"/>
      <c r="D62" s="97"/>
      <c r="E62" s="98"/>
      <c r="F62" s="99"/>
      <c r="G62" s="21"/>
      <c r="H62" s="89"/>
      <c r="I62" s="89"/>
      <c r="J62" s="92"/>
      <c r="K62" s="602"/>
      <c r="L62" s="692"/>
      <c r="M62" s="693"/>
    </row>
    <row r="63" spans="1:13">
      <c r="A63" s="42" t="str">
        <f>IF(B63=""," ",A62+1)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13"/>
      <c r="L94" s="14"/>
      <c r="M94" s="15"/>
    </row>
    <row r="95" spans="1:13">
      <c r="A95" s="42" t="str">
        <f>IF(B95=""," ",#REF!+1)</f>
        <v xml:space="preserve"> </v>
      </c>
      <c r="B95" s="71"/>
      <c r="C95" s="13"/>
      <c r="D95" s="72"/>
      <c r="E95" s="73"/>
      <c r="F95" s="74"/>
      <c r="G95" s="20"/>
      <c r="H95" s="42"/>
      <c r="I95" s="42"/>
      <c r="J95" s="59"/>
      <c r="K95" s="609"/>
      <c r="L95" s="610"/>
      <c r="M95" s="611"/>
    </row>
    <row r="96" spans="1:13">
      <c r="A96" s="42" t="str">
        <f>IF(B96=""," ",A94+1)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s="16" customFormat="1">
      <c r="A110" s="46"/>
      <c r="B110" s="75" t="s">
        <v>799</v>
      </c>
      <c r="C110" s="16" t="s">
        <v>1411</v>
      </c>
    </row>
    <row r="112" spans="1:13">
      <c r="B112" s="385" t="s">
        <v>1716</v>
      </c>
      <c r="C112" s="385" t="s">
        <v>20</v>
      </c>
      <c r="D112" s="385" t="s">
        <v>1714</v>
      </c>
      <c r="E112" s="385"/>
      <c r="F112" s="385"/>
      <c r="G112" s="385"/>
      <c r="H112" s="385"/>
      <c r="I112" s="385"/>
      <c r="J112" s="385"/>
      <c r="K112" s="310" t="s">
        <v>293</v>
      </c>
    </row>
  </sheetData>
  <mergeCells count="91">
    <mergeCell ref="K95:M95"/>
    <mergeCell ref="K99:M99"/>
    <mergeCell ref="K100:M100"/>
    <mergeCell ref="K14:M14"/>
    <mergeCell ref="K96:M96"/>
    <mergeCell ref="K97:M97"/>
    <mergeCell ref="K87:M87"/>
    <mergeCell ref="K88:M88"/>
    <mergeCell ref="K91:M91"/>
    <mergeCell ref="K71:M71"/>
    <mergeCell ref="K72:M72"/>
    <mergeCell ref="K75:M75"/>
    <mergeCell ref="K76:M76"/>
    <mergeCell ref="K57:M57"/>
    <mergeCell ref="K30:M30"/>
    <mergeCell ref="K48:M48"/>
    <mergeCell ref="K8:M8"/>
    <mergeCell ref="K92:M92"/>
    <mergeCell ref="K79:M79"/>
    <mergeCell ref="K80:M80"/>
    <mergeCell ref="K83:M83"/>
    <mergeCell ref="K84:M84"/>
    <mergeCell ref="K63:M63"/>
    <mergeCell ref="K64:M64"/>
    <mergeCell ref="K67:M67"/>
    <mergeCell ref="K68:M68"/>
    <mergeCell ref="K59:M59"/>
    <mergeCell ref="K60:M60"/>
    <mergeCell ref="K61:M61"/>
    <mergeCell ref="K62:M62"/>
    <mergeCell ref="K42:M42"/>
    <mergeCell ref="K45:M45"/>
    <mergeCell ref="K43:M43"/>
    <mergeCell ref="K44:M44"/>
    <mergeCell ref="K36:M36"/>
    <mergeCell ref="K51:M51"/>
    <mergeCell ref="K52:M52"/>
    <mergeCell ref="K49:M49"/>
    <mergeCell ref="K50:M50"/>
    <mergeCell ref="K46:M46"/>
    <mergeCell ref="K33:M33"/>
    <mergeCell ref="K38:M38"/>
    <mergeCell ref="K41:M41"/>
    <mergeCell ref="K22:M22"/>
    <mergeCell ref="K39:M39"/>
    <mergeCell ref="K40:M40"/>
    <mergeCell ref="K16:M16"/>
    <mergeCell ref="K17:M17"/>
    <mergeCell ref="K58:M58"/>
    <mergeCell ref="K53:M53"/>
    <mergeCell ref="K54:M54"/>
    <mergeCell ref="K55:M55"/>
    <mergeCell ref="K56:M56"/>
    <mergeCell ref="K20:M20"/>
    <mergeCell ref="K18:M18"/>
    <mergeCell ref="K19:M19"/>
    <mergeCell ref="K29:M29"/>
    <mergeCell ref="K37:M37"/>
    <mergeCell ref="K31:M31"/>
    <mergeCell ref="K32:M32"/>
    <mergeCell ref="K35:M35"/>
    <mergeCell ref="K34:M34"/>
    <mergeCell ref="K15:M15"/>
    <mergeCell ref="K9:M9"/>
    <mergeCell ref="K12:M12"/>
    <mergeCell ref="K11:M11"/>
    <mergeCell ref="K13:M13"/>
    <mergeCell ref="K10:M10"/>
    <mergeCell ref="A2:B2"/>
    <mergeCell ref="A3:B3"/>
    <mergeCell ref="A4:B4"/>
    <mergeCell ref="H2:J2"/>
    <mergeCell ref="C2:G2"/>
    <mergeCell ref="C3:G3"/>
    <mergeCell ref="C4:G4"/>
    <mergeCell ref="K98:M98"/>
    <mergeCell ref="A5:A6"/>
    <mergeCell ref="H3:I3"/>
    <mergeCell ref="H4:I4"/>
    <mergeCell ref="D5:H5"/>
    <mergeCell ref="B5:C5"/>
    <mergeCell ref="I5:J5"/>
    <mergeCell ref="K47:M47"/>
    <mergeCell ref="K23:M23"/>
    <mergeCell ref="K28:M28"/>
    <mergeCell ref="K26:M26"/>
    <mergeCell ref="K27:M27"/>
    <mergeCell ref="K25:M25"/>
    <mergeCell ref="K24:M24"/>
    <mergeCell ref="K21:M21"/>
    <mergeCell ref="K5:M6"/>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1">
    <pageSetUpPr fitToPage="1"/>
  </sheetPr>
  <dimension ref="A1:P121"/>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bestFit="1" customWidth="1"/>
    <col min="2" max="2" width="28.625" style="22" customWidth="1"/>
    <col min="3" max="3" width="13.375" style="22" customWidth="1"/>
    <col min="4" max="4" width="9.375" style="22" customWidth="1"/>
    <col min="5" max="6" width="4.75" style="22" bestFit="1" customWidth="1"/>
    <col min="7" max="7" width="6.125" style="22" bestFit="1" customWidth="1"/>
    <col min="8" max="8" width="4.75" style="22" bestFit="1" customWidth="1"/>
    <col min="9" max="9" width="4.75" style="22" customWidth="1"/>
    <col min="10" max="11" width="9.625" style="22" customWidth="1"/>
    <col min="12" max="13" width="10.25" style="22" customWidth="1"/>
    <col min="14" max="14" width="9" style="22"/>
    <col min="15" max="16" width="9" style="22" hidden="1" customWidth="1"/>
    <col min="17" max="16384" width="9" style="22"/>
  </cols>
  <sheetData>
    <row r="1" spans="1:16">
      <c r="A1" s="242"/>
      <c r="B1" s="243"/>
      <c r="C1" s="244"/>
    </row>
    <row r="2" spans="1:16">
      <c r="A2" s="670" t="s">
        <v>602</v>
      </c>
      <c r="B2" s="671"/>
      <c r="C2" s="670" t="s">
        <v>36</v>
      </c>
      <c r="D2" s="676"/>
      <c r="E2" s="676"/>
      <c r="F2" s="676"/>
      <c r="G2" s="671"/>
      <c r="H2" s="670"/>
      <c r="I2" s="676"/>
      <c r="J2" s="671"/>
      <c r="K2" s="81"/>
      <c r="L2" s="82" t="s">
        <v>37</v>
      </c>
      <c r="M2" s="82" t="s">
        <v>38</v>
      </c>
    </row>
    <row r="3" spans="1:16">
      <c r="A3" s="672"/>
      <c r="B3" s="673"/>
      <c r="C3" s="750" t="s">
        <v>1687</v>
      </c>
      <c r="D3" s="751"/>
      <c r="E3" s="751"/>
      <c r="F3" s="751"/>
      <c r="G3" s="752"/>
      <c r="H3" s="670" t="s">
        <v>39</v>
      </c>
      <c r="I3" s="671"/>
      <c r="J3" s="83">
        <f>COUNT(A7:A100)</f>
        <v>13</v>
      </c>
      <c r="K3" s="82" t="s">
        <v>40</v>
      </c>
      <c r="L3" s="84">
        <v>38630</v>
      </c>
      <c r="M3" s="41" t="s">
        <v>532</v>
      </c>
      <c r="O3" s="22" t="s">
        <v>41</v>
      </c>
      <c r="P3" s="22" t="s">
        <v>42</v>
      </c>
    </row>
    <row r="4" spans="1:16">
      <c r="A4" s="674" t="s">
        <v>43</v>
      </c>
      <c r="B4" s="675"/>
      <c r="C4" s="674" t="s">
        <v>999</v>
      </c>
      <c r="D4" s="753"/>
      <c r="E4" s="753"/>
      <c r="F4" s="753"/>
      <c r="G4" s="675"/>
      <c r="H4" s="670" t="s">
        <v>44</v>
      </c>
      <c r="I4" s="671"/>
      <c r="J4" s="83">
        <f>SUM(G7:G100)</f>
        <v>309</v>
      </c>
      <c r="K4" s="82" t="s">
        <v>45</v>
      </c>
      <c r="L4" s="40">
        <v>38816</v>
      </c>
      <c r="M4" s="42" t="s">
        <v>532</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c r="A7" s="91">
        <v>1</v>
      </c>
      <c r="B7" s="48" t="s">
        <v>525</v>
      </c>
      <c r="C7" s="49" t="s">
        <v>292</v>
      </c>
      <c r="D7" s="78" t="s">
        <v>524</v>
      </c>
      <c r="E7" s="98">
        <v>7</v>
      </c>
      <c r="F7" s="99"/>
      <c r="G7" s="20">
        <f t="shared" ref="G7:G19" si="0">IF(D7="DATE",4,IF(D7="CHAR",E7,IF(D7="SMALLINT",2,IF(D7="INTEGER",4,IF(D7="TIMESTAMP",10,IF(D7="TIME",3,0))))))</f>
        <v>7</v>
      </c>
      <c r="H7" s="89" t="s">
        <v>574</v>
      </c>
      <c r="I7" s="89" t="s">
        <v>574</v>
      </c>
      <c r="J7" s="92"/>
      <c r="K7" s="599"/>
      <c r="L7" s="600"/>
      <c r="M7" s="601"/>
      <c r="P7" s="22" t="s">
        <v>68</v>
      </c>
    </row>
    <row r="8" spans="1:16">
      <c r="A8" s="42">
        <f t="shared" ref="A8:A19" si="1">IF(B8=""," ",A7+1)</f>
        <v>2</v>
      </c>
      <c r="B8" s="48" t="s">
        <v>54</v>
      </c>
      <c r="C8" s="49" t="s">
        <v>1361</v>
      </c>
      <c r="D8" s="50" t="s">
        <v>1164</v>
      </c>
      <c r="E8" s="51">
        <v>16</v>
      </c>
      <c r="F8" s="99"/>
      <c r="G8" s="20">
        <f t="shared" si="0"/>
        <v>16</v>
      </c>
      <c r="H8" s="89" t="s">
        <v>1377</v>
      </c>
      <c r="I8" s="89" t="s">
        <v>1363</v>
      </c>
      <c r="J8" s="92"/>
      <c r="K8" s="628" t="s">
        <v>1355</v>
      </c>
      <c r="L8" s="629"/>
      <c r="M8" s="630"/>
    </row>
    <row r="9" spans="1:16">
      <c r="A9" s="42">
        <f t="shared" si="1"/>
        <v>3</v>
      </c>
      <c r="B9" s="48" t="s">
        <v>680</v>
      </c>
      <c r="C9" s="49" t="s">
        <v>601</v>
      </c>
      <c r="D9" s="78" t="s">
        <v>548</v>
      </c>
      <c r="E9" s="98">
        <v>7</v>
      </c>
      <c r="F9" s="99"/>
      <c r="G9" s="20">
        <f t="shared" si="0"/>
        <v>7</v>
      </c>
      <c r="H9" s="89" t="s">
        <v>547</v>
      </c>
      <c r="I9" s="89" t="s">
        <v>547</v>
      </c>
      <c r="J9" s="92"/>
      <c r="K9" s="628" t="s">
        <v>1355</v>
      </c>
      <c r="L9" s="629"/>
      <c r="M9" s="630"/>
    </row>
    <row r="10" spans="1:16" ht="159.94999999999999" customHeight="1">
      <c r="A10" s="42">
        <f t="shared" si="1"/>
        <v>4</v>
      </c>
      <c r="B10" s="48" t="s">
        <v>1686</v>
      </c>
      <c r="C10" s="49" t="s">
        <v>1041</v>
      </c>
      <c r="D10" s="78" t="s">
        <v>524</v>
      </c>
      <c r="E10" s="98">
        <v>3</v>
      </c>
      <c r="F10" s="99"/>
      <c r="G10" s="20">
        <f t="shared" si="0"/>
        <v>3</v>
      </c>
      <c r="H10" s="89" t="s">
        <v>574</v>
      </c>
      <c r="I10" s="89" t="s">
        <v>574</v>
      </c>
      <c r="J10" s="92"/>
      <c r="K10" s="599" t="s">
        <v>10</v>
      </c>
      <c r="L10" s="600"/>
      <c r="M10" s="601"/>
      <c r="P10" s="22" t="s">
        <v>572</v>
      </c>
    </row>
    <row r="11" spans="1:16">
      <c r="A11" s="42">
        <f t="shared" si="1"/>
        <v>5</v>
      </c>
      <c r="B11" s="48" t="s">
        <v>385</v>
      </c>
      <c r="C11" s="49" t="s">
        <v>5</v>
      </c>
      <c r="D11" s="78" t="s">
        <v>1374</v>
      </c>
      <c r="E11" s="98">
        <v>50</v>
      </c>
      <c r="F11" s="99"/>
      <c r="G11" s="20">
        <f t="shared" si="0"/>
        <v>50</v>
      </c>
      <c r="H11" s="89" t="s">
        <v>1375</v>
      </c>
      <c r="I11" s="89"/>
      <c r="J11" s="92"/>
      <c r="K11" s="628" t="s">
        <v>1688</v>
      </c>
      <c r="L11" s="629"/>
      <c r="M11" s="630"/>
      <c r="P11" s="22" t="s">
        <v>1042</v>
      </c>
    </row>
    <row r="12" spans="1:16" ht="11.25" customHeight="1">
      <c r="A12" s="42">
        <f t="shared" si="1"/>
        <v>6</v>
      </c>
      <c r="B12" s="48" t="s">
        <v>386</v>
      </c>
      <c r="C12" s="49" t="s">
        <v>6</v>
      </c>
      <c r="D12" s="78" t="s">
        <v>1043</v>
      </c>
      <c r="E12" s="98">
        <v>50</v>
      </c>
      <c r="F12" s="99"/>
      <c r="G12" s="20">
        <f t="shared" si="0"/>
        <v>50</v>
      </c>
      <c r="H12" s="89" t="s">
        <v>1170</v>
      </c>
      <c r="I12" s="89"/>
      <c r="J12" s="92"/>
      <c r="K12" s="628" t="s">
        <v>1688</v>
      </c>
      <c r="L12" s="629"/>
      <c r="M12" s="630"/>
      <c r="P12" s="22" t="s">
        <v>1044</v>
      </c>
    </row>
    <row r="13" spans="1:16">
      <c r="A13" s="42">
        <f t="shared" si="1"/>
        <v>7</v>
      </c>
      <c r="B13" s="48" t="s">
        <v>387</v>
      </c>
      <c r="C13" s="49" t="s">
        <v>7</v>
      </c>
      <c r="D13" s="78" t="s">
        <v>1043</v>
      </c>
      <c r="E13" s="98">
        <v>50</v>
      </c>
      <c r="F13" s="99"/>
      <c r="G13" s="20">
        <f t="shared" si="0"/>
        <v>50</v>
      </c>
      <c r="H13" s="89" t="s">
        <v>1170</v>
      </c>
      <c r="I13" s="89"/>
      <c r="J13" s="92"/>
      <c r="K13" s="628" t="s">
        <v>1688</v>
      </c>
      <c r="L13" s="629"/>
      <c r="M13" s="630"/>
    </row>
    <row r="14" spans="1:16">
      <c r="A14" s="42">
        <f t="shared" si="1"/>
        <v>8</v>
      </c>
      <c r="B14" s="48" t="s">
        <v>388</v>
      </c>
      <c r="C14" s="49" t="s">
        <v>8</v>
      </c>
      <c r="D14" s="78" t="s">
        <v>1043</v>
      </c>
      <c r="E14" s="98">
        <v>50</v>
      </c>
      <c r="F14" s="99"/>
      <c r="G14" s="20">
        <f t="shared" si="0"/>
        <v>50</v>
      </c>
      <c r="H14" s="89" t="s">
        <v>1170</v>
      </c>
      <c r="I14" s="89"/>
      <c r="J14" s="92"/>
      <c r="K14" s="628" t="s">
        <v>1688</v>
      </c>
      <c r="L14" s="629"/>
      <c r="M14" s="630"/>
    </row>
    <row r="15" spans="1:16">
      <c r="A15" s="42">
        <f t="shared" si="1"/>
        <v>9</v>
      </c>
      <c r="B15" s="48" t="s">
        <v>389</v>
      </c>
      <c r="C15" s="49" t="s">
        <v>9</v>
      </c>
      <c r="D15" s="78" t="s">
        <v>1043</v>
      </c>
      <c r="E15" s="98">
        <v>50</v>
      </c>
      <c r="F15" s="99"/>
      <c r="G15" s="20">
        <f t="shared" si="0"/>
        <v>50</v>
      </c>
      <c r="H15" s="89" t="s">
        <v>1170</v>
      </c>
      <c r="I15" s="89"/>
      <c r="J15" s="92"/>
      <c r="K15" s="628" t="s">
        <v>1688</v>
      </c>
      <c r="L15" s="629"/>
      <c r="M15" s="630"/>
    </row>
    <row r="16" spans="1:16" s="113" customFormat="1" ht="13.5" customHeight="1">
      <c r="A16" s="42">
        <f t="shared" si="1"/>
        <v>10</v>
      </c>
      <c r="B16" s="64" t="s">
        <v>26</v>
      </c>
      <c r="C16" s="24" t="s">
        <v>1399</v>
      </c>
      <c r="D16" s="72" t="s">
        <v>519</v>
      </c>
      <c r="E16" s="73"/>
      <c r="F16" s="74"/>
      <c r="G16" s="20">
        <f t="shared" si="0"/>
        <v>4</v>
      </c>
      <c r="H16" s="89" t="s">
        <v>1400</v>
      </c>
      <c r="I16" s="42" t="s">
        <v>1400</v>
      </c>
      <c r="J16" s="59"/>
      <c r="K16" s="609" t="s">
        <v>1409</v>
      </c>
      <c r="L16" s="610"/>
      <c r="M16" s="611"/>
    </row>
    <row r="17" spans="1:13" s="113" customFormat="1">
      <c r="A17" s="42">
        <f t="shared" si="1"/>
        <v>11</v>
      </c>
      <c r="B17" s="64" t="s">
        <v>27</v>
      </c>
      <c r="C17" s="24" t="s">
        <v>1401</v>
      </c>
      <c r="D17" s="72" t="s">
        <v>1402</v>
      </c>
      <c r="E17" s="73"/>
      <c r="F17" s="74"/>
      <c r="G17" s="20">
        <f t="shared" si="0"/>
        <v>4</v>
      </c>
      <c r="H17" s="89" t="s">
        <v>1403</v>
      </c>
      <c r="I17" s="42"/>
      <c r="J17" s="59"/>
      <c r="K17" s="609" t="s">
        <v>1410</v>
      </c>
      <c r="L17" s="610"/>
      <c r="M17" s="611"/>
    </row>
    <row r="18" spans="1:13" s="16" customFormat="1" ht="12" customHeight="1">
      <c r="A18" s="42">
        <f t="shared" si="1"/>
        <v>12</v>
      </c>
      <c r="B18" s="64" t="s">
        <v>1083</v>
      </c>
      <c r="C18" s="24" t="s">
        <v>1084</v>
      </c>
      <c r="D18" s="72" t="s">
        <v>506</v>
      </c>
      <c r="E18" s="51">
        <v>8</v>
      </c>
      <c r="F18" s="58"/>
      <c r="G18" s="20">
        <f t="shared" si="0"/>
        <v>8</v>
      </c>
      <c r="H18" s="53" t="s">
        <v>1432</v>
      </c>
      <c r="I18" s="53"/>
      <c r="J18" s="59"/>
      <c r="K18" s="609" t="s">
        <v>1088</v>
      </c>
      <c r="L18" s="610"/>
      <c r="M18" s="611"/>
    </row>
    <row r="19" spans="1:13" s="16" customFormat="1">
      <c r="A19" s="42">
        <f t="shared" si="1"/>
        <v>13</v>
      </c>
      <c r="B19" s="64" t="s">
        <v>1724</v>
      </c>
      <c r="C19" s="24" t="s">
        <v>1404</v>
      </c>
      <c r="D19" s="65" t="s">
        <v>1405</v>
      </c>
      <c r="E19" s="51"/>
      <c r="F19" s="58"/>
      <c r="G19" s="20">
        <f t="shared" si="0"/>
        <v>10</v>
      </c>
      <c r="H19" s="53" t="s">
        <v>1406</v>
      </c>
      <c r="I19" s="42"/>
      <c r="J19" s="59"/>
      <c r="K19" s="749"/>
      <c r="L19" s="610"/>
      <c r="M19" s="611"/>
    </row>
    <row r="20" spans="1:13">
      <c r="A20" s="89" t="str">
        <f t="shared" ref="A20:A31" si="2">IF(B20=""," ",A19+1)</f>
        <v xml:space="preserve"> </v>
      </c>
      <c r="B20" s="66"/>
      <c r="C20" s="31"/>
      <c r="D20" s="97"/>
      <c r="E20" s="98"/>
      <c r="F20" s="99"/>
      <c r="G20" s="20"/>
      <c r="H20" s="89"/>
      <c r="I20" s="89"/>
      <c r="J20" s="92"/>
      <c r="K20" s="31" t="s">
        <v>13</v>
      </c>
      <c r="L20" s="32"/>
      <c r="M20" s="33"/>
    </row>
    <row r="21" spans="1:13" ht="12" customHeight="1">
      <c r="A21" s="89" t="str">
        <f>IF(B21=""," ",#REF!+1)</f>
        <v xml:space="preserve"> </v>
      </c>
      <c r="B21" s="96"/>
      <c r="C21" s="31"/>
      <c r="D21" s="97"/>
      <c r="E21" s="98"/>
      <c r="F21" s="99"/>
      <c r="G21" s="20"/>
      <c r="H21" s="89"/>
      <c r="I21" s="89"/>
      <c r="J21" s="92"/>
      <c r="K21" s="31" t="s">
        <v>11</v>
      </c>
      <c r="L21" s="32"/>
      <c r="M21" s="33"/>
    </row>
    <row r="22" spans="1:13">
      <c r="A22" s="89" t="str">
        <f>IF(B22=""," ",#REF!+1)</f>
        <v xml:space="preserve"> </v>
      </c>
      <c r="B22" s="96"/>
      <c r="C22" s="31"/>
      <c r="D22" s="97"/>
      <c r="E22" s="98"/>
      <c r="F22" s="99"/>
      <c r="G22" s="20"/>
      <c r="H22" s="89"/>
      <c r="I22" s="89"/>
      <c r="J22" s="92"/>
      <c r="K22" s="31" t="s">
        <v>12</v>
      </c>
      <c r="L22" s="32"/>
      <c r="M22" s="33"/>
    </row>
    <row r="23" spans="1:13">
      <c r="A23" s="89" t="str">
        <f t="shared" si="2"/>
        <v xml:space="preserve"> </v>
      </c>
      <c r="B23" s="96"/>
      <c r="C23" s="31"/>
      <c r="D23" s="97"/>
      <c r="E23" s="98"/>
      <c r="F23" s="99"/>
      <c r="G23" s="20"/>
      <c r="H23" s="89"/>
      <c r="I23" s="89"/>
      <c r="J23" s="92"/>
      <c r="K23" s="31"/>
      <c r="L23" s="32"/>
      <c r="M23" s="33"/>
    </row>
    <row r="24" spans="1:13">
      <c r="A24" s="89" t="str">
        <f t="shared" si="2"/>
        <v xml:space="preserve"> </v>
      </c>
      <c r="B24" s="96"/>
      <c r="C24" s="31"/>
      <c r="D24" s="97"/>
      <c r="E24" s="98"/>
      <c r="F24" s="99"/>
      <c r="G24" s="20"/>
      <c r="H24" s="89"/>
      <c r="I24" s="89"/>
      <c r="J24" s="92"/>
      <c r="K24" s="31"/>
      <c r="L24" s="32"/>
      <c r="M24" s="33"/>
    </row>
    <row r="25" spans="1:13">
      <c r="A25" s="89" t="str">
        <f t="shared" si="2"/>
        <v xml:space="preserve"> </v>
      </c>
      <c r="B25" s="96"/>
      <c r="C25" s="31"/>
      <c r="D25" s="97"/>
      <c r="E25" s="98"/>
      <c r="F25" s="99"/>
      <c r="G25" s="20"/>
      <c r="H25" s="89"/>
      <c r="I25" s="89"/>
      <c r="J25" s="92"/>
      <c r="K25" s="31"/>
      <c r="L25" s="32"/>
      <c r="M25" s="33"/>
    </row>
    <row r="26" spans="1:13">
      <c r="A26" s="89" t="str">
        <f>IF(B26=""," ",A25+1)</f>
        <v xml:space="preserve"> </v>
      </c>
      <c r="B26" s="96"/>
      <c r="C26" s="31"/>
      <c r="D26" s="97"/>
      <c r="E26" s="98"/>
      <c r="F26" s="99"/>
      <c r="G26" s="20"/>
      <c r="H26" s="89"/>
      <c r="I26" s="89"/>
      <c r="J26" s="92"/>
      <c r="K26" s="31"/>
      <c r="L26" s="32"/>
      <c r="M26" s="33"/>
    </row>
    <row r="27" spans="1:13">
      <c r="A27" s="89" t="str">
        <f t="shared" si="2"/>
        <v xml:space="preserve"> </v>
      </c>
      <c r="B27" s="96"/>
      <c r="C27" s="31"/>
      <c r="D27" s="97"/>
      <c r="E27" s="98"/>
      <c r="F27" s="99"/>
      <c r="G27" s="20"/>
      <c r="H27" s="89"/>
      <c r="I27" s="89"/>
      <c r="J27" s="92"/>
      <c r="K27" s="31"/>
      <c r="L27" s="32"/>
      <c r="M27" s="33"/>
    </row>
    <row r="28" spans="1:13">
      <c r="A28" s="89" t="str">
        <f t="shared" si="2"/>
        <v xml:space="preserve"> </v>
      </c>
      <c r="B28" s="96"/>
      <c r="C28" s="31"/>
      <c r="D28" s="97"/>
      <c r="E28" s="98"/>
      <c r="F28" s="99"/>
      <c r="G28" s="20"/>
      <c r="H28" s="89"/>
      <c r="I28" s="89"/>
      <c r="J28" s="92"/>
      <c r="K28" s="31"/>
      <c r="L28" s="32"/>
      <c r="M28" s="33"/>
    </row>
    <row r="29" spans="1:13">
      <c r="A29" s="89" t="str">
        <f t="shared" si="2"/>
        <v xml:space="preserve"> </v>
      </c>
      <c r="B29" s="96"/>
      <c r="C29" s="31"/>
      <c r="D29" s="97"/>
      <c r="E29" s="98"/>
      <c r="F29" s="99"/>
      <c r="G29" s="20"/>
      <c r="H29" s="89"/>
      <c r="I29" s="89"/>
      <c r="J29" s="92"/>
      <c r="K29" s="31"/>
      <c r="L29" s="32"/>
      <c r="M29" s="33"/>
    </row>
    <row r="30" spans="1:13">
      <c r="A30" s="89" t="str">
        <f t="shared" si="2"/>
        <v xml:space="preserve"> </v>
      </c>
      <c r="B30" s="96"/>
      <c r="C30" s="31"/>
      <c r="D30" s="97"/>
      <c r="E30" s="98"/>
      <c r="F30" s="99"/>
      <c r="G30" s="20"/>
      <c r="H30" s="89"/>
      <c r="I30" s="89"/>
      <c r="J30" s="92"/>
      <c r="K30" s="31"/>
      <c r="L30" s="32"/>
      <c r="M30" s="33"/>
    </row>
    <row r="31" spans="1:13">
      <c r="A31" s="89" t="str">
        <f t="shared" si="2"/>
        <v xml:space="preserve"> </v>
      </c>
      <c r="B31" s="96"/>
      <c r="C31" s="31"/>
      <c r="D31" s="97"/>
      <c r="E31" s="98"/>
      <c r="F31" s="99"/>
      <c r="G31" s="20"/>
      <c r="H31" s="89"/>
      <c r="I31" s="89"/>
      <c r="J31" s="92"/>
      <c r="K31" s="31"/>
      <c r="L31" s="32"/>
      <c r="M31" s="33"/>
    </row>
    <row r="32" spans="1:13">
      <c r="A32" s="42" t="str">
        <f>IF(B32=""," ",A31+1)</f>
        <v xml:space="preserve"> </v>
      </c>
      <c r="B32" s="71"/>
      <c r="C32" s="13"/>
      <c r="D32" s="72"/>
      <c r="E32" s="73"/>
      <c r="F32" s="74"/>
      <c r="G32" s="20"/>
      <c r="H32" s="42"/>
      <c r="I32" s="42"/>
      <c r="J32" s="59"/>
      <c r="K32" s="609"/>
      <c r="L32" s="610"/>
      <c r="M32" s="611"/>
    </row>
    <row r="33" spans="1:13">
      <c r="A33" s="42" t="str">
        <f>IF(B33=""," ",#REF!+1)</f>
        <v xml:space="preserve"> </v>
      </c>
      <c r="B33" s="71"/>
      <c r="C33" s="13"/>
      <c r="D33" s="72"/>
      <c r="E33" s="73"/>
      <c r="F33" s="74"/>
      <c r="G33" s="20"/>
      <c r="H33" s="42"/>
      <c r="I33" s="42"/>
      <c r="J33" s="59"/>
      <c r="K33" s="609"/>
      <c r="L33" s="610"/>
      <c r="M33" s="611"/>
    </row>
    <row r="34" spans="1:13">
      <c r="A34" s="42" t="str">
        <f>IF(B34=""," ",#REF!+1)</f>
        <v xml:space="preserve"> </v>
      </c>
      <c r="B34" s="71"/>
      <c r="C34" s="13"/>
      <c r="D34" s="72"/>
      <c r="E34" s="73"/>
      <c r="F34" s="74"/>
      <c r="G34" s="20"/>
      <c r="H34" s="42"/>
      <c r="I34" s="42"/>
      <c r="J34" s="59"/>
      <c r="K34" s="13"/>
      <c r="L34" s="14"/>
      <c r="M34" s="15"/>
    </row>
    <row r="35" spans="1:13">
      <c r="A35" s="42" t="str">
        <f>IF(B35=""," ",A34+1)</f>
        <v xml:space="preserve"> </v>
      </c>
      <c r="B35" s="71"/>
      <c r="C35" s="13"/>
      <c r="D35" s="72"/>
      <c r="E35" s="73"/>
      <c r="F35" s="74"/>
      <c r="G35" s="20"/>
      <c r="H35" s="42"/>
      <c r="I35" s="42"/>
      <c r="J35" s="59"/>
      <c r="K35" s="13"/>
      <c r="L35" s="14"/>
      <c r="M35" s="15"/>
    </row>
    <row r="36" spans="1:13">
      <c r="A36" s="42" t="str">
        <f>IF(B36=""," ",A35+1)</f>
        <v xml:space="preserve"> </v>
      </c>
      <c r="B36" s="71"/>
      <c r="C36" s="13"/>
      <c r="D36" s="72"/>
      <c r="E36" s="73"/>
      <c r="F36" s="74"/>
      <c r="G36" s="20"/>
      <c r="H36" s="42"/>
      <c r="I36" s="42"/>
      <c r="J36" s="59"/>
      <c r="K36" s="609"/>
      <c r="L36" s="610"/>
      <c r="M36" s="611"/>
    </row>
    <row r="37" spans="1:13">
      <c r="A37" s="42" t="str">
        <f>IF(B37=""," ",#REF!+1)</f>
        <v xml:space="preserve"> </v>
      </c>
      <c r="B37" s="71"/>
      <c r="C37" s="13"/>
      <c r="D37" s="72"/>
      <c r="E37" s="73"/>
      <c r="F37" s="74"/>
      <c r="G37" s="20"/>
      <c r="H37" s="42"/>
      <c r="I37" s="42"/>
      <c r="J37" s="59"/>
      <c r="K37" s="609"/>
      <c r="L37" s="610"/>
      <c r="M37" s="611"/>
    </row>
    <row r="38" spans="1:13">
      <c r="A38" s="42" t="str">
        <f>IF(B38=""," ",#REF!+1)</f>
        <v xml:space="preserve"> </v>
      </c>
      <c r="B38" s="71"/>
      <c r="C38" s="13"/>
      <c r="D38" s="72"/>
      <c r="E38" s="73"/>
      <c r="F38" s="74"/>
      <c r="G38" s="20"/>
      <c r="H38" s="42"/>
      <c r="I38" s="42"/>
      <c r="J38" s="59"/>
      <c r="K38" s="13"/>
      <c r="L38" s="14"/>
      <c r="M38" s="15"/>
    </row>
    <row r="39" spans="1:13">
      <c r="A39" s="42" t="str">
        <f>IF(B39=""," ",A38+1)</f>
        <v xml:space="preserve"> </v>
      </c>
      <c r="B39" s="71"/>
      <c r="C39" s="13"/>
      <c r="D39" s="72"/>
      <c r="E39" s="73"/>
      <c r="F39" s="74"/>
      <c r="G39" s="20"/>
      <c r="H39" s="42"/>
      <c r="I39" s="42"/>
      <c r="J39" s="59"/>
      <c r="K39" s="13"/>
      <c r="L39" s="14"/>
      <c r="M39" s="15"/>
    </row>
    <row r="40" spans="1:13">
      <c r="A40" s="42" t="str">
        <f>IF(B40=""," ",A39+1)</f>
        <v xml:space="preserve"> </v>
      </c>
      <c r="B40" s="71"/>
      <c r="C40" s="13"/>
      <c r="D40" s="72"/>
      <c r="E40" s="73"/>
      <c r="F40" s="74"/>
      <c r="G40" s="20"/>
      <c r="H40" s="42"/>
      <c r="I40" s="42"/>
      <c r="J40" s="59"/>
      <c r="K40" s="609"/>
      <c r="L40" s="610"/>
      <c r="M40" s="611"/>
    </row>
    <row r="41" spans="1:13">
      <c r="A41" s="42" t="str">
        <f>IF(B41=""," ",#REF!+1)</f>
        <v xml:space="preserve"> </v>
      </c>
      <c r="B41" s="71"/>
      <c r="C41" s="13"/>
      <c r="D41" s="72"/>
      <c r="E41" s="73"/>
      <c r="F41" s="74"/>
      <c r="G41" s="20"/>
      <c r="H41" s="42"/>
      <c r="I41" s="42"/>
      <c r="J41" s="59"/>
      <c r="K41" s="609"/>
      <c r="L41" s="610"/>
      <c r="M41" s="611"/>
    </row>
    <row r="42" spans="1:13">
      <c r="A42" s="42" t="str">
        <f>IF(B42=""," ",#REF!+1)</f>
        <v xml:space="preserve"> </v>
      </c>
      <c r="B42" s="71"/>
      <c r="C42" s="13"/>
      <c r="D42" s="72"/>
      <c r="E42" s="73"/>
      <c r="F42" s="74"/>
      <c r="G42" s="20"/>
      <c r="H42" s="42"/>
      <c r="I42" s="42"/>
      <c r="J42" s="59"/>
      <c r="K42" s="13"/>
      <c r="L42" s="14"/>
      <c r="M42" s="15"/>
    </row>
    <row r="43" spans="1:13">
      <c r="A43" s="42" t="str">
        <f>IF(B43=""," ",A42+1)</f>
        <v xml:space="preserve"> </v>
      </c>
      <c r="B43" s="71"/>
      <c r="C43" s="13"/>
      <c r="D43" s="72"/>
      <c r="E43" s="73"/>
      <c r="F43" s="74"/>
      <c r="G43" s="20"/>
      <c r="H43" s="42"/>
      <c r="I43" s="42"/>
      <c r="J43" s="59"/>
      <c r="K43" s="13"/>
      <c r="L43" s="14"/>
      <c r="M43" s="15"/>
    </row>
    <row r="44" spans="1:13">
      <c r="A44" s="42" t="str">
        <f>IF(B44=""," ",A43+1)</f>
        <v xml:space="preserve"> </v>
      </c>
      <c r="B44" s="71"/>
      <c r="C44" s="13"/>
      <c r="D44" s="72"/>
      <c r="E44" s="73"/>
      <c r="F44" s="74"/>
      <c r="G44" s="20"/>
      <c r="H44" s="42"/>
      <c r="I44" s="42"/>
      <c r="J44" s="59"/>
      <c r="K44" s="609"/>
      <c r="L44" s="610"/>
      <c r="M44" s="611"/>
    </row>
    <row r="45" spans="1:13">
      <c r="A45" s="42" t="str">
        <f>IF(B45=""," ",#REF!+1)</f>
        <v xml:space="preserve"> </v>
      </c>
      <c r="B45" s="71"/>
      <c r="C45" s="13"/>
      <c r="D45" s="72"/>
      <c r="E45" s="73"/>
      <c r="F45" s="74"/>
      <c r="G45" s="20"/>
      <c r="H45" s="42"/>
      <c r="I45" s="42"/>
      <c r="J45" s="59"/>
      <c r="K45" s="609"/>
      <c r="L45" s="610"/>
      <c r="M45" s="611"/>
    </row>
    <row r="46" spans="1:13">
      <c r="A46" s="42" t="str">
        <f>IF(B46=""," ",#REF!+1)</f>
        <v xml:space="preserve"> </v>
      </c>
      <c r="B46" s="71"/>
      <c r="C46" s="13"/>
      <c r="D46" s="72"/>
      <c r="E46" s="73"/>
      <c r="F46" s="74"/>
      <c r="G46" s="20"/>
      <c r="H46" s="42"/>
      <c r="I46" s="42"/>
      <c r="J46" s="59"/>
      <c r="K46" s="13"/>
      <c r="L46" s="14"/>
      <c r="M46" s="15"/>
    </row>
    <row r="47" spans="1:13">
      <c r="A47" s="42" t="str">
        <f>IF(B47=""," ",A46+1)</f>
        <v xml:space="preserve"> </v>
      </c>
      <c r="B47" s="71"/>
      <c r="C47" s="13"/>
      <c r="D47" s="72"/>
      <c r="E47" s="73"/>
      <c r="F47" s="74"/>
      <c r="G47" s="20"/>
      <c r="H47" s="42"/>
      <c r="I47" s="42"/>
      <c r="J47" s="59"/>
      <c r="K47" s="13"/>
      <c r="L47" s="14"/>
      <c r="M47" s="15"/>
    </row>
    <row r="48" spans="1:13">
      <c r="A48" s="42" t="str">
        <f>IF(B48=""," ",A47+1)</f>
        <v xml:space="preserve"> </v>
      </c>
      <c r="B48" s="71"/>
      <c r="C48" s="13"/>
      <c r="D48" s="72"/>
      <c r="E48" s="73"/>
      <c r="F48" s="74"/>
      <c r="G48" s="20"/>
      <c r="H48" s="42"/>
      <c r="I48" s="42"/>
      <c r="J48" s="59"/>
      <c r="K48" s="609"/>
      <c r="L48" s="610"/>
      <c r="M48" s="611"/>
    </row>
    <row r="49" spans="1:13">
      <c r="A49" s="42" t="str">
        <f>IF(B49=""," ",#REF!+1)</f>
        <v xml:space="preserve"> </v>
      </c>
      <c r="B49" s="71"/>
      <c r="C49" s="13"/>
      <c r="D49" s="72"/>
      <c r="E49" s="73"/>
      <c r="F49" s="74"/>
      <c r="G49" s="20"/>
      <c r="H49" s="42"/>
      <c r="I49" s="42"/>
      <c r="J49" s="59"/>
      <c r="K49" s="609"/>
      <c r="L49" s="610"/>
      <c r="M49" s="611"/>
    </row>
    <row r="50" spans="1:13">
      <c r="A50" s="42" t="str">
        <f>IF(B50=""," ",#REF!+1)</f>
        <v xml:space="preserve"> </v>
      </c>
      <c r="B50" s="71"/>
      <c r="C50" s="13"/>
      <c r="D50" s="72"/>
      <c r="E50" s="73"/>
      <c r="F50" s="74"/>
      <c r="G50" s="20"/>
      <c r="H50" s="42"/>
      <c r="I50" s="42"/>
      <c r="J50" s="59"/>
      <c r="K50" s="13"/>
      <c r="L50" s="14"/>
      <c r="M50" s="15"/>
    </row>
    <row r="51" spans="1:13">
      <c r="A51" s="42" t="str">
        <f>IF(B51=""," ",A50+1)</f>
        <v xml:space="preserve"> </v>
      </c>
      <c r="B51" s="71"/>
      <c r="C51" s="13"/>
      <c r="D51" s="72"/>
      <c r="E51" s="73"/>
      <c r="F51" s="74"/>
      <c r="G51" s="20"/>
      <c r="H51" s="42"/>
      <c r="I51" s="42"/>
      <c r="J51" s="59"/>
      <c r="K51" s="13"/>
      <c r="L51" s="14"/>
      <c r="M51" s="15"/>
    </row>
    <row r="52" spans="1:13">
      <c r="A52" s="42" t="str">
        <f>IF(B52=""," ",A51+1)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609"/>
      <c r="L53" s="610"/>
      <c r="M53" s="611"/>
    </row>
    <row r="54" spans="1:13">
      <c r="A54" s="42" t="str">
        <f>IF(B54=""," ",#REF!+1)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13"/>
      <c r="L55" s="14"/>
      <c r="M55" s="15"/>
    </row>
    <row r="56" spans="1:13">
      <c r="A56" s="42" t="str">
        <f>IF(B56=""," ",A55+1)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609"/>
      <c r="L57" s="610"/>
      <c r="M57" s="611"/>
    </row>
    <row r="58" spans="1:13">
      <c r="A58" s="42" t="str">
        <f>IF(B58=""," ",#REF!+1)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13"/>
      <c r="L59" s="14"/>
      <c r="M59" s="15"/>
    </row>
    <row r="60" spans="1:13">
      <c r="A60" s="42" t="str">
        <f>IF(B60=""," ",A59+1)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13"/>
      <c r="L99" s="14"/>
      <c r="M99" s="15"/>
    </row>
    <row r="100" spans="1:13">
      <c r="A100" s="42" t="str">
        <f>IF(B100=""," ",#REF!+1)</f>
        <v xml:space="preserve"> </v>
      </c>
      <c r="B100" s="71"/>
      <c r="C100" s="13"/>
      <c r="D100" s="72"/>
      <c r="E100" s="73"/>
      <c r="F100" s="74"/>
      <c r="G100" s="20"/>
      <c r="H100" s="42"/>
      <c r="I100" s="42"/>
      <c r="J100" s="59"/>
      <c r="K100" s="13"/>
      <c r="L100" s="14"/>
      <c r="M100" s="15"/>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s="16" customFormat="1">
      <c r="A110" s="46"/>
      <c r="B110" s="75" t="s">
        <v>273</v>
      </c>
      <c r="C110" s="16" t="s">
        <v>1411</v>
      </c>
    </row>
    <row r="112" spans="1:13" s="16" customFormat="1">
      <c r="A112" s="46"/>
      <c r="B112" s="75" t="s">
        <v>14</v>
      </c>
      <c r="C112" s="16" t="s">
        <v>15</v>
      </c>
      <c r="D112" s="16" t="s">
        <v>16</v>
      </c>
      <c r="E112" s="16" t="s">
        <v>17</v>
      </c>
    </row>
    <row r="113" spans="2:11">
      <c r="E113" s="22" t="s">
        <v>18</v>
      </c>
    </row>
    <row r="114" spans="2:11">
      <c r="C114" s="22" t="s">
        <v>760</v>
      </c>
      <c r="D114" s="22" t="s">
        <v>16</v>
      </c>
      <c r="E114" s="22" t="s">
        <v>19</v>
      </c>
    </row>
    <row r="115" spans="2:11">
      <c r="C115" s="22" t="s">
        <v>20</v>
      </c>
      <c r="D115" s="22" t="s">
        <v>21</v>
      </c>
    </row>
    <row r="116" spans="2:11">
      <c r="D116" s="22" t="s">
        <v>22</v>
      </c>
    </row>
    <row r="117" spans="2:11">
      <c r="D117" s="22" t="s">
        <v>23</v>
      </c>
    </row>
    <row r="118" spans="2:11">
      <c r="D118" s="22" t="s">
        <v>24</v>
      </c>
    </row>
    <row r="119" spans="2:11">
      <c r="D119" s="22" t="s">
        <v>25</v>
      </c>
    </row>
    <row r="121" spans="2:11">
      <c r="B121" s="385" t="s">
        <v>1717</v>
      </c>
      <c r="C121" s="385" t="s">
        <v>20</v>
      </c>
      <c r="D121" s="385" t="s">
        <v>1714</v>
      </c>
      <c r="E121" s="385"/>
      <c r="F121" s="385"/>
      <c r="G121" s="385"/>
      <c r="H121" s="385"/>
      <c r="I121" s="385"/>
      <c r="J121" s="385"/>
      <c r="K121" s="22" t="s">
        <v>294</v>
      </c>
    </row>
  </sheetData>
  <mergeCells count="61">
    <mergeCell ref="K80:M80"/>
    <mergeCell ref="K84:M84"/>
    <mergeCell ref="K49:M49"/>
    <mergeCell ref="K53:M53"/>
    <mergeCell ref="K52:M52"/>
    <mergeCell ref="K73:M73"/>
    <mergeCell ref="K77:M77"/>
    <mergeCell ref="K65:M65"/>
    <mergeCell ref="K69:M69"/>
    <mergeCell ref="K72:M72"/>
    <mergeCell ref="K76:M76"/>
    <mergeCell ref="K56:M56"/>
    <mergeCell ref="K60:M60"/>
    <mergeCell ref="K64:M64"/>
    <mergeCell ref="K57:M57"/>
    <mergeCell ref="K68:M68"/>
    <mergeCell ref="K98:M98"/>
    <mergeCell ref="K89:M89"/>
    <mergeCell ref="K93:M93"/>
    <mergeCell ref="K81:M81"/>
    <mergeCell ref="K88:M88"/>
    <mergeCell ref="K92:M92"/>
    <mergeCell ref="K97:M97"/>
    <mergeCell ref="K85:M85"/>
    <mergeCell ref="K61:M61"/>
    <mergeCell ref="K33:M33"/>
    <mergeCell ref="K37:M37"/>
    <mergeCell ref="K8:M8"/>
    <mergeCell ref="K9:M9"/>
    <mergeCell ref="K16:M16"/>
    <mergeCell ref="K17:M17"/>
    <mergeCell ref="K10:M10"/>
    <mergeCell ref="K11:M11"/>
    <mergeCell ref="K12:M12"/>
    <mergeCell ref="K13:M13"/>
    <mergeCell ref="K14:M14"/>
    <mergeCell ref="K15:M15"/>
    <mergeCell ref="K19:M19"/>
    <mergeCell ref="K32:M32"/>
    <mergeCell ref="K18:M18"/>
    <mergeCell ref="K44:M44"/>
    <mergeCell ref="K48:M48"/>
    <mergeCell ref="K41:M41"/>
    <mergeCell ref="K45:M45"/>
    <mergeCell ref="K36:M36"/>
    <mergeCell ref="K40:M40"/>
    <mergeCell ref="A5:A6"/>
    <mergeCell ref="A2:B2"/>
    <mergeCell ref="A3:B3"/>
    <mergeCell ref="A4:B4"/>
    <mergeCell ref="B5:C5"/>
    <mergeCell ref="H2:J2"/>
    <mergeCell ref="C2:G2"/>
    <mergeCell ref="C3:G3"/>
    <mergeCell ref="C4:G4"/>
    <mergeCell ref="K7:M7"/>
    <mergeCell ref="H4:I4"/>
    <mergeCell ref="H3:I3"/>
    <mergeCell ref="K5:M6"/>
    <mergeCell ref="I5:J5"/>
    <mergeCell ref="D5:H5"/>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9">
    <pageSetUpPr fitToPage="1"/>
  </sheetPr>
  <dimension ref="A1:P111"/>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196" customWidth="1"/>
    <col min="2" max="2" width="28.625" style="198" customWidth="1"/>
    <col min="3" max="3" width="13.375" style="198" customWidth="1"/>
    <col min="4" max="4" width="10.125" style="198" customWidth="1"/>
    <col min="5" max="5" width="4.875" style="198" bestFit="1" customWidth="1"/>
    <col min="6" max="6" width="4.75" style="198" bestFit="1" customWidth="1"/>
    <col min="7" max="7" width="6.125" style="198" bestFit="1" customWidth="1"/>
    <col min="8" max="8" width="4.75" style="198" bestFit="1" customWidth="1"/>
    <col min="9" max="9" width="4.75" style="198" customWidth="1"/>
    <col min="10" max="11" width="9.625" style="198" customWidth="1"/>
    <col min="12" max="13" width="10.25" style="198" customWidth="1"/>
    <col min="14" max="14" width="9" style="198"/>
    <col min="15" max="16" width="9" style="198" hidden="1" customWidth="1"/>
    <col min="17" max="16384" width="9" style="198"/>
  </cols>
  <sheetData>
    <row r="1" spans="1:16">
      <c r="B1" s="197"/>
      <c r="C1" s="135" t="s">
        <v>390</v>
      </c>
    </row>
    <row r="2" spans="1:16">
      <c r="A2" s="701" t="s">
        <v>602</v>
      </c>
      <c r="B2" s="702"/>
      <c r="C2" s="701" t="s">
        <v>36</v>
      </c>
      <c r="D2" s="707"/>
      <c r="E2" s="707"/>
      <c r="F2" s="707"/>
      <c r="G2" s="702"/>
      <c r="H2" s="701"/>
      <c r="I2" s="707"/>
      <c r="J2" s="702"/>
      <c r="K2" s="200"/>
      <c r="L2" s="201" t="s">
        <v>37</v>
      </c>
      <c r="M2" s="201" t="s">
        <v>38</v>
      </c>
    </row>
    <row r="3" spans="1:16">
      <c r="A3" s="703"/>
      <c r="B3" s="704"/>
      <c r="C3" s="971" t="s">
        <v>879</v>
      </c>
      <c r="D3" s="972"/>
      <c r="E3" s="972"/>
      <c r="F3" s="972"/>
      <c r="G3" s="973"/>
      <c r="H3" s="701" t="s">
        <v>39</v>
      </c>
      <c r="I3" s="702"/>
      <c r="J3" s="202">
        <f>COUNT(A7:A100)</f>
        <v>28</v>
      </c>
      <c r="K3" s="201" t="s">
        <v>40</v>
      </c>
      <c r="L3" s="203">
        <v>38629</v>
      </c>
      <c r="M3" s="41" t="s">
        <v>56</v>
      </c>
      <c r="O3" s="198" t="s">
        <v>41</v>
      </c>
      <c r="P3" s="198" t="s">
        <v>42</v>
      </c>
    </row>
    <row r="4" spans="1:16">
      <c r="A4" s="705" t="s">
        <v>43</v>
      </c>
      <c r="B4" s="706"/>
      <c r="C4" s="974" t="s">
        <v>1469</v>
      </c>
      <c r="D4" s="975"/>
      <c r="E4" s="975"/>
      <c r="F4" s="975"/>
      <c r="G4" s="976"/>
      <c r="H4" s="701" t="s">
        <v>44</v>
      </c>
      <c r="I4" s="702"/>
      <c r="J4" s="202">
        <f>SUM(G7:G100)</f>
        <v>192</v>
      </c>
      <c r="K4" s="201" t="s">
        <v>45</v>
      </c>
      <c r="L4" s="40">
        <v>38748</v>
      </c>
      <c r="M4" s="89" t="s">
        <v>675</v>
      </c>
      <c r="O4" s="198" t="s">
        <v>1358</v>
      </c>
      <c r="P4" s="198" t="s">
        <v>1359</v>
      </c>
    </row>
    <row r="5" spans="1:16">
      <c r="A5" s="712" t="s">
        <v>1360</v>
      </c>
      <c r="B5" s="701" t="s">
        <v>46</v>
      </c>
      <c r="C5" s="707"/>
      <c r="D5" s="723" t="s">
        <v>47</v>
      </c>
      <c r="E5" s="707"/>
      <c r="F5" s="707"/>
      <c r="G5" s="707"/>
      <c r="H5" s="707"/>
      <c r="I5" s="701" t="s">
        <v>604</v>
      </c>
      <c r="J5" s="702"/>
      <c r="K5" s="717" t="s">
        <v>48</v>
      </c>
      <c r="L5" s="718"/>
      <c r="M5" s="719"/>
      <c r="P5" s="198" t="s">
        <v>605</v>
      </c>
    </row>
    <row r="6" spans="1:16">
      <c r="A6" s="713"/>
      <c r="B6" s="201" t="s">
        <v>49</v>
      </c>
      <c r="C6" s="204" t="s">
        <v>50</v>
      </c>
      <c r="D6" s="205" t="s">
        <v>42</v>
      </c>
      <c r="E6" s="206" t="s">
        <v>51</v>
      </c>
      <c r="F6" s="207" t="s">
        <v>52</v>
      </c>
      <c r="G6" s="201" t="s">
        <v>606</v>
      </c>
      <c r="H6" s="199" t="s">
        <v>53</v>
      </c>
      <c r="I6" s="199" t="s">
        <v>607</v>
      </c>
      <c r="J6" s="199" t="s">
        <v>608</v>
      </c>
      <c r="K6" s="720"/>
      <c r="L6" s="721"/>
      <c r="M6" s="722"/>
      <c r="P6" s="198" t="s">
        <v>609</v>
      </c>
    </row>
    <row r="7" spans="1:16">
      <c r="A7" s="208">
        <v>1</v>
      </c>
      <c r="B7" s="209" t="s">
        <v>766</v>
      </c>
      <c r="C7" s="210" t="s">
        <v>880</v>
      </c>
      <c r="D7" s="211" t="s">
        <v>1434</v>
      </c>
      <c r="E7" s="212">
        <v>4</v>
      </c>
      <c r="F7" s="213"/>
      <c r="G7" s="21">
        <f t="shared" ref="G7:G12" si="0">IF(D7="DATE",4,IF(D7="CHAR",E7,IF(D7="SMALLINT",2,IF(D7="INTEGER",4,IF(D7="TIMESTAMP",10,IF(D7="TIME",3,0))))))</f>
        <v>4</v>
      </c>
      <c r="H7" s="208" t="s">
        <v>1435</v>
      </c>
      <c r="I7" s="208" t="s">
        <v>1435</v>
      </c>
      <c r="J7" s="214"/>
      <c r="K7" s="714" t="s">
        <v>243</v>
      </c>
      <c r="L7" s="715"/>
      <c r="M7" s="716"/>
    </row>
    <row r="8" spans="1:16">
      <c r="A8" s="208">
        <v>2</v>
      </c>
      <c r="B8" s="66" t="s">
        <v>1346</v>
      </c>
      <c r="C8" s="210" t="s">
        <v>881</v>
      </c>
      <c r="D8" s="211" t="s">
        <v>1359</v>
      </c>
      <c r="E8" s="212">
        <v>7</v>
      </c>
      <c r="F8" s="213"/>
      <c r="G8" s="21">
        <f t="shared" si="0"/>
        <v>7</v>
      </c>
      <c r="H8" s="208" t="s">
        <v>1358</v>
      </c>
      <c r="I8" s="208" t="s">
        <v>1363</v>
      </c>
      <c r="J8" s="214"/>
      <c r="K8" s="724" t="s">
        <v>1622</v>
      </c>
      <c r="L8" s="715"/>
      <c r="M8" s="716"/>
    </row>
    <row r="9" spans="1:16">
      <c r="A9" s="208">
        <v>3</v>
      </c>
      <c r="B9" s="216" t="s">
        <v>1352</v>
      </c>
      <c r="C9" s="217" t="s">
        <v>882</v>
      </c>
      <c r="D9" s="218" t="s">
        <v>64</v>
      </c>
      <c r="E9" s="212" t="s">
        <v>65</v>
      </c>
      <c r="F9" s="213"/>
      <c r="G9" s="21">
        <f t="shared" si="0"/>
        <v>0</v>
      </c>
      <c r="H9" s="208" t="s">
        <v>574</v>
      </c>
      <c r="I9" s="208" t="s">
        <v>574</v>
      </c>
      <c r="J9" s="214"/>
      <c r="K9" s="725" t="s">
        <v>1623</v>
      </c>
      <c r="L9" s="726"/>
      <c r="M9" s="727"/>
    </row>
    <row r="10" spans="1:16">
      <c r="A10" s="208">
        <v>4</v>
      </c>
      <c r="B10" s="216" t="s">
        <v>66</v>
      </c>
      <c r="C10" s="217" t="s">
        <v>1362</v>
      </c>
      <c r="D10" s="78" t="s">
        <v>548</v>
      </c>
      <c r="E10" s="98">
        <v>7</v>
      </c>
      <c r="F10" s="213"/>
      <c r="G10" s="21">
        <f t="shared" si="0"/>
        <v>7</v>
      </c>
      <c r="H10" s="208" t="s">
        <v>547</v>
      </c>
      <c r="I10" s="208"/>
      <c r="J10" s="214"/>
      <c r="K10" s="725"/>
      <c r="L10" s="726"/>
      <c r="M10" s="727"/>
      <c r="P10" s="219" t="s">
        <v>564</v>
      </c>
    </row>
    <row r="11" spans="1:16" ht="11.25" customHeight="1">
      <c r="A11" s="208">
        <v>5</v>
      </c>
      <c r="B11" s="216" t="s">
        <v>1353</v>
      </c>
      <c r="C11" s="217" t="s">
        <v>883</v>
      </c>
      <c r="D11" s="218" t="s">
        <v>553</v>
      </c>
      <c r="E11" s="212">
        <v>40</v>
      </c>
      <c r="F11" s="213"/>
      <c r="G11" s="21">
        <f t="shared" si="0"/>
        <v>40</v>
      </c>
      <c r="H11" s="208" t="s">
        <v>884</v>
      </c>
      <c r="I11" s="208"/>
      <c r="J11" s="214"/>
      <c r="K11" s="725"/>
      <c r="L11" s="726"/>
      <c r="M11" s="727"/>
    </row>
    <row r="12" spans="1:16">
      <c r="A12" s="208">
        <v>6</v>
      </c>
      <c r="B12" s="216" t="s">
        <v>1354</v>
      </c>
      <c r="C12" s="217" t="s">
        <v>885</v>
      </c>
      <c r="D12" s="218" t="s">
        <v>533</v>
      </c>
      <c r="E12" s="212">
        <v>20</v>
      </c>
      <c r="F12" s="213"/>
      <c r="G12" s="21">
        <f t="shared" si="0"/>
        <v>20</v>
      </c>
      <c r="H12" s="208" t="s">
        <v>1384</v>
      </c>
      <c r="I12" s="208"/>
      <c r="J12" s="214"/>
      <c r="K12" s="872"/>
      <c r="L12" s="873"/>
      <c r="M12" s="874"/>
    </row>
    <row r="13" spans="1:16">
      <c r="A13" s="208">
        <v>7</v>
      </c>
      <c r="B13" s="209" t="s">
        <v>768</v>
      </c>
      <c r="C13" s="210" t="s">
        <v>886</v>
      </c>
      <c r="D13" s="211" t="s">
        <v>533</v>
      </c>
      <c r="E13" s="212">
        <v>8</v>
      </c>
      <c r="F13" s="213"/>
      <c r="G13" s="21">
        <f t="shared" ref="G13:G33" si="1">IF(D13="DATE",4,IF(D13="CHAR",E13,IF(D13="SMALLINT",2,IF(D13="INTEGER",4,IF(D13="TIMESTAMP",10,IF(D13="TIME",3,0))))))</f>
        <v>8</v>
      </c>
      <c r="H13" s="208" t="s">
        <v>1432</v>
      </c>
      <c r="I13" s="208"/>
      <c r="J13" s="214"/>
      <c r="K13" s="724"/>
      <c r="L13" s="715"/>
      <c r="M13" s="716"/>
    </row>
    <row r="14" spans="1:16">
      <c r="A14" s="208">
        <v>8</v>
      </c>
      <c r="B14" s="66" t="s">
        <v>673</v>
      </c>
      <c r="C14" s="210" t="s">
        <v>887</v>
      </c>
      <c r="D14" s="211" t="s">
        <v>533</v>
      </c>
      <c r="E14" s="212">
        <v>8</v>
      </c>
      <c r="F14" s="213"/>
      <c r="G14" s="21">
        <f t="shared" si="1"/>
        <v>8</v>
      </c>
      <c r="H14" s="208" t="s">
        <v>1432</v>
      </c>
      <c r="I14" s="208"/>
      <c r="J14" s="214"/>
      <c r="K14" s="724"/>
      <c r="L14" s="715"/>
      <c r="M14" s="716"/>
    </row>
    <row r="15" spans="1:16">
      <c r="A15" s="208">
        <v>9</v>
      </c>
      <c r="B15" s="209" t="s">
        <v>674</v>
      </c>
      <c r="C15" s="210" t="s">
        <v>888</v>
      </c>
      <c r="D15" s="211" t="s">
        <v>533</v>
      </c>
      <c r="E15" s="212">
        <v>8</v>
      </c>
      <c r="F15" s="213"/>
      <c r="G15" s="21">
        <f t="shared" si="1"/>
        <v>8</v>
      </c>
      <c r="H15" s="208" t="s">
        <v>1432</v>
      </c>
      <c r="I15" s="208"/>
      <c r="J15" s="214"/>
      <c r="K15" s="724"/>
      <c r="L15" s="715"/>
      <c r="M15" s="716"/>
    </row>
    <row r="16" spans="1:16">
      <c r="A16" s="208">
        <v>10</v>
      </c>
      <c r="B16" s="216" t="s">
        <v>236</v>
      </c>
      <c r="C16" s="217" t="s">
        <v>889</v>
      </c>
      <c r="D16" s="218" t="s">
        <v>533</v>
      </c>
      <c r="E16" s="212">
        <v>8</v>
      </c>
      <c r="F16" s="213"/>
      <c r="G16" s="21">
        <f t="shared" si="1"/>
        <v>8</v>
      </c>
      <c r="H16" s="208" t="s">
        <v>1432</v>
      </c>
      <c r="I16" s="208"/>
      <c r="J16" s="214"/>
      <c r="K16" s="725"/>
      <c r="L16" s="726"/>
      <c r="M16" s="727"/>
      <c r="P16" s="198" t="s">
        <v>575</v>
      </c>
    </row>
    <row r="17" spans="1:16">
      <c r="A17" s="208">
        <v>11</v>
      </c>
      <c r="B17" s="216" t="s">
        <v>237</v>
      </c>
      <c r="C17" s="217" t="s">
        <v>890</v>
      </c>
      <c r="D17" s="218" t="s">
        <v>533</v>
      </c>
      <c r="E17" s="212">
        <v>8</v>
      </c>
      <c r="F17" s="213"/>
      <c r="G17" s="21">
        <f t="shared" si="1"/>
        <v>8</v>
      </c>
      <c r="H17" s="208" t="s">
        <v>891</v>
      </c>
      <c r="I17" s="208"/>
      <c r="J17" s="214"/>
      <c r="K17" s="725"/>
      <c r="L17" s="726"/>
      <c r="M17" s="727"/>
      <c r="P17" s="198" t="s">
        <v>892</v>
      </c>
    </row>
    <row r="18" spans="1:16">
      <c r="A18" s="208">
        <v>12</v>
      </c>
      <c r="B18" s="209" t="s">
        <v>526</v>
      </c>
      <c r="C18" s="210" t="s">
        <v>893</v>
      </c>
      <c r="D18" s="211" t="s">
        <v>894</v>
      </c>
      <c r="E18" s="212"/>
      <c r="F18" s="213"/>
      <c r="G18" s="21">
        <f t="shared" si="1"/>
        <v>2</v>
      </c>
      <c r="H18" s="208" t="s">
        <v>891</v>
      </c>
      <c r="I18" s="208"/>
      <c r="J18" s="214"/>
      <c r="K18" s="724"/>
      <c r="L18" s="715"/>
      <c r="M18" s="716"/>
    </row>
    <row r="19" spans="1:16" s="220" customFormat="1">
      <c r="A19" s="208">
        <v>13</v>
      </c>
      <c r="B19" s="66" t="s">
        <v>128</v>
      </c>
      <c r="C19" s="210" t="s">
        <v>895</v>
      </c>
      <c r="D19" s="211" t="s">
        <v>896</v>
      </c>
      <c r="E19" s="212">
        <v>16</v>
      </c>
      <c r="F19" s="213"/>
      <c r="G19" s="21">
        <f t="shared" si="1"/>
        <v>2</v>
      </c>
      <c r="H19" s="208" t="s">
        <v>583</v>
      </c>
      <c r="I19" s="208"/>
      <c r="J19" s="214"/>
      <c r="K19" s="724"/>
      <c r="L19" s="715"/>
      <c r="M19" s="716"/>
    </row>
    <row r="20" spans="1:16">
      <c r="A20" s="208">
        <v>14</v>
      </c>
      <c r="B20" s="66" t="s">
        <v>240</v>
      </c>
      <c r="C20" s="210" t="s">
        <v>897</v>
      </c>
      <c r="D20" s="211" t="s">
        <v>896</v>
      </c>
      <c r="E20" s="212">
        <v>8</v>
      </c>
      <c r="F20" s="213"/>
      <c r="G20" s="21">
        <f t="shared" si="1"/>
        <v>2</v>
      </c>
      <c r="H20" s="208" t="s">
        <v>583</v>
      </c>
      <c r="I20" s="208"/>
      <c r="J20" s="214"/>
      <c r="K20" s="724" t="s">
        <v>898</v>
      </c>
      <c r="L20" s="715"/>
      <c r="M20" s="716"/>
    </row>
    <row r="21" spans="1:16">
      <c r="A21" s="208">
        <v>15</v>
      </c>
      <c r="B21" s="209" t="s">
        <v>241</v>
      </c>
      <c r="C21" s="210" t="s">
        <v>899</v>
      </c>
      <c r="D21" s="211" t="s">
        <v>896</v>
      </c>
      <c r="E21" s="221">
        <v>8</v>
      </c>
      <c r="F21" s="222"/>
      <c r="G21" s="21">
        <f t="shared" si="1"/>
        <v>2</v>
      </c>
      <c r="H21" s="208" t="s">
        <v>583</v>
      </c>
      <c r="I21" s="223"/>
      <c r="J21" s="224"/>
      <c r="K21" s="738" t="s">
        <v>900</v>
      </c>
      <c r="L21" s="739"/>
      <c r="M21" s="740"/>
    </row>
    <row r="22" spans="1:16" s="219" customFormat="1">
      <c r="A22" s="208">
        <v>16</v>
      </c>
      <c r="B22" s="209" t="s">
        <v>242</v>
      </c>
      <c r="C22" s="210" t="s">
        <v>901</v>
      </c>
      <c r="D22" s="225" t="s">
        <v>533</v>
      </c>
      <c r="E22" s="221">
        <v>8</v>
      </c>
      <c r="F22" s="222"/>
      <c r="G22" s="21">
        <f t="shared" si="1"/>
        <v>8</v>
      </c>
      <c r="H22" s="208" t="s">
        <v>583</v>
      </c>
      <c r="I22" s="223"/>
      <c r="J22" s="224"/>
      <c r="K22" s="738" t="s">
        <v>902</v>
      </c>
      <c r="L22" s="739"/>
      <c r="M22" s="740"/>
    </row>
    <row r="23" spans="1:16" s="219" customFormat="1">
      <c r="A23" s="208">
        <v>17</v>
      </c>
      <c r="B23" s="209" t="s">
        <v>244</v>
      </c>
      <c r="C23" s="210" t="s">
        <v>903</v>
      </c>
      <c r="D23" s="225" t="s">
        <v>533</v>
      </c>
      <c r="E23" s="221">
        <v>8</v>
      </c>
      <c r="F23" s="222"/>
      <c r="G23" s="21">
        <f t="shared" si="1"/>
        <v>8</v>
      </c>
      <c r="H23" s="208" t="s">
        <v>583</v>
      </c>
      <c r="I23" s="223"/>
      <c r="J23" s="224"/>
      <c r="K23" s="738" t="s">
        <v>904</v>
      </c>
      <c r="L23" s="739"/>
      <c r="M23" s="740"/>
    </row>
    <row r="24" spans="1:16" s="219" customFormat="1">
      <c r="A24" s="208">
        <v>18</v>
      </c>
      <c r="B24" s="209" t="s">
        <v>905</v>
      </c>
      <c r="C24" s="210" t="s">
        <v>906</v>
      </c>
      <c r="D24" s="225" t="s">
        <v>907</v>
      </c>
      <c r="E24" s="221"/>
      <c r="F24" s="222"/>
      <c r="G24" s="21">
        <f t="shared" si="1"/>
        <v>4</v>
      </c>
      <c r="H24" s="208" t="s">
        <v>583</v>
      </c>
      <c r="I24" s="223"/>
      <c r="J24" s="224"/>
      <c r="K24" s="746" t="s">
        <v>773</v>
      </c>
      <c r="L24" s="747"/>
      <c r="M24" s="748"/>
    </row>
    <row r="25" spans="1:16" s="219" customFormat="1">
      <c r="A25" s="208">
        <v>19</v>
      </c>
      <c r="B25" s="209" t="s">
        <v>487</v>
      </c>
      <c r="C25" s="210" t="s">
        <v>908</v>
      </c>
      <c r="D25" s="225" t="s">
        <v>909</v>
      </c>
      <c r="E25" s="221" t="s">
        <v>65</v>
      </c>
      <c r="F25" s="222"/>
      <c r="G25" s="21">
        <f t="shared" si="1"/>
        <v>10</v>
      </c>
      <c r="H25" s="208" t="s">
        <v>910</v>
      </c>
      <c r="I25" s="223"/>
      <c r="J25" s="224"/>
      <c r="K25" s="738"/>
      <c r="L25" s="739"/>
      <c r="M25" s="740"/>
    </row>
    <row r="26" spans="1:16" s="113" customFormat="1" ht="34.5" customHeight="1">
      <c r="A26" s="208">
        <v>20</v>
      </c>
      <c r="B26" s="48" t="s">
        <v>911</v>
      </c>
      <c r="C26" s="49" t="s">
        <v>912</v>
      </c>
      <c r="D26" s="78" t="s">
        <v>55</v>
      </c>
      <c r="E26" s="127"/>
      <c r="F26" s="123"/>
      <c r="G26" s="21">
        <f t="shared" si="1"/>
        <v>2</v>
      </c>
      <c r="H26" s="208" t="s">
        <v>910</v>
      </c>
      <c r="I26" s="41"/>
      <c r="J26" s="226"/>
      <c r="K26" s="599" t="s">
        <v>767</v>
      </c>
      <c r="L26" s="600"/>
      <c r="M26" s="601"/>
    </row>
    <row r="27" spans="1:16" s="113" customFormat="1" ht="13.5" customHeight="1">
      <c r="A27" s="208">
        <v>21</v>
      </c>
      <c r="B27" s="48" t="s">
        <v>913</v>
      </c>
      <c r="C27" s="49" t="s">
        <v>914</v>
      </c>
      <c r="D27" s="78" t="s">
        <v>915</v>
      </c>
      <c r="E27" s="127"/>
      <c r="F27" s="123"/>
      <c r="G27" s="21">
        <f t="shared" si="1"/>
        <v>2</v>
      </c>
      <c r="H27" s="208" t="s">
        <v>910</v>
      </c>
      <c r="I27" s="41"/>
      <c r="J27" s="226"/>
      <c r="K27" s="599"/>
      <c r="L27" s="600"/>
      <c r="M27" s="601"/>
    </row>
    <row r="28" spans="1:16" s="113" customFormat="1" ht="13.5" customHeight="1">
      <c r="A28" s="208">
        <v>22</v>
      </c>
      <c r="B28" s="48" t="s">
        <v>771</v>
      </c>
      <c r="C28" s="49" t="s">
        <v>916</v>
      </c>
      <c r="D28" s="78" t="s">
        <v>517</v>
      </c>
      <c r="E28" s="127"/>
      <c r="F28" s="123"/>
      <c r="G28" s="21">
        <f t="shared" si="1"/>
        <v>2</v>
      </c>
      <c r="H28" s="208" t="s">
        <v>1400</v>
      </c>
      <c r="I28" s="41"/>
      <c r="J28" s="226"/>
      <c r="K28" s="628"/>
      <c r="L28" s="629"/>
      <c r="M28" s="630"/>
    </row>
    <row r="29" spans="1:16" s="113" customFormat="1" ht="13.5" customHeight="1">
      <c r="A29" s="208">
        <v>23</v>
      </c>
      <c r="B29" s="48" t="s">
        <v>772</v>
      </c>
      <c r="C29" s="49" t="s">
        <v>917</v>
      </c>
      <c r="D29" s="78" t="s">
        <v>517</v>
      </c>
      <c r="E29" s="127"/>
      <c r="F29" s="123"/>
      <c r="G29" s="21">
        <f t="shared" si="1"/>
        <v>2</v>
      </c>
      <c r="H29" s="208" t="s">
        <v>1400</v>
      </c>
      <c r="I29" s="41"/>
      <c r="J29" s="226"/>
      <c r="K29" s="628"/>
      <c r="L29" s="629"/>
      <c r="M29" s="630"/>
    </row>
    <row r="30" spans="1:16" ht="12" customHeight="1">
      <c r="A30" s="208">
        <v>24</v>
      </c>
      <c r="B30" s="209" t="s">
        <v>769</v>
      </c>
      <c r="C30" s="210" t="s">
        <v>918</v>
      </c>
      <c r="D30" s="211" t="s">
        <v>517</v>
      </c>
      <c r="E30" s="212"/>
      <c r="F30" s="213"/>
      <c r="G30" s="21">
        <f t="shared" si="1"/>
        <v>2</v>
      </c>
      <c r="H30" s="208" t="s">
        <v>1400</v>
      </c>
      <c r="I30" s="208"/>
      <c r="J30" s="214"/>
      <c r="K30" s="714" t="s">
        <v>770</v>
      </c>
      <c r="L30" s="741"/>
      <c r="M30" s="742"/>
    </row>
    <row r="31" spans="1:16" s="22" customFormat="1">
      <c r="A31" s="208">
        <v>25</v>
      </c>
      <c r="B31" s="93" t="s">
        <v>26</v>
      </c>
      <c r="C31" s="26" t="s">
        <v>1399</v>
      </c>
      <c r="D31" s="65" t="s">
        <v>519</v>
      </c>
      <c r="E31" s="95"/>
      <c r="F31" s="90"/>
      <c r="G31" s="21">
        <f t="shared" si="1"/>
        <v>4</v>
      </c>
      <c r="H31" s="208" t="s">
        <v>1400</v>
      </c>
      <c r="I31" s="208" t="s">
        <v>1400</v>
      </c>
      <c r="J31" s="170"/>
      <c r="K31" s="694" t="s">
        <v>1659</v>
      </c>
      <c r="L31" s="664"/>
      <c r="M31" s="665"/>
    </row>
    <row r="32" spans="1:16" s="22" customFormat="1">
      <c r="A32" s="208">
        <v>26</v>
      </c>
      <c r="B32" s="93" t="s">
        <v>27</v>
      </c>
      <c r="C32" s="26" t="s">
        <v>864</v>
      </c>
      <c r="D32" s="65" t="s">
        <v>519</v>
      </c>
      <c r="E32" s="95"/>
      <c r="F32" s="90"/>
      <c r="G32" s="21">
        <f t="shared" si="1"/>
        <v>4</v>
      </c>
      <c r="H32" s="208" t="s">
        <v>1400</v>
      </c>
      <c r="I32" s="91"/>
      <c r="J32" s="170"/>
      <c r="K32" s="694" t="s">
        <v>1660</v>
      </c>
      <c r="L32" s="664"/>
      <c r="M32" s="665"/>
    </row>
    <row r="33" spans="1:13" s="22" customFormat="1">
      <c r="A33" s="208">
        <v>27</v>
      </c>
      <c r="B33" s="64" t="s">
        <v>1083</v>
      </c>
      <c r="C33" s="24" t="s">
        <v>1111</v>
      </c>
      <c r="D33" s="72" t="s">
        <v>1431</v>
      </c>
      <c r="E33" s="51">
        <v>8</v>
      </c>
      <c r="F33" s="58"/>
      <c r="G33" s="21">
        <f t="shared" si="1"/>
        <v>8</v>
      </c>
      <c r="H33" s="53" t="s">
        <v>1432</v>
      </c>
      <c r="I33" s="89"/>
      <c r="J33" s="92"/>
      <c r="K33" s="602"/>
      <c r="L33" s="603"/>
      <c r="M33" s="604"/>
    </row>
    <row r="34" spans="1:13" s="219" customFormat="1">
      <c r="A34" s="89">
        <f t="shared" ref="A34:A45" si="2">IF(B34=""," ",A33+1)</f>
        <v>28</v>
      </c>
      <c r="B34" s="93" t="s">
        <v>1724</v>
      </c>
      <c r="C34" s="26" t="s">
        <v>1404</v>
      </c>
      <c r="D34" s="94" t="s">
        <v>1405</v>
      </c>
      <c r="E34" s="95"/>
      <c r="F34" s="90"/>
      <c r="G34" s="21">
        <f>IF(D34="DATE",4,IF(D34="CHAR",E34,IF(D34="SMALLINT",2,IF(D34="INTEGER",4,IF(D34="TIMESTAMP",10,IF(D34="TIME",3,0))))))</f>
        <v>10</v>
      </c>
      <c r="H34" s="91" t="s">
        <v>1406</v>
      </c>
      <c r="I34" s="89"/>
      <c r="J34" s="92"/>
      <c r="K34" s="31"/>
      <c r="L34" s="32"/>
      <c r="M34" s="33"/>
    </row>
    <row r="35" spans="1:13" s="219" customFormat="1">
      <c r="A35" s="89" t="str">
        <f>IF(B35=""," ",#REF!+1)</f>
        <v xml:space="preserve"> </v>
      </c>
      <c r="B35" s="96"/>
      <c r="C35" s="31"/>
      <c r="D35" s="97"/>
      <c r="E35" s="98"/>
      <c r="F35" s="99"/>
      <c r="G35" s="21"/>
      <c r="H35" s="89"/>
      <c r="I35" s="89"/>
      <c r="J35" s="92"/>
      <c r="K35" s="31"/>
      <c r="L35" s="32"/>
      <c r="M35" s="33"/>
    </row>
    <row r="36" spans="1:13" s="219" customFormat="1">
      <c r="A36" s="89" t="str">
        <f>IF(B36=""," ",#REF!+1)</f>
        <v xml:space="preserve"> </v>
      </c>
      <c r="B36" s="96"/>
      <c r="C36" s="31"/>
      <c r="D36" s="97"/>
      <c r="E36" s="98"/>
      <c r="F36" s="99"/>
      <c r="G36" s="21"/>
      <c r="H36" s="89"/>
      <c r="I36" s="89"/>
      <c r="J36" s="92"/>
      <c r="K36" s="31"/>
      <c r="L36" s="32"/>
      <c r="M36" s="33"/>
    </row>
    <row r="37" spans="1:13" s="219" customFormat="1">
      <c r="A37" s="89" t="str">
        <f t="shared" si="2"/>
        <v xml:space="preserve"> </v>
      </c>
      <c r="B37" s="96"/>
      <c r="C37" s="31"/>
      <c r="D37" s="97"/>
      <c r="E37" s="98"/>
      <c r="F37" s="99"/>
      <c r="G37" s="21"/>
      <c r="H37" s="89"/>
      <c r="I37" s="89"/>
      <c r="J37" s="92"/>
      <c r="K37" s="31"/>
      <c r="L37" s="32"/>
      <c r="M37" s="33"/>
    </row>
    <row r="38" spans="1:13">
      <c r="A38" s="89" t="str">
        <f t="shared" si="2"/>
        <v xml:space="preserve"> </v>
      </c>
      <c r="B38" s="96"/>
      <c r="C38" s="31"/>
      <c r="D38" s="97"/>
      <c r="E38" s="98"/>
      <c r="F38" s="99"/>
      <c r="G38" s="21"/>
      <c r="H38" s="89"/>
      <c r="I38" s="89"/>
      <c r="J38" s="92"/>
      <c r="K38" s="31"/>
      <c r="L38" s="32"/>
      <c r="M38" s="33"/>
    </row>
    <row r="39" spans="1:13">
      <c r="A39" s="89" t="str">
        <f t="shared" si="2"/>
        <v xml:space="preserve"> </v>
      </c>
      <c r="B39" s="96"/>
      <c r="C39" s="31"/>
      <c r="D39" s="97"/>
      <c r="E39" s="98"/>
      <c r="F39" s="99"/>
      <c r="G39" s="21"/>
      <c r="H39" s="89"/>
      <c r="I39" s="89"/>
      <c r="J39" s="92"/>
      <c r="K39" s="31"/>
      <c r="L39" s="32"/>
      <c r="M39" s="33"/>
    </row>
    <row r="40" spans="1:13">
      <c r="A40" s="89" t="str">
        <f>IF(B40=""," ",A39+1)</f>
        <v xml:space="preserve"> </v>
      </c>
      <c r="B40" s="96"/>
      <c r="C40" s="31"/>
      <c r="D40" s="97"/>
      <c r="E40" s="98"/>
      <c r="F40" s="99"/>
      <c r="G40" s="21"/>
      <c r="H40" s="89"/>
      <c r="I40" s="89"/>
      <c r="J40" s="92"/>
      <c r="K40" s="31"/>
      <c r="L40" s="32"/>
      <c r="M40" s="33"/>
    </row>
    <row r="41" spans="1:13">
      <c r="A41" s="89" t="str">
        <f t="shared" si="2"/>
        <v xml:space="preserve"> </v>
      </c>
      <c r="B41" s="96"/>
      <c r="C41" s="31"/>
      <c r="D41" s="97"/>
      <c r="E41" s="98"/>
      <c r="F41" s="99"/>
      <c r="G41" s="21"/>
      <c r="H41" s="89"/>
      <c r="I41" s="89"/>
      <c r="J41" s="92"/>
      <c r="K41" s="31"/>
      <c r="L41" s="32"/>
      <c r="M41" s="33"/>
    </row>
    <row r="42" spans="1:13">
      <c r="A42" s="89" t="str">
        <f t="shared" si="2"/>
        <v xml:space="preserve"> </v>
      </c>
      <c r="B42" s="96"/>
      <c r="C42" s="31"/>
      <c r="D42" s="97"/>
      <c r="E42" s="98"/>
      <c r="F42" s="99"/>
      <c r="G42" s="21"/>
      <c r="H42" s="89"/>
      <c r="I42" s="89"/>
      <c r="J42" s="92"/>
      <c r="K42" s="31"/>
      <c r="L42" s="32"/>
      <c r="M42" s="33"/>
    </row>
    <row r="43" spans="1:13">
      <c r="A43" s="89" t="str">
        <f t="shared" si="2"/>
        <v xml:space="preserve"> </v>
      </c>
      <c r="B43" s="96"/>
      <c r="C43" s="31"/>
      <c r="D43" s="97"/>
      <c r="E43" s="98"/>
      <c r="F43" s="99"/>
      <c r="G43" s="21"/>
      <c r="H43" s="89"/>
      <c r="I43" s="89"/>
      <c r="J43" s="92"/>
      <c r="K43" s="31"/>
      <c r="L43" s="32"/>
      <c r="M43" s="33"/>
    </row>
    <row r="44" spans="1:13">
      <c r="A44" s="89" t="str">
        <f t="shared" si="2"/>
        <v xml:space="preserve"> </v>
      </c>
      <c r="B44" s="96"/>
      <c r="C44" s="31"/>
      <c r="D44" s="97"/>
      <c r="E44" s="98"/>
      <c r="F44" s="99"/>
      <c r="G44" s="21"/>
      <c r="H44" s="89"/>
      <c r="I44" s="89"/>
      <c r="J44" s="92"/>
      <c r="K44" s="31"/>
      <c r="L44" s="32"/>
      <c r="M44" s="33"/>
    </row>
    <row r="45" spans="1:13">
      <c r="A45" s="89" t="str">
        <f t="shared" si="2"/>
        <v xml:space="preserve"> </v>
      </c>
      <c r="B45" s="96"/>
      <c r="C45" s="31"/>
      <c r="D45" s="97"/>
      <c r="E45" s="98"/>
      <c r="F45" s="99"/>
      <c r="G45" s="21"/>
      <c r="H45" s="89"/>
      <c r="I45" s="89"/>
      <c r="J45" s="92"/>
      <c r="K45" s="31"/>
      <c r="L45" s="32"/>
      <c r="M45" s="33"/>
    </row>
    <row r="46" spans="1:13">
      <c r="A46" s="42" t="str">
        <f>IF(B46=""," ",A45+1)</f>
        <v xml:space="preserve"> </v>
      </c>
      <c r="B46" s="71"/>
      <c r="C46" s="13"/>
      <c r="D46" s="72"/>
      <c r="E46" s="73"/>
      <c r="F46" s="74"/>
      <c r="G46" s="20"/>
      <c r="H46" s="42"/>
      <c r="I46" s="42"/>
      <c r="J46" s="59"/>
      <c r="K46" s="609"/>
      <c r="L46" s="610"/>
      <c r="M46" s="611"/>
    </row>
    <row r="47" spans="1:13">
      <c r="A47" s="42" t="str">
        <f>IF(B47=""," ",#REF!+1)</f>
        <v xml:space="preserve"> </v>
      </c>
      <c r="B47" s="71"/>
      <c r="C47" s="13"/>
      <c r="D47" s="72"/>
      <c r="E47" s="73"/>
      <c r="F47" s="74"/>
      <c r="G47" s="20"/>
      <c r="H47" s="42"/>
      <c r="I47" s="42"/>
      <c r="J47" s="59"/>
      <c r="K47" s="609"/>
      <c r="L47" s="610"/>
      <c r="M47" s="611"/>
    </row>
    <row r="48" spans="1:13">
      <c r="A48" s="42" t="str">
        <f>IF(B48=""," ",#REF!+1)</f>
        <v xml:space="preserve"> </v>
      </c>
      <c r="B48" s="71"/>
      <c r="C48" s="13"/>
      <c r="D48" s="72"/>
      <c r="E48" s="73"/>
      <c r="F48" s="74"/>
      <c r="G48" s="20"/>
      <c r="H48" s="42"/>
      <c r="I48" s="42"/>
      <c r="J48" s="59"/>
      <c r="K48" s="13"/>
      <c r="L48" s="14"/>
      <c r="M48" s="15"/>
    </row>
    <row r="49" spans="1:13">
      <c r="A49" s="42" t="str">
        <f>IF(B49=""," ",A48+1)</f>
        <v xml:space="preserve"> </v>
      </c>
      <c r="B49" s="71"/>
      <c r="C49" s="13"/>
      <c r="D49" s="72"/>
      <c r="E49" s="73"/>
      <c r="F49" s="74"/>
      <c r="G49" s="20"/>
      <c r="H49" s="42"/>
      <c r="I49" s="42"/>
      <c r="J49" s="59"/>
      <c r="K49" s="13"/>
      <c r="L49" s="14"/>
      <c r="M49" s="15"/>
    </row>
    <row r="50" spans="1:13">
      <c r="A50" s="42" t="str">
        <f>IF(B50=""," ",A49+1)</f>
        <v xml:space="preserve"> </v>
      </c>
      <c r="B50" s="71"/>
      <c r="C50" s="13"/>
      <c r="D50" s="72"/>
      <c r="E50" s="73"/>
      <c r="F50" s="74"/>
      <c r="G50" s="20"/>
      <c r="H50" s="42"/>
      <c r="I50" s="42"/>
      <c r="J50" s="59"/>
      <c r="K50" s="609"/>
      <c r="L50" s="610"/>
      <c r="M50" s="611"/>
    </row>
    <row r="51" spans="1:13">
      <c r="A51" s="42" t="str">
        <f>IF(B51=""," ",#REF!+1)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13"/>
      <c r="L52" s="14"/>
      <c r="M52" s="15"/>
    </row>
    <row r="53" spans="1:13">
      <c r="A53" s="42" t="str">
        <f>IF(B53=""," ",A52+1)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609"/>
      <c r="L54" s="610"/>
      <c r="M54" s="611"/>
    </row>
    <row r="55" spans="1:13">
      <c r="A55" s="42" t="str">
        <f>IF(B55=""," ",#REF!+1)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13"/>
      <c r="L56" s="14"/>
      <c r="M56" s="15"/>
    </row>
    <row r="57" spans="1:13">
      <c r="A57" s="42" t="str">
        <f>IF(B57=""," ",A56+1)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609"/>
      <c r="L58" s="610"/>
      <c r="M58" s="611"/>
    </row>
    <row r="59" spans="1:13">
      <c r="A59" s="42" t="str">
        <f>IF(B59=""," ",#REF!+1)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13"/>
      <c r="L60" s="14"/>
      <c r="M60" s="15"/>
    </row>
    <row r="61" spans="1:13">
      <c r="A61" s="42" t="str">
        <f>IF(B61=""," ",A60+1)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13"/>
      <c r="L100" s="14"/>
      <c r="M100" s="15"/>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09" spans="1:13">
      <c r="C109" s="198" t="s">
        <v>1720</v>
      </c>
      <c r="D109" s="198" t="s">
        <v>1721</v>
      </c>
    </row>
    <row r="110" spans="1:13">
      <c r="C110" s="198" t="s">
        <v>1720</v>
      </c>
      <c r="D110" s="198" t="s">
        <v>1722</v>
      </c>
    </row>
    <row r="111" spans="1:13">
      <c r="C111" s="198" t="s">
        <v>1720</v>
      </c>
      <c r="D111" s="198" t="s">
        <v>1723</v>
      </c>
    </row>
  </sheetData>
  <mergeCells count="69">
    <mergeCell ref="K98:M98"/>
    <mergeCell ref="K99:M99"/>
    <mergeCell ref="K90:M90"/>
    <mergeCell ref="K91:M91"/>
    <mergeCell ref="K94:M94"/>
    <mergeCell ref="K95:M95"/>
    <mergeCell ref="K82:M82"/>
    <mergeCell ref="K83:M83"/>
    <mergeCell ref="K86:M86"/>
    <mergeCell ref="K87:M87"/>
    <mergeCell ref="K74:M74"/>
    <mergeCell ref="K75:M75"/>
    <mergeCell ref="K78:M78"/>
    <mergeCell ref="K79:M79"/>
    <mergeCell ref="K66:M66"/>
    <mergeCell ref="K67:M67"/>
    <mergeCell ref="K70:M70"/>
    <mergeCell ref="K71:M71"/>
    <mergeCell ref="K58:M58"/>
    <mergeCell ref="K59:M59"/>
    <mergeCell ref="K62:M62"/>
    <mergeCell ref="K63:M63"/>
    <mergeCell ref="K50:M50"/>
    <mergeCell ref="K51:M51"/>
    <mergeCell ref="K54:M54"/>
    <mergeCell ref="K55:M55"/>
    <mergeCell ref="K8:M8"/>
    <mergeCell ref="K26:M26"/>
    <mergeCell ref="K19:M19"/>
    <mergeCell ref="K25:M25"/>
    <mergeCell ref="K23:M23"/>
    <mergeCell ref="K24:M24"/>
    <mergeCell ref="K13:M13"/>
    <mergeCell ref="K15:M15"/>
    <mergeCell ref="K21:M21"/>
    <mergeCell ref="K22:M22"/>
    <mergeCell ref="K28:M28"/>
    <mergeCell ref="K20:M20"/>
    <mergeCell ref="K7:M7"/>
    <mergeCell ref="A5:A6"/>
    <mergeCell ref="B5:C5"/>
    <mergeCell ref="K14:M14"/>
    <mergeCell ref="K11:M11"/>
    <mergeCell ref="K5:M6"/>
    <mergeCell ref="I5:J5"/>
    <mergeCell ref="D5:H5"/>
    <mergeCell ref="K10:M10"/>
    <mergeCell ref="K9:M9"/>
    <mergeCell ref="A2:B2"/>
    <mergeCell ref="A3:B3"/>
    <mergeCell ref="A4:B4"/>
    <mergeCell ref="H2:J2"/>
    <mergeCell ref="C2:G2"/>
    <mergeCell ref="C3:G3"/>
    <mergeCell ref="C4:G4"/>
    <mergeCell ref="H4:I4"/>
    <mergeCell ref="H3:I3"/>
    <mergeCell ref="K31:M31"/>
    <mergeCell ref="K46:M46"/>
    <mergeCell ref="K47:M47"/>
    <mergeCell ref="K33:M33"/>
    <mergeCell ref="K32:M32"/>
    <mergeCell ref="K18:M18"/>
    <mergeCell ref="K30:M30"/>
    <mergeCell ref="K16:M16"/>
    <mergeCell ref="K12:M12"/>
    <mergeCell ref="K29:M29"/>
    <mergeCell ref="K27:M27"/>
    <mergeCell ref="K17:M17"/>
  </mergeCells>
  <phoneticPr fontId="6"/>
  <pageMargins left="0.78740157480314965" right="0.19685039370078741" top="0.59055118110236227" bottom="0.59055118110236227" header="0.51181102362204722" footer="0.39370078740157483"/>
  <pageSetup paperSize="9" scale="72" fitToHeight="0" orientation="portrait" r:id="rId1"/>
  <headerFooter alignWithMargins="0">
    <oddFooter>&amp;C&amp;10&amp;P/&amp;N&amp;R&amp;10&amp;A</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8">
    <pageSetUpPr fitToPage="1"/>
  </sheetPr>
  <dimension ref="A1:P120"/>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c r="B1" s="47"/>
    </row>
    <row r="2" spans="1:16">
      <c r="A2" s="643" t="s">
        <v>230</v>
      </c>
      <c r="B2" s="644"/>
      <c r="C2" s="643" t="s">
        <v>36</v>
      </c>
      <c r="D2" s="651"/>
      <c r="E2" s="651"/>
      <c r="F2" s="651"/>
      <c r="G2" s="644"/>
      <c r="H2" s="643"/>
      <c r="I2" s="651"/>
      <c r="J2" s="644"/>
      <c r="K2" s="37"/>
      <c r="L2" s="38" t="s">
        <v>37</v>
      </c>
      <c r="M2" s="38" t="s">
        <v>38</v>
      </c>
    </row>
    <row r="3" spans="1:16">
      <c r="A3" s="647"/>
      <c r="B3" s="648"/>
      <c r="C3" s="652" t="s">
        <v>600</v>
      </c>
      <c r="D3" s="653"/>
      <c r="E3" s="653"/>
      <c r="F3" s="653"/>
      <c r="G3" s="654"/>
      <c r="H3" s="643" t="s">
        <v>39</v>
      </c>
      <c r="I3" s="644"/>
      <c r="J3" s="39">
        <f>COUNT(A7:A100)</f>
        <v>44</v>
      </c>
      <c r="K3" s="38" t="s">
        <v>40</v>
      </c>
      <c r="L3" s="40">
        <v>38639</v>
      </c>
      <c r="M3" s="41" t="s">
        <v>532</v>
      </c>
      <c r="O3" s="16" t="s">
        <v>41</v>
      </c>
      <c r="P3" s="16" t="s">
        <v>42</v>
      </c>
    </row>
    <row r="4" spans="1:16">
      <c r="A4" s="649" t="s">
        <v>43</v>
      </c>
      <c r="B4" s="650"/>
      <c r="C4" s="649" t="s">
        <v>1473</v>
      </c>
      <c r="D4" s="655"/>
      <c r="E4" s="655"/>
      <c r="F4" s="655"/>
      <c r="G4" s="650"/>
      <c r="H4" s="643" t="s">
        <v>44</v>
      </c>
      <c r="I4" s="644"/>
      <c r="J4" s="39">
        <f>SUM(G7:G100)</f>
        <v>234</v>
      </c>
      <c r="K4" s="38" t="s">
        <v>45</v>
      </c>
      <c r="L4" s="40">
        <v>38803</v>
      </c>
      <c r="M4" s="42" t="s">
        <v>532</v>
      </c>
      <c r="O4" s="16" t="s">
        <v>1368</v>
      </c>
      <c r="P4" s="16" t="s">
        <v>1367</v>
      </c>
    </row>
    <row r="5" spans="1:16">
      <c r="A5" s="645" t="s">
        <v>1448</v>
      </c>
      <c r="B5" s="643" t="s">
        <v>46</v>
      </c>
      <c r="C5" s="651"/>
      <c r="D5" s="662" t="s">
        <v>47</v>
      </c>
      <c r="E5" s="651"/>
      <c r="F5" s="651"/>
      <c r="G5" s="651"/>
      <c r="H5" s="651"/>
      <c r="I5" s="643" t="s">
        <v>604</v>
      </c>
      <c r="J5" s="644"/>
      <c r="K5" s="656" t="s">
        <v>48</v>
      </c>
      <c r="L5" s="657"/>
      <c r="M5" s="658"/>
      <c r="P5" s="16" t="s">
        <v>605</v>
      </c>
    </row>
    <row r="6" spans="1:16">
      <c r="A6" s="646"/>
      <c r="B6" s="38" t="s">
        <v>49</v>
      </c>
      <c r="C6" s="35" t="s">
        <v>50</v>
      </c>
      <c r="D6" s="43" t="s">
        <v>42</v>
      </c>
      <c r="E6" s="44" t="s">
        <v>51</v>
      </c>
      <c r="F6" s="45" t="s">
        <v>52</v>
      </c>
      <c r="G6" s="38" t="s">
        <v>606</v>
      </c>
      <c r="H6" s="36" t="s">
        <v>53</v>
      </c>
      <c r="I6" s="36" t="s">
        <v>607</v>
      </c>
      <c r="J6" s="36" t="s">
        <v>608</v>
      </c>
      <c r="K6" s="659"/>
      <c r="L6" s="660"/>
      <c r="M6" s="661"/>
      <c r="P6" s="16" t="s">
        <v>609</v>
      </c>
    </row>
    <row r="7" spans="1:16" ht="12" customHeight="1">
      <c r="A7" s="42">
        <v>1</v>
      </c>
      <c r="B7" s="100" t="s">
        <v>395</v>
      </c>
      <c r="C7" s="152" t="s">
        <v>397</v>
      </c>
      <c r="D7" s="129" t="s">
        <v>523</v>
      </c>
      <c r="E7" s="73">
        <v>3</v>
      </c>
      <c r="F7" s="74"/>
      <c r="G7" s="21">
        <f t="shared" ref="G7:G48" si="0">IF(D7="DATE",4,IF(D7="CHAR",E7,IF(D7="SMALLINT",2,IF(D7="INTEGER",4,IF(D7="TIMESTAMP",10,IF(D7="TIME",3,0))))))</f>
        <v>3</v>
      </c>
      <c r="H7" s="42" t="s">
        <v>528</v>
      </c>
      <c r="I7" s="42" t="s">
        <v>528</v>
      </c>
      <c r="J7" s="59"/>
      <c r="K7" s="152" t="s">
        <v>436</v>
      </c>
      <c r="L7" s="248"/>
      <c r="M7" s="78"/>
    </row>
    <row r="8" spans="1:16">
      <c r="A8" s="42">
        <f t="shared" ref="A8:A50" si="1">IF(B8=""," ",A7+1)</f>
        <v>2</v>
      </c>
      <c r="B8" s="100" t="s">
        <v>396</v>
      </c>
      <c r="C8" s="137" t="s">
        <v>398</v>
      </c>
      <c r="D8" s="78" t="s">
        <v>553</v>
      </c>
      <c r="E8" s="73">
        <v>3</v>
      </c>
      <c r="F8" s="74"/>
      <c r="G8" s="21">
        <f t="shared" si="0"/>
        <v>3</v>
      </c>
      <c r="H8" s="42" t="s">
        <v>884</v>
      </c>
      <c r="I8" s="42" t="s">
        <v>528</v>
      </c>
      <c r="J8" s="59"/>
      <c r="K8" s="628"/>
      <c r="L8" s="629"/>
      <c r="M8" s="630"/>
    </row>
    <row r="9" spans="1:16">
      <c r="A9" s="42">
        <f t="shared" si="1"/>
        <v>3</v>
      </c>
      <c r="B9" s="100" t="s">
        <v>399</v>
      </c>
      <c r="C9" s="137" t="s">
        <v>400</v>
      </c>
      <c r="D9" s="78" t="s">
        <v>610</v>
      </c>
      <c r="E9" s="73"/>
      <c r="F9" s="74"/>
      <c r="G9" s="21">
        <f t="shared" si="0"/>
        <v>4</v>
      </c>
      <c r="H9" s="42" t="s">
        <v>1392</v>
      </c>
      <c r="I9" s="42"/>
      <c r="J9" s="59"/>
      <c r="K9" s="599"/>
      <c r="L9" s="600"/>
      <c r="M9" s="601"/>
      <c r="P9" s="16" t="s">
        <v>353</v>
      </c>
    </row>
    <row r="10" spans="1:16">
      <c r="A10" s="42">
        <f t="shared" si="1"/>
        <v>4</v>
      </c>
      <c r="B10" s="100" t="s">
        <v>1265</v>
      </c>
      <c r="C10" s="137" t="s">
        <v>1266</v>
      </c>
      <c r="D10" s="78" t="s">
        <v>610</v>
      </c>
      <c r="E10" s="73"/>
      <c r="F10" s="74"/>
      <c r="G10" s="21">
        <f>IF(D10="DATE",4,IF(D10="CHAR",E10,IF(D10="SMALLINT",2,IF(D10="INTEGER",4,IF(D10="TIMESTAMP",10,IF(D10="TIME",3,0))))))</f>
        <v>4</v>
      </c>
      <c r="H10" s="42" t="s">
        <v>1392</v>
      </c>
      <c r="I10" s="42"/>
      <c r="J10" s="59"/>
      <c r="K10" s="599"/>
      <c r="L10" s="600"/>
      <c r="M10" s="601"/>
      <c r="P10" s="16" t="s">
        <v>353</v>
      </c>
    </row>
    <row r="11" spans="1:16">
      <c r="A11" s="42">
        <f t="shared" si="1"/>
        <v>5</v>
      </c>
      <c r="B11" s="100" t="s">
        <v>401</v>
      </c>
      <c r="C11" s="137" t="s">
        <v>437</v>
      </c>
      <c r="D11" s="78" t="s">
        <v>610</v>
      </c>
      <c r="E11" s="73"/>
      <c r="F11" s="74"/>
      <c r="G11" s="21">
        <f t="shared" si="0"/>
        <v>4</v>
      </c>
      <c r="H11" s="42" t="s">
        <v>1392</v>
      </c>
      <c r="I11" s="42"/>
      <c r="J11" s="59"/>
      <c r="K11" s="599"/>
      <c r="L11" s="600"/>
      <c r="M11" s="601"/>
      <c r="P11" s="16" t="s">
        <v>353</v>
      </c>
    </row>
    <row r="12" spans="1:16" s="22" customFormat="1">
      <c r="A12" s="42">
        <f t="shared" si="1"/>
        <v>6</v>
      </c>
      <c r="B12" s="93" t="s">
        <v>402</v>
      </c>
      <c r="C12" s="26" t="s">
        <v>441</v>
      </c>
      <c r="D12" s="94" t="s">
        <v>63</v>
      </c>
      <c r="E12" s="95"/>
      <c r="F12" s="90"/>
      <c r="G12" s="21">
        <f t="shared" si="0"/>
        <v>4</v>
      </c>
      <c r="H12" s="42" t="s">
        <v>1392</v>
      </c>
      <c r="I12" s="89"/>
      <c r="J12" s="92"/>
      <c r="K12" s="602"/>
      <c r="L12" s="603"/>
      <c r="M12" s="604"/>
    </row>
    <row r="13" spans="1:16">
      <c r="A13" s="42">
        <f t="shared" si="1"/>
        <v>7</v>
      </c>
      <c r="B13" s="100" t="s">
        <v>403</v>
      </c>
      <c r="C13" s="137" t="s">
        <v>442</v>
      </c>
      <c r="D13" s="78" t="s">
        <v>63</v>
      </c>
      <c r="E13" s="73"/>
      <c r="F13" s="74"/>
      <c r="G13" s="21">
        <f t="shared" si="0"/>
        <v>4</v>
      </c>
      <c r="H13" s="42" t="s">
        <v>1392</v>
      </c>
      <c r="I13" s="42"/>
      <c r="J13" s="59"/>
      <c r="K13" s="977"/>
      <c r="L13" s="978"/>
      <c r="M13" s="979"/>
    </row>
    <row r="14" spans="1:16">
      <c r="A14" s="42">
        <f t="shared" si="1"/>
        <v>8</v>
      </c>
      <c r="B14" s="100" t="s">
        <v>404</v>
      </c>
      <c r="C14" s="137" t="s">
        <v>443</v>
      </c>
      <c r="D14" s="78" t="s">
        <v>506</v>
      </c>
      <c r="E14" s="73">
        <v>1</v>
      </c>
      <c r="F14" s="74"/>
      <c r="G14" s="21">
        <f t="shared" si="0"/>
        <v>1</v>
      </c>
      <c r="H14" s="42" t="s">
        <v>1392</v>
      </c>
      <c r="I14" s="42"/>
      <c r="J14" s="59"/>
      <c r="K14" s="599" t="s">
        <v>475</v>
      </c>
      <c r="L14" s="600"/>
      <c r="M14" s="601"/>
    </row>
    <row r="15" spans="1:16">
      <c r="A15" s="42">
        <f t="shared" si="1"/>
        <v>9</v>
      </c>
      <c r="B15" s="100" t="s">
        <v>405</v>
      </c>
      <c r="C15" s="137" t="s">
        <v>444</v>
      </c>
      <c r="D15" s="78" t="s">
        <v>474</v>
      </c>
      <c r="E15" s="73"/>
      <c r="F15" s="74"/>
      <c r="G15" s="21">
        <f t="shared" si="0"/>
        <v>10</v>
      </c>
      <c r="H15" s="42" t="s">
        <v>1392</v>
      </c>
      <c r="I15" s="42"/>
      <c r="J15" s="59"/>
      <c r="K15" s="599"/>
      <c r="L15" s="600"/>
      <c r="M15" s="601"/>
    </row>
    <row r="16" spans="1:16">
      <c r="A16" s="42">
        <f t="shared" si="1"/>
        <v>10</v>
      </c>
      <c r="B16" s="71" t="s">
        <v>406</v>
      </c>
      <c r="C16" s="13" t="s">
        <v>445</v>
      </c>
      <c r="D16" s="72" t="s">
        <v>506</v>
      </c>
      <c r="E16" s="73">
        <v>1</v>
      </c>
      <c r="F16" s="74"/>
      <c r="G16" s="21">
        <f t="shared" si="0"/>
        <v>1</v>
      </c>
      <c r="H16" s="42" t="s">
        <v>1392</v>
      </c>
      <c r="I16" s="42"/>
      <c r="J16" s="59"/>
      <c r="K16" s="599" t="s">
        <v>475</v>
      </c>
      <c r="L16" s="600"/>
      <c r="M16" s="601"/>
    </row>
    <row r="17" spans="1:13">
      <c r="A17" s="42">
        <f t="shared" si="1"/>
        <v>11</v>
      </c>
      <c r="B17" s="71" t="s">
        <v>407</v>
      </c>
      <c r="C17" s="13" t="s">
        <v>446</v>
      </c>
      <c r="D17" s="72" t="s">
        <v>474</v>
      </c>
      <c r="E17" s="73"/>
      <c r="F17" s="74"/>
      <c r="G17" s="21">
        <f t="shared" si="0"/>
        <v>10</v>
      </c>
      <c r="H17" s="42" t="s">
        <v>1392</v>
      </c>
      <c r="I17" s="42"/>
      <c r="J17" s="59"/>
      <c r="K17" s="749"/>
      <c r="L17" s="610"/>
      <c r="M17" s="611"/>
    </row>
    <row r="18" spans="1:13">
      <c r="A18" s="42">
        <f t="shared" si="1"/>
        <v>12</v>
      </c>
      <c r="B18" s="71" t="s">
        <v>408</v>
      </c>
      <c r="C18" s="13" t="s">
        <v>447</v>
      </c>
      <c r="D18" s="72" t="s">
        <v>506</v>
      </c>
      <c r="E18" s="73">
        <v>1</v>
      </c>
      <c r="F18" s="74"/>
      <c r="G18" s="21">
        <f t="shared" si="0"/>
        <v>1</v>
      </c>
      <c r="H18" s="42" t="s">
        <v>1392</v>
      </c>
      <c r="I18" s="42"/>
      <c r="J18" s="59"/>
      <c r="K18" s="599" t="s">
        <v>475</v>
      </c>
      <c r="L18" s="600"/>
      <c r="M18" s="601"/>
    </row>
    <row r="19" spans="1:13">
      <c r="A19" s="42">
        <f t="shared" si="1"/>
        <v>13</v>
      </c>
      <c r="B19" s="71" t="s">
        <v>409</v>
      </c>
      <c r="C19" s="13" t="s">
        <v>448</v>
      </c>
      <c r="D19" s="72" t="s">
        <v>474</v>
      </c>
      <c r="E19" s="73"/>
      <c r="F19" s="74"/>
      <c r="G19" s="21">
        <f t="shared" si="0"/>
        <v>10</v>
      </c>
      <c r="H19" s="42" t="s">
        <v>1392</v>
      </c>
      <c r="I19" s="42"/>
      <c r="J19" s="59"/>
      <c r="K19" s="609"/>
      <c r="L19" s="610"/>
      <c r="M19" s="611"/>
    </row>
    <row r="20" spans="1:13">
      <c r="A20" s="42">
        <f t="shared" si="1"/>
        <v>14</v>
      </c>
      <c r="B20" s="71" t="s">
        <v>410</v>
      </c>
      <c r="C20" s="13" t="s">
        <v>449</v>
      </c>
      <c r="D20" s="72" t="s">
        <v>474</v>
      </c>
      <c r="E20" s="73"/>
      <c r="F20" s="74"/>
      <c r="G20" s="21">
        <f t="shared" si="0"/>
        <v>10</v>
      </c>
      <c r="H20" s="42" t="s">
        <v>1392</v>
      </c>
      <c r="I20" s="42"/>
      <c r="J20" s="59"/>
      <c r="K20" s="609"/>
      <c r="L20" s="610"/>
      <c r="M20" s="611"/>
    </row>
    <row r="21" spans="1:13">
      <c r="A21" s="42">
        <f t="shared" si="1"/>
        <v>15</v>
      </c>
      <c r="B21" s="71" t="s">
        <v>411</v>
      </c>
      <c r="C21" s="13" t="s">
        <v>450</v>
      </c>
      <c r="D21" s="72" t="s">
        <v>474</v>
      </c>
      <c r="E21" s="73"/>
      <c r="F21" s="74"/>
      <c r="G21" s="21">
        <f t="shared" si="0"/>
        <v>10</v>
      </c>
      <c r="H21" s="42" t="s">
        <v>1392</v>
      </c>
      <c r="I21" s="42"/>
      <c r="J21" s="59"/>
      <c r="K21" s="609"/>
      <c r="L21" s="610"/>
      <c r="M21" s="611"/>
    </row>
    <row r="22" spans="1:13">
      <c r="A22" s="42">
        <f t="shared" si="1"/>
        <v>16</v>
      </c>
      <c r="B22" s="71" t="s">
        <v>412</v>
      </c>
      <c r="C22" s="13" t="s">
        <v>451</v>
      </c>
      <c r="D22" s="72" t="s">
        <v>474</v>
      </c>
      <c r="E22" s="73"/>
      <c r="F22" s="74"/>
      <c r="G22" s="21">
        <f t="shared" si="0"/>
        <v>10</v>
      </c>
      <c r="H22" s="42" t="s">
        <v>1392</v>
      </c>
      <c r="I22" s="42"/>
      <c r="J22" s="59"/>
      <c r="K22" s="609"/>
      <c r="L22" s="610"/>
      <c r="M22" s="611"/>
    </row>
    <row r="23" spans="1:13">
      <c r="A23" s="42">
        <f t="shared" si="1"/>
        <v>17</v>
      </c>
      <c r="B23" s="71" t="s">
        <v>413</v>
      </c>
      <c r="C23" s="13" t="s">
        <v>452</v>
      </c>
      <c r="D23" s="72" t="s">
        <v>474</v>
      </c>
      <c r="E23" s="73"/>
      <c r="F23" s="74"/>
      <c r="G23" s="21">
        <f t="shared" si="0"/>
        <v>10</v>
      </c>
      <c r="H23" s="42" t="s">
        <v>1392</v>
      </c>
      <c r="I23" s="42"/>
      <c r="J23" s="59"/>
      <c r="K23" s="609"/>
      <c r="L23" s="610"/>
      <c r="M23" s="611"/>
    </row>
    <row r="24" spans="1:13">
      <c r="A24" s="42">
        <f t="shared" si="1"/>
        <v>18</v>
      </c>
      <c r="B24" s="71" t="s">
        <v>414</v>
      </c>
      <c r="C24" s="13" t="s">
        <v>453</v>
      </c>
      <c r="D24" s="72" t="s">
        <v>506</v>
      </c>
      <c r="E24" s="73">
        <v>1</v>
      </c>
      <c r="F24" s="74"/>
      <c r="G24" s="21">
        <f t="shared" si="0"/>
        <v>1</v>
      </c>
      <c r="H24" s="42" t="s">
        <v>1392</v>
      </c>
      <c r="I24" s="42"/>
      <c r="J24" s="59"/>
      <c r="K24" s="599" t="s">
        <v>476</v>
      </c>
      <c r="L24" s="600"/>
      <c r="M24" s="601"/>
    </row>
    <row r="25" spans="1:13">
      <c r="A25" s="42">
        <f t="shared" si="1"/>
        <v>19</v>
      </c>
      <c r="B25" s="71" t="s">
        <v>415</v>
      </c>
      <c r="C25" s="13" t="s">
        <v>454</v>
      </c>
      <c r="D25" s="72" t="s">
        <v>684</v>
      </c>
      <c r="E25" s="73"/>
      <c r="F25" s="74"/>
      <c r="G25" s="21">
        <f t="shared" si="0"/>
        <v>4</v>
      </c>
      <c r="H25" s="42" t="s">
        <v>1392</v>
      </c>
      <c r="I25" s="42"/>
      <c r="J25" s="59"/>
      <c r="K25" s="609" t="s">
        <v>1394</v>
      </c>
      <c r="L25" s="610"/>
      <c r="M25" s="611"/>
    </row>
    <row r="26" spans="1:13">
      <c r="A26" s="42">
        <f t="shared" si="1"/>
        <v>20</v>
      </c>
      <c r="B26" s="71" t="s">
        <v>711</v>
      </c>
      <c r="C26" s="13" t="s">
        <v>714</v>
      </c>
      <c r="D26" s="72" t="s">
        <v>523</v>
      </c>
      <c r="E26" s="73">
        <v>40</v>
      </c>
      <c r="F26" s="74"/>
      <c r="G26" s="21">
        <f>IF(D26="DATE",4,IF(D26="CHAR",E26,IF(D26="SMALLINT",2,IF(D26="INTEGER",4,IF(D26="TIMESTAMP",10,IF(D26="TIME",3,0))))))</f>
        <v>40</v>
      </c>
      <c r="H26" s="42" t="s">
        <v>1392</v>
      </c>
      <c r="I26" s="42"/>
      <c r="J26" s="59"/>
      <c r="K26" s="609"/>
      <c r="L26" s="610"/>
      <c r="M26" s="611"/>
    </row>
    <row r="27" spans="1:13">
      <c r="A27" s="42">
        <f t="shared" si="1"/>
        <v>21</v>
      </c>
      <c r="B27" s="71" t="s">
        <v>712</v>
      </c>
      <c r="C27" s="13" t="s">
        <v>715</v>
      </c>
      <c r="D27" s="72" t="s">
        <v>523</v>
      </c>
      <c r="E27" s="73">
        <v>40</v>
      </c>
      <c r="F27" s="74"/>
      <c r="G27" s="21">
        <f>IF(D27="DATE",4,IF(D27="CHAR",E27,IF(D27="SMALLINT",2,IF(D27="INTEGER",4,IF(D27="TIMESTAMP",10,IF(D27="TIME",3,0))))))</f>
        <v>40</v>
      </c>
      <c r="H27" s="42" t="s">
        <v>1392</v>
      </c>
      <c r="I27" s="42"/>
      <c r="J27" s="59"/>
      <c r="K27" s="609"/>
      <c r="L27" s="610"/>
      <c r="M27" s="611"/>
    </row>
    <row r="28" spans="1:13" ht="13.5">
      <c r="A28" s="42">
        <f t="shared" si="1"/>
        <v>22</v>
      </c>
      <c r="B28" s="71" t="s">
        <v>713</v>
      </c>
      <c r="C28" s="13" t="s">
        <v>716</v>
      </c>
      <c r="D28" s="72" t="s">
        <v>523</v>
      </c>
      <c r="E28" s="73">
        <v>12</v>
      </c>
      <c r="F28" s="74"/>
      <c r="G28" s="21">
        <f>IF(D28="DATE",4,IF(D28="CHAR",E28,IF(D28="SMALLINT",2,IF(D28="INTEGER",4,IF(D28="TIMESTAMP",10,IF(D28="TIME",3,0))))))</f>
        <v>12</v>
      </c>
      <c r="H28" s="42" t="s">
        <v>1392</v>
      </c>
      <c r="I28" s="42"/>
      <c r="J28" s="59"/>
      <c r="K28" s="31"/>
      <c r="L28" s="311"/>
      <c r="M28" s="312"/>
    </row>
    <row r="29" spans="1:13">
      <c r="A29" s="42">
        <f t="shared" si="1"/>
        <v>23</v>
      </c>
      <c r="B29" s="66" t="s">
        <v>416</v>
      </c>
      <c r="C29" s="31" t="s">
        <v>717</v>
      </c>
      <c r="D29" s="97" t="s">
        <v>506</v>
      </c>
      <c r="E29" s="98">
        <v>1</v>
      </c>
      <c r="F29" s="99"/>
      <c r="G29" s="21">
        <f>IF(D29="DATE",4,IF(D29="CHAR",E29,IF(D29="SMALLINT",2,IF(D29="INTEGER",4,IF(D29="TIMESTAMP",10,IF(D29="TIME",3,0))))))</f>
        <v>1</v>
      </c>
      <c r="H29" s="42" t="s">
        <v>1392</v>
      </c>
      <c r="I29" s="89"/>
      <c r="J29" s="92"/>
      <c r="K29" s="980" t="s">
        <v>477</v>
      </c>
      <c r="L29" s="732"/>
      <c r="M29" s="733"/>
    </row>
    <row r="30" spans="1:13">
      <c r="A30" s="42">
        <f t="shared" si="1"/>
        <v>24</v>
      </c>
      <c r="B30" s="66" t="s">
        <v>417</v>
      </c>
      <c r="C30" s="31" t="s">
        <v>455</v>
      </c>
      <c r="D30" s="97" t="s">
        <v>506</v>
      </c>
      <c r="E30" s="98">
        <v>1</v>
      </c>
      <c r="F30" s="99"/>
      <c r="G30" s="21">
        <f t="shared" si="0"/>
        <v>1</v>
      </c>
      <c r="H30" s="42" t="s">
        <v>1392</v>
      </c>
      <c r="I30" s="89"/>
      <c r="J30" s="92"/>
      <c r="K30" s="731"/>
      <c r="L30" s="732"/>
      <c r="M30" s="733"/>
    </row>
    <row r="31" spans="1:13">
      <c r="A31" s="42">
        <f t="shared" si="1"/>
        <v>25</v>
      </c>
      <c r="B31" s="66" t="s">
        <v>418</v>
      </c>
      <c r="C31" s="31" t="s">
        <v>456</v>
      </c>
      <c r="D31" s="97" t="s">
        <v>506</v>
      </c>
      <c r="E31" s="98">
        <v>1</v>
      </c>
      <c r="F31" s="99"/>
      <c r="G31" s="21">
        <f t="shared" si="0"/>
        <v>1</v>
      </c>
      <c r="H31" s="42" t="s">
        <v>1392</v>
      </c>
      <c r="I31" s="89"/>
      <c r="J31" s="92"/>
      <c r="K31" s="731"/>
      <c r="L31" s="732"/>
      <c r="M31" s="733"/>
    </row>
    <row r="32" spans="1:13">
      <c r="A32" s="42">
        <f t="shared" si="1"/>
        <v>26</v>
      </c>
      <c r="B32" s="66" t="s">
        <v>419</v>
      </c>
      <c r="C32" s="31" t="s">
        <v>457</v>
      </c>
      <c r="D32" s="97" t="s">
        <v>506</v>
      </c>
      <c r="E32" s="98">
        <v>1</v>
      </c>
      <c r="F32" s="99"/>
      <c r="G32" s="21">
        <f t="shared" si="0"/>
        <v>1</v>
      </c>
      <c r="H32" s="42" t="s">
        <v>1392</v>
      </c>
      <c r="I32" s="89"/>
      <c r="J32" s="92"/>
      <c r="K32" s="731"/>
      <c r="L32" s="732"/>
      <c r="M32" s="733"/>
    </row>
    <row r="33" spans="1:13">
      <c r="A33" s="42">
        <f t="shared" si="1"/>
        <v>27</v>
      </c>
      <c r="B33" s="66" t="s">
        <v>420</v>
      </c>
      <c r="C33" s="31" t="s">
        <v>458</v>
      </c>
      <c r="D33" s="97" t="s">
        <v>506</v>
      </c>
      <c r="E33" s="98">
        <v>1</v>
      </c>
      <c r="F33" s="99"/>
      <c r="G33" s="21">
        <f t="shared" si="0"/>
        <v>1</v>
      </c>
      <c r="H33" s="42" t="s">
        <v>1392</v>
      </c>
      <c r="I33" s="89"/>
      <c r="J33" s="92"/>
      <c r="K33" s="731"/>
      <c r="L33" s="732"/>
      <c r="M33" s="733"/>
    </row>
    <row r="34" spans="1:13">
      <c r="A34" s="42">
        <f t="shared" si="1"/>
        <v>28</v>
      </c>
      <c r="B34" s="66" t="s">
        <v>421</v>
      </c>
      <c r="C34" s="31" t="s">
        <v>459</v>
      </c>
      <c r="D34" s="97" t="s">
        <v>506</v>
      </c>
      <c r="E34" s="98">
        <v>1</v>
      </c>
      <c r="F34" s="99"/>
      <c r="G34" s="21">
        <f t="shared" si="0"/>
        <v>1</v>
      </c>
      <c r="H34" s="42" t="s">
        <v>1392</v>
      </c>
      <c r="I34" s="89"/>
      <c r="J34" s="92"/>
      <c r="K34" s="731"/>
      <c r="L34" s="732"/>
      <c r="M34" s="733"/>
    </row>
    <row r="35" spans="1:13">
      <c r="A35" s="42">
        <f t="shared" si="1"/>
        <v>29</v>
      </c>
      <c r="B35" s="66" t="s">
        <v>422</v>
      </c>
      <c r="C35" s="31" t="s">
        <v>460</v>
      </c>
      <c r="D35" s="97" t="s">
        <v>506</v>
      </c>
      <c r="E35" s="98">
        <v>1</v>
      </c>
      <c r="F35" s="99"/>
      <c r="G35" s="21">
        <f t="shared" si="0"/>
        <v>1</v>
      </c>
      <c r="H35" s="42" t="s">
        <v>1392</v>
      </c>
      <c r="I35" s="89"/>
      <c r="J35" s="92"/>
      <c r="K35" s="731"/>
      <c r="L35" s="732"/>
      <c r="M35" s="733"/>
    </row>
    <row r="36" spans="1:13">
      <c r="A36" s="42">
        <f t="shared" si="1"/>
        <v>30</v>
      </c>
      <c r="B36" s="66" t="s">
        <v>423</v>
      </c>
      <c r="C36" s="31" t="s">
        <v>461</v>
      </c>
      <c r="D36" s="97" t="s">
        <v>506</v>
      </c>
      <c r="E36" s="98">
        <v>1</v>
      </c>
      <c r="F36" s="99"/>
      <c r="G36" s="21">
        <f t="shared" si="0"/>
        <v>1</v>
      </c>
      <c r="H36" s="42" t="s">
        <v>1392</v>
      </c>
      <c r="I36" s="89"/>
      <c r="J36" s="92"/>
      <c r="K36" s="731"/>
      <c r="L36" s="732"/>
      <c r="M36" s="733"/>
    </row>
    <row r="37" spans="1:13">
      <c r="A37" s="42">
        <f t="shared" si="1"/>
        <v>31</v>
      </c>
      <c r="B37" s="66" t="s">
        <v>424</v>
      </c>
      <c r="C37" s="31" t="s">
        <v>462</v>
      </c>
      <c r="D37" s="97" t="s">
        <v>506</v>
      </c>
      <c r="E37" s="98">
        <v>1</v>
      </c>
      <c r="F37" s="99"/>
      <c r="G37" s="21">
        <f t="shared" si="0"/>
        <v>1</v>
      </c>
      <c r="H37" s="42" t="s">
        <v>1392</v>
      </c>
      <c r="I37" s="89"/>
      <c r="J37" s="92"/>
      <c r="K37" s="731"/>
      <c r="L37" s="732"/>
      <c r="M37" s="733"/>
    </row>
    <row r="38" spans="1:13">
      <c r="A38" s="42">
        <f t="shared" si="1"/>
        <v>32</v>
      </c>
      <c r="B38" s="66" t="s">
        <v>425</v>
      </c>
      <c r="C38" s="31" t="s">
        <v>463</v>
      </c>
      <c r="D38" s="97" t="s">
        <v>506</v>
      </c>
      <c r="E38" s="98">
        <v>1</v>
      </c>
      <c r="F38" s="99"/>
      <c r="G38" s="21">
        <f t="shared" si="0"/>
        <v>1</v>
      </c>
      <c r="H38" s="42" t="s">
        <v>1392</v>
      </c>
      <c r="I38" s="89"/>
      <c r="J38" s="92"/>
      <c r="K38" s="731"/>
      <c r="L38" s="732"/>
      <c r="M38" s="733"/>
    </row>
    <row r="39" spans="1:13">
      <c r="A39" s="42">
        <f t="shared" si="1"/>
        <v>33</v>
      </c>
      <c r="B39" s="66" t="s">
        <v>426</v>
      </c>
      <c r="C39" s="31" t="s">
        <v>464</v>
      </c>
      <c r="D39" s="97" t="s">
        <v>506</v>
      </c>
      <c r="E39" s="98">
        <v>1</v>
      </c>
      <c r="F39" s="99"/>
      <c r="G39" s="21">
        <f t="shared" si="0"/>
        <v>1</v>
      </c>
      <c r="H39" s="42" t="s">
        <v>1392</v>
      </c>
      <c r="I39" s="89"/>
      <c r="J39" s="92"/>
      <c r="K39" s="731"/>
      <c r="L39" s="732"/>
      <c r="M39" s="733"/>
    </row>
    <row r="40" spans="1:13">
      <c r="A40" s="42">
        <f t="shared" si="1"/>
        <v>34</v>
      </c>
      <c r="B40" s="66" t="s">
        <v>427</v>
      </c>
      <c r="C40" s="31" t="s">
        <v>465</v>
      </c>
      <c r="D40" s="97" t="s">
        <v>506</v>
      </c>
      <c r="E40" s="98">
        <v>1</v>
      </c>
      <c r="F40" s="99"/>
      <c r="G40" s="21">
        <f t="shared" si="0"/>
        <v>1</v>
      </c>
      <c r="H40" s="42" t="s">
        <v>1392</v>
      </c>
      <c r="I40" s="89"/>
      <c r="J40" s="92"/>
      <c r="K40" s="731"/>
      <c r="L40" s="732"/>
      <c r="M40" s="733"/>
    </row>
    <row r="41" spans="1:13">
      <c r="A41" s="42">
        <f t="shared" si="1"/>
        <v>35</v>
      </c>
      <c r="B41" s="66" t="s">
        <v>428</v>
      </c>
      <c r="C41" s="31" t="s">
        <v>466</v>
      </c>
      <c r="D41" s="72" t="s">
        <v>506</v>
      </c>
      <c r="E41" s="73">
        <v>1</v>
      </c>
      <c r="F41" s="74"/>
      <c r="G41" s="21">
        <f t="shared" si="0"/>
        <v>1</v>
      </c>
      <c r="H41" s="42" t="s">
        <v>1392</v>
      </c>
      <c r="I41" s="42"/>
      <c r="J41" s="59"/>
      <c r="K41" s="731"/>
      <c r="L41" s="732"/>
      <c r="M41" s="733"/>
    </row>
    <row r="42" spans="1:13">
      <c r="A42" s="42">
        <f t="shared" si="1"/>
        <v>36</v>
      </c>
      <c r="B42" s="66" t="s">
        <v>429</v>
      </c>
      <c r="C42" s="31" t="s">
        <v>467</v>
      </c>
      <c r="D42" s="72" t="s">
        <v>506</v>
      </c>
      <c r="E42" s="73">
        <v>1</v>
      </c>
      <c r="F42" s="74"/>
      <c r="G42" s="21">
        <f t="shared" si="0"/>
        <v>1</v>
      </c>
      <c r="H42" s="42" t="s">
        <v>1392</v>
      </c>
      <c r="I42" s="42"/>
      <c r="J42" s="59"/>
      <c r="K42" s="731"/>
      <c r="L42" s="732"/>
      <c r="M42" s="733"/>
    </row>
    <row r="43" spans="1:13">
      <c r="A43" s="42">
        <f t="shared" si="1"/>
        <v>37</v>
      </c>
      <c r="B43" s="66" t="s">
        <v>430</v>
      </c>
      <c r="C43" s="31" t="s">
        <v>468</v>
      </c>
      <c r="D43" s="72" t="s">
        <v>506</v>
      </c>
      <c r="E43" s="73">
        <v>1</v>
      </c>
      <c r="F43" s="74"/>
      <c r="G43" s="21">
        <f t="shared" si="0"/>
        <v>1</v>
      </c>
      <c r="H43" s="42" t="s">
        <v>1392</v>
      </c>
      <c r="I43" s="42"/>
      <c r="J43" s="59"/>
      <c r="K43" s="731"/>
      <c r="L43" s="732"/>
      <c r="M43" s="733"/>
    </row>
    <row r="44" spans="1:13">
      <c r="A44" s="42">
        <f t="shared" si="1"/>
        <v>38</v>
      </c>
      <c r="B44" s="66" t="s">
        <v>431</v>
      </c>
      <c r="C44" s="31" t="s">
        <v>469</v>
      </c>
      <c r="D44" s="72" t="s">
        <v>506</v>
      </c>
      <c r="E44" s="73">
        <v>1</v>
      </c>
      <c r="F44" s="74"/>
      <c r="G44" s="21">
        <f t="shared" si="0"/>
        <v>1</v>
      </c>
      <c r="H44" s="42" t="s">
        <v>1392</v>
      </c>
      <c r="I44" s="42"/>
      <c r="J44" s="59"/>
      <c r="K44" s="731"/>
      <c r="L44" s="732"/>
      <c r="M44" s="733"/>
    </row>
    <row r="45" spans="1:13">
      <c r="A45" s="42">
        <f t="shared" si="1"/>
        <v>39</v>
      </c>
      <c r="B45" s="66" t="s">
        <v>432</v>
      </c>
      <c r="C45" s="31" t="s">
        <v>470</v>
      </c>
      <c r="D45" s="72" t="s">
        <v>506</v>
      </c>
      <c r="E45" s="73">
        <v>1</v>
      </c>
      <c r="F45" s="74"/>
      <c r="G45" s="21">
        <f t="shared" si="0"/>
        <v>1</v>
      </c>
      <c r="H45" s="42" t="s">
        <v>1392</v>
      </c>
      <c r="I45" s="42"/>
      <c r="J45" s="59"/>
      <c r="K45" s="731"/>
      <c r="L45" s="732"/>
      <c r="M45" s="733"/>
    </row>
    <row r="46" spans="1:13">
      <c r="A46" s="42">
        <f t="shared" si="1"/>
        <v>40</v>
      </c>
      <c r="B46" s="66" t="s">
        <v>433</v>
      </c>
      <c r="C46" s="31" t="s">
        <v>471</v>
      </c>
      <c r="D46" s="72" t="s">
        <v>506</v>
      </c>
      <c r="E46" s="73">
        <v>1</v>
      </c>
      <c r="F46" s="74"/>
      <c r="G46" s="21">
        <f t="shared" si="0"/>
        <v>1</v>
      </c>
      <c r="H46" s="42" t="s">
        <v>1392</v>
      </c>
      <c r="I46" s="42"/>
      <c r="J46" s="59"/>
      <c r="K46" s="731"/>
      <c r="L46" s="732"/>
      <c r="M46" s="733"/>
    </row>
    <row r="47" spans="1:13">
      <c r="A47" s="42">
        <f t="shared" si="1"/>
        <v>41</v>
      </c>
      <c r="B47" s="66" t="s">
        <v>434</v>
      </c>
      <c r="C47" s="31" t="s">
        <v>472</v>
      </c>
      <c r="D47" s="72" t="s">
        <v>506</v>
      </c>
      <c r="E47" s="73">
        <v>1</v>
      </c>
      <c r="F47" s="74"/>
      <c r="G47" s="21">
        <f t="shared" si="0"/>
        <v>1</v>
      </c>
      <c r="H47" s="42" t="s">
        <v>1392</v>
      </c>
      <c r="I47" s="42"/>
      <c r="J47" s="59"/>
      <c r="K47" s="731"/>
      <c r="L47" s="732"/>
      <c r="M47" s="733"/>
    </row>
    <row r="48" spans="1:13">
      <c r="A48" s="42">
        <f t="shared" si="1"/>
        <v>42</v>
      </c>
      <c r="B48" s="66" t="s">
        <v>435</v>
      </c>
      <c r="C48" s="31" t="s">
        <v>473</v>
      </c>
      <c r="D48" s="72" t="s">
        <v>506</v>
      </c>
      <c r="E48" s="73">
        <v>1</v>
      </c>
      <c r="F48" s="74"/>
      <c r="G48" s="21">
        <f t="shared" si="0"/>
        <v>1</v>
      </c>
      <c r="H48" s="42" t="s">
        <v>1392</v>
      </c>
      <c r="I48" s="42"/>
      <c r="J48" s="59"/>
      <c r="K48" s="735"/>
      <c r="L48" s="736"/>
      <c r="M48" s="737"/>
    </row>
    <row r="49" spans="1:13" s="22" customFormat="1">
      <c r="A49" s="42">
        <f t="shared" si="1"/>
        <v>43</v>
      </c>
      <c r="B49" s="64" t="s">
        <v>1083</v>
      </c>
      <c r="C49" s="24" t="s">
        <v>1111</v>
      </c>
      <c r="D49" s="72" t="s">
        <v>1431</v>
      </c>
      <c r="E49" s="51">
        <v>8</v>
      </c>
      <c r="F49" s="58"/>
      <c r="G49" s="20">
        <f>IF(D49="DATE",4,IF(D49="CHAR",E49,IF(D49="SMALLINT",2,IF(D49="INTEGER",4,IF(D49="TIMESTAMP",10,IF(D49="TIME",3,0))))))</f>
        <v>8</v>
      </c>
      <c r="H49" s="53" t="s">
        <v>1432</v>
      </c>
      <c r="I49" s="89"/>
      <c r="J49" s="92"/>
      <c r="K49" s="602"/>
      <c r="L49" s="603"/>
      <c r="M49" s="604"/>
    </row>
    <row r="50" spans="1:13">
      <c r="A50" s="42">
        <f t="shared" si="1"/>
        <v>44</v>
      </c>
      <c r="B50" s="93" t="s">
        <v>1724</v>
      </c>
      <c r="C50" s="26" t="s">
        <v>1404</v>
      </c>
      <c r="D50" s="94" t="s">
        <v>1405</v>
      </c>
      <c r="E50" s="95"/>
      <c r="F50" s="90"/>
      <c r="G50" s="21">
        <f>IF(D50="DATE",4,IF(D50="CHAR",E50,IF(D50="SMALLINT",2,IF(D50="INTEGER",4,IF(D50="TIMESTAMP",10,IF(D50="TIME",3,0))))))</f>
        <v>10</v>
      </c>
      <c r="H50" s="91" t="s">
        <v>1406</v>
      </c>
      <c r="I50" s="42"/>
      <c r="J50" s="59"/>
      <c r="K50" s="609"/>
      <c r="L50" s="610"/>
      <c r="M50" s="611"/>
    </row>
    <row r="51" spans="1:13">
      <c r="A51" s="42" t="str">
        <f>IF(B51=""," ",#REF!+1)</f>
        <v xml:space="preserve"> </v>
      </c>
      <c r="B51" s="66"/>
      <c r="C51" s="13"/>
      <c r="D51" s="72"/>
      <c r="E51" s="73"/>
      <c r="F51" s="74"/>
      <c r="G51" s="20"/>
      <c r="H51" s="42"/>
      <c r="I51" s="42"/>
      <c r="J51" s="59"/>
      <c r="K51" s="609"/>
      <c r="L51" s="610"/>
      <c r="M51" s="611"/>
    </row>
    <row r="52" spans="1:13">
      <c r="A52" s="42" t="str">
        <f>IF(B52=""," ",#REF!+1)</f>
        <v xml:space="preserve"> </v>
      </c>
      <c r="B52" s="66"/>
      <c r="C52" s="13"/>
      <c r="D52" s="72"/>
      <c r="E52" s="73"/>
      <c r="F52" s="74"/>
      <c r="G52" s="20"/>
      <c r="H52" s="42"/>
      <c r="I52" s="42"/>
      <c r="J52" s="59"/>
      <c r="K52" s="13"/>
      <c r="L52" s="14"/>
      <c r="M52" s="15"/>
    </row>
    <row r="53" spans="1:13">
      <c r="A53" s="42" t="str">
        <f>IF(B53=""," ",A52+1)</f>
        <v xml:space="preserve"> </v>
      </c>
      <c r="B53" s="66"/>
      <c r="C53" s="13"/>
      <c r="D53" s="72"/>
      <c r="E53" s="73"/>
      <c r="F53" s="74"/>
      <c r="G53" s="20"/>
      <c r="H53" s="42"/>
      <c r="I53" s="42"/>
      <c r="J53" s="59"/>
      <c r="K53" s="13"/>
      <c r="L53" s="14"/>
      <c r="M53" s="15"/>
    </row>
    <row r="54" spans="1:13">
      <c r="A54" s="42" t="str">
        <f>IF(B54=""," ",A53+1)</f>
        <v xml:space="preserve"> </v>
      </c>
      <c r="B54" s="66"/>
      <c r="C54" s="13"/>
      <c r="D54" s="72"/>
      <c r="E54" s="73"/>
      <c r="F54" s="74"/>
      <c r="G54" s="20"/>
      <c r="H54" s="42"/>
      <c r="I54" s="42"/>
      <c r="J54" s="59"/>
      <c r="K54" s="609"/>
      <c r="L54" s="610"/>
      <c r="M54" s="611"/>
    </row>
    <row r="55" spans="1:13">
      <c r="A55" s="42" t="str">
        <f>IF(B55=""," ",#REF!+1)</f>
        <v xml:space="preserve"> </v>
      </c>
      <c r="B55" s="66"/>
      <c r="C55" s="13"/>
      <c r="D55" s="72"/>
      <c r="E55" s="73"/>
      <c r="F55" s="74"/>
      <c r="G55" s="20"/>
      <c r="H55" s="42"/>
      <c r="I55" s="42"/>
      <c r="J55" s="59"/>
      <c r="K55" s="609"/>
      <c r="L55" s="610"/>
      <c r="M55" s="611"/>
    </row>
    <row r="56" spans="1:13">
      <c r="A56" s="42" t="str">
        <f>IF(B56=""," ",#REF!+1)</f>
        <v xml:space="preserve"> </v>
      </c>
      <c r="B56" s="66"/>
      <c r="C56" s="13"/>
      <c r="D56" s="72"/>
      <c r="E56" s="73"/>
      <c r="F56" s="74"/>
      <c r="G56" s="20"/>
      <c r="H56" s="42"/>
      <c r="I56" s="42"/>
      <c r="J56" s="59"/>
      <c r="K56" s="13"/>
      <c r="L56" s="14"/>
      <c r="M56" s="15"/>
    </row>
    <row r="57" spans="1:13">
      <c r="A57" s="42" t="str">
        <f>IF(B57=""," ",A56+1)</f>
        <v xml:space="preserve"> </v>
      </c>
      <c r="B57" s="66"/>
      <c r="C57" s="13"/>
      <c r="D57" s="72"/>
      <c r="E57" s="73"/>
      <c r="F57" s="74"/>
      <c r="G57" s="20"/>
      <c r="H57" s="42"/>
      <c r="I57" s="42"/>
      <c r="J57" s="59"/>
      <c r="K57" s="13"/>
      <c r="L57" s="14"/>
      <c r="M57" s="15"/>
    </row>
    <row r="58" spans="1:13">
      <c r="A58" s="42" t="str">
        <f>IF(B58=""," ",A57+1)</f>
        <v xml:space="preserve"> </v>
      </c>
      <c r="B58" s="66"/>
      <c r="C58" s="13"/>
      <c r="D58" s="72"/>
      <c r="E58" s="73"/>
      <c r="F58" s="74"/>
      <c r="G58" s="20"/>
      <c r="H58" s="42"/>
      <c r="I58" s="42"/>
      <c r="J58" s="59"/>
      <c r="K58" s="609"/>
      <c r="L58" s="610"/>
      <c r="M58" s="611"/>
    </row>
    <row r="59" spans="1:13">
      <c r="A59" s="42" t="str">
        <f>IF(B59=""," ",#REF!+1)</f>
        <v xml:space="preserve"> </v>
      </c>
      <c r="B59" s="66"/>
      <c r="C59" s="13"/>
      <c r="D59" s="72"/>
      <c r="E59" s="73"/>
      <c r="F59" s="74"/>
      <c r="G59" s="20"/>
      <c r="H59" s="42"/>
      <c r="I59" s="42"/>
      <c r="J59" s="59"/>
      <c r="K59" s="609"/>
      <c r="L59" s="610"/>
      <c r="M59" s="611"/>
    </row>
    <row r="60" spans="1:13">
      <c r="A60" s="42" t="str">
        <f>IF(B60=""," ",#REF!+1)</f>
        <v xml:space="preserve"> </v>
      </c>
      <c r="B60" s="66"/>
      <c r="C60" s="13"/>
      <c r="D60" s="72"/>
      <c r="E60" s="73"/>
      <c r="F60" s="74"/>
      <c r="G60" s="20"/>
      <c r="H60" s="42"/>
      <c r="I60" s="42"/>
      <c r="J60" s="59"/>
      <c r="K60" s="13"/>
      <c r="L60" s="14"/>
      <c r="M60" s="15"/>
    </row>
    <row r="61" spans="1:13">
      <c r="A61" s="42" t="str">
        <f>IF(B61=""," ",A60+1)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13"/>
      <c r="L100" s="14"/>
      <c r="M100" s="15"/>
    </row>
    <row r="102" spans="1:13">
      <c r="B102" s="16" t="s">
        <v>1691</v>
      </c>
    </row>
    <row r="104" spans="1:13">
      <c r="B104" s="16" t="s">
        <v>1692</v>
      </c>
      <c r="C104" s="16" t="s">
        <v>1693</v>
      </c>
      <c r="D104" s="16" t="s">
        <v>1695</v>
      </c>
    </row>
    <row r="105" spans="1:13">
      <c r="D105" s="16" t="s">
        <v>1694</v>
      </c>
    </row>
    <row r="106" spans="1:13">
      <c r="D106" s="16" t="s">
        <v>1726</v>
      </c>
    </row>
    <row r="107" spans="1:13">
      <c r="C107" s="16" t="s">
        <v>1720</v>
      </c>
      <c r="D107" s="16" t="s">
        <v>1724</v>
      </c>
    </row>
    <row r="108" spans="1:13">
      <c r="C108" s="16" t="s">
        <v>1725</v>
      </c>
    </row>
    <row r="110" spans="1:13">
      <c r="B110" s="75" t="s">
        <v>273</v>
      </c>
      <c r="C110" s="16" t="s">
        <v>1411</v>
      </c>
    </row>
    <row r="112" spans="1:13">
      <c r="B112" s="75" t="s">
        <v>1264</v>
      </c>
      <c r="C112" s="16" t="s">
        <v>1720</v>
      </c>
      <c r="D112" s="16" t="s">
        <v>1265</v>
      </c>
    </row>
    <row r="114" spans="2:5">
      <c r="B114" s="75" t="s">
        <v>1269</v>
      </c>
      <c r="C114" s="16" t="s">
        <v>1720</v>
      </c>
      <c r="D114" s="16" t="s">
        <v>711</v>
      </c>
    </row>
    <row r="115" spans="2:5">
      <c r="D115" s="16" t="s">
        <v>712</v>
      </c>
    </row>
    <row r="116" spans="2:5">
      <c r="D116" s="16" t="s">
        <v>718</v>
      </c>
    </row>
    <row r="118" spans="2:5">
      <c r="B118" s="16" t="s">
        <v>1395</v>
      </c>
      <c r="C118" s="16" t="s">
        <v>1396</v>
      </c>
      <c r="D118" s="16" t="s">
        <v>1397</v>
      </c>
    </row>
    <row r="120" spans="2:5">
      <c r="B120" s="16" t="s">
        <v>725</v>
      </c>
      <c r="C120" s="16" t="s">
        <v>1720</v>
      </c>
      <c r="D120" s="16" t="s">
        <v>748</v>
      </c>
      <c r="E120" s="113"/>
    </row>
  </sheetData>
  <mergeCells count="62">
    <mergeCell ref="K98:M98"/>
    <mergeCell ref="K99:M99"/>
    <mergeCell ref="K82:M82"/>
    <mergeCell ref="K83:M83"/>
    <mergeCell ref="K86:M86"/>
    <mergeCell ref="K87:M87"/>
    <mergeCell ref="K94:M94"/>
    <mergeCell ref="K95:M95"/>
    <mergeCell ref="K74:M74"/>
    <mergeCell ref="K75:M75"/>
    <mergeCell ref="K90:M90"/>
    <mergeCell ref="K91:M91"/>
    <mergeCell ref="K78:M78"/>
    <mergeCell ref="K79:M79"/>
    <mergeCell ref="K66:M66"/>
    <mergeCell ref="K67:M67"/>
    <mergeCell ref="K70:M70"/>
    <mergeCell ref="K71:M71"/>
    <mergeCell ref="K58:M58"/>
    <mergeCell ref="K59:M59"/>
    <mergeCell ref="K62:M62"/>
    <mergeCell ref="K63:M63"/>
    <mergeCell ref="K50:M50"/>
    <mergeCell ref="K51:M51"/>
    <mergeCell ref="K54:M54"/>
    <mergeCell ref="K55:M55"/>
    <mergeCell ref="B5:C5"/>
    <mergeCell ref="K5:M6"/>
    <mergeCell ref="I5:J5"/>
    <mergeCell ref="D5:H5"/>
    <mergeCell ref="K9:M9"/>
    <mergeCell ref="K8:M8"/>
    <mergeCell ref="K26:M26"/>
    <mergeCell ref="K27:M27"/>
    <mergeCell ref="K29:M48"/>
    <mergeCell ref="K49:M49"/>
    <mergeCell ref="K15:M15"/>
    <mergeCell ref="K11:M11"/>
    <mergeCell ref="H4:I4"/>
    <mergeCell ref="H3:I3"/>
    <mergeCell ref="A5:A6"/>
    <mergeCell ref="A2:B2"/>
    <mergeCell ref="A3:B3"/>
    <mergeCell ref="A4:B4"/>
    <mergeCell ref="H2:J2"/>
    <mergeCell ref="C2:G2"/>
    <mergeCell ref="C3:G3"/>
    <mergeCell ref="C4:G4"/>
    <mergeCell ref="K12:M12"/>
    <mergeCell ref="K10:M10"/>
    <mergeCell ref="K13:M13"/>
    <mergeCell ref="K14:M14"/>
    <mergeCell ref="K16:M16"/>
    <mergeCell ref="K17:M17"/>
    <mergeCell ref="K18:M18"/>
    <mergeCell ref="K19:M19"/>
    <mergeCell ref="K25:M25"/>
    <mergeCell ref="K24:M24"/>
    <mergeCell ref="K20:M20"/>
    <mergeCell ref="K21:M21"/>
    <mergeCell ref="K22:M22"/>
    <mergeCell ref="K23:M23"/>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3">
    <pageSetUpPr fitToPage="1"/>
  </sheetPr>
  <dimension ref="A1:P112"/>
  <sheetViews>
    <sheetView showGridLines="0" zoomScaleNormal="100" zoomScaleSheetLayoutView="100" workbookViewId="0">
      <pane ySplit="6" topLeftCell="A7" activePane="bottomLeft" state="frozen"/>
      <selection activeCell="A7" sqref="A7"/>
      <selection pane="bottomLeft" activeCell="D32" sqref="D32"/>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c r="B1" s="47"/>
    </row>
    <row r="2" spans="1:16">
      <c r="A2" s="643" t="s">
        <v>602</v>
      </c>
      <c r="B2" s="644"/>
      <c r="C2" s="643" t="s">
        <v>36</v>
      </c>
      <c r="D2" s="651"/>
      <c r="E2" s="651"/>
      <c r="F2" s="651"/>
      <c r="G2" s="644"/>
      <c r="H2" s="643"/>
      <c r="I2" s="651"/>
      <c r="J2" s="644"/>
      <c r="K2" s="37"/>
      <c r="L2" s="38" t="s">
        <v>37</v>
      </c>
      <c r="M2" s="38" t="s">
        <v>38</v>
      </c>
    </row>
    <row r="3" spans="1:16">
      <c r="A3" s="647"/>
      <c r="B3" s="648"/>
      <c r="C3" s="652" t="s">
        <v>1209</v>
      </c>
      <c r="D3" s="653"/>
      <c r="E3" s="653"/>
      <c r="F3" s="653"/>
      <c r="G3" s="654"/>
      <c r="H3" s="643" t="s">
        <v>39</v>
      </c>
      <c r="I3" s="644"/>
      <c r="J3" s="39">
        <f>COUNT(A7:A100)</f>
        <v>10</v>
      </c>
      <c r="K3" s="38" t="s">
        <v>40</v>
      </c>
      <c r="L3" s="40">
        <v>38629</v>
      </c>
      <c r="M3" s="41" t="s">
        <v>56</v>
      </c>
      <c r="O3" s="16" t="s">
        <v>41</v>
      </c>
      <c r="P3" s="16" t="s">
        <v>42</v>
      </c>
    </row>
    <row r="4" spans="1:16">
      <c r="A4" s="649" t="s">
        <v>43</v>
      </c>
      <c r="B4" s="650"/>
      <c r="C4" s="649" t="s">
        <v>1013</v>
      </c>
      <c r="D4" s="655"/>
      <c r="E4" s="655"/>
      <c r="F4" s="655"/>
      <c r="G4" s="650"/>
      <c r="H4" s="643" t="s">
        <v>44</v>
      </c>
      <c r="I4" s="644"/>
      <c r="J4" s="39">
        <f>SUM(G7:G100)</f>
        <v>81</v>
      </c>
      <c r="K4" s="38" t="s">
        <v>45</v>
      </c>
      <c r="L4" s="40">
        <v>38764</v>
      </c>
      <c r="M4" s="42" t="s">
        <v>1407</v>
      </c>
      <c r="O4" s="16" t="s">
        <v>1358</v>
      </c>
      <c r="P4" s="16" t="s">
        <v>1359</v>
      </c>
    </row>
    <row r="5" spans="1:16">
      <c r="A5" s="645" t="s">
        <v>1360</v>
      </c>
      <c r="B5" s="643" t="s">
        <v>46</v>
      </c>
      <c r="C5" s="651"/>
      <c r="D5" s="662" t="s">
        <v>47</v>
      </c>
      <c r="E5" s="651"/>
      <c r="F5" s="651"/>
      <c r="G5" s="651"/>
      <c r="H5" s="651"/>
      <c r="I5" s="643" t="s">
        <v>604</v>
      </c>
      <c r="J5" s="644"/>
      <c r="K5" s="656" t="s">
        <v>48</v>
      </c>
      <c r="L5" s="657"/>
      <c r="M5" s="658"/>
      <c r="P5" s="16" t="s">
        <v>605</v>
      </c>
    </row>
    <row r="6" spans="1:16">
      <c r="A6" s="646"/>
      <c r="B6" s="38" t="s">
        <v>49</v>
      </c>
      <c r="C6" s="35" t="s">
        <v>50</v>
      </c>
      <c r="D6" s="43" t="s">
        <v>42</v>
      </c>
      <c r="E6" s="44" t="s">
        <v>51</v>
      </c>
      <c r="F6" s="45" t="s">
        <v>52</v>
      </c>
      <c r="G6" s="38" t="s">
        <v>606</v>
      </c>
      <c r="H6" s="36" t="s">
        <v>53</v>
      </c>
      <c r="I6" s="36" t="s">
        <v>607</v>
      </c>
      <c r="J6" s="36" t="s">
        <v>608</v>
      </c>
      <c r="K6" s="659"/>
      <c r="L6" s="660"/>
      <c r="M6" s="661"/>
      <c r="P6" s="16" t="s">
        <v>609</v>
      </c>
    </row>
    <row r="7" spans="1:16" ht="50.1" customHeight="1">
      <c r="A7" s="42">
        <v>1</v>
      </c>
      <c r="B7" s="48" t="s">
        <v>279</v>
      </c>
      <c r="C7" s="49" t="s">
        <v>391</v>
      </c>
      <c r="D7" s="78" t="s">
        <v>1434</v>
      </c>
      <c r="E7" s="73">
        <v>10</v>
      </c>
      <c r="F7" s="74"/>
      <c r="G7" s="21">
        <f t="shared" ref="G7:G15" si="0">IF(D7="DATE",4,IF(D7="CHAR",E7,IF(D7="SMALLINT",2,IF(D7="INTEGER",4,IF(D7="TIMESTAMP",10,IF(D7="TIME",3,0))))))</f>
        <v>10</v>
      </c>
      <c r="H7" s="42" t="s">
        <v>1435</v>
      </c>
      <c r="I7" s="42" t="s">
        <v>1435</v>
      </c>
      <c r="J7" s="59"/>
      <c r="K7" s="598" t="s">
        <v>1255</v>
      </c>
      <c r="L7" s="981"/>
      <c r="M7" s="982"/>
      <c r="P7" s="16" t="s">
        <v>518</v>
      </c>
    </row>
    <row r="8" spans="1:16" ht="65.099999999999994" customHeight="1">
      <c r="A8" s="42">
        <f t="shared" ref="A8:A16" si="1">IF(B8=""," ",A7+1)</f>
        <v>2</v>
      </c>
      <c r="B8" s="48" t="s">
        <v>1210</v>
      </c>
      <c r="C8" s="49" t="s">
        <v>280</v>
      </c>
      <c r="D8" s="78" t="s">
        <v>524</v>
      </c>
      <c r="E8" s="73">
        <v>1</v>
      </c>
      <c r="F8" s="74"/>
      <c r="G8" s="21">
        <f t="shared" si="0"/>
        <v>1</v>
      </c>
      <c r="H8" s="42" t="s">
        <v>574</v>
      </c>
      <c r="I8" s="42"/>
      <c r="J8" s="59"/>
      <c r="K8" s="628" t="s">
        <v>1298</v>
      </c>
      <c r="L8" s="629"/>
      <c r="M8" s="630"/>
      <c r="N8" s="16" t="s">
        <v>640</v>
      </c>
      <c r="P8" s="16" t="s">
        <v>253</v>
      </c>
    </row>
    <row r="9" spans="1:16">
      <c r="A9" s="42">
        <f t="shared" si="1"/>
        <v>3</v>
      </c>
      <c r="B9" s="48" t="s">
        <v>1211</v>
      </c>
      <c r="C9" s="49" t="s">
        <v>641</v>
      </c>
      <c r="D9" s="78" t="s">
        <v>523</v>
      </c>
      <c r="E9" s="73">
        <v>20</v>
      </c>
      <c r="F9" s="74"/>
      <c r="G9" s="21">
        <f t="shared" si="0"/>
        <v>20</v>
      </c>
      <c r="H9" s="42" t="s">
        <v>884</v>
      </c>
      <c r="I9" s="42"/>
      <c r="J9" s="59"/>
      <c r="K9" s="628" t="s">
        <v>1254</v>
      </c>
      <c r="L9" s="629"/>
      <c r="M9" s="630"/>
      <c r="P9" s="16" t="s">
        <v>531</v>
      </c>
    </row>
    <row r="10" spans="1:16">
      <c r="A10" s="42">
        <f t="shared" si="1"/>
        <v>4</v>
      </c>
      <c r="B10" s="48" t="s">
        <v>1212</v>
      </c>
      <c r="C10" s="49" t="s">
        <v>393</v>
      </c>
      <c r="D10" s="78" t="s">
        <v>219</v>
      </c>
      <c r="E10" s="73" t="s">
        <v>65</v>
      </c>
      <c r="F10" s="74"/>
      <c r="G10" s="21">
        <f t="shared" si="0"/>
        <v>2</v>
      </c>
      <c r="H10" s="42" t="s">
        <v>1358</v>
      </c>
      <c r="I10" s="42"/>
      <c r="J10" s="59"/>
      <c r="K10" s="628"/>
      <c r="L10" s="629"/>
      <c r="M10" s="630"/>
      <c r="P10" s="16" t="s">
        <v>266</v>
      </c>
    </row>
    <row r="11" spans="1:16" ht="12.75" customHeight="1">
      <c r="A11" s="42">
        <f t="shared" si="1"/>
        <v>5</v>
      </c>
      <c r="B11" s="48" t="s">
        <v>1213</v>
      </c>
      <c r="C11" s="49" t="s">
        <v>392</v>
      </c>
      <c r="D11" s="78" t="s">
        <v>55</v>
      </c>
      <c r="E11" s="73" t="s">
        <v>65</v>
      </c>
      <c r="F11" s="74"/>
      <c r="G11" s="21">
        <f t="shared" si="0"/>
        <v>2</v>
      </c>
      <c r="H11" s="42" t="s">
        <v>1358</v>
      </c>
      <c r="I11" s="42"/>
      <c r="J11" s="59"/>
      <c r="K11" s="872"/>
      <c r="L11" s="873"/>
      <c r="M11" s="874"/>
    </row>
    <row r="12" spans="1:16" ht="27" customHeight="1">
      <c r="A12" s="42">
        <f t="shared" si="1"/>
        <v>6</v>
      </c>
      <c r="B12" s="48" t="s">
        <v>1557</v>
      </c>
      <c r="C12" s="49" t="s">
        <v>642</v>
      </c>
      <c r="D12" s="78" t="s">
        <v>1558</v>
      </c>
      <c r="E12" s="73">
        <v>128</v>
      </c>
      <c r="F12" s="74"/>
      <c r="G12" s="21">
        <v>20</v>
      </c>
      <c r="H12" s="42" t="s">
        <v>884</v>
      </c>
      <c r="I12" s="42"/>
      <c r="J12" s="59"/>
      <c r="K12" s="628" t="s">
        <v>1559</v>
      </c>
      <c r="L12" s="629"/>
      <c r="M12" s="630"/>
      <c r="P12" s="16" t="s">
        <v>531</v>
      </c>
    </row>
    <row r="13" spans="1:16" s="22" customFormat="1">
      <c r="A13" s="42">
        <f t="shared" si="1"/>
        <v>7</v>
      </c>
      <c r="B13" s="64" t="s">
        <v>26</v>
      </c>
      <c r="C13" s="24" t="s">
        <v>643</v>
      </c>
      <c r="D13" s="65" t="s">
        <v>519</v>
      </c>
      <c r="E13" s="51"/>
      <c r="F13" s="58"/>
      <c r="G13" s="21">
        <f t="shared" si="0"/>
        <v>4</v>
      </c>
      <c r="H13" s="42" t="s">
        <v>1400</v>
      </c>
      <c r="I13" s="53" t="s">
        <v>1400</v>
      </c>
      <c r="J13" s="165"/>
      <c r="K13" s="632" t="s">
        <v>1409</v>
      </c>
      <c r="L13" s="633"/>
      <c r="M13" s="634"/>
    </row>
    <row r="14" spans="1:16" s="22" customFormat="1" ht="12" customHeight="1">
      <c r="A14" s="42">
        <f t="shared" si="1"/>
        <v>8</v>
      </c>
      <c r="B14" s="64" t="s">
        <v>27</v>
      </c>
      <c r="C14" s="24" t="s">
        <v>1401</v>
      </c>
      <c r="D14" s="65" t="s">
        <v>1402</v>
      </c>
      <c r="E14" s="51"/>
      <c r="F14" s="58"/>
      <c r="G14" s="21">
        <f t="shared" si="0"/>
        <v>4</v>
      </c>
      <c r="H14" s="42" t="s">
        <v>1403</v>
      </c>
      <c r="I14" s="53"/>
      <c r="J14" s="165"/>
      <c r="K14" s="632" t="s">
        <v>1410</v>
      </c>
      <c r="L14" s="633"/>
      <c r="M14" s="634"/>
    </row>
    <row r="15" spans="1:16" ht="12" customHeight="1">
      <c r="A15" s="42">
        <f t="shared" si="1"/>
        <v>9</v>
      </c>
      <c r="B15" s="64" t="s">
        <v>1083</v>
      </c>
      <c r="C15" s="24" t="s">
        <v>1111</v>
      </c>
      <c r="D15" s="72" t="s">
        <v>1431</v>
      </c>
      <c r="E15" s="51">
        <v>8</v>
      </c>
      <c r="F15" s="58"/>
      <c r="G15" s="20">
        <f t="shared" si="0"/>
        <v>8</v>
      </c>
      <c r="H15" s="53" t="s">
        <v>1432</v>
      </c>
      <c r="I15" s="53"/>
      <c r="J15" s="59"/>
      <c r="K15" s="609" t="s">
        <v>1112</v>
      </c>
      <c r="L15" s="610"/>
      <c r="M15" s="611"/>
    </row>
    <row r="16" spans="1:16" s="22" customFormat="1">
      <c r="A16" s="42">
        <f t="shared" si="1"/>
        <v>10</v>
      </c>
      <c r="B16" s="93" t="s">
        <v>1724</v>
      </c>
      <c r="C16" s="26" t="s">
        <v>1404</v>
      </c>
      <c r="D16" s="94" t="s">
        <v>1405</v>
      </c>
      <c r="E16" s="95"/>
      <c r="F16" s="90"/>
      <c r="G16" s="21">
        <f>IF(D16="DATE",4,IF(D16="CHAR",E16,IF(D16="SMALLINT",2,IF(D16="INTEGER",4,IF(D16="TIMESTAMP",10,IF(D16="TIME",3,0))))))</f>
        <v>10</v>
      </c>
      <c r="H16" s="91" t="s">
        <v>1406</v>
      </c>
      <c r="I16" s="89"/>
      <c r="J16" s="92"/>
      <c r="K16" s="602"/>
      <c r="L16" s="603"/>
      <c r="M16" s="604"/>
    </row>
    <row r="17" spans="1:13" ht="13.5" customHeight="1">
      <c r="A17" s="42" t="str">
        <f t="shared" ref="A17:A37" si="2">IF(B17=""," ",A16+1)</f>
        <v xml:space="preserve"> </v>
      </c>
      <c r="B17" s="66"/>
      <c r="C17" s="13"/>
      <c r="D17" s="72"/>
      <c r="E17" s="73"/>
      <c r="F17" s="74"/>
      <c r="G17" s="20"/>
      <c r="H17" s="42"/>
      <c r="I17" s="42"/>
      <c r="J17" s="59"/>
      <c r="K17" s="628"/>
      <c r="L17" s="629"/>
      <c r="M17" s="630"/>
    </row>
    <row r="18" spans="1:13" ht="13.5" customHeight="1">
      <c r="A18" s="42" t="str">
        <f t="shared" si="2"/>
        <v xml:space="preserve"> </v>
      </c>
      <c r="B18" s="66"/>
      <c r="C18" s="13"/>
      <c r="D18" s="72"/>
      <c r="E18" s="73"/>
      <c r="F18" s="74"/>
      <c r="G18" s="20"/>
      <c r="H18" s="42"/>
      <c r="I18" s="42"/>
      <c r="J18" s="59"/>
      <c r="K18" s="628"/>
      <c r="L18" s="629"/>
      <c r="M18" s="630"/>
    </row>
    <row r="19" spans="1:13" ht="13.5" customHeight="1">
      <c r="A19" s="42" t="str">
        <f>IF(B19=""," ",#REF!+1)</f>
        <v xml:space="preserve"> </v>
      </c>
      <c r="B19" s="71"/>
      <c r="C19" s="13"/>
      <c r="D19" s="72"/>
      <c r="E19" s="73"/>
      <c r="F19" s="74"/>
      <c r="G19" s="20"/>
      <c r="H19" s="42"/>
      <c r="I19" s="42"/>
      <c r="J19" s="59"/>
      <c r="K19" s="628"/>
      <c r="L19" s="629"/>
      <c r="M19" s="630"/>
    </row>
    <row r="20" spans="1:13" ht="13.5" customHeight="1">
      <c r="A20" s="42" t="str">
        <f t="shared" si="2"/>
        <v xml:space="preserve"> </v>
      </c>
      <c r="B20" s="71"/>
      <c r="C20" s="13"/>
      <c r="D20" s="72"/>
      <c r="E20" s="73"/>
      <c r="F20" s="74"/>
      <c r="G20" s="20"/>
      <c r="H20" s="42"/>
      <c r="I20" s="42"/>
      <c r="J20" s="59"/>
      <c r="K20" s="628"/>
      <c r="L20" s="629"/>
      <c r="M20" s="630"/>
    </row>
    <row r="21" spans="1:13" ht="13.5" customHeight="1">
      <c r="A21" s="42" t="str">
        <f t="shared" si="2"/>
        <v xml:space="preserve"> </v>
      </c>
      <c r="B21" s="71"/>
      <c r="C21" s="13"/>
      <c r="D21" s="72"/>
      <c r="E21" s="73"/>
      <c r="F21" s="74"/>
      <c r="G21" s="20"/>
      <c r="H21" s="42"/>
      <c r="I21" s="42"/>
      <c r="J21" s="59"/>
      <c r="K21" s="628"/>
      <c r="L21" s="629"/>
      <c r="M21" s="630"/>
    </row>
    <row r="22" spans="1:13" ht="13.5" customHeight="1">
      <c r="A22" s="42" t="str">
        <f t="shared" si="2"/>
        <v xml:space="preserve"> </v>
      </c>
      <c r="B22" s="71"/>
      <c r="C22" s="13"/>
      <c r="D22" s="72"/>
      <c r="E22" s="73"/>
      <c r="F22" s="74"/>
      <c r="G22" s="20"/>
      <c r="H22" s="42"/>
      <c r="I22" s="42"/>
      <c r="J22" s="59"/>
      <c r="K22" s="628"/>
      <c r="L22" s="629"/>
      <c r="M22" s="630"/>
    </row>
    <row r="23" spans="1:13" ht="13.5" customHeight="1">
      <c r="A23" s="42" t="str">
        <f t="shared" si="2"/>
        <v xml:space="preserve"> </v>
      </c>
      <c r="B23" s="71"/>
      <c r="C23" s="13"/>
      <c r="D23" s="72"/>
      <c r="E23" s="73"/>
      <c r="F23" s="74"/>
      <c r="G23" s="20"/>
      <c r="H23" s="42"/>
      <c r="I23" s="42"/>
      <c r="J23" s="59"/>
      <c r="K23" s="628"/>
      <c r="L23" s="629"/>
      <c r="M23" s="630"/>
    </row>
    <row r="24" spans="1:13" ht="13.5" customHeight="1">
      <c r="A24" s="42" t="str">
        <f>IF(B24=""," ",A23+1)</f>
        <v xml:space="preserve"> </v>
      </c>
      <c r="B24" s="71"/>
      <c r="C24" s="13"/>
      <c r="D24" s="72"/>
      <c r="E24" s="73"/>
      <c r="F24" s="74"/>
      <c r="G24" s="20"/>
      <c r="H24" s="42"/>
      <c r="I24" s="42"/>
      <c r="J24" s="59"/>
      <c r="K24" s="628"/>
      <c r="L24" s="629"/>
      <c r="M24" s="630"/>
    </row>
    <row r="25" spans="1:13" ht="13.5" customHeight="1">
      <c r="A25" s="42" t="str">
        <f t="shared" si="2"/>
        <v xml:space="preserve"> </v>
      </c>
      <c r="B25" s="71"/>
      <c r="C25" s="13"/>
      <c r="D25" s="72"/>
      <c r="E25" s="73"/>
      <c r="F25" s="74"/>
      <c r="G25" s="20"/>
      <c r="H25" s="42"/>
      <c r="I25" s="42"/>
      <c r="J25" s="59"/>
      <c r="K25" s="628"/>
      <c r="L25" s="629"/>
      <c r="M25" s="630"/>
    </row>
    <row r="26" spans="1:13">
      <c r="A26" s="89" t="str">
        <f t="shared" si="2"/>
        <v xml:space="preserve"> </v>
      </c>
      <c r="B26" s="66"/>
      <c r="C26" s="31"/>
      <c r="D26" s="97"/>
      <c r="E26" s="98"/>
      <c r="F26" s="99"/>
      <c r="G26" s="20"/>
      <c r="H26" s="89"/>
      <c r="I26" s="89"/>
      <c r="J26" s="92"/>
      <c r="K26" s="31"/>
      <c r="L26" s="32"/>
      <c r="M26" s="33"/>
    </row>
    <row r="27" spans="1:13">
      <c r="A27" s="89" t="str">
        <f>IF(B27=""," ",#REF!+1)</f>
        <v xml:space="preserve"> </v>
      </c>
      <c r="B27" s="96"/>
      <c r="C27" s="31"/>
      <c r="D27" s="97"/>
      <c r="E27" s="98"/>
      <c r="F27" s="99"/>
      <c r="G27" s="20"/>
      <c r="H27" s="89"/>
      <c r="I27" s="89"/>
      <c r="J27" s="92"/>
      <c r="K27" s="31"/>
      <c r="L27" s="32"/>
      <c r="M27" s="33"/>
    </row>
    <row r="28" spans="1:13">
      <c r="A28" s="89" t="str">
        <f>IF(B28=""," ",#REF!+1)</f>
        <v xml:space="preserve"> </v>
      </c>
      <c r="B28" s="96"/>
      <c r="C28" s="31"/>
      <c r="D28" s="97"/>
      <c r="E28" s="98"/>
      <c r="F28" s="99"/>
      <c r="G28" s="20"/>
      <c r="H28" s="89"/>
      <c r="I28" s="89"/>
      <c r="J28" s="92"/>
      <c r="K28" s="31"/>
      <c r="L28" s="32"/>
      <c r="M28" s="33"/>
    </row>
    <row r="29" spans="1:13">
      <c r="A29" s="89" t="str">
        <f t="shared" si="2"/>
        <v xml:space="preserve"> </v>
      </c>
      <c r="B29" s="96"/>
      <c r="C29" s="31"/>
      <c r="D29" s="97"/>
      <c r="E29" s="98"/>
      <c r="F29" s="99"/>
      <c r="G29" s="20"/>
      <c r="H29" s="89"/>
      <c r="I29" s="89"/>
      <c r="J29" s="92"/>
      <c r="K29" s="31"/>
      <c r="L29" s="32"/>
      <c r="M29" s="33"/>
    </row>
    <row r="30" spans="1:13">
      <c r="A30" s="89" t="str">
        <f t="shared" si="2"/>
        <v xml:space="preserve"> </v>
      </c>
      <c r="B30" s="96"/>
      <c r="C30" s="31"/>
      <c r="D30" s="97"/>
      <c r="E30" s="98"/>
      <c r="F30" s="99"/>
      <c r="G30" s="20"/>
      <c r="H30" s="89"/>
      <c r="I30" s="89"/>
      <c r="J30" s="92"/>
      <c r="K30" s="31"/>
      <c r="L30" s="32"/>
      <c r="M30" s="33"/>
    </row>
    <row r="31" spans="1:13">
      <c r="A31" s="89" t="str">
        <f t="shared" si="2"/>
        <v xml:space="preserve"> </v>
      </c>
      <c r="B31" s="96"/>
      <c r="C31" s="31"/>
      <c r="D31" s="97"/>
      <c r="E31" s="98"/>
      <c r="F31" s="99"/>
      <c r="G31" s="20"/>
      <c r="H31" s="89"/>
      <c r="I31" s="89"/>
      <c r="J31" s="92"/>
      <c r="K31" s="31"/>
      <c r="L31" s="32"/>
      <c r="M31" s="33"/>
    </row>
    <row r="32" spans="1:13">
      <c r="A32" s="89" t="str">
        <f>IF(B32=""," ",A31+1)</f>
        <v xml:space="preserve"> </v>
      </c>
      <c r="B32" s="96"/>
      <c r="C32" s="31"/>
      <c r="D32" s="97"/>
      <c r="E32" s="98"/>
      <c r="F32" s="99"/>
      <c r="G32" s="21"/>
      <c r="H32" s="89"/>
      <c r="I32" s="89"/>
      <c r="J32" s="92"/>
      <c r="K32" s="31"/>
      <c r="L32" s="32"/>
      <c r="M32" s="33"/>
    </row>
    <row r="33" spans="1:13">
      <c r="A33" s="89" t="str">
        <f t="shared" si="2"/>
        <v xml:space="preserve"> </v>
      </c>
      <c r="B33" s="96"/>
      <c r="C33" s="31"/>
      <c r="D33" s="97"/>
      <c r="E33" s="98"/>
      <c r="F33" s="99"/>
      <c r="G33" s="21"/>
      <c r="H33" s="89"/>
      <c r="I33" s="89"/>
      <c r="J33" s="92"/>
      <c r="K33" s="31"/>
      <c r="L33" s="32"/>
      <c r="M33" s="33"/>
    </row>
    <row r="34" spans="1:13">
      <c r="A34" s="89" t="str">
        <f t="shared" si="2"/>
        <v xml:space="preserve"> </v>
      </c>
      <c r="B34" s="96"/>
      <c r="C34" s="31"/>
      <c r="D34" s="97"/>
      <c r="E34" s="98"/>
      <c r="F34" s="99"/>
      <c r="G34" s="21"/>
      <c r="H34" s="89"/>
      <c r="I34" s="89"/>
      <c r="J34" s="92"/>
      <c r="K34" s="31"/>
      <c r="L34" s="32"/>
      <c r="M34" s="33"/>
    </row>
    <row r="35" spans="1:13">
      <c r="A35" s="89" t="str">
        <f t="shared" si="2"/>
        <v xml:space="preserve"> </v>
      </c>
      <c r="B35" s="96"/>
      <c r="C35" s="31"/>
      <c r="D35" s="97"/>
      <c r="E35" s="98"/>
      <c r="F35" s="99"/>
      <c r="G35" s="21"/>
      <c r="H35" s="89"/>
      <c r="I35" s="89"/>
      <c r="J35" s="92"/>
      <c r="K35" s="31"/>
      <c r="L35" s="32"/>
      <c r="M35" s="33"/>
    </row>
    <row r="36" spans="1:13">
      <c r="A36" s="89" t="str">
        <f t="shared" si="2"/>
        <v xml:space="preserve"> </v>
      </c>
      <c r="B36" s="96"/>
      <c r="C36" s="31"/>
      <c r="D36" s="97"/>
      <c r="E36" s="98"/>
      <c r="F36" s="99"/>
      <c r="G36" s="21"/>
      <c r="H36" s="89"/>
      <c r="I36" s="89"/>
      <c r="J36" s="92"/>
      <c r="K36" s="31"/>
      <c r="L36" s="32"/>
      <c r="M36" s="33"/>
    </row>
    <row r="37" spans="1:13">
      <c r="A37" s="89" t="str">
        <f t="shared" si="2"/>
        <v xml:space="preserve"> </v>
      </c>
      <c r="B37" s="96"/>
      <c r="C37" s="31"/>
      <c r="D37" s="97"/>
      <c r="E37" s="98"/>
      <c r="F37" s="99"/>
      <c r="G37" s="21"/>
      <c r="H37" s="89"/>
      <c r="I37" s="89"/>
      <c r="J37" s="92"/>
      <c r="K37" s="31"/>
      <c r="L37" s="32"/>
      <c r="M37" s="33"/>
    </row>
    <row r="38" spans="1:13">
      <c r="A38" s="42" t="str">
        <f>IF(B38=""," ",A37+1)</f>
        <v xml:space="preserve"> </v>
      </c>
      <c r="B38" s="71"/>
      <c r="C38" s="13"/>
      <c r="D38" s="72"/>
      <c r="E38" s="73"/>
      <c r="F38" s="74"/>
      <c r="G38" s="20"/>
      <c r="H38" s="42"/>
      <c r="I38" s="42"/>
      <c r="J38" s="59"/>
      <c r="K38" s="609"/>
      <c r="L38" s="610"/>
      <c r="M38" s="611"/>
    </row>
    <row r="39" spans="1:13">
      <c r="A39" s="42" t="str">
        <f>IF(B39=""," ",#REF!+1)</f>
        <v xml:space="preserve"> </v>
      </c>
      <c r="B39" s="71"/>
      <c r="C39" s="13"/>
      <c r="D39" s="72"/>
      <c r="E39" s="73"/>
      <c r="F39" s="74"/>
      <c r="G39" s="20"/>
      <c r="H39" s="42"/>
      <c r="I39" s="42"/>
      <c r="J39" s="59"/>
      <c r="K39" s="609"/>
      <c r="L39" s="610"/>
      <c r="M39" s="611"/>
    </row>
    <row r="40" spans="1:13">
      <c r="A40" s="42" t="str">
        <f>IF(B40=""," ",#REF!+1)</f>
        <v xml:space="preserve"> </v>
      </c>
      <c r="B40" s="71"/>
      <c r="C40" s="13"/>
      <c r="D40" s="72"/>
      <c r="E40" s="73"/>
      <c r="F40" s="74"/>
      <c r="G40" s="20"/>
      <c r="H40" s="42"/>
      <c r="I40" s="42"/>
      <c r="J40" s="59"/>
      <c r="K40" s="13"/>
      <c r="L40" s="14"/>
      <c r="M40" s="15"/>
    </row>
    <row r="41" spans="1:13">
      <c r="A41" s="42" t="str">
        <f>IF(B41=""," ",A40+1)</f>
        <v xml:space="preserve"> </v>
      </c>
      <c r="B41" s="71"/>
      <c r="C41" s="13"/>
      <c r="D41" s="72"/>
      <c r="E41" s="73"/>
      <c r="F41" s="74"/>
      <c r="G41" s="20"/>
      <c r="H41" s="42"/>
      <c r="I41" s="42"/>
      <c r="J41" s="59"/>
      <c r="K41" s="13"/>
      <c r="L41" s="14"/>
      <c r="M41" s="15"/>
    </row>
    <row r="42" spans="1:13">
      <c r="A42" s="42" t="str">
        <f>IF(B42=""," ",A41+1)</f>
        <v xml:space="preserve"> </v>
      </c>
      <c r="B42" s="71"/>
      <c r="C42" s="13"/>
      <c r="D42" s="72"/>
      <c r="E42" s="73"/>
      <c r="F42" s="74"/>
      <c r="G42" s="20"/>
      <c r="H42" s="42"/>
      <c r="I42" s="42"/>
      <c r="J42" s="59"/>
      <c r="K42" s="609"/>
      <c r="L42" s="610"/>
      <c r="M42" s="611"/>
    </row>
    <row r="43" spans="1:13">
      <c r="A43" s="42" t="str">
        <f>IF(B43=""," ",#REF!+1)</f>
        <v xml:space="preserve"> </v>
      </c>
      <c r="B43" s="71"/>
      <c r="C43" s="13"/>
      <c r="D43" s="72"/>
      <c r="E43" s="73"/>
      <c r="F43" s="74"/>
      <c r="G43" s="20"/>
      <c r="H43" s="42"/>
      <c r="I43" s="42"/>
      <c r="J43" s="59"/>
      <c r="K43" s="609"/>
      <c r="L43" s="610"/>
      <c r="M43" s="611"/>
    </row>
    <row r="44" spans="1:13">
      <c r="A44" s="42" t="str">
        <f>IF(B44=""," ",#REF!+1)</f>
        <v xml:space="preserve"> </v>
      </c>
      <c r="B44" s="71"/>
      <c r="C44" s="13"/>
      <c r="D44" s="72"/>
      <c r="E44" s="73"/>
      <c r="F44" s="74"/>
      <c r="G44" s="20"/>
      <c r="H44" s="42"/>
      <c r="I44" s="42"/>
      <c r="J44" s="59"/>
      <c r="K44" s="13"/>
      <c r="L44" s="14"/>
      <c r="M44" s="15"/>
    </row>
    <row r="45" spans="1:13">
      <c r="A45" s="42" t="str">
        <f>IF(B45=""," ",A44+1)</f>
        <v xml:space="preserve"> </v>
      </c>
      <c r="B45" s="71"/>
      <c r="C45" s="13"/>
      <c r="D45" s="72"/>
      <c r="E45" s="73"/>
      <c r="F45" s="74"/>
      <c r="G45" s="20"/>
      <c r="H45" s="42"/>
      <c r="I45" s="42"/>
      <c r="J45" s="59"/>
      <c r="K45" s="13"/>
      <c r="L45" s="14"/>
      <c r="M45" s="15"/>
    </row>
    <row r="46" spans="1:13">
      <c r="A46" s="42" t="str">
        <f>IF(B46=""," ",A45+1)</f>
        <v xml:space="preserve"> </v>
      </c>
      <c r="B46" s="71"/>
      <c r="C46" s="13"/>
      <c r="D46" s="72"/>
      <c r="E46" s="73"/>
      <c r="F46" s="74"/>
      <c r="G46" s="20"/>
      <c r="H46" s="42"/>
      <c r="I46" s="42"/>
      <c r="J46" s="59"/>
      <c r="K46" s="609"/>
      <c r="L46" s="610"/>
      <c r="M46" s="611"/>
    </row>
    <row r="47" spans="1:13">
      <c r="A47" s="42" t="str">
        <f>IF(B47=""," ",#REF!+1)</f>
        <v xml:space="preserve"> </v>
      </c>
      <c r="B47" s="71"/>
      <c r="C47" s="13"/>
      <c r="D47" s="72"/>
      <c r="E47" s="73"/>
      <c r="F47" s="74"/>
      <c r="G47" s="20"/>
      <c r="H47" s="42"/>
      <c r="I47" s="42"/>
      <c r="J47" s="59"/>
      <c r="K47" s="609"/>
      <c r="L47" s="610"/>
      <c r="M47" s="611"/>
    </row>
    <row r="48" spans="1:13">
      <c r="A48" s="42" t="str">
        <f>IF(B48=""," ",#REF!+1)</f>
        <v xml:space="preserve"> </v>
      </c>
      <c r="B48" s="71"/>
      <c r="C48" s="13"/>
      <c r="D48" s="72"/>
      <c r="E48" s="73"/>
      <c r="F48" s="74"/>
      <c r="G48" s="20"/>
      <c r="H48" s="42"/>
      <c r="I48" s="42"/>
      <c r="J48" s="59"/>
      <c r="K48" s="13"/>
      <c r="L48" s="14"/>
      <c r="M48" s="15"/>
    </row>
    <row r="49" spans="1:13">
      <c r="A49" s="42" t="str">
        <f>IF(B49=""," ",A48+1)</f>
        <v xml:space="preserve"> </v>
      </c>
      <c r="B49" s="71"/>
      <c r="C49" s="13"/>
      <c r="D49" s="72"/>
      <c r="E49" s="73"/>
      <c r="F49" s="74"/>
      <c r="G49" s="20"/>
      <c r="H49" s="42"/>
      <c r="I49" s="42"/>
      <c r="J49" s="59"/>
      <c r="K49" s="13"/>
      <c r="L49" s="14"/>
      <c r="M49" s="15"/>
    </row>
    <row r="50" spans="1:13">
      <c r="A50" s="42" t="str">
        <f>IF(B50=""," ",A49+1)</f>
        <v xml:space="preserve"> </v>
      </c>
      <c r="B50" s="71"/>
      <c r="C50" s="13"/>
      <c r="D50" s="72"/>
      <c r="E50" s="73"/>
      <c r="F50" s="74"/>
      <c r="G50" s="20"/>
      <c r="H50" s="42"/>
      <c r="I50" s="42"/>
      <c r="J50" s="59"/>
      <c r="K50" s="609"/>
      <c r="L50" s="610"/>
      <c r="M50" s="611"/>
    </row>
    <row r="51" spans="1:13">
      <c r="A51" s="42" t="str">
        <f>IF(B51=""," ",#REF!+1)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13"/>
      <c r="L52" s="14"/>
      <c r="M52" s="15"/>
    </row>
    <row r="53" spans="1:13">
      <c r="A53" s="42" t="str">
        <f>IF(B53=""," ",A52+1)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609"/>
      <c r="L54" s="610"/>
      <c r="M54" s="611"/>
    </row>
    <row r="55" spans="1:13">
      <c r="A55" s="42" t="str">
        <f>IF(B55=""," ",#REF!+1)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13"/>
      <c r="L56" s="14"/>
      <c r="M56" s="15"/>
    </row>
    <row r="57" spans="1:13">
      <c r="A57" s="42" t="str">
        <f>IF(B57=""," ",A56+1)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609"/>
      <c r="L58" s="610"/>
      <c r="M58" s="611"/>
    </row>
    <row r="59" spans="1:13">
      <c r="A59" s="42" t="str">
        <f>IF(B59=""," ",#REF!+1)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13"/>
      <c r="L60" s="14"/>
      <c r="M60" s="15"/>
    </row>
    <row r="61" spans="1:13">
      <c r="A61" s="42" t="str">
        <f>IF(B61=""," ",A60+1)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2" spans="1:13">
      <c r="B102" s="16" t="s">
        <v>1691</v>
      </c>
    </row>
    <row r="104" spans="1:13">
      <c r="B104" s="16" t="s">
        <v>1692</v>
      </c>
      <c r="C104" s="16" t="s">
        <v>1693</v>
      </c>
      <c r="D104" s="16" t="s">
        <v>1695</v>
      </c>
    </row>
    <row r="105" spans="1:13">
      <c r="D105" s="16" t="s">
        <v>1694</v>
      </c>
    </row>
    <row r="106" spans="1:13">
      <c r="D106" s="16" t="s">
        <v>1726</v>
      </c>
    </row>
    <row r="107" spans="1:13">
      <c r="C107" s="16" t="s">
        <v>1720</v>
      </c>
      <c r="D107" s="16" t="s">
        <v>1724</v>
      </c>
    </row>
    <row r="108" spans="1:13">
      <c r="C108" s="16" t="s">
        <v>1725</v>
      </c>
    </row>
    <row r="110" spans="1:13">
      <c r="B110" s="16" t="s">
        <v>948</v>
      </c>
      <c r="C110" s="16" t="s">
        <v>1313</v>
      </c>
    </row>
    <row r="112" spans="1:13">
      <c r="B112" s="75" t="s">
        <v>1463</v>
      </c>
      <c r="C112" s="16" t="s">
        <v>1411</v>
      </c>
    </row>
  </sheetData>
  <mergeCells count="66">
    <mergeCell ref="K86:M86"/>
    <mergeCell ref="K87:M87"/>
    <mergeCell ref="K90:M90"/>
    <mergeCell ref="K91:M91"/>
    <mergeCell ref="K100:M100"/>
    <mergeCell ref="K94:M94"/>
    <mergeCell ref="K95:M95"/>
    <mergeCell ref="K98:M98"/>
    <mergeCell ref="K99:M99"/>
    <mergeCell ref="K78:M78"/>
    <mergeCell ref="K79:M79"/>
    <mergeCell ref="K82:M82"/>
    <mergeCell ref="K83:M83"/>
    <mergeCell ref="K70:M70"/>
    <mergeCell ref="K71:M71"/>
    <mergeCell ref="K74:M74"/>
    <mergeCell ref="K75:M75"/>
    <mergeCell ref="K62:M62"/>
    <mergeCell ref="K63:M63"/>
    <mergeCell ref="K66:M66"/>
    <mergeCell ref="K67:M67"/>
    <mergeCell ref="K54:M54"/>
    <mergeCell ref="K55:M55"/>
    <mergeCell ref="K58:M58"/>
    <mergeCell ref="K59:M59"/>
    <mergeCell ref="K46:M46"/>
    <mergeCell ref="K47:M47"/>
    <mergeCell ref="K50:M50"/>
    <mergeCell ref="K51:M51"/>
    <mergeCell ref="K38:M38"/>
    <mergeCell ref="K39:M39"/>
    <mergeCell ref="K42:M42"/>
    <mergeCell ref="K43:M43"/>
    <mergeCell ref="A2:B2"/>
    <mergeCell ref="A3:B3"/>
    <mergeCell ref="A4:B4"/>
    <mergeCell ref="H2:J2"/>
    <mergeCell ref="C2:G2"/>
    <mergeCell ref="C3:G3"/>
    <mergeCell ref="C4:G4"/>
    <mergeCell ref="H4:I4"/>
    <mergeCell ref="H3:I3"/>
    <mergeCell ref="K10:M10"/>
    <mergeCell ref="A5:A6"/>
    <mergeCell ref="B5:C5"/>
    <mergeCell ref="K5:M6"/>
    <mergeCell ref="I5:J5"/>
    <mergeCell ref="D5:H5"/>
    <mergeCell ref="K8:M8"/>
    <mergeCell ref="K9:M9"/>
    <mergeCell ref="K7:M7"/>
    <mergeCell ref="K24:M24"/>
    <mergeCell ref="K25:M25"/>
    <mergeCell ref="K19:M19"/>
    <mergeCell ref="K20:M20"/>
    <mergeCell ref="K21:M21"/>
    <mergeCell ref="K22:M22"/>
    <mergeCell ref="K11:M11"/>
    <mergeCell ref="K13:M13"/>
    <mergeCell ref="K12:M12"/>
    <mergeCell ref="K23:M23"/>
    <mergeCell ref="K17:M17"/>
    <mergeCell ref="K18:M18"/>
    <mergeCell ref="K14:M14"/>
    <mergeCell ref="K16:M16"/>
    <mergeCell ref="K15:M15"/>
  </mergeCells>
  <phoneticPr fontId="6"/>
  <pageMargins left="0.78740157480314965" right="0.19685039370078741" top="0.59055118110236227" bottom="0.59055118110236227" header="0.51181102362204722" footer="0.39370078740157483"/>
  <pageSetup paperSize="9" scale="68" fitToHeight="0" orientation="portrait" r:id="rId1"/>
  <headerFooter alignWithMargins="0">
    <oddFooter>&amp;C&amp;10&amp;P/&amp;N&amp;R&amp;10&amp;A</oddFooter>
  </headerFooter>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pageSetUpPr fitToPage="1"/>
  </sheetPr>
  <dimension ref="A1:P117"/>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c r="B1" s="47"/>
      <c r="C1" s="244"/>
    </row>
    <row r="2" spans="1:16">
      <c r="A2" s="643" t="s">
        <v>602</v>
      </c>
      <c r="B2" s="644"/>
      <c r="C2" s="643" t="s">
        <v>36</v>
      </c>
      <c r="D2" s="651"/>
      <c r="E2" s="651"/>
      <c r="F2" s="651"/>
      <c r="G2" s="644"/>
      <c r="H2" s="643"/>
      <c r="I2" s="651"/>
      <c r="J2" s="644"/>
      <c r="K2" s="37"/>
      <c r="L2" s="38" t="s">
        <v>37</v>
      </c>
      <c r="M2" s="38" t="s">
        <v>38</v>
      </c>
    </row>
    <row r="3" spans="1:16">
      <c r="A3" s="647"/>
      <c r="B3" s="648"/>
      <c r="C3" s="652" t="s">
        <v>858</v>
      </c>
      <c r="D3" s="653"/>
      <c r="E3" s="653"/>
      <c r="F3" s="653"/>
      <c r="G3" s="654"/>
      <c r="H3" s="643" t="s">
        <v>39</v>
      </c>
      <c r="I3" s="644"/>
      <c r="J3" s="39">
        <f>COUNT(A7:A100)</f>
        <v>9</v>
      </c>
      <c r="K3" s="38" t="s">
        <v>40</v>
      </c>
      <c r="L3" s="40">
        <v>38629</v>
      </c>
      <c r="M3" s="41" t="s">
        <v>56</v>
      </c>
      <c r="O3" s="16" t="s">
        <v>41</v>
      </c>
      <c r="P3" s="16" t="s">
        <v>42</v>
      </c>
    </row>
    <row r="4" spans="1:16">
      <c r="A4" s="649" t="s">
        <v>43</v>
      </c>
      <c r="B4" s="650"/>
      <c r="C4" s="649" t="s">
        <v>1007</v>
      </c>
      <c r="D4" s="655"/>
      <c r="E4" s="655"/>
      <c r="F4" s="655"/>
      <c r="G4" s="650"/>
      <c r="H4" s="643" t="s">
        <v>44</v>
      </c>
      <c r="I4" s="644"/>
      <c r="J4" s="39">
        <f>SUM(G7:G100)</f>
        <v>81</v>
      </c>
      <c r="K4" s="38" t="s">
        <v>45</v>
      </c>
      <c r="L4" s="40">
        <v>38803</v>
      </c>
      <c r="M4" s="42" t="s">
        <v>532</v>
      </c>
      <c r="O4" s="16" t="s">
        <v>1358</v>
      </c>
      <c r="P4" s="16" t="s">
        <v>1359</v>
      </c>
    </row>
    <row r="5" spans="1:16">
      <c r="A5" s="645" t="s">
        <v>1360</v>
      </c>
      <c r="B5" s="643" t="s">
        <v>46</v>
      </c>
      <c r="C5" s="651"/>
      <c r="D5" s="662" t="s">
        <v>47</v>
      </c>
      <c r="E5" s="651"/>
      <c r="F5" s="651"/>
      <c r="G5" s="651"/>
      <c r="H5" s="651"/>
      <c r="I5" s="643" t="s">
        <v>604</v>
      </c>
      <c r="J5" s="644"/>
      <c r="K5" s="656" t="s">
        <v>48</v>
      </c>
      <c r="L5" s="657"/>
      <c r="M5" s="658"/>
      <c r="P5" s="16" t="s">
        <v>605</v>
      </c>
    </row>
    <row r="6" spans="1:16">
      <c r="A6" s="646"/>
      <c r="B6" s="38" t="s">
        <v>49</v>
      </c>
      <c r="C6" s="35" t="s">
        <v>50</v>
      </c>
      <c r="D6" s="43" t="s">
        <v>42</v>
      </c>
      <c r="E6" s="44" t="s">
        <v>51</v>
      </c>
      <c r="F6" s="45" t="s">
        <v>52</v>
      </c>
      <c r="G6" s="38" t="s">
        <v>606</v>
      </c>
      <c r="H6" s="36" t="s">
        <v>53</v>
      </c>
      <c r="I6" s="36" t="s">
        <v>607</v>
      </c>
      <c r="J6" s="36" t="s">
        <v>608</v>
      </c>
      <c r="K6" s="659"/>
      <c r="L6" s="660"/>
      <c r="M6" s="661"/>
      <c r="P6" s="16" t="s">
        <v>609</v>
      </c>
    </row>
    <row r="7" spans="1:16">
      <c r="A7" s="42">
        <v>1</v>
      </c>
      <c r="B7" s="48" t="s">
        <v>686</v>
      </c>
      <c r="C7" s="49" t="s">
        <v>859</v>
      </c>
      <c r="D7" s="78" t="s">
        <v>1374</v>
      </c>
      <c r="E7" s="98">
        <v>7</v>
      </c>
      <c r="F7" s="58"/>
      <c r="G7" s="21">
        <f>IF(D7="DATE",4,IF(D7="CHAR",E7,IF(D7="SMALLINT",2,IF(D7="INTEGER",4,IF(D7="TIMESTAMP",10,IF(D7="TIME",3,0))))))</f>
        <v>7</v>
      </c>
      <c r="H7" s="53" t="s">
        <v>1375</v>
      </c>
      <c r="I7" s="53" t="s">
        <v>1375</v>
      </c>
      <c r="J7" s="59"/>
      <c r="K7" s="599" t="s">
        <v>688</v>
      </c>
      <c r="L7" s="600"/>
      <c r="M7" s="601"/>
      <c r="P7" s="16" t="s">
        <v>571</v>
      </c>
    </row>
    <row r="8" spans="1:16">
      <c r="A8" s="53">
        <v>2</v>
      </c>
      <c r="B8" s="48" t="s">
        <v>687</v>
      </c>
      <c r="C8" s="49" t="s">
        <v>860</v>
      </c>
      <c r="D8" s="78" t="s">
        <v>506</v>
      </c>
      <c r="E8" s="98">
        <v>7</v>
      </c>
      <c r="F8" s="58"/>
      <c r="G8" s="21">
        <f t="shared" ref="G8:G15" si="0">IF(D8="DATE",4,IF(D8="CHAR",E8,IF(D8="SMALLINT",2,IF(D8="INTEGER",4,IF(D8="TIMESTAMP",10,IF(D8="TIME",3,0))))))</f>
        <v>7</v>
      </c>
      <c r="H8" s="53" t="s">
        <v>1151</v>
      </c>
      <c r="I8" s="53" t="s">
        <v>1151</v>
      </c>
      <c r="J8" s="59"/>
      <c r="K8" s="599" t="s">
        <v>689</v>
      </c>
      <c r="L8" s="600"/>
      <c r="M8" s="601"/>
    </row>
    <row r="9" spans="1:16" ht="51.75" customHeight="1">
      <c r="A9" s="42">
        <v>3</v>
      </c>
      <c r="B9" s="48" t="s">
        <v>691</v>
      </c>
      <c r="C9" s="49" t="s">
        <v>862</v>
      </c>
      <c r="D9" s="50" t="s">
        <v>523</v>
      </c>
      <c r="E9" s="51">
        <v>1</v>
      </c>
      <c r="F9" s="52"/>
      <c r="G9" s="21">
        <f t="shared" si="0"/>
        <v>1</v>
      </c>
      <c r="H9" s="53" t="s">
        <v>1375</v>
      </c>
      <c r="I9" s="53" t="s">
        <v>1375</v>
      </c>
      <c r="J9" s="60"/>
      <c r="K9" s="628" t="s">
        <v>1302</v>
      </c>
      <c r="L9" s="629"/>
      <c r="M9" s="630"/>
      <c r="P9" s="16" t="s">
        <v>861</v>
      </c>
    </row>
    <row r="10" spans="1:16">
      <c r="A10" s="53">
        <v>4</v>
      </c>
      <c r="B10" s="48" t="s">
        <v>75</v>
      </c>
      <c r="C10" s="49" t="s">
        <v>58</v>
      </c>
      <c r="D10" s="50" t="s">
        <v>1427</v>
      </c>
      <c r="E10" s="51">
        <v>20</v>
      </c>
      <c r="F10" s="58"/>
      <c r="G10" s="21">
        <f t="shared" si="0"/>
        <v>20</v>
      </c>
      <c r="H10" s="53" t="s">
        <v>1406</v>
      </c>
      <c r="I10" s="53"/>
      <c r="J10" s="59"/>
      <c r="K10" s="599" t="s">
        <v>382</v>
      </c>
      <c r="L10" s="600"/>
      <c r="M10" s="601"/>
    </row>
    <row r="11" spans="1:16" ht="12" customHeight="1">
      <c r="A11" s="42">
        <v>5</v>
      </c>
      <c r="B11" s="48" t="s">
        <v>69</v>
      </c>
      <c r="C11" s="49" t="s">
        <v>57</v>
      </c>
      <c r="D11" s="50" t="s">
        <v>569</v>
      </c>
      <c r="E11" s="51">
        <v>20</v>
      </c>
      <c r="F11" s="58"/>
      <c r="G11" s="21">
        <f t="shared" si="0"/>
        <v>20</v>
      </c>
      <c r="H11" s="53" t="s">
        <v>1400</v>
      </c>
      <c r="I11" s="53"/>
      <c r="J11" s="59"/>
      <c r="K11" s="599" t="s">
        <v>1208</v>
      </c>
      <c r="L11" s="600"/>
      <c r="M11" s="601"/>
    </row>
    <row r="12" spans="1:16" ht="11.25" customHeight="1">
      <c r="A12" s="53">
        <v>6</v>
      </c>
      <c r="B12" s="64" t="s">
        <v>26</v>
      </c>
      <c r="C12" s="24" t="s">
        <v>1399</v>
      </c>
      <c r="D12" s="65" t="s">
        <v>519</v>
      </c>
      <c r="E12" s="51"/>
      <c r="F12" s="58"/>
      <c r="G12" s="21">
        <f t="shared" si="0"/>
        <v>4</v>
      </c>
      <c r="H12" s="53" t="s">
        <v>1400</v>
      </c>
      <c r="I12" s="53" t="s">
        <v>1400</v>
      </c>
      <c r="J12" s="165"/>
      <c r="K12" s="632" t="s">
        <v>1659</v>
      </c>
      <c r="L12" s="633"/>
      <c r="M12" s="634"/>
      <c r="P12" s="16" t="s">
        <v>863</v>
      </c>
    </row>
    <row r="13" spans="1:16" ht="11.25" customHeight="1">
      <c r="A13" s="42">
        <v>7</v>
      </c>
      <c r="B13" s="64" t="s">
        <v>27</v>
      </c>
      <c r="C13" s="24" t="s">
        <v>864</v>
      </c>
      <c r="D13" s="65" t="s">
        <v>519</v>
      </c>
      <c r="E13" s="51"/>
      <c r="F13" s="58"/>
      <c r="G13" s="21">
        <f t="shared" si="0"/>
        <v>4</v>
      </c>
      <c r="H13" s="53" t="s">
        <v>1400</v>
      </c>
      <c r="I13" s="53"/>
      <c r="J13" s="165"/>
      <c r="K13" s="632" t="s">
        <v>1660</v>
      </c>
      <c r="L13" s="633"/>
      <c r="M13" s="634"/>
      <c r="P13" s="16" t="s">
        <v>517</v>
      </c>
    </row>
    <row r="14" spans="1:16" s="22" customFormat="1">
      <c r="A14" s="53">
        <v>8</v>
      </c>
      <c r="B14" s="64" t="s">
        <v>1083</v>
      </c>
      <c r="C14" s="24" t="s">
        <v>1111</v>
      </c>
      <c r="D14" s="72" t="s">
        <v>1431</v>
      </c>
      <c r="E14" s="51">
        <v>8</v>
      </c>
      <c r="F14" s="58"/>
      <c r="G14" s="20">
        <f t="shared" si="0"/>
        <v>8</v>
      </c>
      <c r="H14" s="53" t="s">
        <v>1432</v>
      </c>
      <c r="I14" s="89"/>
      <c r="J14" s="92"/>
      <c r="K14" s="602"/>
      <c r="L14" s="692"/>
      <c r="M14" s="693"/>
    </row>
    <row r="15" spans="1:16" s="22" customFormat="1">
      <c r="A15" s="42">
        <v>9</v>
      </c>
      <c r="B15" s="64" t="s">
        <v>1724</v>
      </c>
      <c r="C15" s="24" t="s">
        <v>1404</v>
      </c>
      <c r="D15" s="65" t="s">
        <v>1405</v>
      </c>
      <c r="E15" s="51"/>
      <c r="F15" s="58"/>
      <c r="G15" s="20">
        <f t="shared" si="0"/>
        <v>10</v>
      </c>
      <c r="H15" s="53" t="s">
        <v>1406</v>
      </c>
      <c r="I15" s="89"/>
      <c r="J15" s="92"/>
      <c r="K15" s="602"/>
      <c r="L15" s="692"/>
      <c r="M15" s="693"/>
    </row>
    <row r="16" spans="1:16" s="22" customFormat="1">
      <c r="A16" s="53"/>
      <c r="B16" s="93"/>
      <c r="C16" s="26"/>
      <c r="D16" s="94"/>
      <c r="E16" s="95"/>
      <c r="F16" s="90"/>
      <c r="G16" s="21"/>
      <c r="H16" s="91"/>
      <c r="I16" s="89"/>
      <c r="J16" s="92"/>
      <c r="K16" s="602"/>
      <c r="L16" s="692"/>
      <c r="M16" s="693"/>
    </row>
    <row r="17" spans="1:13" ht="156" customHeight="1">
      <c r="A17" s="42" t="str">
        <f>IF(B17=""," ",A13+1)</f>
        <v xml:space="preserve"> </v>
      </c>
      <c r="B17" s="100"/>
      <c r="C17" s="137"/>
      <c r="D17" s="78"/>
      <c r="E17" s="73"/>
      <c r="F17" s="74"/>
      <c r="G17" s="20"/>
      <c r="H17" s="42"/>
      <c r="I17" s="42"/>
      <c r="J17" s="59"/>
      <c r="K17" s="983" t="s">
        <v>1301</v>
      </c>
      <c r="L17" s="984"/>
      <c r="M17" s="985"/>
    </row>
    <row r="18" spans="1:13">
      <c r="A18" s="42" t="str">
        <f t="shared" ref="A18:A41" si="1">IF(B18=""," ",A17+1)</f>
        <v xml:space="preserve"> </v>
      </c>
      <c r="B18" s="100"/>
      <c r="C18" s="137"/>
      <c r="D18" s="78"/>
      <c r="E18" s="73"/>
      <c r="F18" s="74"/>
      <c r="G18" s="20"/>
      <c r="H18" s="42"/>
      <c r="I18" s="42"/>
      <c r="J18" s="59"/>
      <c r="K18" s="599"/>
      <c r="L18" s="600"/>
      <c r="M18" s="601"/>
    </row>
    <row r="19" spans="1:13">
      <c r="A19" s="42" t="str">
        <f t="shared" si="1"/>
        <v xml:space="preserve"> </v>
      </c>
      <c r="B19" s="100"/>
      <c r="C19" s="137"/>
      <c r="D19" s="78"/>
      <c r="E19" s="73"/>
      <c r="F19" s="74"/>
      <c r="G19" s="20"/>
      <c r="H19" s="42"/>
      <c r="I19" s="42"/>
      <c r="J19" s="59"/>
      <c r="K19" s="599"/>
      <c r="L19" s="600"/>
      <c r="M19" s="601"/>
    </row>
    <row r="20" spans="1:13">
      <c r="A20" s="42" t="str">
        <f t="shared" si="1"/>
        <v xml:space="preserve"> </v>
      </c>
      <c r="B20" s="100"/>
      <c r="C20" s="137"/>
      <c r="D20" s="78"/>
      <c r="E20" s="73"/>
      <c r="F20" s="74"/>
      <c r="G20" s="20"/>
      <c r="H20" s="42"/>
      <c r="I20" s="42"/>
      <c r="J20" s="59"/>
      <c r="K20" s="599"/>
      <c r="L20" s="600"/>
      <c r="M20" s="601"/>
    </row>
    <row r="21" spans="1:13">
      <c r="A21" s="42" t="str">
        <f t="shared" si="1"/>
        <v xml:space="preserve"> </v>
      </c>
      <c r="B21" s="100"/>
      <c r="C21" s="137"/>
      <c r="D21" s="129"/>
      <c r="E21" s="73"/>
      <c r="F21" s="74"/>
      <c r="G21" s="20"/>
      <c r="H21" s="42"/>
      <c r="I21" s="42"/>
      <c r="J21" s="59"/>
      <c r="K21" s="599"/>
      <c r="L21" s="600"/>
      <c r="M21" s="601"/>
    </row>
    <row r="22" spans="1:13">
      <c r="A22" s="42" t="str">
        <f t="shared" si="1"/>
        <v xml:space="preserve"> </v>
      </c>
      <c r="B22" s="100"/>
      <c r="C22" s="137"/>
      <c r="D22" s="78"/>
      <c r="E22" s="73"/>
      <c r="F22" s="74"/>
      <c r="G22" s="20"/>
      <c r="H22" s="42"/>
      <c r="I22" s="42"/>
      <c r="J22" s="59"/>
      <c r="K22" s="55"/>
      <c r="L22" s="56"/>
      <c r="M22" s="57"/>
    </row>
    <row r="23" spans="1:13">
      <c r="A23" s="42" t="str">
        <f t="shared" si="1"/>
        <v xml:space="preserve"> </v>
      </c>
      <c r="B23" s="100"/>
      <c r="C23" s="137"/>
      <c r="D23" s="78"/>
      <c r="E23" s="73"/>
      <c r="F23" s="74"/>
      <c r="G23" s="20"/>
      <c r="H23" s="42"/>
      <c r="I23" s="42"/>
      <c r="J23" s="59"/>
      <c r="K23" s="55"/>
      <c r="L23" s="56"/>
      <c r="M23" s="57"/>
    </row>
    <row r="24" spans="1:13">
      <c r="A24" s="42" t="str">
        <f t="shared" si="1"/>
        <v xml:space="preserve"> </v>
      </c>
      <c r="B24" s="66"/>
      <c r="C24" s="13"/>
      <c r="D24" s="72"/>
      <c r="E24" s="73"/>
      <c r="F24" s="74"/>
      <c r="G24" s="20"/>
      <c r="H24" s="42"/>
      <c r="I24" s="42"/>
      <c r="J24" s="59"/>
      <c r="K24" s="13"/>
      <c r="L24" s="14"/>
      <c r="M24" s="15"/>
    </row>
    <row r="25" spans="1:13">
      <c r="A25" s="42" t="str">
        <f t="shared" si="1"/>
        <v xml:space="preserve"> </v>
      </c>
      <c r="B25" s="66"/>
      <c r="C25" s="13"/>
      <c r="D25" s="72"/>
      <c r="E25" s="73"/>
      <c r="F25" s="74"/>
      <c r="G25" s="20"/>
      <c r="H25" s="42"/>
      <c r="I25" s="42"/>
      <c r="J25" s="59"/>
      <c r="K25" s="13"/>
      <c r="L25" s="14"/>
      <c r="M25" s="15"/>
    </row>
    <row r="26" spans="1:13">
      <c r="A26" s="42" t="str">
        <f>IF(B26=""," ",#REF!+1)</f>
        <v xml:space="preserve"> </v>
      </c>
      <c r="B26" s="71"/>
      <c r="C26" s="13"/>
      <c r="D26" s="72"/>
      <c r="E26" s="73"/>
      <c r="F26" s="74"/>
      <c r="G26" s="20"/>
      <c r="H26" s="42"/>
      <c r="I26" s="42"/>
      <c r="J26" s="59"/>
      <c r="K26" s="13"/>
      <c r="L26" s="14"/>
      <c r="M26" s="15"/>
    </row>
    <row r="27" spans="1:13">
      <c r="A27" s="42" t="str">
        <f t="shared" si="1"/>
        <v xml:space="preserve"> </v>
      </c>
      <c r="B27" s="71"/>
      <c r="C27" s="13"/>
      <c r="D27" s="72"/>
      <c r="E27" s="73"/>
      <c r="F27" s="74"/>
      <c r="G27" s="20"/>
      <c r="H27" s="42"/>
      <c r="I27" s="42"/>
      <c r="J27" s="59"/>
      <c r="K27" s="13"/>
      <c r="L27" s="14"/>
      <c r="M27" s="15"/>
    </row>
    <row r="28" spans="1:13">
      <c r="A28" s="42" t="str">
        <f t="shared" si="1"/>
        <v xml:space="preserve"> </v>
      </c>
      <c r="B28" s="71"/>
      <c r="C28" s="13"/>
      <c r="D28" s="72"/>
      <c r="E28" s="73"/>
      <c r="F28" s="74"/>
      <c r="G28" s="20"/>
      <c r="H28" s="42"/>
      <c r="I28" s="42"/>
      <c r="J28" s="59"/>
      <c r="K28" s="13"/>
      <c r="L28" s="14"/>
      <c r="M28" s="15"/>
    </row>
    <row r="29" spans="1:13">
      <c r="A29" s="42" t="str">
        <f t="shared" si="1"/>
        <v xml:space="preserve"> </v>
      </c>
      <c r="B29" s="71"/>
      <c r="C29" s="13"/>
      <c r="D29" s="72"/>
      <c r="E29" s="73"/>
      <c r="F29" s="74"/>
      <c r="G29" s="20"/>
      <c r="H29" s="42"/>
      <c r="I29" s="42"/>
      <c r="J29" s="59"/>
      <c r="K29" s="13"/>
      <c r="L29" s="14"/>
      <c r="M29" s="15"/>
    </row>
    <row r="30" spans="1:13" ht="12" customHeight="1">
      <c r="A30" s="42" t="str">
        <f>IF(B30=""," ",A29+1)</f>
        <v xml:space="preserve"> </v>
      </c>
      <c r="B30" s="71"/>
      <c r="C30" s="13"/>
      <c r="D30" s="72"/>
      <c r="E30" s="73"/>
      <c r="F30" s="74"/>
      <c r="G30" s="20"/>
      <c r="H30" s="42"/>
      <c r="I30" s="42"/>
      <c r="J30" s="59"/>
      <c r="K30" s="13"/>
      <c r="L30" s="14"/>
      <c r="M30" s="15"/>
    </row>
    <row r="31" spans="1:13" ht="12" customHeight="1">
      <c r="A31" s="42" t="str">
        <f t="shared" si="1"/>
        <v xml:space="preserve"> </v>
      </c>
      <c r="B31" s="71"/>
      <c r="C31" s="13"/>
      <c r="D31" s="72"/>
      <c r="E31" s="73"/>
      <c r="F31" s="74"/>
      <c r="G31" s="20"/>
      <c r="H31" s="42"/>
      <c r="I31" s="42"/>
      <c r="J31" s="59"/>
      <c r="K31" s="13"/>
      <c r="L31" s="14"/>
      <c r="M31" s="15"/>
    </row>
    <row r="32" spans="1:13" ht="12" customHeight="1">
      <c r="A32" s="42" t="str">
        <f t="shared" si="1"/>
        <v xml:space="preserve"> </v>
      </c>
      <c r="B32" s="71"/>
      <c r="C32" s="13"/>
      <c r="D32" s="72"/>
      <c r="E32" s="73"/>
      <c r="F32" s="74"/>
      <c r="G32" s="20"/>
      <c r="H32" s="42"/>
      <c r="I32" s="42"/>
      <c r="J32" s="59"/>
      <c r="K32" s="13"/>
      <c r="L32" s="14"/>
      <c r="M32" s="15"/>
    </row>
    <row r="33" spans="1:13" ht="12" customHeight="1">
      <c r="A33" s="42" t="str">
        <f t="shared" si="1"/>
        <v xml:space="preserve"> </v>
      </c>
      <c r="B33" s="71"/>
      <c r="C33" s="13"/>
      <c r="D33" s="72"/>
      <c r="E33" s="73"/>
      <c r="F33" s="74"/>
      <c r="G33" s="20"/>
      <c r="H33" s="42"/>
      <c r="I33" s="42"/>
      <c r="J33" s="59"/>
      <c r="K33" s="13"/>
      <c r="L33" s="14"/>
      <c r="M33" s="15"/>
    </row>
    <row r="34" spans="1:13" ht="12" customHeight="1">
      <c r="A34" s="42" t="str">
        <f t="shared" si="1"/>
        <v xml:space="preserve"> </v>
      </c>
      <c r="B34" s="71"/>
      <c r="C34" s="13"/>
      <c r="D34" s="72"/>
      <c r="E34" s="73"/>
      <c r="F34" s="74"/>
      <c r="G34" s="20"/>
      <c r="H34" s="42"/>
      <c r="I34" s="42"/>
      <c r="J34" s="59"/>
      <c r="K34" s="13"/>
      <c r="L34" s="14"/>
      <c r="M34" s="15"/>
    </row>
    <row r="35" spans="1:13" ht="12" customHeight="1">
      <c r="A35" s="42" t="str">
        <f t="shared" si="1"/>
        <v xml:space="preserve"> </v>
      </c>
      <c r="B35" s="71"/>
      <c r="C35" s="13"/>
      <c r="D35" s="72"/>
      <c r="E35" s="73"/>
      <c r="F35" s="74"/>
      <c r="G35" s="20"/>
      <c r="H35" s="42"/>
      <c r="I35" s="42"/>
      <c r="J35" s="59"/>
      <c r="K35" s="13"/>
      <c r="L35" s="14"/>
      <c r="M35" s="15"/>
    </row>
    <row r="36" spans="1:13" ht="12" customHeight="1">
      <c r="A36" s="42" t="str">
        <f t="shared" si="1"/>
        <v xml:space="preserve"> </v>
      </c>
      <c r="B36" s="71"/>
      <c r="C36" s="13"/>
      <c r="D36" s="72"/>
      <c r="E36" s="73"/>
      <c r="F36" s="74"/>
      <c r="G36" s="20"/>
      <c r="H36" s="42"/>
      <c r="I36" s="42"/>
      <c r="J36" s="59"/>
      <c r="K36" s="13"/>
      <c r="L36" s="14"/>
      <c r="M36" s="15"/>
    </row>
    <row r="37" spans="1:13" ht="12" customHeight="1">
      <c r="A37" s="42" t="str">
        <f t="shared" si="1"/>
        <v xml:space="preserve"> </v>
      </c>
      <c r="B37" s="71"/>
      <c r="C37" s="13"/>
      <c r="D37" s="72"/>
      <c r="E37" s="73"/>
      <c r="F37" s="74"/>
      <c r="G37" s="20"/>
      <c r="H37" s="42"/>
      <c r="I37" s="42"/>
      <c r="J37" s="59"/>
      <c r="K37" s="13"/>
      <c r="L37" s="14"/>
      <c r="M37" s="15"/>
    </row>
    <row r="38" spans="1:13" ht="12" customHeight="1">
      <c r="A38" s="42" t="str">
        <f t="shared" si="1"/>
        <v xml:space="preserve"> </v>
      </c>
      <c r="B38" s="71"/>
      <c r="C38" s="13"/>
      <c r="D38" s="72"/>
      <c r="E38" s="73"/>
      <c r="F38" s="74"/>
      <c r="G38" s="20"/>
      <c r="H38" s="42"/>
      <c r="I38" s="42"/>
      <c r="J38" s="59"/>
      <c r="K38" s="13"/>
      <c r="L38" s="14"/>
      <c r="M38" s="15"/>
    </row>
    <row r="39" spans="1:13" ht="12" customHeight="1">
      <c r="A39" s="42" t="str">
        <f t="shared" si="1"/>
        <v xml:space="preserve"> </v>
      </c>
      <c r="B39" s="71"/>
      <c r="C39" s="13"/>
      <c r="D39" s="72"/>
      <c r="E39" s="73"/>
      <c r="F39" s="74"/>
      <c r="G39" s="20"/>
      <c r="H39" s="42"/>
      <c r="I39" s="42"/>
      <c r="J39" s="59"/>
      <c r="K39" s="13"/>
      <c r="L39" s="14"/>
      <c r="M39" s="15"/>
    </row>
    <row r="40" spans="1:13" ht="12" customHeight="1">
      <c r="A40" s="42" t="str">
        <f t="shared" si="1"/>
        <v xml:space="preserve"> </v>
      </c>
      <c r="B40" s="71"/>
      <c r="C40" s="13"/>
      <c r="D40" s="72"/>
      <c r="E40" s="73"/>
      <c r="F40" s="74"/>
      <c r="G40" s="20"/>
      <c r="H40" s="42"/>
      <c r="I40" s="42"/>
      <c r="J40" s="59"/>
      <c r="K40" s="13"/>
      <c r="L40" s="14"/>
      <c r="M40" s="15"/>
    </row>
    <row r="41" spans="1:13" ht="12" customHeight="1">
      <c r="A41" s="42" t="str">
        <f t="shared" si="1"/>
        <v xml:space="preserve"> </v>
      </c>
      <c r="B41" s="71"/>
      <c r="C41" s="13"/>
      <c r="D41" s="72"/>
      <c r="E41" s="73"/>
      <c r="F41" s="74"/>
      <c r="G41" s="20"/>
      <c r="H41" s="42"/>
      <c r="I41" s="42"/>
      <c r="J41" s="59"/>
      <c r="K41" s="13"/>
      <c r="L41" s="14"/>
      <c r="M41" s="15"/>
    </row>
    <row r="42" spans="1:13" ht="12" customHeight="1">
      <c r="A42" s="42" t="str">
        <f t="shared" ref="A42:A60" si="2">IF(B42=""," ",A41+1)</f>
        <v xml:space="preserve"> </v>
      </c>
      <c r="B42" s="71"/>
      <c r="C42" s="13"/>
      <c r="D42" s="72"/>
      <c r="E42" s="73"/>
      <c r="F42" s="74"/>
      <c r="G42" s="20"/>
      <c r="H42" s="42"/>
      <c r="I42" s="42"/>
      <c r="J42" s="59"/>
      <c r="K42" s="13"/>
      <c r="L42" s="14"/>
      <c r="M42" s="15"/>
    </row>
    <row r="43" spans="1:13" ht="12" customHeight="1">
      <c r="A43" s="42" t="str">
        <f t="shared" si="2"/>
        <v xml:space="preserve"> </v>
      </c>
      <c r="B43" s="71"/>
      <c r="C43" s="13"/>
      <c r="D43" s="72"/>
      <c r="E43" s="73"/>
      <c r="F43" s="74"/>
      <c r="G43" s="20"/>
      <c r="H43" s="42"/>
      <c r="I43" s="42"/>
      <c r="J43" s="59"/>
      <c r="K43" s="13"/>
      <c r="L43" s="14"/>
      <c r="M43" s="15"/>
    </row>
    <row r="44" spans="1:13" ht="12" customHeight="1">
      <c r="A44" s="42" t="str">
        <f t="shared" si="2"/>
        <v xml:space="preserve"> </v>
      </c>
      <c r="B44" s="71"/>
      <c r="C44" s="13"/>
      <c r="D44" s="72"/>
      <c r="E44" s="73"/>
      <c r="F44" s="74"/>
      <c r="G44" s="20"/>
      <c r="H44" s="42"/>
      <c r="I44" s="42"/>
      <c r="J44" s="59"/>
      <c r="K44" s="13"/>
      <c r="L44" s="14"/>
      <c r="M44" s="15"/>
    </row>
    <row r="45" spans="1:13" ht="12" customHeight="1">
      <c r="A45" s="42" t="str">
        <f t="shared" si="2"/>
        <v xml:space="preserve"> </v>
      </c>
      <c r="B45" s="71"/>
      <c r="C45" s="13"/>
      <c r="D45" s="72"/>
      <c r="E45" s="73"/>
      <c r="F45" s="74"/>
      <c r="G45" s="20"/>
      <c r="H45" s="42"/>
      <c r="I45" s="42"/>
      <c r="J45" s="59"/>
      <c r="K45" s="13"/>
      <c r="L45" s="14"/>
      <c r="M45" s="15"/>
    </row>
    <row r="46" spans="1:13" ht="12" customHeight="1">
      <c r="A46" s="42" t="str">
        <f t="shared" si="2"/>
        <v xml:space="preserve"> </v>
      </c>
      <c r="B46" s="71"/>
      <c r="C46" s="13"/>
      <c r="D46" s="72"/>
      <c r="E46" s="73"/>
      <c r="F46" s="74"/>
      <c r="G46" s="20"/>
      <c r="H46" s="42"/>
      <c r="I46" s="42"/>
      <c r="J46" s="59"/>
      <c r="K46" s="13"/>
      <c r="L46" s="14"/>
      <c r="M46" s="15"/>
    </row>
    <row r="47" spans="1:13">
      <c r="A47" s="42" t="str">
        <f t="shared" si="2"/>
        <v xml:space="preserve"> </v>
      </c>
      <c r="B47" s="71"/>
      <c r="C47" s="13"/>
      <c r="D47" s="72"/>
      <c r="E47" s="73"/>
      <c r="F47" s="74"/>
      <c r="G47" s="20"/>
      <c r="H47" s="42"/>
      <c r="I47" s="42"/>
      <c r="J47" s="59"/>
      <c r="K47" s="13"/>
      <c r="L47" s="14"/>
      <c r="M47" s="15"/>
    </row>
    <row r="48" spans="1:13">
      <c r="A48" s="42" t="str">
        <f t="shared" si="2"/>
        <v xml:space="preserve"> </v>
      </c>
      <c r="B48" s="71"/>
      <c r="C48" s="13"/>
      <c r="D48" s="72"/>
      <c r="E48" s="73"/>
      <c r="F48" s="74"/>
      <c r="G48" s="20"/>
      <c r="H48" s="42"/>
      <c r="I48" s="42"/>
      <c r="J48" s="59"/>
      <c r="K48" s="13"/>
      <c r="L48" s="14"/>
      <c r="M48" s="15"/>
    </row>
    <row r="49" spans="1:13">
      <c r="A49" s="89" t="str">
        <f t="shared" si="2"/>
        <v xml:space="preserve"> </v>
      </c>
      <c r="B49" s="66"/>
      <c r="C49" s="31"/>
      <c r="D49" s="97"/>
      <c r="E49" s="98"/>
      <c r="F49" s="99"/>
      <c r="G49" s="21"/>
      <c r="H49" s="89"/>
      <c r="I49" s="89"/>
      <c r="J49" s="92"/>
      <c r="K49" s="31"/>
      <c r="L49" s="32"/>
      <c r="M49" s="33"/>
    </row>
    <row r="50" spans="1:13">
      <c r="A50" s="89" t="str">
        <f>IF(B50=""," ",#REF!+1)</f>
        <v xml:space="preserve"> </v>
      </c>
      <c r="B50" s="96"/>
      <c r="C50" s="31"/>
      <c r="D50" s="97"/>
      <c r="E50" s="98"/>
      <c r="F50" s="99"/>
      <c r="G50" s="21"/>
      <c r="H50" s="89"/>
      <c r="I50" s="89"/>
      <c r="J50" s="92"/>
      <c r="K50" s="31"/>
      <c r="L50" s="32"/>
      <c r="M50" s="33"/>
    </row>
    <row r="51" spans="1:13">
      <c r="A51" s="89" t="str">
        <f>IF(B51=""," ",#REF!+1)</f>
        <v xml:space="preserve"> </v>
      </c>
      <c r="B51" s="96"/>
      <c r="C51" s="31"/>
      <c r="D51" s="97"/>
      <c r="E51" s="98"/>
      <c r="F51" s="99"/>
      <c r="G51" s="21"/>
      <c r="H51" s="89"/>
      <c r="I51" s="89"/>
      <c r="J51" s="92"/>
      <c r="K51" s="31"/>
      <c r="L51" s="32"/>
      <c r="M51" s="33"/>
    </row>
    <row r="52" spans="1:13">
      <c r="A52" s="89" t="str">
        <f t="shared" si="2"/>
        <v xml:space="preserve"> </v>
      </c>
      <c r="B52" s="96"/>
      <c r="C52" s="31"/>
      <c r="D52" s="97"/>
      <c r="E52" s="98"/>
      <c r="F52" s="99"/>
      <c r="G52" s="21"/>
      <c r="H52" s="89"/>
      <c r="I52" s="89"/>
      <c r="J52" s="92"/>
      <c r="K52" s="31"/>
      <c r="L52" s="32"/>
      <c r="M52" s="33"/>
    </row>
    <row r="53" spans="1:13">
      <c r="A53" s="89" t="str">
        <f t="shared" si="2"/>
        <v xml:space="preserve"> </v>
      </c>
      <c r="B53" s="96"/>
      <c r="C53" s="31"/>
      <c r="D53" s="97"/>
      <c r="E53" s="98"/>
      <c r="F53" s="99"/>
      <c r="G53" s="21"/>
      <c r="H53" s="89"/>
      <c r="I53" s="89"/>
      <c r="J53" s="92"/>
      <c r="K53" s="31"/>
      <c r="L53" s="32"/>
      <c r="M53" s="33"/>
    </row>
    <row r="54" spans="1:13">
      <c r="A54" s="89" t="str">
        <f t="shared" si="2"/>
        <v xml:space="preserve"> </v>
      </c>
      <c r="B54" s="96"/>
      <c r="C54" s="31"/>
      <c r="D54" s="97"/>
      <c r="E54" s="98"/>
      <c r="F54" s="99"/>
      <c r="G54" s="21"/>
      <c r="H54" s="89"/>
      <c r="I54" s="89"/>
      <c r="J54" s="92"/>
      <c r="K54" s="31"/>
      <c r="L54" s="32"/>
      <c r="M54" s="33"/>
    </row>
    <row r="55" spans="1:13">
      <c r="A55" s="89" t="str">
        <f>IF(B55=""," ",A54+1)</f>
        <v xml:space="preserve"> </v>
      </c>
      <c r="B55" s="96"/>
      <c r="C55" s="31"/>
      <c r="D55" s="97"/>
      <c r="E55" s="98"/>
      <c r="F55" s="99"/>
      <c r="G55" s="21"/>
      <c r="H55" s="89"/>
      <c r="I55" s="89"/>
      <c r="J55" s="92"/>
      <c r="K55" s="31"/>
      <c r="L55" s="32"/>
      <c r="M55" s="33"/>
    </row>
    <row r="56" spans="1:13">
      <c r="A56" s="89" t="str">
        <f t="shared" si="2"/>
        <v xml:space="preserve"> </v>
      </c>
      <c r="B56" s="96"/>
      <c r="C56" s="31"/>
      <c r="D56" s="97"/>
      <c r="E56" s="98"/>
      <c r="F56" s="99"/>
      <c r="G56" s="21"/>
      <c r="H56" s="89"/>
      <c r="I56" s="89"/>
      <c r="J56" s="92"/>
      <c r="K56" s="31"/>
      <c r="L56" s="32"/>
      <c r="M56" s="33"/>
    </row>
    <row r="57" spans="1:13">
      <c r="A57" s="89" t="str">
        <f t="shared" si="2"/>
        <v xml:space="preserve"> </v>
      </c>
      <c r="B57" s="96"/>
      <c r="C57" s="31"/>
      <c r="D57" s="97"/>
      <c r="E57" s="98"/>
      <c r="F57" s="99"/>
      <c r="G57" s="21"/>
      <c r="H57" s="89"/>
      <c r="I57" s="89"/>
      <c r="J57" s="92"/>
      <c r="K57" s="31"/>
      <c r="L57" s="32"/>
      <c r="M57" s="33"/>
    </row>
    <row r="58" spans="1:13">
      <c r="A58" s="89" t="str">
        <f t="shared" si="2"/>
        <v xml:space="preserve"> </v>
      </c>
      <c r="B58" s="96"/>
      <c r="C58" s="31"/>
      <c r="D58" s="97"/>
      <c r="E58" s="98"/>
      <c r="F58" s="99"/>
      <c r="G58" s="21"/>
      <c r="H58" s="89"/>
      <c r="I58" s="89"/>
      <c r="J58" s="92"/>
      <c r="K58" s="31"/>
      <c r="L58" s="32"/>
      <c r="M58" s="33"/>
    </row>
    <row r="59" spans="1:13">
      <c r="A59" s="89" t="str">
        <f t="shared" si="2"/>
        <v xml:space="preserve"> </v>
      </c>
      <c r="B59" s="96"/>
      <c r="C59" s="31"/>
      <c r="D59" s="97"/>
      <c r="E59" s="98"/>
      <c r="F59" s="99"/>
      <c r="G59" s="21"/>
      <c r="H59" s="89"/>
      <c r="I59" s="89"/>
      <c r="J59" s="92"/>
      <c r="K59" s="31"/>
      <c r="L59" s="32"/>
      <c r="M59" s="33"/>
    </row>
    <row r="60" spans="1:13">
      <c r="A60" s="89" t="str">
        <f t="shared" si="2"/>
        <v xml:space="preserve"> </v>
      </c>
      <c r="B60" s="96"/>
      <c r="C60" s="31"/>
      <c r="D60" s="97"/>
      <c r="E60" s="98"/>
      <c r="F60" s="99"/>
      <c r="G60" s="21"/>
      <c r="H60" s="89"/>
      <c r="I60" s="89"/>
      <c r="J60" s="92"/>
      <c r="K60" s="31"/>
      <c r="L60" s="32"/>
      <c r="M60" s="33"/>
    </row>
    <row r="61" spans="1:13">
      <c r="A61" s="42" t="str">
        <f>IF(B61=""," ",A60+1)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13"/>
      <c r="L99" s="14"/>
      <c r="M99" s="15"/>
    </row>
    <row r="100" spans="1:13">
      <c r="A100" s="42" t="str">
        <f>IF(B100=""," ",A99+1)</f>
        <v xml:space="preserve"> </v>
      </c>
      <c r="B100" s="71"/>
      <c r="C100" s="13"/>
      <c r="D100" s="72"/>
      <c r="E100" s="73"/>
      <c r="F100" s="74"/>
      <c r="G100" s="20"/>
      <c r="H100" s="42"/>
      <c r="I100" s="42"/>
      <c r="J100" s="59"/>
      <c r="K100" s="13"/>
      <c r="L100" s="14"/>
      <c r="M100" s="15"/>
    </row>
    <row r="102" spans="1:13">
      <c r="B102" s="16" t="s">
        <v>1691</v>
      </c>
    </row>
    <row r="104" spans="1:13">
      <c r="B104" s="16" t="s">
        <v>1692</v>
      </c>
      <c r="C104" s="16" t="s">
        <v>1693</v>
      </c>
      <c r="D104" s="16" t="s">
        <v>1695</v>
      </c>
    </row>
    <row r="105" spans="1:13">
      <c r="D105" s="16" t="s">
        <v>1694</v>
      </c>
    </row>
    <row r="106" spans="1:13">
      <c r="D106" s="16" t="s">
        <v>1726</v>
      </c>
    </row>
    <row r="107" spans="1:13">
      <c r="C107" s="16" t="s">
        <v>1720</v>
      </c>
      <c r="D107" s="16" t="s">
        <v>1724</v>
      </c>
    </row>
    <row r="108" spans="1:13">
      <c r="C108" s="16" t="s">
        <v>1725</v>
      </c>
    </row>
    <row r="110" spans="1:13">
      <c r="B110" s="16" t="s">
        <v>725</v>
      </c>
      <c r="C110" s="16" t="s">
        <v>726</v>
      </c>
    </row>
    <row r="111" spans="1:13">
      <c r="C111" s="16" t="s">
        <v>1693</v>
      </c>
      <c r="D111" s="16" t="s">
        <v>737</v>
      </c>
    </row>
    <row r="112" spans="1:13">
      <c r="D112" s="16" t="s">
        <v>690</v>
      </c>
    </row>
    <row r="113" spans="3:4">
      <c r="C113" s="16" t="s">
        <v>738</v>
      </c>
      <c r="D113" s="16" t="s">
        <v>739</v>
      </c>
    </row>
    <row r="114" spans="3:4">
      <c r="D114" s="16" t="s">
        <v>740</v>
      </c>
    </row>
    <row r="115" spans="3:4">
      <c r="C115" s="16" t="s">
        <v>758</v>
      </c>
      <c r="D115" s="16" t="s">
        <v>741</v>
      </c>
    </row>
    <row r="116" spans="3:4">
      <c r="D116" s="16" t="s">
        <v>742</v>
      </c>
    </row>
    <row r="117" spans="3:4">
      <c r="C117" s="16" t="s">
        <v>1720</v>
      </c>
      <c r="D117" s="16" t="s">
        <v>748</v>
      </c>
    </row>
  </sheetData>
  <mergeCells count="49">
    <mergeCell ref="K93:M93"/>
    <mergeCell ref="K94:M94"/>
    <mergeCell ref="K97:M97"/>
    <mergeCell ref="K98:M98"/>
    <mergeCell ref="K85:M85"/>
    <mergeCell ref="K86:M86"/>
    <mergeCell ref="K89:M89"/>
    <mergeCell ref="K90:M90"/>
    <mergeCell ref="K77:M77"/>
    <mergeCell ref="K78:M78"/>
    <mergeCell ref="K81:M81"/>
    <mergeCell ref="K82:M82"/>
    <mergeCell ref="K69:M69"/>
    <mergeCell ref="K70:M70"/>
    <mergeCell ref="K73:M73"/>
    <mergeCell ref="K74:M74"/>
    <mergeCell ref="A5:A6"/>
    <mergeCell ref="K61:M61"/>
    <mergeCell ref="K62:M62"/>
    <mergeCell ref="K65:M65"/>
    <mergeCell ref="K66:M66"/>
    <mergeCell ref="K18:M18"/>
    <mergeCell ref="K19:M19"/>
    <mergeCell ref="K20:M20"/>
    <mergeCell ref="K21:M21"/>
    <mergeCell ref="K12:M12"/>
    <mergeCell ref="K13:M13"/>
    <mergeCell ref="K14:M14"/>
    <mergeCell ref="K15:M15"/>
    <mergeCell ref="B5:C5"/>
    <mergeCell ref="K5:M6"/>
    <mergeCell ref="I5:J5"/>
    <mergeCell ref="A2:B2"/>
    <mergeCell ref="A3:B3"/>
    <mergeCell ref="A4:B4"/>
    <mergeCell ref="H2:J2"/>
    <mergeCell ref="C2:G2"/>
    <mergeCell ref="C3:G3"/>
    <mergeCell ref="C4:G4"/>
    <mergeCell ref="H3:I3"/>
    <mergeCell ref="D5:H5"/>
    <mergeCell ref="H4:I4"/>
    <mergeCell ref="K17:M17"/>
    <mergeCell ref="K7:M7"/>
    <mergeCell ref="K9:M9"/>
    <mergeCell ref="K16:M16"/>
    <mergeCell ref="K8:M8"/>
    <mergeCell ref="K10:M10"/>
    <mergeCell ref="K11:M11"/>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52">
    <pageSetUpPr fitToPage="1"/>
  </sheetPr>
  <dimension ref="A1:P104"/>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267" bestFit="1" customWidth="1"/>
    <col min="2" max="2" width="28.625" style="268" customWidth="1"/>
    <col min="3" max="3" width="13.375" style="268" customWidth="1"/>
    <col min="4" max="4" width="9.375" style="268" customWidth="1"/>
    <col min="5" max="6" width="4.75" style="268" bestFit="1" customWidth="1"/>
    <col min="7" max="7" width="6.125" style="268" bestFit="1" customWidth="1"/>
    <col min="8" max="8" width="4.75" style="268" bestFit="1" customWidth="1"/>
    <col min="9" max="9" width="4.75" style="268" customWidth="1"/>
    <col min="10" max="11" width="9.625" style="268" customWidth="1"/>
    <col min="12" max="13" width="10.25" style="268" customWidth="1"/>
    <col min="14" max="14" width="9" style="268"/>
    <col min="15" max="16" width="9" style="268" hidden="1" customWidth="1"/>
    <col min="17" max="16384" width="9" style="268"/>
  </cols>
  <sheetData>
    <row r="1" spans="1:16">
      <c r="B1" s="47"/>
    </row>
    <row r="2" spans="1:16">
      <c r="A2" s="991" t="s">
        <v>1562</v>
      </c>
      <c r="B2" s="999"/>
      <c r="C2" s="991" t="s">
        <v>36</v>
      </c>
      <c r="D2" s="992"/>
      <c r="E2" s="992"/>
      <c r="F2" s="992"/>
      <c r="G2" s="999"/>
      <c r="H2" s="991"/>
      <c r="I2" s="992"/>
      <c r="J2" s="999"/>
      <c r="K2" s="270"/>
      <c r="L2" s="271" t="s">
        <v>37</v>
      </c>
      <c r="M2" s="271" t="s">
        <v>38</v>
      </c>
    </row>
    <row r="3" spans="1:16">
      <c r="A3" s="1001"/>
      <c r="B3" s="1002"/>
      <c r="C3" s="1005" t="s">
        <v>1563</v>
      </c>
      <c r="D3" s="1006"/>
      <c r="E3" s="1006"/>
      <c r="F3" s="1006"/>
      <c r="G3" s="1007"/>
      <c r="H3" s="991" t="s">
        <v>39</v>
      </c>
      <c r="I3" s="999"/>
      <c r="J3" s="272">
        <f>COUNT(A7:A100)</f>
        <v>16</v>
      </c>
      <c r="K3" s="271" t="s">
        <v>40</v>
      </c>
      <c r="L3" s="273">
        <v>38764</v>
      </c>
      <c r="M3" s="274" t="s">
        <v>1407</v>
      </c>
      <c r="O3" s="268" t="s">
        <v>41</v>
      </c>
      <c r="P3" s="268" t="s">
        <v>42</v>
      </c>
    </row>
    <row r="4" spans="1:16">
      <c r="A4" s="1003" t="s">
        <v>43</v>
      </c>
      <c r="B4" s="1004"/>
      <c r="C4" s="1003" t="s">
        <v>1014</v>
      </c>
      <c r="D4" s="1008"/>
      <c r="E4" s="1008"/>
      <c r="F4" s="1008"/>
      <c r="G4" s="1004"/>
      <c r="H4" s="991" t="s">
        <v>44</v>
      </c>
      <c r="I4" s="999"/>
      <c r="J4" s="272">
        <f>SUM(G7:G100)</f>
        <v>226</v>
      </c>
      <c r="K4" s="271" t="s">
        <v>45</v>
      </c>
      <c r="L4" s="273"/>
      <c r="M4" s="275"/>
      <c r="O4" s="268" t="s">
        <v>1564</v>
      </c>
      <c r="P4" s="268" t="s">
        <v>1565</v>
      </c>
    </row>
    <row r="5" spans="1:16">
      <c r="A5" s="989" t="s">
        <v>1566</v>
      </c>
      <c r="B5" s="991" t="s">
        <v>46</v>
      </c>
      <c r="C5" s="992"/>
      <c r="D5" s="1000" t="s">
        <v>47</v>
      </c>
      <c r="E5" s="992"/>
      <c r="F5" s="992"/>
      <c r="G5" s="992"/>
      <c r="H5" s="992"/>
      <c r="I5" s="991" t="s">
        <v>1567</v>
      </c>
      <c r="J5" s="999"/>
      <c r="K5" s="993" t="s">
        <v>48</v>
      </c>
      <c r="L5" s="994"/>
      <c r="M5" s="995"/>
      <c r="P5" s="268" t="s">
        <v>1568</v>
      </c>
    </row>
    <row r="6" spans="1:16">
      <c r="A6" s="990"/>
      <c r="B6" s="271" t="s">
        <v>49</v>
      </c>
      <c r="C6" s="276" t="s">
        <v>50</v>
      </c>
      <c r="D6" s="277" t="s">
        <v>42</v>
      </c>
      <c r="E6" s="278" t="s">
        <v>51</v>
      </c>
      <c r="F6" s="279" t="s">
        <v>52</v>
      </c>
      <c r="G6" s="271" t="s">
        <v>1569</v>
      </c>
      <c r="H6" s="269" t="s">
        <v>53</v>
      </c>
      <c r="I6" s="269" t="s">
        <v>1570</v>
      </c>
      <c r="J6" s="269" t="s">
        <v>1571</v>
      </c>
      <c r="K6" s="996"/>
      <c r="L6" s="997"/>
      <c r="M6" s="998"/>
      <c r="P6" s="268" t="s">
        <v>1572</v>
      </c>
    </row>
    <row r="7" spans="1:16">
      <c r="A7" s="275">
        <v>1</v>
      </c>
      <c r="B7" s="48" t="s">
        <v>1535</v>
      </c>
      <c r="C7" s="49" t="s">
        <v>1573</v>
      </c>
      <c r="D7" s="78" t="s">
        <v>1574</v>
      </c>
      <c r="E7" s="280">
        <v>8</v>
      </c>
      <c r="F7" s="281"/>
      <c r="G7" s="21">
        <f t="shared" ref="G7:G22" si="0">IF(D7="DATE",4,IF(D7="CHAR",E7,IF(D7="SMALLINT",2,IF(D7="INTEGER",4,IF(D7="TIMESTAMP",10,IF(D7="TIME",3,0))))))</f>
        <v>8</v>
      </c>
      <c r="H7" s="275" t="s">
        <v>1575</v>
      </c>
      <c r="I7" s="275" t="s">
        <v>1575</v>
      </c>
      <c r="J7" s="282"/>
      <c r="K7" s="599"/>
      <c r="L7" s="600"/>
      <c r="M7" s="601"/>
      <c r="P7" s="268" t="s">
        <v>1576</v>
      </c>
    </row>
    <row r="8" spans="1:16" ht="12" customHeight="1">
      <c r="A8" s="275">
        <f t="shared" ref="A8:A22" si="1">IF(B8=""," ",A7+1)</f>
        <v>2</v>
      </c>
      <c r="B8" s="48" t="s">
        <v>1536</v>
      </c>
      <c r="C8" s="49" t="s">
        <v>1577</v>
      </c>
      <c r="D8" s="78" t="s">
        <v>1574</v>
      </c>
      <c r="E8" s="280">
        <v>30</v>
      </c>
      <c r="F8" s="281"/>
      <c r="G8" s="21">
        <f t="shared" si="0"/>
        <v>30</v>
      </c>
      <c r="H8" s="275" t="s">
        <v>1575</v>
      </c>
      <c r="I8" s="275"/>
      <c r="J8" s="282"/>
      <c r="K8" s="599" t="s">
        <v>1555</v>
      </c>
      <c r="L8" s="600"/>
      <c r="M8" s="601"/>
      <c r="P8" s="268" t="s">
        <v>1578</v>
      </c>
    </row>
    <row r="9" spans="1:16" s="22" customFormat="1">
      <c r="A9" s="275">
        <f t="shared" si="1"/>
        <v>3</v>
      </c>
      <c r="B9" s="48" t="s">
        <v>504</v>
      </c>
      <c r="C9" s="49" t="s">
        <v>1579</v>
      </c>
      <c r="D9" s="78" t="s">
        <v>1574</v>
      </c>
      <c r="E9" s="98">
        <v>10</v>
      </c>
      <c r="F9" s="99"/>
      <c r="G9" s="21">
        <f t="shared" si="0"/>
        <v>10</v>
      </c>
      <c r="H9" s="275" t="s">
        <v>1575</v>
      </c>
      <c r="I9" s="89"/>
      <c r="J9" s="92"/>
      <c r="K9" s="599"/>
      <c r="L9" s="600"/>
      <c r="M9" s="601"/>
      <c r="P9" s="22" t="s">
        <v>1580</v>
      </c>
    </row>
    <row r="10" spans="1:16">
      <c r="A10" s="275">
        <f t="shared" si="1"/>
        <v>4</v>
      </c>
      <c r="B10" s="48" t="s">
        <v>1537</v>
      </c>
      <c r="C10" s="49" t="s">
        <v>1581</v>
      </c>
      <c r="D10" s="78" t="s">
        <v>1574</v>
      </c>
      <c r="E10" s="280">
        <v>20</v>
      </c>
      <c r="F10" s="281"/>
      <c r="G10" s="21">
        <f t="shared" si="0"/>
        <v>20</v>
      </c>
      <c r="H10" s="275" t="s">
        <v>1575</v>
      </c>
      <c r="I10" s="275"/>
      <c r="J10" s="282"/>
      <c r="K10" s="599"/>
      <c r="L10" s="600"/>
      <c r="M10" s="601"/>
      <c r="P10" s="268" t="s">
        <v>1582</v>
      </c>
    </row>
    <row r="11" spans="1:16" ht="27" customHeight="1">
      <c r="A11" s="275">
        <f t="shared" si="1"/>
        <v>5</v>
      </c>
      <c r="B11" s="48" t="s">
        <v>1538</v>
      </c>
      <c r="C11" s="49" t="s">
        <v>1583</v>
      </c>
      <c r="D11" s="78" t="s">
        <v>1574</v>
      </c>
      <c r="E11" s="280">
        <v>110</v>
      </c>
      <c r="F11" s="281"/>
      <c r="G11" s="21">
        <f t="shared" si="0"/>
        <v>110</v>
      </c>
      <c r="H11" s="275" t="s">
        <v>1575</v>
      </c>
      <c r="I11" s="275"/>
      <c r="J11" s="282"/>
      <c r="K11" s="599" t="s">
        <v>1556</v>
      </c>
      <c r="L11" s="600"/>
      <c r="M11" s="601"/>
      <c r="P11" s="268" t="s">
        <v>1580</v>
      </c>
    </row>
    <row r="12" spans="1:16" s="22" customFormat="1" ht="39.950000000000003" customHeight="1">
      <c r="A12" s="275">
        <f t="shared" si="1"/>
        <v>6</v>
      </c>
      <c r="B12" s="283" t="s">
        <v>1539</v>
      </c>
      <c r="C12" s="284" t="s">
        <v>1584</v>
      </c>
      <c r="D12" s="285" t="s">
        <v>1582</v>
      </c>
      <c r="E12" s="286" t="s">
        <v>1585</v>
      </c>
      <c r="F12" s="287"/>
      <c r="G12" s="21">
        <f t="shared" si="0"/>
        <v>4</v>
      </c>
      <c r="H12" s="275" t="s">
        <v>1575</v>
      </c>
      <c r="I12" s="288"/>
      <c r="J12" s="289"/>
      <c r="K12" s="872" t="s">
        <v>1560</v>
      </c>
      <c r="L12" s="873"/>
      <c r="M12" s="874"/>
    </row>
    <row r="13" spans="1:16" s="22" customFormat="1">
      <c r="A13" s="275">
        <f t="shared" si="1"/>
        <v>7</v>
      </c>
      <c r="B13" s="93" t="s">
        <v>1540</v>
      </c>
      <c r="C13" s="26" t="s">
        <v>1586</v>
      </c>
      <c r="D13" s="94" t="s">
        <v>1587</v>
      </c>
      <c r="E13" s="95"/>
      <c r="F13" s="90"/>
      <c r="G13" s="21">
        <f t="shared" si="0"/>
        <v>10</v>
      </c>
      <c r="H13" s="91" t="s">
        <v>1575</v>
      </c>
      <c r="I13" s="89"/>
      <c r="J13" s="92"/>
      <c r="K13" s="602"/>
      <c r="L13" s="692"/>
      <c r="M13" s="693"/>
    </row>
    <row r="14" spans="1:16" ht="39.950000000000003" customHeight="1">
      <c r="A14" s="275">
        <f t="shared" si="1"/>
        <v>8</v>
      </c>
      <c r="B14" s="100" t="s">
        <v>1541</v>
      </c>
      <c r="C14" s="137" t="s">
        <v>1588</v>
      </c>
      <c r="D14" s="78" t="s">
        <v>1582</v>
      </c>
      <c r="E14" s="280"/>
      <c r="F14" s="281"/>
      <c r="G14" s="21">
        <f t="shared" si="0"/>
        <v>4</v>
      </c>
      <c r="H14" s="275" t="s">
        <v>1575</v>
      </c>
      <c r="I14" s="275"/>
      <c r="J14" s="282"/>
      <c r="K14" s="628" t="s">
        <v>1553</v>
      </c>
      <c r="L14" s="629"/>
      <c r="M14" s="630"/>
    </row>
    <row r="15" spans="1:16">
      <c r="A15" s="275">
        <f t="shared" si="1"/>
        <v>9</v>
      </c>
      <c r="B15" s="100" t="s">
        <v>1589</v>
      </c>
      <c r="C15" s="137" t="s">
        <v>1590</v>
      </c>
      <c r="D15" s="78" t="s">
        <v>1591</v>
      </c>
      <c r="E15" s="280">
        <v>2</v>
      </c>
      <c r="F15" s="281"/>
      <c r="G15" s="21">
        <f t="shared" si="0"/>
        <v>2</v>
      </c>
      <c r="H15" s="275" t="s">
        <v>1592</v>
      </c>
      <c r="I15" s="275"/>
      <c r="J15" s="282"/>
      <c r="K15" s="599"/>
      <c r="L15" s="600"/>
      <c r="M15" s="601"/>
    </row>
    <row r="16" spans="1:16" ht="39.950000000000003" customHeight="1">
      <c r="A16" s="275">
        <f t="shared" si="1"/>
        <v>10</v>
      </c>
      <c r="B16" s="100" t="s">
        <v>1542</v>
      </c>
      <c r="C16" s="137" t="s">
        <v>1593</v>
      </c>
      <c r="D16" s="78" t="s">
        <v>1591</v>
      </c>
      <c r="E16" s="280">
        <v>1</v>
      </c>
      <c r="F16" s="281"/>
      <c r="G16" s="21">
        <f t="shared" si="0"/>
        <v>1</v>
      </c>
      <c r="H16" s="275" t="s">
        <v>1592</v>
      </c>
      <c r="I16" s="275"/>
      <c r="J16" s="282"/>
      <c r="K16" s="628" t="s">
        <v>1554</v>
      </c>
      <c r="L16" s="629"/>
      <c r="M16" s="630"/>
    </row>
    <row r="17" spans="1:13">
      <c r="A17" s="275">
        <f t="shared" si="1"/>
        <v>11</v>
      </c>
      <c r="B17" s="290" t="s">
        <v>1543</v>
      </c>
      <c r="C17" s="291" t="s">
        <v>1594</v>
      </c>
      <c r="D17" s="292" t="s">
        <v>1595</v>
      </c>
      <c r="E17" s="280"/>
      <c r="F17" s="281"/>
      <c r="G17" s="21">
        <f t="shared" si="0"/>
        <v>10</v>
      </c>
      <c r="H17" s="275" t="s">
        <v>1596</v>
      </c>
      <c r="I17" s="275"/>
      <c r="J17" s="282"/>
      <c r="K17" s="986"/>
      <c r="L17" s="987"/>
      <c r="M17" s="988"/>
    </row>
    <row r="18" spans="1:13">
      <c r="A18" s="275">
        <f t="shared" si="1"/>
        <v>12</v>
      </c>
      <c r="B18" s="290" t="s">
        <v>1544</v>
      </c>
      <c r="C18" s="291" t="s">
        <v>1597</v>
      </c>
      <c r="D18" s="292" t="s">
        <v>1598</v>
      </c>
      <c r="E18" s="280">
        <v>1</v>
      </c>
      <c r="F18" s="281"/>
      <c r="G18" s="21">
        <f t="shared" si="0"/>
        <v>1</v>
      </c>
      <c r="H18" s="275" t="s">
        <v>1596</v>
      </c>
      <c r="I18" s="275"/>
      <c r="J18" s="282"/>
      <c r="K18" s="986"/>
      <c r="L18" s="987"/>
      <c r="M18" s="988"/>
    </row>
    <row r="19" spans="1:13">
      <c r="A19" s="275">
        <f t="shared" si="1"/>
        <v>13</v>
      </c>
      <c r="B19" s="290" t="s">
        <v>1545</v>
      </c>
      <c r="C19" s="284" t="s">
        <v>1599</v>
      </c>
      <c r="D19" s="292" t="s">
        <v>1600</v>
      </c>
      <c r="E19" s="280"/>
      <c r="F19" s="281"/>
      <c r="G19" s="21">
        <f t="shared" si="0"/>
        <v>4</v>
      </c>
      <c r="H19" s="275" t="s">
        <v>1596</v>
      </c>
      <c r="I19" s="275" t="s">
        <v>1596</v>
      </c>
      <c r="J19" s="282"/>
      <c r="K19" s="986"/>
      <c r="L19" s="987"/>
      <c r="M19" s="988"/>
    </row>
    <row r="20" spans="1:13">
      <c r="A20" s="275">
        <f t="shared" si="1"/>
        <v>14</v>
      </c>
      <c r="B20" s="290" t="s">
        <v>1546</v>
      </c>
      <c r="C20" s="284" t="s">
        <v>1601</v>
      </c>
      <c r="D20" s="292" t="s">
        <v>1600</v>
      </c>
      <c r="E20" s="280"/>
      <c r="F20" s="281"/>
      <c r="G20" s="21">
        <f t="shared" si="0"/>
        <v>4</v>
      </c>
      <c r="H20" s="275" t="s">
        <v>1596</v>
      </c>
      <c r="I20" s="275"/>
      <c r="J20" s="282"/>
      <c r="K20" s="986"/>
      <c r="L20" s="987"/>
      <c r="M20" s="988"/>
    </row>
    <row r="21" spans="1:13">
      <c r="A21" s="275">
        <f t="shared" si="1"/>
        <v>15</v>
      </c>
      <c r="B21" s="290" t="s">
        <v>1547</v>
      </c>
      <c r="C21" s="291" t="s">
        <v>1602</v>
      </c>
      <c r="D21" s="292" t="s">
        <v>1600</v>
      </c>
      <c r="E21" s="280"/>
      <c r="F21" s="281"/>
      <c r="G21" s="21">
        <f t="shared" si="0"/>
        <v>4</v>
      </c>
      <c r="H21" s="275" t="s">
        <v>1596</v>
      </c>
      <c r="I21" s="275"/>
      <c r="J21" s="282"/>
      <c r="K21" s="986"/>
      <c r="L21" s="987"/>
      <c r="M21" s="988"/>
    </row>
    <row r="22" spans="1:13">
      <c r="A22" s="275">
        <f t="shared" si="1"/>
        <v>16</v>
      </c>
      <c r="B22" s="290" t="s">
        <v>1548</v>
      </c>
      <c r="C22" s="291" t="s">
        <v>1603</v>
      </c>
      <c r="D22" s="292" t="s">
        <v>1600</v>
      </c>
      <c r="E22" s="280"/>
      <c r="F22" s="281"/>
      <c r="G22" s="21">
        <f t="shared" si="0"/>
        <v>4</v>
      </c>
      <c r="H22" s="275" t="s">
        <v>1596</v>
      </c>
      <c r="I22" s="275"/>
      <c r="J22" s="282"/>
      <c r="K22" s="986"/>
      <c r="L22" s="987"/>
      <c r="M22" s="988"/>
    </row>
    <row r="23" spans="1:13">
      <c r="A23" s="275"/>
      <c r="B23" s="290"/>
      <c r="C23" s="291"/>
      <c r="D23" s="292"/>
      <c r="E23" s="280"/>
      <c r="F23" s="281"/>
      <c r="G23" s="295"/>
      <c r="H23" s="275"/>
      <c r="I23" s="275"/>
      <c r="J23" s="282"/>
      <c r="K23" s="291"/>
      <c r="L23" s="293"/>
      <c r="M23" s="294"/>
    </row>
    <row r="24" spans="1:13">
      <c r="A24" s="89"/>
      <c r="B24" s="66"/>
      <c r="C24" s="31"/>
      <c r="D24" s="97"/>
      <c r="E24" s="98"/>
      <c r="F24" s="99"/>
      <c r="G24" s="295"/>
      <c r="H24" s="89"/>
      <c r="I24" s="89"/>
      <c r="J24" s="92"/>
      <c r="K24" s="31"/>
      <c r="L24" s="32"/>
      <c r="M24" s="33"/>
    </row>
    <row r="25" spans="1:13">
      <c r="A25" s="89"/>
      <c r="B25" s="96"/>
      <c r="C25" s="31"/>
      <c r="D25" s="97"/>
      <c r="E25" s="98"/>
      <c r="F25" s="99"/>
      <c r="G25" s="295"/>
      <c r="H25" s="89"/>
      <c r="I25" s="89"/>
      <c r="J25" s="92"/>
      <c r="K25" s="31"/>
      <c r="L25" s="32"/>
      <c r="M25" s="33"/>
    </row>
    <row r="26" spans="1:13">
      <c r="A26" s="89"/>
      <c r="B26" s="96"/>
      <c r="C26" s="31"/>
      <c r="D26" s="97"/>
      <c r="E26" s="98"/>
      <c r="F26" s="99"/>
      <c r="G26" s="295"/>
      <c r="H26" s="89"/>
      <c r="I26" s="89"/>
      <c r="J26" s="92"/>
      <c r="K26" s="31"/>
      <c r="L26" s="32"/>
      <c r="M26" s="33"/>
    </row>
    <row r="27" spans="1:13">
      <c r="A27" s="89"/>
      <c r="B27" s="96"/>
      <c r="C27" s="31"/>
      <c r="D27" s="97"/>
      <c r="E27" s="98"/>
      <c r="F27" s="99"/>
      <c r="G27" s="295"/>
      <c r="H27" s="89"/>
      <c r="I27" s="89"/>
      <c r="J27" s="92"/>
      <c r="K27" s="31"/>
      <c r="L27" s="32"/>
      <c r="M27" s="33"/>
    </row>
    <row r="28" spans="1:13">
      <c r="A28" s="89"/>
      <c r="B28" s="96"/>
      <c r="C28" s="31"/>
      <c r="D28" s="97"/>
      <c r="E28" s="98"/>
      <c r="F28" s="99"/>
      <c r="G28" s="295"/>
      <c r="H28" s="89"/>
      <c r="I28" s="89"/>
      <c r="J28" s="92"/>
      <c r="K28" s="31"/>
      <c r="L28" s="32"/>
      <c r="M28" s="33"/>
    </row>
    <row r="29" spans="1:13">
      <c r="A29" s="89"/>
      <c r="B29" s="96"/>
      <c r="C29" s="31"/>
      <c r="D29" s="97"/>
      <c r="E29" s="98"/>
      <c r="F29" s="99"/>
      <c r="G29" s="295"/>
      <c r="H29" s="89"/>
      <c r="I29" s="89"/>
      <c r="J29" s="92"/>
      <c r="K29" s="31"/>
      <c r="L29" s="32"/>
      <c r="M29" s="33"/>
    </row>
    <row r="30" spans="1:13">
      <c r="A30" s="89"/>
      <c r="B30" s="96"/>
      <c r="C30" s="31"/>
      <c r="D30" s="97"/>
      <c r="E30" s="98"/>
      <c r="F30" s="99"/>
      <c r="G30" s="295"/>
      <c r="H30" s="89"/>
      <c r="I30" s="89"/>
      <c r="J30" s="92"/>
      <c r="K30" s="31"/>
      <c r="L30" s="32"/>
      <c r="M30" s="33"/>
    </row>
    <row r="31" spans="1:13">
      <c r="A31" s="89"/>
      <c r="B31" s="96"/>
      <c r="C31" s="31"/>
      <c r="D31" s="97"/>
      <c r="E31" s="98"/>
      <c r="F31" s="99"/>
      <c r="G31" s="295"/>
      <c r="H31" s="89"/>
      <c r="I31" s="89"/>
      <c r="J31" s="92"/>
      <c r="K31" s="31"/>
      <c r="L31" s="32"/>
      <c r="M31" s="33"/>
    </row>
    <row r="32" spans="1:13">
      <c r="A32" s="89"/>
      <c r="B32" s="96"/>
      <c r="C32" s="31"/>
      <c r="D32" s="97"/>
      <c r="E32" s="98"/>
      <c r="F32" s="99"/>
      <c r="G32" s="295"/>
      <c r="H32" s="89"/>
      <c r="I32" s="89"/>
      <c r="J32" s="92"/>
      <c r="K32" s="31"/>
      <c r="L32" s="32"/>
      <c r="M32" s="33"/>
    </row>
    <row r="33" spans="1:13">
      <c r="A33" s="89"/>
      <c r="B33" s="96"/>
      <c r="C33" s="31"/>
      <c r="D33" s="97"/>
      <c r="E33" s="98"/>
      <c r="F33" s="99"/>
      <c r="G33" s="21"/>
      <c r="H33" s="89"/>
      <c r="I33" s="89"/>
      <c r="J33" s="92"/>
      <c r="K33" s="31"/>
      <c r="L33" s="32"/>
      <c r="M33" s="33"/>
    </row>
    <row r="34" spans="1:13">
      <c r="A34" s="89"/>
      <c r="B34" s="96"/>
      <c r="C34" s="31"/>
      <c r="D34" s="97"/>
      <c r="E34" s="98"/>
      <c r="F34" s="99"/>
      <c r="G34" s="21"/>
      <c r="H34" s="89"/>
      <c r="I34" s="89"/>
      <c r="J34" s="92"/>
      <c r="K34" s="31"/>
      <c r="L34" s="32"/>
      <c r="M34" s="33"/>
    </row>
    <row r="35" spans="1:13">
      <c r="A35" s="89"/>
      <c r="B35" s="96"/>
      <c r="C35" s="31"/>
      <c r="D35" s="97"/>
      <c r="E35" s="98"/>
      <c r="F35" s="99"/>
      <c r="G35" s="21"/>
      <c r="H35" s="89"/>
      <c r="I35" s="89"/>
      <c r="J35" s="92"/>
      <c r="K35" s="31"/>
      <c r="L35" s="32"/>
      <c r="M35" s="33"/>
    </row>
    <row r="36" spans="1:13">
      <c r="A36" s="275"/>
      <c r="B36" s="290"/>
      <c r="C36" s="291"/>
      <c r="D36" s="292"/>
      <c r="E36" s="280"/>
      <c r="F36" s="281"/>
      <c r="G36" s="295"/>
      <c r="H36" s="275"/>
      <c r="I36" s="275"/>
      <c r="J36" s="282"/>
      <c r="K36" s="986"/>
      <c r="L36" s="987"/>
      <c r="M36" s="988"/>
    </row>
    <row r="37" spans="1:13">
      <c r="A37" s="275"/>
      <c r="B37" s="290"/>
      <c r="C37" s="291"/>
      <c r="D37" s="292"/>
      <c r="E37" s="280"/>
      <c r="F37" s="281"/>
      <c r="G37" s="295"/>
      <c r="H37" s="275"/>
      <c r="I37" s="275"/>
      <c r="J37" s="282"/>
      <c r="K37" s="986"/>
      <c r="L37" s="987"/>
      <c r="M37" s="988"/>
    </row>
    <row r="38" spans="1:13">
      <c r="A38" s="275"/>
      <c r="B38" s="290"/>
      <c r="C38" s="291"/>
      <c r="D38" s="292"/>
      <c r="E38" s="280"/>
      <c r="F38" s="281"/>
      <c r="G38" s="295"/>
      <c r="H38" s="275"/>
      <c r="I38" s="275"/>
      <c r="J38" s="282"/>
      <c r="K38" s="291"/>
      <c r="L38" s="293"/>
      <c r="M38" s="294"/>
    </row>
    <row r="39" spans="1:13">
      <c r="A39" s="275"/>
      <c r="B39" s="290"/>
      <c r="C39" s="291"/>
      <c r="D39" s="292"/>
      <c r="E39" s="280"/>
      <c r="F39" s="281"/>
      <c r="G39" s="295"/>
      <c r="H39" s="275"/>
      <c r="I39" s="275"/>
      <c r="J39" s="282"/>
      <c r="K39" s="291"/>
      <c r="L39" s="293"/>
      <c r="M39" s="294"/>
    </row>
    <row r="40" spans="1:13">
      <c r="A40" s="275"/>
      <c r="B40" s="290"/>
      <c r="C40" s="291"/>
      <c r="D40" s="292"/>
      <c r="E40" s="280"/>
      <c r="F40" s="281"/>
      <c r="G40" s="295"/>
      <c r="H40" s="275"/>
      <c r="I40" s="275"/>
      <c r="J40" s="282"/>
      <c r="K40" s="986"/>
      <c r="L40" s="987"/>
      <c r="M40" s="988"/>
    </row>
    <row r="41" spans="1:13">
      <c r="A41" s="275"/>
      <c r="B41" s="290"/>
      <c r="C41" s="291"/>
      <c r="D41" s="292"/>
      <c r="E41" s="280"/>
      <c r="F41" s="281"/>
      <c r="G41" s="295"/>
      <c r="H41" s="275"/>
      <c r="I41" s="275"/>
      <c r="J41" s="282"/>
      <c r="K41" s="986"/>
      <c r="L41" s="987"/>
      <c r="M41" s="988"/>
    </row>
    <row r="42" spans="1:13">
      <c r="A42" s="275"/>
      <c r="B42" s="290"/>
      <c r="C42" s="291"/>
      <c r="D42" s="292"/>
      <c r="E42" s="280"/>
      <c r="F42" s="281"/>
      <c r="G42" s="295"/>
      <c r="H42" s="275"/>
      <c r="I42" s="275"/>
      <c r="J42" s="282"/>
      <c r="K42" s="291"/>
      <c r="L42" s="293"/>
      <c r="M42" s="294"/>
    </row>
    <row r="43" spans="1:13">
      <c r="A43" s="275"/>
      <c r="B43" s="290"/>
      <c r="C43" s="291"/>
      <c r="D43" s="292"/>
      <c r="E43" s="280"/>
      <c r="F43" s="281"/>
      <c r="G43" s="295"/>
      <c r="H43" s="275"/>
      <c r="I43" s="275"/>
      <c r="J43" s="282"/>
      <c r="K43" s="291"/>
      <c r="L43" s="293"/>
      <c r="M43" s="294"/>
    </row>
    <row r="44" spans="1:13">
      <c r="A44" s="275" t="str">
        <f>IF(B44=""," ",A43+1)</f>
        <v xml:space="preserve"> </v>
      </c>
      <c r="B44" s="290"/>
      <c r="C44" s="291"/>
      <c r="D44" s="292"/>
      <c r="E44" s="280"/>
      <c r="F44" s="281"/>
      <c r="G44" s="295"/>
      <c r="H44" s="275"/>
      <c r="I44" s="275"/>
      <c r="J44" s="282"/>
      <c r="K44" s="986"/>
      <c r="L44" s="987"/>
      <c r="M44" s="988"/>
    </row>
    <row r="45" spans="1:13">
      <c r="A45" s="275" t="str">
        <f>IF(B45=""," ",#REF!+1)</f>
        <v xml:space="preserve"> </v>
      </c>
      <c r="B45" s="290"/>
      <c r="C45" s="291"/>
      <c r="D45" s="292"/>
      <c r="E45" s="280"/>
      <c r="F45" s="281"/>
      <c r="G45" s="295"/>
      <c r="H45" s="275"/>
      <c r="I45" s="275"/>
      <c r="J45" s="282"/>
      <c r="K45" s="986"/>
      <c r="L45" s="987"/>
      <c r="M45" s="988"/>
    </row>
    <row r="46" spans="1:13">
      <c r="A46" s="275" t="str">
        <f>IF(B46=""," ",#REF!+1)</f>
        <v xml:space="preserve"> </v>
      </c>
      <c r="B46" s="290"/>
      <c r="C46" s="291"/>
      <c r="D46" s="292"/>
      <c r="E46" s="280"/>
      <c r="F46" s="281"/>
      <c r="G46" s="295"/>
      <c r="H46" s="275"/>
      <c r="I46" s="275"/>
      <c r="J46" s="282"/>
      <c r="K46" s="291"/>
      <c r="L46" s="293"/>
      <c r="M46" s="294"/>
    </row>
    <row r="47" spans="1:13">
      <c r="A47" s="275" t="str">
        <f>IF(B47=""," ",A46+1)</f>
        <v xml:space="preserve"> </v>
      </c>
      <c r="B47" s="290"/>
      <c r="C47" s="291"/>
      <c r="D47" s="292"/>
      <c r="E47" s="280"/>
      <c r="F47" s="281"/>
      <c r="G47" s="295"/>
      <c r="H47" s="275"/>
      <c r="I47" s="275"/>
      <c r="J47" s="282"/>
      <c r="K47" s="291"/>
      <c r="L47" s="293"/>
      <c r="M47" s="294"/>
    </row>
    <row r="48" spans="1:13">
      <c r="A48" s="275" t="str">
        <f>IF(B48=""," ",A47+1)</f>
        <v xml:space="preserve"> </v>
      </c>
      <c r="B48" s="290"/>
      <c r="C48" s="291"/>
      <c r="D48" s="292"/>
      <c r="E48" s="280"/>
      <c r="F48" s="281"/>
      <c r="G48" s="295"/>
      <c r="H48" s="275"/>
      <c r="I48" s="275"/>
      <c r="J48" s="282"/>
      <c r="K48" s="986"/>
      <c r="L48" s="987"/>
      <c r="M48" s="988"/>
    </row>
    <row r="49" spans="1:13">
      <c r="A49" s="275" t="str">
        <f>IF(B49=""," ",#REF!+1)</f>
        <v xml:space="preserve"> </v>
      </c>
      <c r="B49" s="290"/>
      <c r="C49" s="291"/>
      <c r="D49" s="292"/>
      <c r="E49" s="280"/>
      <c r="F49" s="281"/>
      <c r="G49" s="295"/>
      <c r="H49" s="275"/>
      <c r="I49" s="275"/>
      <c r="J49" s="282"/>
      <c r="K49" s="986"/>
      <c r="L49" s="987"/>
      <c r="M49" s="988"/>
    </row>
    <row r="50" spans="1:13">
      <c r="A50" s="275" t="str">
        <f>IF(B50=""," ",#REF!+1)</f>
        <v xml:space="preserve"> </v>
      </c>
      <c r="B50" s="290"/>
      <c r="C50" s="291"/>
      <c r="D50" s="292"/>
      <c r="E50" s="280"/>
      <c r="F50" s="281"/>
      <c r="G50" s="295"/>
      <c r="H50" s="275"/>
      <c r="I50" s="275"/>
      <c r="J50" s="282"/>
      <c r="K50" s="291"/>
      <c r="L50" s="293"/>
      <c r="M50" s="294"/>
    </row>
    <row r="51" spans="1:13">
      <c r="A51" s="275" t="str">
        <f>IF(B51=""," ",A50+1)</f>
        <v xml:space="preserve"> </v>
      </c>
      <c r="B51" s="290"/>
      <c r="C51" s="291"/>
      <c r="D51" s="292"/>
      <c r="E51" s="280"/>
      <c r="F51" s="281"/>
      <c r="G51" s="295"/>
      <c r="H51" s="275"/>
      <c r="I51" s="275"/>
      <c r="J51" s="282"/>
      <c r="K51" s="291"/>
      <c r="L51" s="293"/>
      <c r="M51" s="294"/>
    </row>
    <row r="52" spans="1:13">
      <c r="A52" s="275" t="str">
        <f>IF(B52=""," ",A51+1)</f>
        <v xml:space="preserve"> </v>
      </c>
      <c r="B52" s="290"/>
      <c r="C52" s="291"/>
      <c r="D52" s="292"/>
      <c r="E52" s="280"/>
      <c r="F52" s="281"/>
      <c r="G52" s="295"/>
      <c r="H52" s="275"/>
      <c r="I52" s="275"/>
      <c r="J52" s="282"/>
      <c r="K52" s="986"/>
      <c r="L52" s="987"/>
      <c r="M52" s="988"/>
    </row>
    <row r="53" spans="1:13">
      <c r="A53" s="275" t="str">
        <f>IF(B53=""," ",#REF!+1)</f>
        <v xml:space="preserve"> </v>
      </c>
      <c r="B53" s="290"/>
      <c r="C53" s="291"/>
      <c r="D53" s="292"/>
      <c r="E53" s="280"/>
      <c r="F53" s="281"/>
      <c r="G53" s="295"/>
      <c r="H53" s="275"/>
      <c r="I53" s="275"/>
      <c r="J53" s="282"/>
      <c r="K53" s="986"/>
      <c r="L53" s="987"/>
      <c r="M53" s="988"/>
    </row>
    <row r="54" spans="1:13">
      <c r="A54" s="275" t="str">
        <f>IF(B54=""," ",#REF!+1)</f>
        <v xml:space="preserve"> </v>
      </c>
      <c r="B54" s="290"/>
      <c r="C54" s="291"/>
      <c r="D54" s="292"/>
      <c r="E54" s="280"/>
      <c r="F54" s="281"/>
      <c r="G54" s="295"/>
      <c r="H54" s="275"/>
      <c r="I54" s="275"/>
      <c r="J54" s="282"/>
      <c r="K54" s="291"/>
      <c r="L54" s="293"/>
      <c r="M54" s="294"/>
    </row>
    <row r="55" spans="1:13">
      <c r="A55" s="275" t="str">
        <f>IF(B55=""," ",A54+1)</f>
        <v xml:space="preserve"> </v>
      </c>
      <c r="B55" s="290"/>
      <c r="C55" s="291"/>
      <c r="D55" s="292"/>
      <c r="E55" s="280"/>
      <c r="F55" s="281"/>
      <c r="G55" s="295"/>
      <c r="H55" s="275"/>
      <c r="I55" s="275"/>
      <c r="J55" s="282"/>
      <c r="K55" s="291"/>
      <c r="L55" s="293"/>
      <c r="M55" s="294"/>
    </row>
    <row r="56" spans="1:13">
      <c r="A56" s="275" t="str">
        <f>IF(B56=""," ",A55+1)</f>
        <v xml:space="preserve"> </v>
      </c>
      <c r="B56" s="290"/>
      <c r="C56" s="291"/>
      <c r="D56" s="292"/>
      <c r="E56" s="280"/>
      <c r="F56" s="281"/>
      <c r="G56" s="295"/>
      <c r="H56" s="275"/>
      <c r="I56" s="275"/>
      <c r="J56" s="282"/>
      <c r="K56" s="986"/>
      <c r="L56" s="987"/>
      <c r="M56" s="988"/>
    </row>
    <row r="57" spans="1:13">
      <c r="A57" s="275" t="str">
        <f>IF(B57=""," ",#REF!+1)</f>
        <v xml:space="preserve"> </v>
      </c>
      <c r="B57" s="290"/>
      <c r="C57" s="291"/>
      <c r="D57" s="292"/>
      <c r="E57" s="280"/>
      <c r="F57" s="281"/>
      <c r="G57" s="295"/>
      <c r="H57" s="275"/>
      <c r="I57" s="275"/>
      <c r="J57" s="282"/>
      <c r="K57" s="986"/>
      <c r="L57" s="987"/>
      <c r="M57" s="988"/>
    </row>
    <row r="58" spans="1:13">
      <c r="A58" s="275" t="str">
        <f>IF(B58=""," ",#REF!+1)</f>
        <v xml:space="preserve"> </v>
      </c>
      <c r="B58" s="290"/>
      <c r="C58" s="291"/>
      <c r="D58" s="292"/>
      <c r="E58" s="280"/>
      <c r="F58" s="281"/>
      <c r="G58" s="295"/>
      <c r="H58" s="275"/>
      <c r="I58" s="275"/>
      <c r="J58" s="282"/>
      <c r="K58" s="291"/>
      <c r="L58" s="293"/>
      <c r="M58" s="294"/>
    </row>
    <row r="59" spans="1:13">
      <c r="A59" s="275" t="str">
        <f>IF(B59=""," ",A58+1)</f>
        <v xml:space="preserve"> </v>
      </c>
      <c r="B59" s="290"/>
      <c r="C59" s="291"/>
      <c r="D59" s="292"/>
      <c r="E59" s="280"/>
      <c r="F59" s="281"/>
      <c r="G59" s="295"/>
      <c r="H59" s="275"/>
      <c r="I59" s="275"/>
      <c r="J59" s="282"/>
      <c r="K59" s="291"/>
      <c r="L59" s="293"/>
      <c r="M59" s="294"/>
    </row>
    <row r="60" spans="1:13">
      <c r="A60" s="275" t="str">
        <f>IF(B60=""," ",A59+1)</f>
        <v xml:space="preserve"> </v>
      </c>
      <c r="B60" s="290"/>
      <c r="C60" s="291"/>
      <c r="D60" s="292"/>
      <c r="E60" s="280"/>
      <c r="F60" s="281"/>
      <c r="G60" s="295"/>
      <c r="H60" s="275"/>
      <c r="I60" s="275"/>
      <c r="J60" s="282"/>
      <c r="K60" s="986"/>
      <c r="L60" s="987"/>
      <c r="M60" s="988"/>
    </row>
    <row r="61" spans="1:13">
      <c r="A61" s="275" t="str">
        <f>IF(B61=""," ",#REF!+1)</f>
        <v xml:space="preserve"> </v>
      </c>
      <c r="B61" s="290"/>
      <c r="C61" s="291"/>
      <c r="D61" s="292"/>
      <c r="E61" s="280"/>
      <c r="F61" s="281"/>
      <c r="G61" s="295"/>
      <c r="H61" s="275"/>
      <c r="I61" s="275"/>
      <c r="J61" s="282"/>
      <c r="K61" s="986"/>
      <c r="L61" s="987"/>
      <c r="M61" s="988"/>
    </row>
    <row r="62" spans="1:13">
      <c r="A62" s="275" t="str">
        <f>IF(B62=""," ",#REF!+1)</f>
        <v xml:space="preserve"> </v>
      </c>
      <c r="B62" s="290"/>
      <c r="C62" s="291"/>
      <c r="D62" s="292"/>
      <c r="E62" s="280"/>
      <c r="F62" s="281"/>
      <c r="G62" s="295"/>
      <c r="H62" s="275"/>
      <c r="I62" s="275"/>
      <c r="J62" s="282"/>
      <c r="K62" s="291"/>
      <c r="L62" s="293"/>
      <c r="M62" s="294"/>
    </row>
    <row r="63" spans="1:13">
      <c r="A63" s="275" t="str">
        <f>IF(B63=""," ",A62+1)</f>
        <v xml:space="preserve"> </v>
      </c>
      <c r="B63" s="290"/>
      <c r="C63" s="291"/>
      <c r="D63" s="292"/>
      <c r="E63" s="280"/>
      <c r="F63" s="281"/>
      <c r="G63" s="295"/>
      <c r="H63" s="275"/>
      <c r="I63" s="275"/>
      <c r="J63" s="282"/>
      <c r="K63" s="291"/>
      <c r="L63" s="293"/>
      <c r="M63" s="294"/>
    </row>
    <row r="64" spans="1:13">
      <c r="A64" s="275" t="str">
        <f>IF(B64=""," ",A63+1)</f>
        <v xml:space="preserve"> </v>
      </c>
      <c r="B64" s="290"/>
      <c r="C64" s="291"/>
      <c r="D64" s="292"/>
      <c r="E64" s="280"/>
      <c r="F64" s="281"/>
      <c r="G64" s="295"/>
      <c r="H64" s="275"/>
      <c r="I64" s="275"/>
      <c r="J64" s="282"/>
      <c r="K64" s="986"/>
      <c r="L64" s="987"/>
      <c r="M64" s="988"/>
    </row>
    <row r="65" spans="1:13">
      <c r="A65" s="275" t="str">
        <f>IF(B65=""," ",#REF!+1)</f>
        <v xml:space="preserve"> </v>
      </c>
      <c r="B65" s="290"/>
      <c r="C65" s="291"/>
      <c r="D65" s="292"/>
      <c r="E65" s="280"/>
      <c r="F65" s="281"/>
      <c r="G65" s="295"/>
      <c r="H65" s="275"/>
      <c r="I65" s="275"/>
      <c r="J65" s="282"/>
      <c r="K65" s="986"/>
      <c r="L65" s="987"/>
      <c r="M65" s="988"/>
    </row>
    <row r="66" spans="1:13">
      <c r="A66" s="275" t="str">
        <f>IF(B66=""," ",#REF!+1)</f>
        <v xml:space="preserve"> </v>
      </c>
      <c r="B66" s="290"/>
      <c r="C66" s="291"/>
      <c r="D66" s="292"/>
      <c r="E66" s="280"/>
      <c r="F66" s="281"/>
      <c r="G66" s="295"/>
      <c r="H66" s="275"/>
      <c r="I66" s="275"/>
      <c r="J66" s="282"/>
      <c r="K66" s="291"/>
      <c r="L66" s="293"/>
      <c r="M66" s="294"/>
    </row>
    <row r="67" spans="1:13">
      <c r="A67" s="275" t="str">
        <f>IF(B67=""," ",A66+1)</f>
        <v xml:space="preserve"> </v>
      </c>
      <c r="B67" s="290"/>
      <c r="C67" s="291"/>
      <c r="D67" s="292"/>
      <c r="E67" s="280"/>
      <c r="F67" s="281"/>
      <c r="G67" s="295"/>
      <c r="H67" s="275"/>
      <c r="I67" s="275"/>
      <c r="J67" s="282"/>
      <c r="K67" s="291"/>
      <c r="L67" s="293"/>
      <c r="M67" s="294"/>
    </row>
    <row r="68" spans="1:13">
      <c r="A68" s="275" t="str">
        <f>IF(B68=""," ",A67+1)</f>
        <v xml:space="preserve"> </v>
      </c>
      <c r="B68" s="290"/>
      <c r="C68" s="291"/>
      <c r="D68" s="292"/>
      <c r="E68" s="280"/>
      <c r="F68" s="281"/>
      <c r="G68" s="295"/>
      <c r="H68" s="275"/>
      <c r="I68" s="275"/>
      <c r="J68" s="282"/>
      <c r="K68" s="986"/>
      <c r="L68" s="987"/>
      <c r="M68" s="988"/>
    </row>
    <row r="69" spans="1:13">
      <c r="A69" s="275" t="str">
        <f>IF(B69=""," ",#REF!+1)</f>
        <v xml:space="preserve"> </v>
      </c>
      <c r="B69" s="290"/>
      <c r="C69" s="291"/>
      <c r="D69" s="292"/>
      <c r="E69" s="280"/>
      <c r="F69" s="281"/>
      <c r="G69" s="295"/>
      <c r="H69" s="275"/>
      <c r="I69" s="275"/>
      <c r="J69" s="282"/>
      <c r="K69" s="986"/>
      <c r="L69" s="987"/>
      <c r="M69" s="988"/>
    </row>
    <row r="70" spans="1:13">
      <c r="A70" s="275" t="str">
        <f>IF(B70=""," ",#REF!+1)</f>
        <v xml:space="preserve"> </v>
      </c>
      <c r="B70" s="290"/>
      <c r="C70" s="291"/>
      <c r="D70" s="292"/>
      <c r="E70" s="280"/>
      <c r="F70" s="281"/>
      <c r="G70" s="295"/>
      <c r="H70" s="275"/>
      <c r="I70" s="275"/>
      <c r="J70" s="282"/>
      <c r="K70" s="291"/>
      <c r="L70" s="293"/>
      <c r="M70" s="294"/>
    </row>
    <row r="71" spans="1:13">
      <c r="A71" s="275" t="str">
        <f>IF(B71=""," ",A70+1)</f>
        <v xml:space="preserve"> </v>
      </c>
      <c r="B71" s="290"/>
      <c r="C71" s="291"/>
      <c r="D71" s="292"/>
      <c r="E71" s="280"/>
      <c r="F71" s="281"/>
      <c r="G71" s="295"/>
      <c r="H71" s="275"/>
      <c r="I71" s="275"/>
      <c r="J71" s="282"/>
      <c r="K71" s="291"/>
      <c r="L71" s="293"/>
      <c r="M71" s="294"/>
    </row>
    <row r="72" spans="1:13">
      <c r="A72" s="275" t="str">
        <f>IF(B72=""," ",A71+1)</f>
        <v xml:space="preserve"> </v>
      </c>
      <c r="B72" s="290"/>
      <c r="C72" s="291"/>
      <c r="D72" s="292"/>
      <c r="E72" s="280"/>
      <c r="F72" s="281"/>
      <c r="G72" s="295"/>
      <c r="H72" s="275"/>
      <c r="I72" s="275"/>
      <c r="J72" s="282"/>
      <c r="K72" s="986"/>
      <c r="L72" s="987"/>
      <c r="M72" s="988"/>
    </row>
    <row r="73" spans="1:13">
      <c r="A73" s="275" t="str">
        <f>IF(B73=""," ",#REF!+1)</f>
        <v xml:space="preserve"> </v>
      </c>
      <c r="B73" s="290"/>
      <c r="C73" s="291"/>
      <c r="D73" s="292"/>
      <c r="E73" s="280"/>
      <c r="F73" s="281"/>
      <c r="G73" s="295"/>
      <c r="H73" s="275"/>
      <c r="I73" s="275"/>
      <c r="J73" s="282"/>
      <c r="K73" s="986"/>
      <c r="L73" s="987"/>
      <c r="M73" s="988"/>
    </row>
    <row r="74" spans="1:13">
      <c r="A74" s="275" t="str">
        <f>IF(B74=""," ",#REF!+1)</f>
        <v xml:space="preserve"> </v>
      </c>
      <c r="B74" s="290"/>
      <c r="C74" s="291"/>
      <c r="D74" s="292"/>
      <c r="E74" s="280"/>
      <c r="F74" s="281"/>
      <c r="G74" s="295"/>
      <c r="H74" s="275"/>
      <c r="I74" s="275"/>
      <c r="J74" s="282"/>
      <c r="K74" s="291"/>
      <c r="L74" s="293"/>
      <c r="M74" s="294"/>
    </row>
    <row r="75" spans="1:13">
      <c r="A75" s="275" t="str">
        <f>IF(B75=""," ",A74+1)</f>
        <v xml:space="preserve"> </v>
      </c>
      <c r="B75" s="290"/>
      <c r="C75" s="291"/>
      <c r="D75" s="292"/>
      <c r="E75" s="280"/>
      <c r="F75" s="281"/>
      <c r="G75" s="295"/>
      <c r="H75" s="275"/>
      <c r="I75" s="275"/>
      <c r="J75" s="282"/>
      <c r="K75" s="291"/>
      <c r="L75" s="293"/>
      <c r="M75" s="294"/>
    </row>
    <row r="76" spans="1:13">
      <c r="A76" s="275" t="str">
        <f>IF(B76=""," ",A75+1)</f>
        <v xml:space="preserve"> </v>
      </c>
      <c r="B76" s="290"/>
      <c r="C76" s="291"/>
      <c r="D76" s="292"/>
      <c r="E76" s="280"/>
      <c r="F76" s="281"/>
      <c r="G76" s="295"/>
      <c r="H76" s="275"/>
      <c r="I76" s="275"/>
      <c r="J76" s="282"/>
      <c r="K76" s="986"/>
      <c r="L76" s="987"/>
      <c r="M76" s="988"/>
    </row>
    <row r="77" spans="1:13">
      <c r="A77" s="275" t="str">
        <f>IF(B77=""," ",#REF!+1)</f>
        <v xml:space="preserve"> </v>
      </c>
      <c r="B77" s="290"/>
      <c r="C77" s="291"/>
      <c r="D77" s="292"/>
      <c r="E77" s="280"/>
      <c r="F77" s="281"/>
      <c r="G77" s="295"/>
      <c r="H77" s="275"/>
      <c r="I77" s="275"/>
      <c r="J77" s="282"/>
      <c r="K77" s="986"/>
      <c r="L77" s="987"/>
      <c r="M77" s="988"/>
    </row>
    <row r="78" spans="1:13">
      <c r="A78" s="275" t="str">
        <f>IF(B78=""," ",#REF!+1)</f>
        <v xml:space="preserve"> </v>
      </c>
      <c r="B78" s="290"/>
      <c r="C78" s="291"/>
      <c r="D78" s="292"/>
      <c r="E78" s="280"/>
      <c r="F78" s="281"/>
      <c r="G78" s="295"/>
      <c r="H78" s="275"/>
      <c r="I78" s="275"/>
      <c r="J78" s="282"/>
      <c r="K78" s="291"/>
      <c r="L78" s="293"/>
      <c r="M78" s="294"/>
    </row>
    <row r="79" spans="1:13">
      <c r="A79" s="275" t="str">
        <f>IF(B79=""," ",A78+1)</f>
        <v xml:space="preserve"> </v>
      </c>
      <c r="B79" s="290"/>
      <c r="C79" s="291"/>
      <c r="D79" s="292"/>
      <c r="E79" s="280"/>
      <c r="F79" s="281"/>
      <c r="G79" s="295"/>
      <c r="H79" s="275"/>
      <c r="I79" s="275"/>
      <c r="J79" s="282"/>
      <c r="K79" s="291"/>
      <c r="L79" s="293"/>
      <c r="M79" s="294"/>
    </row>
    <row r="80" spans="1:13">
      <c r="A80" s="275" t="str">
        <f>IF(B80=""," ",A79+1)</f>
        <v xml:space="preserve"> </v>
      </c>
      <c r="B80" s="290"/>
      <c r="C80" s="291"/>
      <c r="D80" s="292"/>
      <c r="E80" s="280"/>
      <c r="F80" s="281"/>
      <c r="G80" s="295"/>
      <c r="H80" s="275"/>
      <c r="I80" s="275"/>
      <c r="J80" s="282"/>
      <c r="K80" s="986"/>
      <c r="L80" s="987"/>
      <c r="M80" s="988"/>
    </row>
    <row r="81" spans="1:13">
      <c r="A81" s="275" t="str">
        <f>IF(B81=""," ",#REF!+1)</f>
        <v xml:space="preserve"> </v>
      </c>
      <c r="B81" s="290"/>
      <c r="C81" s="291"/>
      <c r="D81" s="292"/>
      <c r="E81" s="280"/>
      <c r="F81" s="281"/>
      <c r="G81" s="295"/>
      <c r="H81" s="275"/>
      <c r="I81" s="275"/>
      <c r="J81" s="282"/>
      <c r="K81" s="986"/>
      <c r="L81" s="987"/>
      <c r="M81" s="988"/>
    </row>
    <row r="82" spans="1:13">
      <c r="A82" s="275" t="str">
        <f>IF(B82=""," ",#REF!+1)</f>
        <v xml:space="preserve"> </v>
      </c>
      <c r="B82" s="290"/>
      <c r="C82" s="291"/>
      <c r="D82" s="292"/>
      <c r="E82" s="280"/>
      <c r="F82" s="281"/>
      <c r="G82" s="295"/>
      <c r="H82" s="275"/>
      <c r="I82" s="275"/>
      <c r="J82" s="282"/>
      <c r="K82" s="291"/>
      <c r="L82" s="293"/>
      <c r="M82" s="294"/>
    </row>
    <row r="83" spans="1:13">
      <c r="A83" s="275" t="str">
        <f>IF(B83=""," ",A82+1)</f>
        <v xml:space="preserve"> </v>
      </c>
      <c r="B83" s="290"/>
      <c r="C83" s="291"/>
      <c r="D83" s="292"/>
      <c r="E83" s="280"/>
      <c r="F83" s="281"/>
      <c r="G83" s="295"/>
      <c r="H83" s="275"/>
      <c r="I83" s="275"/>
      <c r="J83" s="282"/>
      <c r="K83" s="291"/>
      <c r="L83" s="293"/>
      <c r="M83" s="294"/>
    </row>
    <row r="84" spans="1:13">
      <c r="A84" s="275" t="str">
        <f>IF(B84=""," ",A83+1)</f>
        <v xml:space="preserve"> </v>
      </c>
      <c r="B84" s="290"/>
      <c r="C84" s="291"/>
      <c r="D84" s="292"/>
      <c r="E84" s="280"/>
      <c r="F84" s="281"/>
      <c r="G84" s="295"/>
      <c r="H84" s="275"/>
      <c r="I84" s="275"/>
      <c r="J84" s="282"/>
      <c r="K84" s="986"/>
      <c r="L84" s="987"/>
      <c r="M84" s="988"/>
    </row>
    <row r="85" spans="1:13">
      <c r="A85" s="275" t="str">
        <f>IF(B85=""," ",#REF!+1)</f>
        <v xml:space="preserve"> </v>
      </c>
      <c r="B85" s="290"/>
      <c r="C85" s="291"/>
      <c r="D85" s="292"/>
      <c r="E85" s="280"/>
      <c r="F85" s="281"/>
      <c r="G85" s="295"/>
      <c r="H85" s="275"/>
      <c r="I85" s="275"/>
      <c r="J85" s="282"/>
      <c r="K85" s="986"/>
      <c r="L85" s="987"/>
      <c r="M85" s="988"/>
    </row>
    <row r="86" spans="1:13">
      <c r="A86" s="275" t="str">
        <f>IF(B86=""," ",#REF!+1)</f>
        <v xml:space="preserve"> </v>
      </c>
      <c r="B86" s="290"/>
      <c r="C86" s="291"/>
      <c r="D86" s="292"/>
      <c r="E86" s="280"/>
      <c r="F86" s="281"/>
      <c r="G86" s="295"/>
      <c r="H86" s="275"/>
      <c r="I86" s="275"/>
      <c r="J86" s="282"/>
      <c r="K86" s="291"/>
      <c r="L86" s="293"/>
      <c r="M86" s="294"/>
    </row>
    <row r="87" spans="1:13">
      <c r="A87" s="275" t="str">
        <f>IF(B87=""," ",A86+1)</f>
        <v xml:space="preserve"> </v>
      </c>
      <c r="B87" s="290"/>
      <c r="C87" s="291"/>
      <c r="D87" s="292"/>
      <c r="E87" s="280"/>
      <c r="F87" s="281"/>
      <c r="G87" s="295"/>
      <c r="H87" s="275"/>
      <c r="I87" s="275"/>
      <c r="J87" s="282"/>
      <c r="K87" s="291"/>
      <c r="L87" s="293"/>
      <c r="M87" s="294"/>
    </row>
    <row r="88" spans="1:13">
      <c r="A88" s="275" t="str">
        <f>IF(B88=""," ",A87+1)</f>
        <v xml:space="preserve"> </v>
      </c>
      <c r="B88" s="290"/>
      <c r="C88" s="291"/>
      <c r="D88" s="292"/>
      <c r="E88" s="280"/>
      <c r="F88" s="281"/>
      <c r="G88" s="295"/>
      <c r="H88" s="275"/>
      <c r="I88" s="275"/>
      <c r="J88" s="282"/>
      <c r="K88" s="986"/>
      <c r="L88" s="987"/>
      <c r="M88" s="988"/>
    </row>
    <row r="89" spans="1:13">
      <c r="A89" s="275" t="str">
        <f>IF(B89=""," ",#REF!+1)</f>
        <v xml:space="preserve"> </v>
      </c>
      <c r="B89" s="290"/>
      <c r="C89" s="291"/>
      <c r="D89" s="292"/>
      <c r="E89" s="280"/>
      <c r="F89" s="281"/>
      <c r="G89" s="295"/>
      <c r="H89" s="275"/>
      <c r="I89" s="275"/>
      <c r="J89" s="282"/>
      <c r="K89" s="986"/>
      <c r="L89" s="987"/>
      <c r="M89" s="988"/>
    </row>
    <row r="90" spans="1:13">
      <c r="A90" s="275" t="str">
        <f>IF(B90=""," ",#REF!+1)</f>
        <v xml:space="preserve"> </v>
      </c>
      <c r="B90" s="290"/>
      <c r="C90" s="291"/>
      <c r="D90" s="292"/>
      <c r="E90" s="280"/>
      <c r="F90" s="281"/>
      <c r="G90" s="295"/>
      <c r="H90" s="275"/>
      <c r="I90" s="275"/>
      <c r="J90" s="282"/>
      <c r="K90" s="291"/>
      <c r="L90" s="293"/>
      <c r="M90" s="294"/>
    </row>
    <row r="91" spans="1:13">
      <c r="A91" s="275" t="str">
        <f>IF(B91=""," ",A90+1)</f>
        <v xml:space="preserve"> </v>
      </c>
      <c r="B91" s="290"/>
      <c r="C91" s="291"/>
      <c r="D91" s="292"/>
      <c r="E91" s="280"/>
      <c r="F91" s="281"/>
      <c r="G91" s="295"/>
      <c r="H91" s="275"/>
      <c r="I91" s="275"/>
      <c r="J91" s="282"/>
      <c r="K91" s="291"/>
      <c r="L91" s="293"/>
      <c r="M91" s="294"/>
    </row>
    <row r="92" spans="1:13">
      <c r="A92" s="275" t="str">
        <f>IF(B92=""," ",A91+1)</f>
        <v xml:space="preserve"> </v>
      </c>
      <c r="B92" s="290"/>
      <c r="C92" s="291"/>
      <c r="D92" s="292"/>
      <c r="E92" s="280"/>
      <c r="F92" s="281"/>
      <c r="G92" s="295"/>
      <c r="H92" s="275"/>
      <c r="I92" s="275"/>
      <c r="J92" s="282"/>
      <c r="K92" s="986"/>
      <c r="L92" s="987"/>
      <c r="M92" s="988"/>
    </row>
    <row r="93" spans="1:13">
      <c r="A93" s="275" t="str">
        <f>IF(B93=""," ",#REF!+1)</f>
        <v xml:space="preserve"> </v>
      </c>
      <c r="B93" s="290"/>
      <c r="C93" s="291"/>
      <c r="D93" s="292"/>
      <c r="E93" s="280"/>
      <c r="F93" s="281"/>
      <c r="G93" s="295"/>
      <c r="H93" s="275"/>
      <c r="I93" s="275"/>
      <c r="J93" s="282"/>
      <c r="K93" s="986"/>
      <c r="L93" s="987"/>
      <c r="M93" s="988"/>
    </row>
    <row r="94" spans="1:13">
      <c r="A94" s="275" t="str">
        <f>IF(B94=""," ",#REF!+1)</f>
        <v xml:space="preserve"> </v>
      </c>
      <c r="B94" s="290"/>
      <c r="C94" s="291"/>
      <c r="D94" s="292"/>
      <c r="E94" s="280"/>
      <c r="F94" s="281"/>
      <c r="G94" s="295"/>
      <c r="H94" s="275"/>
      <c r="I94" s="275"/>
      <c r="J94" s="282"/>
      <c r="K94" s="291"/>
      <c r="L94" s="293"/>
      <c r="M94" s="294"/>
    </row>
    <row r="95" spans="1:13">
      <c r="A95" s="275" t="str">
        <f>IF(B95=""," ",A94+1)</f>
        <v xml:space="preserve"> </v>
      </c>
      <c r="B95" s="290"/>
      <c r="C95" s="291"/>
      <c r="D95" s="292"/>
      <c r="E95" s="280"/>
      <c r="F95" s="281"/>
      <c r="G95" s="295"/>
      <c r="H95" s="275"/>
      <c r="I95" s="275"/>
      <c r="J95" s="282"/>
      <c r="K95" s="291"/>
      <c r="L95" s="293"/>
      <c r="M95" s="294"/>
    </row>
    <row r="96" spans="1:13">
      <c r="A96" s="275" t="str">
        <f>IF(B96=""," ",A95+1)</f>
        <v xml:space="preserve"> </v>
      </c>
      <c r="B96" s="290"/>
      <c r="C96" s="291"/>
      <c r="D96" s="292"/>
      <c r="E96" s="280"/>
      <c r="F96" s="281"/>
      <c r="G96" s="295"/>
      <c r="H96" s="275"/>
      <c r="I96" s="275"/>
      <c r="J96" s="282"/>
      <c r="K96" s="986"/>
      <c r="L96" s="987"/>
      <c r="M96" s="988"/>
    </row>
    <row r="97" spans="1:13">
      <c r="A97" s="275" t="str">
        <f>IF(B97=""," ",#REF!+1)</f>
        <v xml:space="preserve"> </v>
      </c>
      <c r="B97" s="290"/>
      <c r="C97" s="291"/>
      <c r="D97" s="292"/>
      <c r="E97" s="280"/>
      <c r="F97" s="281"/>
      <c r="G97" s="295"/>
      <c r="H97" s="275"/>
      <c r="I97" s="275"/>
      <c r="J97" s="282"/>
      <c r="K97" s="986"/>
      <c r="L97" s="987"/>
      <c r="M97" s="988"/>
    </row>
    <row r="98" spans="1:13">
      <c r="A98" s="275" t="str">
        <f>IF(B98=""," ",#REF!+1)</f>
        <v xml:space="preserve"> </v>
      </c>
      <c r="B98" s="290"/>
      <c r="C98" s="291"/>
      <c r="D98" s="292"/>
      <c r="E98" s="280"/>
      <c r="F98" s="281"/>
      <c r="G98" s="295"/>
      <c r="H98" s="275"/>
      <c r="I98" s="275"/>
      <c r="J98" s="282"/>
      <c r="K98" s="291"/>
      <c r="L98" s="293"/>
      <c r="M98" s="294"/>
    </row>
    <row r="99" spans="1:13">
      <c r="A99" s="275" t="str">
        <f>IF(B99=""," ",A98+1)</f>
        <v xml:space="preserve"> </v>
      </c>
      <c r="B99" s="290"/>
      <c r="C99" s="291"/>
      <c r="D99" s="292"/>
      <c r="E99" s="280"/>
      <c r="F99" s="281"/>
      <c r="G99" s="295"/>
      <c r="H99" s="275"/>
      <c r="I99" s="275"/>
      <c r="J99" s="282"/>
      <c r="K99" s="291"/>
      <c r="L99" s="293"/>
      <c r="M99" s="294"/>
    </row>
    <row r="100" spans="1:13">
      <c r="A100" s="275" t="str">
        <f>IF(B100=""," ",A99+1)</f>
        <v xml:space="preserve"> </v>
      </c>
      <c r="B100" s="290"/>
      <c r="C100" s="291"/>
      <c r="D100" s="292"/>
      <c r="E100" s="280"/>
      <c r="F100" s="281"/>
      <c r="G100" s="295"/>
      <c r="H100" s="275"/>
      <c r="I100" s="275"/>
      <c r="J100" s="282"/>
      <c r="K100" s="291"/>
      <c r="L100" s="293"/>
      <c r="M100" s="294"/>
    </row>
    <row r="102" spans="1:13">
      <c r="B102" s="268" t="s">
        <v>1691</v>
      </c>
    </row>
    <row r="104" spans="1:13">
      <c r="B104" s="268" t="s">
        <v>1463</v>
      </c>
      <c r="C104" s="268" t="s">
        <v>1561</v>
      </c>
    </row>
  </sheetData>
  <mergeCells count="62">
    <mergeCell ref="K12:M12"/>
    <mergeCell ref="K13:M13"/>
    <mergeCell ref="K8:M8"/>
    <mergeCell ref="A2:B2"/>
    <mergeCell ref="A3:B3"/>
    <mergeCell ref="A4:B4"/>
    <mergeCell ref="H2:J2"/>
    <mergeCell ref="C2:G2"/>
    <mergeCell ref="C3:G3"/>
    <mergeCell ref="C4:G4"/>
    <mergeCell ref="H4:I4"/>
    <mergeCell ref="H3:I3"/>
    <mergeCell ref="K19:M19"/>
    <mergeCell ref="K20:M20"/>
    <mergeCell ref="A5:A6"/>
    <mergeCell ref="B5:C5"/>
    <mergeCell ref="K5:M6"/>
    <mergeCell ref="I5:J5"/>
    <mergeCell ref="D5:H5"/>
    <mergeCell ref="K7:M7"/>
    <mergeCell ref="K11:M11"/>
    <mergeCell ref="K17:M17"/>
    <mergeCell ref="K18:M18"/>
    <mergeCell ref="K14:M14"/>
    <mergeCell ref="K16:M16"/>
    <mergeCell ref="K9:M9"/>
    <mergeCell ref="K15:M15"/>
    <mergeCell ref="K10:M10"/>
    <mergeCell ref="K36:M36"/>
    <mergeCell ref="K37:M37"/>
    <mergeCell ref="K40:M40"/>
    <mergeCell ref="K21:M21"/>
    <mergeCell ref="K22:M22"/>
    <mergeCell ref="K64:M64"/>
    <mergeCell ref="K41:M41"/>
    <mergeCell ref="K44:M44"/>
    <mergeCell ref="K45:M45"/>
    <mergeCell ref="K48:M48"/>
    <mergeCell ref="K49:M49"/>
    <mergeCell ref="K52:M52"/>
    <mergeCell ref="K53:M53"/>
    <mergeCell ref="K56:M56"/>
    <mergeCell ref="K57:M57"/>
    <mergeCell ref="K60:M60"/>
    <mergeCell ref="K61:M61"/>
    <mergeCell ref="K88:M88"/>
    <mergeCell ref="K65:M65"/>
    <mergeCell ref="K68:M68"/>
    <mergeCell ref="K69:M69"/>
    <mergeCell ref="K72:M72"/>
    <mergeCell ref="K73:M73"/>
    <mergeCell ref="K76:M76"/>
    <mergeCell ref="K77:M77"/>
    <mergeCell ref="K80:M80"/>
    <mergeCell ref="K81:M81"/>
    <mergeCell ref="K84:M84"/>
    <mergeCell ref="K85:M85"/>
    <mergeCell ref="K97:M97"/>
    <mergeCell ref="K89:M89"/>
    <mergeCell ref="K92:M92"/>
    <mergeCell ref="K93:M93"/>
    <mergeCell ref="K96:M96"/>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63">
    <pageSetUpPr fitToPage="1"/>
  </sheetPr>
  <dimension ref="A1:P110"/>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88" customWidth="1"/>
    <col min="2" max="2" width="28.625" style="22" customWidth="1"/>
    <col min="3" max="3" width="13.375" style="22" customWidth="1"/>
    <col min="4" max="4" width="9.375" style="22" customWidth="1"/>
    <col min="5" max="5" width="4.875" style="22" bestFit="1" customWidth="1"/>
    <col min="6" max="6" width="4.75" style="22" bestFit="1" customWidth="1"/>
    <col min="7" max="7" width="6.125" style="22" bestFit="1" customWidth="1"/>
    <col min="8" max="8" width="4.75" style="22" bestFit="1" customWidth="1"/>
    <col min="9" max="9" width="4.75" style="22" customWidth="1"/>
    <col min="10" max="11" width="9.625" style="22" customWidth="1"/>
    <col min="12" max="12" width="10.25" style="22" customWidth="1"/>
    <col min="13" max="13" width="10.125" style="22" customWidth="1"/>
    <col min="14" max="14" width="9" style="22"/>
    <col min="15" max="16" width="0" style="22" hidden="1" customWidth="1"/>
    <col min="17" max="16384" width="9" style="22"/>
  </cols>
  <sheetData>
    <row r="1" spans="1:16">
      <c r="B1" s="47"/>
    </row>
    <row r="2" spans="1:16">
      <c r="A2" s="670" t="s">
        <v>336</v>
      </c>
      <c r="B2" s="671"/>
      <c r="C2" s="670" t="s">
        <v>36</v>
      </c>
      <c r="D2" s="676"/>
      <c r="E2" s="676"/>
      <c r="F2" s="676"/>
      <c r="G2" s="671"/>
      <c r="H2" s="670"/>
      <c r="I2" s="676"/>
      <c r="J2" s="671"/>
      <c r="K2" s="81"/>
      <c r="L2" s="82" t="s">
        <v>37</v>
      </c>
      <c r="M2" s="82" t="s">
        <v>38</v>
      </c>
    </row>
    <row r="3" spans="1:16">
      <c r="A3" s="672"/>
      <c r="B3" s="673"/>
      <c r="C3" s="750" t="s">
        <v>342</v>
      </c>
      <c r="D3" s="751"/>
      <c r="E3" s="751"/>
      <c r="F3" s="751"/>
      <c r="G3" s="752"/>
      <c r="H3" s="670" t="s">
        <v>39</v>
      </c>
      <c r="I3" s="671"/>
      <c r="J3" s="83">
        <f>COUNT(A7:A100)</f>
        <v>11</v>
      </c>
      <c r="K3" s="82" t="s">
        <v>40</v>
      </c>
      <c r="L3" s="84">
        <v>38629</v>
      </c>
      <c r="M3" s="41" t="s">
        <v>56</v>
      </c>
      <c r="O3" s="22" t="s">
        <v>41</v>
      </c>
      <c r="P3" s="22" t="s">
        <v>42</v>
      </c>
    </row>
    <row r="4" spans="1:16">
      <c r="A4" s="674" t="s">
        <v>43</v>
      </c>
      <c r="B4" s="675"/>
      <c r="C4" s="674" t="s">
        <v>1464</v>
      </c>
      <c r="D4" s="753"/>
      <c r="E4" s="753"/>
      <c r="F4" s="753"/>
      <c r="G4" s="675"/>
      <c r="H4" s="670" t="s">
        <v>44</v>
      </c>
      <c r="I4" s="671"/>
      <c r="J4" s="83">
        <f>SUM(G7:G100)</f>
        <v>99</v>
      </c>
      <c r="K4" s="82" t="s">
        <v>45</v>
      </c>
      <c r="L4" s="40">
        <v>38764</v>
      </c>
      <c r="M4" s="42" t="s">
        <v>1407</v>
      </c>
      <c r="O4" s="22" t="s">
        <v>1358</v>
      </c>
      <c r="P4" s="22" t="s">
        <v>1359</v>
      </c>
    </row>
    <row r="5" spans="1:16">
      <c r="A5" s="683" t="s">
        <v>1360</v>
      </c>
      <c r="B5" s="670" t="s">
        <v>46</v>
      </c>
      <c r="C5" s="676"/>
      <c r="D5" s="691" t="s">
        <v>47</v>
      </c>
      <c r="E5" s="676"/>
      <c r="F5" s="676"/>
      <c r="G5" s="676"/>
      <c r="H5" s="676"/>
      <c r="I5" s="670" t="s">
        <v>604</v>
      </c>
      <c r="J5" s="671"/>
      <c r="K5" s="685" t="s">
        <v>48</v>
      </c>
      <c r="L5" s="686"/>
      <c r="M5" s="687"/>
      <c r="P5" s="22" t="s">
        <v>605</v>
      </c>
    </row>
    <row r="6" spans="1:16">
      <c r="A6" s="684"/>
      <c r="B6" s="82" t="s">
        <v>49</v>
      </c>
      <c r="C6" s="30" t="s">
        <v>50</v>
      </c>
      <c r="D6" s="85" t="s">
        <v>42</v>
      </c>
      <c r="E6" s="86" t="s">
        <v>51</v>
      </c>
      <c r="F6" s="87" t="s">
        <v>52</v>
      </c>
      <c r="G6" s="82" t="s">
        <v>606</v>
      </c>
      <c r="H6" s="29" t="s">
        <v>53</v>
      </c>
      <c r="I6" s="29" t="s">
        <v>607</v>
      </c>
      <c r="J6" s="29" t="s">
        <v>608</v>
      </c>
      <c r="K6" s="688"/>
      <c r="L6" s="689"/>
      <c r="M6" s="690"/>
      <c r="P6" s="22" t="s">
        <v>609</v>
      </c>
    </row>
    <row r="7" spans="1:16" s="16" customFormat="1">
      <c r="A7" s="42">
        <v>1</v>
      </c>
      <c r="B7" s="48" t="s">
        <v>74</v>
      </c>
      <c r="C7" s="49" t="s">
        <v>1361</v>
      </c>
      <c r="D7" s="50" t="s">
        <v>1164</v>
      </c>
      <c r="E7" s="51">
        <v>16</v>
      </c>
      <c r="F7" s="238"/>
      <c r="G7" s="21">
        <f>IF(D7="DATE",4,IF(D7="CHAR",E7,IF(D7="SMALLINT",2,IF(D7="INTEGER",4,IF(D7="TIMESTAMP",10,IF(D7="TIME",3,0))))))</f>
        <v>16</v>
      </c>
      <c r="H7" s="89" t="s">
        <v>1377</v>
      </c>
      <c r="I7" s="53" t="s">
        <v>1377</v>
      </c>
      <c r="J7" s="60"/>
      <c r="K7" s="599"/>
      <c r="L7" s="600"/>
      <c r="M7" s="601"/>
    </row>
    <row r="8" spans="1:16">
      <c r="A8" s="42">
        <f t="shared" ref="A8:A17" si="0">IF(B8=""," ",A7+1)</f>
        <v>2</v>
      </c>
      <c r="B8" s="48" t="s">
        <v>66</v>
      </c>
      <c r="C8" s="49" t="s">
        <v>1362</v>
      </c>
      <c r="D8" s="97" t="s">
        <v>548</v>
      </c>
      <c r="E8" s="98">
        <v>7</v>
      </c>
      <c r="F8" s="99"/>
      <c r="G8" s="21">
        <f t="shared" ref="G8:G16" si="1">IF(D8="DATE",4,IF(D8="CHAR",E8,IF(D8="SMALLINT",2,IF(D8="INTEGER",4,IF(D8="TIMESTAMP",10,IF(D8="TIME",3,0))))))</f>
        <v>7</v>
      </c>
      <c r="H8" s="89" t="s">
        <v>547</v>
      </c>
      <c r="I8" s="89" t="s">
        <v>547</v>
      </c>
      <c r="J8" s="92"/>
      <c r="K8" s="599"/>
      <c r="L8" s="600"/>
      <c r="M8" s="601"/>
    </row>
    <row r="9" spans="1:16">
      <c r="A9" s="42">
        <f t="shared" si="0"/>
        <v>3</v>
      </c>
      <c r="B9" s="93" t="s">
        <v>344</v>
      </c>
      <c r="C9" s="26" t="s">
        <v>1465</v>
      </c>
      <c r="D9" s="97" t="s">
        <v>533</v>
      </c>
      <c r="E9" s="98">
        <v>10</v>
      </c>
      <c r="F9" s="99"/>
      <c r="G9" s="21">
        <f>IF(D9="DATE",4,IF(D9="CHAR",E9,IF(D9="SMALLINT",2,IF(D9="INTEGER",4,IF(D9="TIMESTAMP",10,IF(D9="TIME",3,0))))))</f>
        <v>10</v>
      </c>
      <c r="H9" s="89" t="s">
        <v>1377</v>
      </c>
      <c r="I9" s="89"/>
      <c r="J9" s="92"/>
      <c r="K9" s="669"/>
      <c r="L9" s="603"/>
      <c r="M9" s="604"/>
    </row>
    <row r="10" spans="1:16">
      <c r="A10" s="42">
        <f t="shared" si="0"/>
        <v>4</v>
      </c>
      <c r="B10" s="93" t="s">
        <v>347</v>
      </c>
      <c r="C10" s="26" t="s">
        <v>1466</v>
      </c>
      <c r="D10" s="97" t="s">
        <v>533</v>
      </c>
      <c r="E10" s="98">
        <v>10</v>
      </c>
      <c r="F10" s="99"/>
      <c r="G10" s="21">
        <f>IF(D10="DATE",4,IF(D10="CHAR",E10,IF(D10="SMALLINT",2,IF(D10="INTEGER",4,IF(D10="TIMESTAMP",10,IF(D10="TIME",3,0))))))</f>
        <v>10</v>
      </c>
      <c r="H10" s="89" t="s">
        <v>1377</v>
      </c>
      <c r="I10" s="89"/>
      <c r="J10" s="92"/>
      <c r="K10" s="669"/>
      <c r="L10" s="603"/>
      <c r="M10" s="604"/>
    </row>
    <row r="11" spans="1:16" ht="11.25" customHeight="1">
      <c r="A11" s="42">
        <f t="shared" si="0"/>
        <v>5</v>
      </c>
      <c r="B11" s="93" t="s">
        <v>345</v>
      </c>
      <c r="C11" s="26" t="s">
        <v>594</v>
      </c>
      <c r="D11" s="97" t="s">
        <v>533</v>
      </c>
      <c r="E11" s="98">
        <v>10</v>
      </c>
      <c r="F11" s="99"/>
      <c r="G11" s="21">
        <f t="shared" si="1"/>
        <v>10</v>
      </c>
      <c r="H11" s="89" t="s">
        <v>1377</v>
      </c>
      <c r="I11" s="89"/>
      <c r="J11" s="92"/>
      <c r="K11" s="669"/>
      <c r="L11" s="603"/>
      <c r="M11" s="604"/>
    </row>
    <row r="12" spans="1:16" ht="11.25" customHeight="1">
      <c r="A12" s="42">
        <f t="shared" si="0"/>
        <v>6</v>
      </c>
      <c r="B12" s="93" t="s">
        <v>346</v>
      </c>
      <c r="C12" s="26" t="s">
        <v>1467</v>
      </c>
      <c r="D12" s="97" t="s">
        <v>533</v>
      </c>
      <c r="E12" s="98">
        <v>10</v>
      </c>
      <c r="F12" s="99"/>
      <c r="G12" s="21">
        <f t="shared" si="1"/>
        <v>10</v>
      </c>
      <c r="H12" s="89" t="s">
        <v>1377</v>
      </c>
      <c r="I12" s="89"/>
      <c r="J12" s="92"/>
      <c r="K12" s="669"/>
      <c r="L12" s="603"/>
      <c r="M12" s="604"/>
    </row>
    <row r="13" spans="1:16" ht="11.25" customHeight="1">
      <c r="A13" s="42">
        <f t="shared" si="0"/>
        <v>7</v>
      </c>
      <c r="B13" s="93" t="s">
        <v>343</v>
      </c>
      <c r="C13" s="26" t="s">
        <v>76</v>
      </c>
      <c r="D13" s="97" t="s">
        <v>533</v>
      </c>
      <c r="E13" s="98">
        <v>10</v>
      </c>
      <c r="F13" s="99"/>
      <c r="G13" s="21">
        <f>IF(D13="DATE",4,IF(D13="CHAR",E13,IF(D13="SMALLINT",2,IF(D13="INTEGER",4,IF(D13="TIMESTAMP",10,IF(D13="TIME",3,0))))))</f>
        <v>10</v>
      </c>
      <c r="H13" s="89" t="s">
        <v>1377</v>
      </c>
      <c r="I13" s="89"/>
      <c r="J13" s="92"/>
      <c r="K13" s="669"/>
      <c r="L13" s="603"/>
      <c r="M13" s="604"/>
    </row>
    <row r="14" spans="1:16">
      <c r="A14" s="42">
        <f t="shared" si="0"/>
        <v>8</v>
      </c>
      <c r="B14" s="64" t="s">
        <v>26</v>
      </c>
      <c r="C14" s="24" t="s">
        <v>1399</v>
      </c>
      <c r="D14" s="65" t="s">
        <v>519</v>
      </c>
      <c r="E14" s="51"/>
      <c r="F14" s="58"/>
      <c r="G14" s="21">
        <f t="shared" si="1"/>
        <v>4</v>
      </c>
      <c r="H14" s="89" t="s">
        <v>1400</v>
      </c>
      <c r="I14" s="89" t="s">
        <v>1400</v>
      </c>
      <c r="J14" s="165"/>
      <c r="K14" s="632" t="s">
        <v>1409</v>
      </c>
      <c r="L14" s="633"/>
      <c r="M14" s="634"/>
    </row>
    <row r="15" spans="1:16">
      <c r="A15" s="42">
        <f t="shared" si="0"/>
        <v>9</v>
      </c>
      <c r="B15" s="64" t="s">
        <v>27</v>
      </c>
      <c r="C15" s="24" t="s">
        <v>1401</v>
      </c>
      <c r="D15" s="65" t="s">
        <v>1402</v>
      </c>
      <c r="E15" s="51"/>
      <c r="F15" s="58"/>
      <c r="G15" s="21">
        <f t="shared" si="1"/>
        <v>4</v>
      </c>
      <c r="H15" s="89" t="s">
        <v>1403</v>
      </c>
      <c r="I15" s="53"/>
      <c r="J15" s="165"/>
      <c r="K15" s="632" t="s">
        <v>1410</v>
      </c>
      <c r="L15" s="633"/>
      <c r="M15" s="634"/>
    </row>
    <row r="16" spans="1:16" s="16" customFormat="1" ht="12" customHeight="1">
      <c r="A16" s="42">
        <f>IF(B16=""," ",A15+1)</f>
        <v>10</v>
      </c>
      <c r="B16" s="64" t="s">
        <v>1083</v>
      </c>
      <c r="C16" s="24" t="s">
        <v>1111</v>
      </c>
      <c r="D16" s="72" t="s">
        <v>1431</v>
      </c>
      <c r="E16" s="51">
        <v>8</v>
      </c>
      <c r="F16" s="58"/>
      <c r="G16" s="21">
        <f t="shared" si="1"/>
        <v>8</v>
      </c>
      <c r="H16" s="53" t="s">
        <v>1432</v>
      </c>
      <c r="I16" s="53"/>
      <c r="J16" s="59"/>
      <c r="K16" s="609" t="s">
        <v>1112</v>
      </c>
      <c r="L16" s="610"/>
      <c r="M16" s="611"/>
    </row>
    <row r="17" spans="1:13">
      <c r="A17" s="42">
        <f t="shared" si="0"/>
        <v>11</v>
      </c>
      <c r="B17" s="93" t="s">
        <v>1724</v>
      </c>
      <c r="C17" s="26" t="s">
        <v>1404</v>
      </c>
      <c r="D17" s="94" t="s">
        <v>1405</v>
      </c>
      <c r="E17" s="95"/>
      <c r="F17" s="90"/>
      <c r="G17" s="21">
        <f>IF(D17="DATE",4,IF(D17="CHAR",E17,IF(D17="SMALLINT",2,IF(D17="INTEGER",4,IF(D17="TIMESTAMP",10,IF(D17="TIME",3,0))))))</f>
        <v>10</v>
      </c>
      <c r="H17" s="91" t="s">
        <v>1406</v>
      </c>
      <c r="I17" s="89"/>
      <c r="J17" s="92"/>
      <c r="K17" s="602"/>
      <c r="L17" s="603"/>
      <c r="M17" s="604"/>
    </row>
    <row r="18" spans="1:13">
      <c r="A18" s="89" t="str">
        <f>IF(B18=""," ",A17+1)</f>
        <v xml:space="preserve"> </v>
      </c>
      <c r="B18" s="96"/>
      <c r="C18" s="31"/>
      <c r="D18" s="97"/>
      <c r="E18" s="98"/>
      <c r="F18" s="99"/>
      <c r="G18" s="21"/>
      <c r="H18" s="89"/>
      <c r="I18" s="89"/>
      <c r="J18" s="92"/>
      <c r="K18" s="669"/>
      <c r="L18" s="603"/>
      <c r="M18" s="604"/>
    </row>
    <row r="19" spans="1:13">
      <c r="A19" s="89" t="str">
        <f>IF(B19=""," ",A18+1)</f>
        <v xml:space="preserve"> </v>
      </c>
      <c r="B19" s="96"/>
      <c r="C19" s="31"/>
      <c r="D19" s="97"/>
      <c r="E19" s="98"/>
      <c r="F19" s="99"/>
      <c r="G19" s="21"/>
      <c r="H19" s="89"/>
      <c r="I19" s="89"/>
      <c r="J19" s="92"/>
      <c r="K19" s="602"/>
      <c r="L19" s="603"/>
      <c r="M19" s="604"/>
    </row>
    <row r="20" spans="1:13">
      <c r="A20" s="89" t="str">
        <f>IF(B20=""," ",A19+1)</f>
        <v xml:space="preserve"> </v>
      </c>
      <c r="B20" s="100"/>
      <c r="C20" s="137"/>
      <c r="D20" s="78"/>
      <c r="E20" s="98"/>
      <c r="F20" s="99"/>
      <c r="G20" s="21"/>
      <c r="H20" s="89"/>
      <c r="I20" s="89"/>
      <c r="J20" s="92"/>
      <c r="K20" s="628"/>
      <c r="L20" s="629"/>
      <c r="M20" s="630"/>
    </row>
    <row r="21" spans="1:13">
      <c r="A21" s="89" t="str">
        <f>IF(B21=""," ",A20+1)</f>
        <v xml:space="preserve"> </v>
      </c>
      <c r="B21" s="96"/>
      <c r="C21" s="31"/>
      <c r="D21" s="97"/>
      <c r="E21" s="98"/>
      <c r="F21" s="99"/>
      <c r="G21" s="21"/>
      <c r="H21" s="89"/>
      <c r="I21" s="89"/>
      <c r="J21" s="92"/>
      <c r="K21" s="602"/>
      <c r="L21" s="603"/>
      <c r="M21" s="604"/>
    </row>
    <row r="22" spans="1:13">
      <c r="A22" s="89" t="str">
        <f>IF(B22=""," ",A21+1)</f>
        <v xml:space="preserve"> </v>
      </c>
      <c r="B22" s="96"/>
      <c r="C22" s="31"/>
      <c r="D22" s="97"/>
      <c r="E22" s="98"/>
      <c r="F22" s="99"/>
      <c r="G22" s="21"/>
      <c r="H22" s="89"/>
      <c r="I22" s="89"/>
      <c r="J22" s="92"/>
      <c r="K22" s="602"/>
      <c r="L22" s="692"/>
      <c r="M22" s="693"/>
    </row>
    <row r="23" spans="1:13">
      <c r="A23" s="89" t="str">
        <f>IF(B23=""," ",#REF!+1)</f>
        <v xml:space="preserve"> </v>
      </c>
      <c r="B23" s="96"/>
      <c r="C23" s="31"/>
      <c r="D23" s="97"/>
      <c r="E23" s="98"/>
      <c r="F23" s="99"/>
      <c r="G23" s="21"/>
      <c r="H23" s="89"/>
      <c r="I23" s="89"/>
      <c r="J23" s="92"/>
      <c r="K23" s="669"/>
      <c r="L23" s="603"/>
      <c r="M23" s="604"/>
    </row>
    <row r="24" spans="1:13">
      <c r="A24" s="89" t="str">
        <f>IF(B24=""," ",A23+1)</f>
        <v xml:space="preserve"> </v>
      </c>
      <c r="B24" s="96"/>
      <c r="C24" s="31"/>
      <c r="D24" s="97"/>
      <c r="E24" s="98"/>
      <c r="F24" s="99"/>
      <c r="G24" s="21"/>
      <c r="H24" s="89"/>
      <c r="I24" s="89"/>
      <c r="J24" s="92"/>
      <c r="K24" s="669"/>
      <c r="L24" s="603"/>
      <c r="M24" s="604"/>
    </row>
    <row r="25" spans="1:13">
      <c r="A25" s="89" t="str">
        <f>IF(B25=""," ",#REF!+1)</f>
        <v xml:space="preserve"> </v>
      </c>
      <c r="B25" s="96"/>
      <c r="C25" s="31"/>
      <c r="D25" s="97"/>
      <c r="E25" s="98"/>
      <c r="F25" s="99"/>
      <c r="G25" s="21"/>
      <c r="H25" s="89"/>
      <c r="I25" s="89"/>
      <c r="J25" s="92"/>
      <c r="K25" s="31"/>
      <c r="L25" s="32"/>
      <c r="M25" s="33"/>
    </row>
    <row r="26" spans="1:13">
      <c r="A26" s="89" t="str">
        <f>IF(B26=""," ",A25+1)</f>
        <v xml:space="preserve"> </v>
      </c>
      <c r="B26" s="96"/>
      <c r="C26" s="31"/>
      <c r="D26" s="97"/>
      <c r="E26" s="98"/>
      <c r="F26" s="99"/>
      <c r="G26" s="21"/>
      <c r="H26" s="89"/>
      <c r="I26" s="89"/>
      <c r="J26" s="92"/>
      <c r="K26" s="31"/>
      <c r="L26" s="32"/>
      <c r="M26" s="33"/>
    </row>
    <row r="27" spans="1:13">
      <c r="A27" s="89" t="str">
        <f t="shared" ref="A27:A38" si="2">IF(B27=""," ",A26+1)</f>
        <v xml:space="preserve"> </v>
      </c>
      <c r="B27" s="66"/>
      <c r="C27" s="31"/>
      <c r="D27" s="97"/>
      <c r="E27" s="98"/>
      <c r="F27" s="99"/>
      <c r="G27" s="21"/>
      <c r="H27" s="89"/>
      <c r="I27" s="89"/>
      <c r="J27" s="92"/>
      <c r="K27" s="31"/>
      <c r="L27" s="32"/>
      <c r="M27" s="33"/>
    </row>
    <row r="28" spans="1:13">
      <c r="A28" s="89" t="str">
        <f>IF(B28=""," ",#REF!+1)</f>
        <v xml:space="preserve"> </v>
      </c>
      <c r="B28" s="96"/>
      <c r="C28" s="31"/>
      <c r="D28" s="97"/>
      <c r="E28" s="98"/>
      <c r="F28" s="99"/>
      <c r="G28" s="21"/>
      <c r="H28" s="89"/>
      <c r="I28" s="89"/>
      <c r="J28" s="92"/>
      <c r="K28" s="31"/>
      <c r="L28" s="32"/>
      <c r="M28" s="33"/>
    </row>
    <row r="29" spans="1:13">
      <c r="A29" s="89" t="str">
        <f>IF(B29=""," ",#REF!+1)</f>
        <v xml:space="preserve"> </v>
      </c>
      <c r="B29" s="96"/>
      <c r="C29" s="31"/>
      <c r="D29" s="97"/>
      <c r="E29" s="98"/>
      <c r="F29" s="99"/>
      <c r="G29" s="21"/>
      <c r="H29" s="89"/>
      <c r="I29" s="89"/>
      <c r="J29" s="92"/>
      <c r="K29" s="31"/>
      <c r="L29" s="32"/>
      <c r="M29" s="33"/>
    </row>
    <row r="30" spans="1:13">
      <c r="A30" s="89" t="str">
        <f t="shared" si="2"/>
        <v xml:space="preserve"> </v>
      </c>
      <c r="B30" s="96"/>
      <c r="C30" s="31"/>
      <c r="D30" s="97"/>
      <c r="E30" s="98"/>
      <c r="F30" s="99"/>
      <c r="G30" s="21"/>
      <c r="H30" s="89"/>
      <c r="I30" s="89"/>
      <c r="J30" s="92"/>
      <c r="K30" s="31"/>
      <c r="L30" s="32"/>
      <c r="M30" s="33"/>
    </row>
    <row r="31" spans="1:13">
      <c r="A31" s="89" t="str">
        <f t="shared" si="2"/>
        <v xml:space="preserve"> </v>
      </c>
      <c r="B31" s="96"/>
      <c r="C31" s="31"/>
      <c r="D31" s="97"/>
      <c r="E31" s="98"/>
      <c r="F31" s="99"/>
      <c r="G31" s="21"/>
      <c r="H31" s="89"/>
      <c r="I31" s="89"/>
      <c r="J31" s="92"/>
      <c r="K31" s="31"/>
      <c r="L31" s="32"/>
      <c r="M31" s="33"/>
    </row>
    <row r="32" spans="1:13">
      <c r="A32" s="89" t="str">
        <f t="shared" si="2"/>
        <v xml:space="preserve"> </v>
      </c>
      <c r="B32" s="96"/>
      <c r="C32" s="31"/>
      <c r="D32" s="97"/>
      <c r="E32" s="98"/>
      <c r="F32" s="99"/>
      <c r="G32" s="21"/>
      <c r="H32" s="89"/>
      <c r="I32" s="89"/>
      <c r="J32" s="92"/>
      <c r="K32" s="31"/>
      <c r="L32" s="32"/>
      <c r="M32" s="33"/>
    </row>
    <row r="33" spans="1:13">
      <c r="A33" s="89" t="str">
        <f>IF(B33=""," ",A32+1)</f>
        <v xml:space="preserve"> </v>
      </c>
      <c r="B33" s="96"/>
      <c r="C33" s="31"/>
      <c r="D33" s="97"/>
      <c r="E33" s="98"/>
      <c r="F33" s="99"/>
      <c r="G33" s="21"/>
      <c r="H33" s="89"/>
      <c r="I33" s="89"/>
      <c r="J33" s="92"/>
      <c r="K33" s="31"/>
      <c r="L33" s="32"/>
      <c r="M33" s="33"/>
    </row>
    <row r="34" spans="1:13">
      <c r="A34" s="89" t="str">
        <f t="shared" si="2"/>
        <v xml:space="preserve"> </v>
      </c>
      <c r="B34" s="96"/>
      <c r="C34" s="31"/>
      <c r="D34" s="97"/>
      <c r="E34" s="98"/>
      <c r="F34" s="99"/>
      <c r="G34" s="21"/>
      <c r="H34" s="89"/>
      <c r="I34" s="89"/>
      <c r="J34" s="92"/>
      <c r="K34" s="31"/>
      <c r="L34" s="32"/>
      <c r="M34" s="33"/>
    </row>
    <row r="35" spans="1:13">
      <c r="A35" s="89" t="str">
        <f t="shared" si="2"/>
        <v xml:space="preserve"> </v>
      </c>
      <c r="B35" s="96"/>
      <c r="C35" s="31"/>
      <c r="D35" s="97"/>
      <c r="E35" s="98"/>
      <c r="F35" s="99"/>
      <c r="G35" s="21"/>
      <c r="H35" s="89"/>
      <c r="I35" s="89"/>
      <c r="J35" s="92"/>
      <c r="K35" s="31"/>
      <c r="L35" s="32"/>
      <c r="M35" s="33"/>
    </row>
    <row r="36" spans="1:13">
      <c r="A36" s="89" t="str">
        <f t="shared" si="2"/>
        <v xml:space="preserve"> </v>
      </c>
      <c r="B36" s="96"/>
      <c r="C36" s="31"/>
      <c r="D36" s="97"/>
      <c r="E36" s="98"/>
      <c r="F36" s="99"/>
      <c r="G36" s="21"/>
      <c r="H36" s="89"/>
      <c r="I36" s="89"/>
      <c r="J36" s="92"/>
      <c r="K36" s="31"/>
      <c r="L36" s="32"/>
      <c r="M36" s="33"/>
    </row>
    <row r="37" spans="1:13">
      <c r="A37" s="89" t="str">
        <f t="shared" si="2"/>
        <v xml:space="preserve"> </v>
      </c>
      <c r="B37" s="96"/>
      <c r="C37" s="31"/>
      <c r="D37" s="97"/>
      <c r="E37" s="98"/>
      <c r="F37" s="99"/>
      <c r="G37" s="21"/>
      <c r="H37" s="89"/>
      <c r="I37" s="89"/>
      <c r="J37" s="92"/>
      <c r="K37" s="31"/>
      <c r="L37" s="32"/>
      <c r="M37" s="33"/>
    </row>
    <row r="38" spans="1:13">
      <c r="A38" s="89" t="str">
        <f t="shared" si="2"/>
        <v xml:space="preserve"> </v>
      </c>
      <c r="B38" s="96"/>
      <c r="C38" s="31"/>
      <c r="D38" s="97"/>
      <c r="E38" s="98"/>
      <c r="F38" s="99"/>
      <c r="G38" s="21"/>
      <c r="H38" s="89"/>
      <c r="I38" s="89"/>
      <c r="J38" s="92"/>
      <c r="K38" s="31"/>
      <c r="L38" s="32"/>
      <c r="M38" s="33"/>
    </row>
    <row r="39" spans="1:13">
      <c r="A39" s="42" t="str">
        <f>IF(B39=""," ",A38+1)</f>
        <v xml:space="preserve"> </v>
      </c>
      <c r="B39" s="71"/>
      <c r="C39" s="13"/>
      <c r="D39" s="72"/>
      <c r="E39" s="73"/>
      <c r="F39" s="74"/>
      <c r="G39" s="20"/>
      <c r="H39" s="42"/>
      <c r="I39" s="42"/>
      <c r="J39" s="59"/>
      <c r="K39" s="609"/>
      <c r="L39" s="610"/>
      <c r="M39" s="611"/>
    </row>
    <row r="40" spans="1:13">
      <c r="A40" s="42" t="str">
        <f>IF(B40=""," ",#REF!+1)</f>
        <v xml:space="preserve"> </v>
      </c>
      <c r="B40" s="71"/>
      <c r="C40" s="13"/>
      <c r="D40" s="72"/>
      <c r="E40" s="73"/>
      <c r="F40" s="74"/>
      <c r="G40" s="20"/>
      <c r="H40" s="42"/>
      <c r="I40" s="42"/>
      <c r="J40" s="59"/>
      <c r="K40" s="609"/>
      <c r="L40" s="610"/>
      <c r="M40" s="611"/>
    </row>
    <row r="41" spans="1:13">
      <c r="A41" s="42" t="str">
        <f>IF(B41=""," ",#REF!+1)</f>
        <v xml:space="preserve"> </v>
      </c>
      <c r="B41" s="71"/>
      <c r="C41" s="13"/>
      <c r="D41" s="72"/>
      <c r="E41" s="73"/>
      <c r="F41" s="74"/>
      <c r="G41" s="20"/>
      <c r="H41" s="42"/>
      <c r="I41" s="42"/>
      <c r="J41" s="59"/>
      <c r="K41" s="13"/>
      <c r="L41" s="14"/>
      <c r="M41" s="15"/>
    </row>
    <row r="42" spans="1:13">
      <c r="A42" s="42" t="str">
        <f>IF(B42=""," ",A41+1)</f>
        <v xml:space="preserve"> </v>
      </c>
      <c r="B42" s="71"/>
      <c r="C42" s="13"/>
      <c r="D42" s="72"/>
      <c r="E42" s="73"/>
      <c r="F42" s="74"/>
      <c r="G42" s="20"/>
      <c r="H42" s="42"/>
      <c r="I42" s="42"/>
      <c r="J42" s="59"/>
      <c r="K42" s="13"/>
      <c r="L42" s="14"/>
      <c r="M42" s="15"/>
    </row>
    <row r="43" spans="1:13">
      <c r="A43" s="42" t="str">
        <f>IF(B43=""," ",A42+1)</f>
        <v xml:space="preserve"> </v>
      </c>
      <c r="B43" s="71"/>
      <c r="C43" s="13"/>
      <c r="D43" s="72"/>
      <c r="E43" s="73"/>
      <c r="F43" s="74"/>
      <c r="G43" s="20"/>
      <c r="H43" s="42"/>
      <c r="I43" s="42"/>
      <c r="J43" s="59"/>
      <c r="K43" s="609"/>
      <c r="L43" s="610"/>
      <c r="M43" s="611"/>
    </row>
    <row r="44" spans="1:13">
      <c r="A44" s="42" t="str">
        <f>IF(B44=""," ",#REF!+1)</f>
        <v xml:space="preserve"> </v>
      </c>
      <c r="B44" s="71"/>
      <c r="C44" s="13"/>
      <c r="D44" s="72"/>
      <c r="E44" s="73"/>
      <c r="F44" s="74"/>
      <c r="G44" s="20"/>
      <c r="H44" s="42"/>
      <c r="I44" s="42"/>
      <c r="J44" s="59"/>
      <c r="K44" s="609"/>
      <c r="L44" s="610"/>
      <c r="M44" s="611"/>
    </row>
    <row r="45" spans="1:13">
      <c r="A45" s="42" t="str">
        <f>IF(B45=""," ",#REF!+1)</f>
        <v xml:space="preserve"> </v>
      </c>
      <c r="B45" s="71"/>
      <c r="C45" s="13"/>
      <c r="D45" s="72"/>
      <c r="E45" s="73"/>
      <c r="F45" s="74"/>
      <c r="G45" s="20"/>
      <c r="H45" s="42"/>
      <c r="I45" s="42"/>
      <c r="J45" s="59"/>
      <c r="K45" s="13"/>
      <c r="L45" s="14"/>
      <c r="M45" s="15"/>
    </row>
    <row r="46" spans="1:13">
      <c r="A46" s="42" t="str">
        <f>IF(B46=""," ",A45+1)</f>
        <v xml:space="preserve"> </v>
      </c>
      <c r="B46" s="71"/>
      <c r="C46" s="13"/>
      <c r="D46" s="72"/>
      <c r="E46" s="73"/>
      <c r="F46" s="74"/>
      <c r="G46" s="20"/>
      <c r="H46" s="42"/>
      <c r="I46" s="42"/>
      <c r="J46" s="59"/>
      <c r="K46" s="13"/>
      <c r="L46" s="14"/>
      <c r="M46" s="15"/>
    </row>
    <row r="47" spans="1:13">
      <c r="A47" s="42" t="str">
        <f>IF(B47=""," ",A46+1)</f>
        <v xml:space="preserve"> </v>
      </c>
      <c r="B47" s="71"/>
      <c r="C47" s="13"/>
      <c r="D47" s="72"/>
      <c r="E47" s="73"/>
      <c r="F47" s="74"/>
      <c r="G47" s="20"/>
      <c r="H47" s="42"/>
      <c r="I47" s="42"/>
      <c r="J47" s="59"/>
      <c r="K47" s="609"/>
      <c r="L47" s="610"/>
      <c r="M47" s="611"/>
    </row>
    <row r="48" spans="1:13">
      <c r="A48" s="42" t="str">
        <f>IF(B48=""," ",#REF!+1)</f>
        <v xml:space="preserve"> </v>
      </c>
      <c r="B48" s="71"/>
      <c r="C48" s="13"/>
      <c r="D48" s="72"/>
      <c r="E48" s="73"/>
      <c r="F48" s="74"/>
      <c r="G48" s="20"/>
      <c r="H48" s="42"/>
      <c r="I48" s="42"/>
      <c r="J48" s="59"/>
      <c r="K48" s="609"/>
      <c r="L48" s="610"/>
      <c r="M48" s="611"/>
    </row>
    <row r="49" spans="1:13">
      <c r="A49" s="42" t="str">
        <f>IF(B49=""," ",#REF!+1)</f>
        <v xml:space="preserve"> </v>
      </c>
      <c r="B49" s="71"/>
      <c r="C49" s="13"/>
      <c r="D49" s="72"/>
      <c r="E49" s="73"/>
      <c r="F49" s="74"/>
      <c r="G49" s="20"/>
      <c r="H49" s="42"/>
      <c r="I49" s="42"/>
      <c r="J49" s="59"/>
      <c r="K49" s="13"/>
      <c r="L49" s="14"/>
      <c r="M49" s="15"/>
    </row>
    <row r="50" spans="1:13">
      <c r="A50" s="42" t="str">
        <f>IF(B50=""," ",A49+1)</f>
        <v xml:space="preserve"> </v>
      </c>
      <c r="B50" s="71"/>
      <c r="C50" s="13"/>
      <c r="D50" s="72"/>
      <c r="E50" s="73"/>
      <c r="F50" s="74"/>
      <c r="G50" s="20"/>
      <c r="H50" s="42"/>
      <c r="I50" s="42"/>
      <c r="J50" s="59"/>
      <c r="K50" s="13"/>
      <c r="L50" s="14"/>
      <c r="M50" s="15"/>
    </row>
    <row r="51" spans="1:13">
      <c r="A51" s="42" t="str">
        <f>IF(B51=""," ",A50+1)</f>
        <v xml:space="preserve"> </v>
      </c>
      <c r="B51" s="71"/>
      <c r="C51" s="13"/>
      <c r="D51" s="72"/>
      <c r="E51" s="73"/>
      <c r="F51" s="74"/>
      <c r="G51" s="20"/>
      <c r="H51" s="42"/>
      <c r="I51" s="42"/>
      <c r="J51" s="59"/>
      <c r="K51" s="609"/>
      <c r="L51" s="610"/>
      <c r="M51" s="611"/>
    </row>
    <row r="52" spans="1:13">
      <c r="A52" s="42" t="str">
        <f>IF(B52=""," ",#REF!+1)</f>
        <v xml:space="preserve"> </v>
      </c>
      <c r="B52" s="71"/>
      <c r="C52" s="13"/>
      <c r="D52" s="72"/>
      <c r="E52" s="73"/>
      <c r="F52" s="74"/>
      <c r="G52" s="20"/>
      <c r="H52" s="42"/>
      <c r="I52" s="42"/>
      <c r="J52" s="59"/>
      <c r="K52" s="609"/>
      <c r="L52" s="610"/>
      <c r="M52" s="611"/>
    </row>
    <row r="53" spans="1:13">
      <c r="A53" s="42" t="str">
        <f>IF(B53=""," ",#REF!+1)</f>
        <v xml:space="preserve"> </v>
      </c>
      <c r="B53" s="71"/>
      <c r="C53" s="13"/>
      <c r="D53" s="72"/>
      <c r="E53" s="73"/>
      <c r="F53" s="74"/>
      <c r="G53" s="20"/>
      <c r="H53" s="42"/>
      <c r="I53" s="42"/>
      <c r="J53" s="59"/>
      <c r="K53" s="13"/>
      <c r="L53" s="14"/>
      <c r="M53" s="15"/>
    </row>
    <row r="54" spans="1:13">
      <c r="A54" s="42" t="str">
        <f>IF(B54=""," ",A53+1)</f>
        <v xml:space="preserve"> </v>
      </c>
      <c r="B54" s="71"/>
      <c r="C54" s="13"/>
      <c r="D54" s="72"/>
      <c r="E54" s="73"/>
      <c r="F54" s="74"/>
      <c r="G54" s="20"/>
      <c r="H54" s="42"/>
      <c r="I54" s="42"/>
      <c r="J54" s="59"/>
      <c r="K54" s="13"/>
      <c r="L54" s="14"/>
      <c r="M54" s="15"/>
    </row>
    <row r="55" spans="1:13">
      <c r="A55" s="42" t="str">
        <f>IF(B55=""," ",A54+1)</f>
        <v xml:space="preserve"> </v>
      </c>
      <c r="B55" s="71"/>
      <c r="C55" s="13"/>
      <c r="D55" s="72"/>
      <c r="E55" s="73"/>
      <c r="F55" s="74"/>
      <c r="G55" s="20"/>
      <c r="H55" s="42"/>
      <c r="I55" s="42"/>
      <c r="J55" s="59"/>
      <c r="K55" s="609"/>
      <c r="L55" s="610"/>
      <c r="M55" s="611"/>
    </row>
    <row r="56" spans="1:13">
      <c r="A56" s="42" t="str">
        <f>IF(B56=""," ",#REF!+1)</f>
        <v xml:space="preserve"> </v>
      </c>
      <c r="B56" s="71"/>
      <c r="C56" s="13"/>
      <c r="D56" s="72"/>
      <c r="E56" s="73"/>
      <c r="F56" s="74"/>
      <c r="G56" s="20"/>
      <c r="H56" s="42"/>
      <c r="I56" s="42"/>
      <c r="J56" s="59"/>
      <c r="K56" s="609"/>
      <c r="L56" s="610"/>
      <c r="M56" s="611"/>
    </row>
    <row r="57" spans="1:13">
      <c r="A57" s="42" t="str">
        <f>IF(B57=""," ",#REF!+1)</f>
        <v xml:space="preserve"> </v>
      </c>
      <c r="B57" s="71"/>
      <c r="C57" s="13"/>
      <c r="D57" s="72"/>
      <c r="E57" s="73"/>
      <c r="F57" s="74"/>
      <c r="G57" s="20"/>
      <c r="H57" s="42"/>
      <c r="I57" s="42"/>
      <c r="J57" s="59"/>
      <c r="K57" s="13"/>
      <c r="L57" s="14"/>
      <c r="M57" s="15"/>
    </row>
    <row r="58" spans="1:13">
      <c r="A58" s="42" t="str">
        <f>IF(B58=""," ",A57+1)</f>
        <v xml:space="preserve"> </v>
      </c>
      <c r="B58" s="71"/>
      <c r="C58" s="13"/>
      <c r="D58" s="72"/>
      <c r="E58" s="73"/>
      <c r="F58" s="74"/>
      <c r="G58" s="20"/>
      <c r="H58" s="42"/>
      <c r="I58" s="42"/>
      <c r="J58" s="59"/>
      <c r="K58" s="13"/>
      <c r="L58" s="14"/>
      <c r="M58" s="15"/>
    </row>
    <row r="59" spans="1:13">
      <c r="A59" s="42" t="str">
        <f>IF(B59=""," ",A58+1)</f>
        <v xml:space="preserve"> </v>
      </c>
      <c r="B59" s="71"/>
      <c r="C59" s="13"/>
      <c r="D59" s="72"/>
      <c r="E59" s="73"/>
      <c r="F59" s="74"/>
      <c r="G59" s="20"/>
      <c r="H59" s="42"/>
      <c r="I59" s="42"/>
      <c r="J59" s="59"/>
      <c r="K59" s="609"/>
      <c r="L59" s="610"/>
      <c r="M59" s="611"/>
    </row>
    <row r="60" spans="1:13">
      <c r="A60" s="42" t="str">
        <f>IF(B60=""," ",#REF!+1)</f>
        <v xml:space="preserve"> </v>
      </c>
      <c r="B60" s="71"/>
      <c r="C60" s="13"/>
      <c r="D60" s="72"/>
      <c r="E60" s="73"/>
      <c r="F60" s="74"/>
      <c r="G60" s="20"/>
      <c r="H60" s="42"/>
      <c r="I60" s="42"/>
      <c r="J60" s="59"/>
      <c r="K60" s="609"/>
      <c r="L60" s="610"/>
      <c r="M60" s="611"/>
    </row>
    <row r="61" spans="1:13">
      <c r="A61" s="42" t="str">
        <f>IF(B61=""," ",#REF!+1)</f>
        <v xml:space="preserve"> </v>
      </c>
      <c r="B61" s="71"/>
      <c r="C61" s="13"/>
      <c r="D61" s="72"/>
      <c r="E61" s="73"/>
      <c r="F61" s="74"/>
      <c r="G61" s="20"/>
      <c r="H61" s="42"/>
      <c r="I61" s="42"/>
      <c r="J61" s="59"/>
      <c r="K61" s="13"/>
      <c r="L61" s="14"/>
      <c r="M61" s="15"/>
    </row>
    <row r="62" spans="1:13">
      <c r="A62" s="42" t="str">
        <f>IF(B62=""," ",A61+1)</f>
        <v xml:space="preserve"> </v>
      </c>
      <c r="B62" s="71"/>
      <c r="C62" s="13"/>
      <c r="D62" s="72"/>
      <c r="E62" s="73"/>
      <c r="F62" s="74"/>
      <c r="G62" s="20"/>
      <c r="H62" s="42"/>
      <c r="I62" s="42"/>
      <c r="J62" s="59"/>
      <c r="K62" s="13"/>
      <c r="L62" s="14"/>
      <c r="M62" s="15"/>
    </row>
    <row r="63" spans="1:13">
      <c r="A63" s="42" t="str">
        <f>IF(B63=""," ",A62+1)</f>
        <v xml:space="preserve"> </v>
      </c>
      <c r="B63" s="71"/>
      <c r="C63" s="13"/>
      <c r="D63" s="72"/>
      <c r="E63" s="73"/>
      <c r="F63" s="74"/>
      <c r="G63" s="20"/>
      <c r="H63" s="42"/>
      <c r="I63" s="42"/>
      <c r="J63" s="59"/>
      <c r="K63" s="609"/>
      <c r="L63" s="610"/>
      <c r="M63" s="611"/>
    </row>
    <row r="64" spans="1:13">
      <c r="A64" s="42" t="str">
        <f>IF(B64=""," ",#REF!+1)</f>
        <v xml:space="preserve"> </v>
      </c>
      <c r="B64" s="71"/>
      <c r="C64" s="13"/>
      <c r="D64" s="72"/>
      <c r="E64" s="73"/>
      <c r="F64" s="74"/>
      <c r="G64" s="20"/>
      <c r="H64" s="42"/>
      <c r="I64" s="42"/>
      <c r="J64" s="59"/>
      <c r="K64" s="609"/>
      <c r="L64" s="610"/>
      <c r="M64" s="611"/>
    </row>
    <row r="65" spans="1:13">
      <c r="A65" s="42" t="str">
        <f>IF(B65=""," ",#REF!+1)</f>
        <v xml:space="preserve"> </v>
      </c>
      <c r="B65" s="71"/>
      <c r="C65" s="13"/>
      <c r="D65" s="72"/>
      <c r="E65" s="73"/>
      <c r="F65" s="74"/>
      <c r="G65" s="20"/>
      <c r="H65" s="42"/>
      <c r="I65" s="42"/>
      <c r="J65" s="59"/>
      <c r="K65" s="13"/>
      <c r="L65" s="14"/>
      <c r="M65" s="15"/>
    </row>
    <row r="66" spans="1:13">
      <c r="A66" s="42" t="str">
        <f>IF(B66=""," ",A65+1)</f>
        <v xml:space="preserve"> </v>
      </c>
      <c r="B66" s="71"/>
      <c r="C66" s="13"/>
      <c r="D66" s="72"/>
      <c r="E66" s="73"/>
      <c r="F66" s="74"/>
      <c r="G66" s="20"/>
      <c r="H66" s="42"/>
      <c r="I66" s="42"/>
      <c r="J66" s="59"/>
      <c r="K66" s="13"/>
      <c r="L66" s="14"/>
      <c r="M66" s="15"/>
    </row>
    <row r="67" spans="1:13">
      <c r="A67" s="42" t="str">
        <f>IF(B67=""," ",A66+1)</f>
        <v xml:space="preserve"> </v>
      </c>
      <c r="B67" s="71"/>
      <c r="C67" s="13"/>
      <c r="D67" s="72"/>
      <c r="E67" s="73"/>
      <c r="F67" s="74"/>
      <c r="G67" s="20"/>
      <c r="H67" s="42"/>
      <c r="I67" s="42"/>
      <c r="J67" s="59"/>
      <c r="K67" s="609"/>
      <c r="L67" s="610"/>
      <c r="M67" s="611"/>
    </row>
    <row r="68" spans="1:13">
      <c r="A68" s="42" t="str">
        <f>IF(B68=""," ",#REF!+1)</f>
        <v xml:space="preserve"> </v>
      </c>
      <c r="B68" s="71"/>
      <c r="C68" s="13"/>
      <c r="D68" s="72"/>
      <c r="E68" s="73"/>
      <c r="F68" s="74"/>
      <c r="G68" s="20"/>
      <c r="H68" s="42"/>
      <c r="I68" s="42"/>
      <c r="J68" s="59"/>
      <c r="K68" s="609"/>
      <c r="L68" s="610"/>
      <c r="M68" s="611"/>
    </row>
    <row r="69" spans="1:13">
      <c r="A69" s="42" t="str">
        <f>IF(B69=""," ",#REF!+1)</f>
        <v xml:space="preserve"> </v>
      </c>
      <c r="B69" s="71"/>
      <c r="C69" s="13"/>
      <c r="D69" s="72"/>
      <c r="E69" s="73"/>
      <c r="F69" s="74"/>
      <c r="G69" s="20"/>
      <c r="H69" s="42"/>
      <c r="I69" s="42"/>
      <c r="J69" s="59"/>
      <c r="K69" s="13"/>
      <c r="L69" s="14"/>
      <c r="M69" s="15"/>
    </row>
    <row r="70" spans="1:13">
      <c r="A70" s="42" t="str">
        <f>IF(B70=""," ",A69+1)</f>
        <v xml:space="preserve"> </v>
      </c>
      <c r="B70" s="71"/>
      <c r="C70" s="13"/>
      <c r="D70" s="72"/>
      <c r="E70" s="73"/>
      <c r="F70" s="74"/>
      <c r="G70" s="20"/>
      <c r="H70" s="42"/>
      <c r="I70" s="42"/>
      <c r="J70" s="59"/>
      <c r="K70" s="13"/>
      <c r="L70" s="14"/>
      <c r="M70" s="15"/>
    </row>
    <row r="71" spans="1:13">
      <c r="A71" s="42" t="str">
        <f>IF(B71=""," ",A70+1)</f>
        <v xml:space="preserve"> </v>
      </c>
      <c r="B71" s="71"/>
      <c r="C71" s="13"/>
      <c r="D71" s="72"/>
      <c r="E71" s="73"/>
      <c r="F71" s="74"/>
      <c r="G71" s="20"/>
      <c r="H71" s="42"/>
      <c r="I71" s="42"/>
      <c r="J71" s="59"/>
      <c r="K71" s="609"/>
      <c r="L71" s="610"/>
      <c r="M71" s="611"/>
    </row>
    <row r="72" spans="1:13">
      <c r="A72" s="42" t="str">
        <f>IF(B72=""," ",#REF!+1)</f>
        <v xml:space="preserve"> </v>
      </c>
      <c r="B72" s="71"/>
      <c r="C72" s="13"/>
      <c r="D72" s="72"/>
      <c r="E72" s="73"/>
      <c r="F72" s="74"/>
      <c r="G72" s="20"/>
      <c r="H72" s="42"/>
      <c r="I72" s="42"/>
      <c r="J72" s="59"/>
      <c r="K72" s="609"/>
      <c r="L72" s="610"/>
      <c r="M72" s="611"/>
    </row>
    <row r="73" spans="1:13">
      <c r="A73" s="42" t="str">
        <f>IF(B73=""," ",#REF!+1)</f>
        <v xml:space="preserve"> </v>
      </c>
      <c r="B73" s="71"/>
      <c r="C73" s="13"/>
      <c r="D73" s="72"/>
      <c r="E73" s="73"/>
      <c r="F73" s="74"/>
      <c r="G73" s="20"/>
      <c r="H73" s="42"/>
      <c r="I73" s="42"/>
      <c r="J73" s="59"/>
      <c r="K73" s="13"/>
      <c r="L73" s="14"/>
      <c r="M73" s="15"/>
    </row>
    <row r="74" spans="1:13">
      <c r="A74" s="42" t="str">
        <f>IF(B74=""," ",A73+1)</f>
        <v xml:space="preserve"> </v>
      </c>
      <c r="B74" s="71"/>
      <c r="C74" s="13"/>
      <c r="D74" s="72"/>
      <c r="E74" s="73"/>
      <c r="F74" s="74"/>
      <c r="G74" s="20"/>
      <c r="H74" s="42"/>
      <c r="I74" s="42"/>
      <c r="J74" s="59"/>
      <c r="K74" s="13"/>
      <c r="L74" s="14"/>
      <c r="M74" s="15"/>
    </row>
    <row r="75" spans="1:13">
      <c r="A75" s="42" t="str">
        <f>IF(B75=""," ",A74+1)</f>
        <v xml:space="preserve"> </v>
      </c>
      <c r="B75" s="71"/>
      <c r="C75" s="13"/>
      <c r="D75" s="72"/>
      <c r="E75" s="73"/>
      <c r="F75" s="74"/>
      <c r="G75" s="20"/>
      <c r="H75" s="42"/>
      <c r="I75" s="42"/>
      <c r="J75" s="59"/>
      <c r="K75" s="609"/>
      <c r="L75" s="610"/>
      <c r="M75" s="611"/>
    </row>
    <row r="76" spans="1:13">
      <c r="A76" s="42" t="str">
        <f>IF(B76=""," ",#REF!+1)</f>
        <v xml:space="preserve"> </v>
      </c>
      <c r="B76" s="71"/>
      <c r="C76" s="13"/>
      <c r="D76" s="72"/>
      <c r="E76" s="73"/>
      <c r="F76" s="74"/>
      <c r="G76" s="20"/>
      <c r="H76" s="42"/>
      <c r="I76" s="42"/>
      <c r="J76" s="59"/>
      <c r="K76" s="609"/>
      <c r="L76" s="610"/>
      <c r="M76" s="611"/>
    </row>
    <row r="77" spans="1:13">
      <c r="A77" s="42" t="str">
        <f>IF(B77=""," ",#REF!+1)</f>
        <v xml:space="preserve"> </v>
      </c>
      <c r="B77" s="71"/>
      <c r="C77" s="13"/>
      <c r="D77" s="72"/>
      <c r="E77" s="73"/>
      <c r="F77" s="74"/>
      <c r="G77" s="20"/>
      <c r="H77" s="42"/>
      <c r="I77" s="42"/>
      <c r="J77" s="59"/>
      <c r="K77" s="13"/>
      <c r="L77" s="14"/>
      <c r="M77" s="15"/>
    </row>
    <row r="78" spans="1:13">
      <c r="A78" s="42" t="str">
        <f>IF(B78=""," ",A77+1)</f>
        <v xml:space="preserve"> </v>
      </c>
      <c r="B78" s="71"/>
      <c r="C78" s="13"/>
      <c r="D78" s="72"/>
      <c r="E78" s="73"/>
      <c r="F78" s="74"/>
      <c r="G78" s="20"/>
      <c r="H78" s="42"/>
      <c r="I78" s="42"/>
      <c r="J78" s="59"/>
      <c r="K78" s="13"/>
      <c r="L78" s="14"/>
      <c r="M78" s="15"/>
    </row>
    <row r="79" spans="1:13">
      <c r="A79" s="42" t="str">
        <f>IF(B79=""," ",A78+1)</f>
        <v xml:space="preserve"> </v>
      </c>
      <c r="B79" s="71"/>
      <c r="C79" s="13"/>
      <c r="D79" s="72"/>
      <c r="E79" s="73"/>
      <c r="F79" s="74"/>
      <c r="G79" s="20"/>
      <c r="H79" s="42"/>
      <c r="I79" s="42"/>
      <c r="J79" s="59"/>
      <c r="K79" s="609"/>
      <c r="L79" s="610"/>
      <c r="M79" s="611"/>
    </row>
    <row r="80" spans="1:13">
      <c r="A80" s="42" t="str">
        <f>IF(B80=""," ",#REF!+1)</f>
        <v xml:space="preserve"> </v>
      </c>
      <c r="B80" s="71"/>
      <c r="C80" s="13"/>
      <c r="D80" s="72"/>
      <c r="E80" s="73"/>
      <c r="F80" s="74"/>
      <c r="G80" s="20"/>
      <c r="H80" s="42"/>
      <c r="I80" s="42"/>
      <c r="J80" s="59"/>
      <c r="K80" s="609"/>
      <c r="L80" s="610"/>
      <c r="M80" s="611"/>
    </row>
    <row r="81" spans="1:13">
      <c r="A81" s="42" t="str">
        <f>IF(B81=""," ",#REF!+1)</f>
        <v xml:space="preserve"> </v>
      </c>
      <c r="B81" s="71"/>
      <c r="C81" s="13"/>
      <c r="D81" s="72"/>
      <c r="E81" s="73"/>
      <c r="F81" s="74"/>
      <c r="G81" s="20"/>
      <c r="H81" s="42"/>
      <c r="I81" s="42"/>
      <c r="J81" s="59"/>
      <c r="K81" s="13"/>
      <c r="L81" s="14"/>
      <c r="M81" s="15"/>
    </row>
    <row r="82" spans="1:13">
      <c r="A82" s="42" t="str">
        <f>IF(B82=""," ",A81+1)</f>
        <v xml:space="preserve"> </v>
      </c>
      <c r="B82" s="71"/>
      <c r="C82" s="13"/>
      <c r="D82" s="72"/>
      <c r="E82" s="73"/>
      <c r="F82" s="74"/>
      <c r="G82" s="20"/>
      <c r="H82" s="42"/>
      <c r="I82" s="42"/>
      <c r="J82" s="59"/>
      <c r="K82" s="13"/>
      <c r="L82" s="14"/>
      <c r="M82" s="15"/>
    </row>
    <row r="83" spans="1:13">
      <c r="A83" s="42" t="str">
        <f>IF(B83=""," ",A82+1)</f>
        <v xml:space="preserve"> </v>
      </c>
      <c r="B83" s="71"/>
      <c r="C83" s="13"/>
      <c r="D83" s="72"/>
      <c r="E83" s="73"/>
      <c r="F83" s="74"/>
      <c r="G83" s="20"/>
      <c r="H83" s="42"/>
      <c r="I83" s="42"/>
      <c r="J83" s="59"/>
      <c r="K83" s="609"/>
      <c r="L83" s="610"/>
      <c r="M83" s="611"/>
    </row>
    <row r="84" spans="1:13">
      <c r="A84" s="42" t="str">
        <f>IF(B84=""," ",#REF!+1)</f>
        <v xml:space="preserve"> </v>
      </c>
      <c r="B84" s="71"/>
      <c r="C84" s="13"/>
      <c r="D84" s="72"/>
      <c r="E84" s="73"/>
      <c r="F84" s="74"/>
      <c r="G84" s="20"/>
      <c r="H84" s="42"/>
      <c r="I84" s="42"/>
      <c r="J84" s="59"/>
      <c r="K84" s="609"/>
      <c r="L84" s="610"/>
      <c r="M84" s="611"/>
    </row>
    <row r="85" spans="1:13">
      <c r="A85" s="42" t="str">
        <f>IF(B85=""," ",#REF!+1)</f>
        <v xml:space="preserve"> </v>
      </c>
      <c r="B85" s="71"/>
      <c r="C85" s="13"/>
      <c r="D85" s="72"/>
      <c r="E85" s="73"/>
      <c r="F85" s="74"/>
      <c r="G85" s="20"/>
      <c r="H85" s="42"/>
      <c r="I85" s="42"/>
      <c r="J85" s="59"/>
      <c r="K85" s="13"/>
      <c r="L85" s="14"/>
      <c r="M85" s="15"/>
    </row>
    <row r="86" spans="1:13">
      <c r="A86" s="42" t="str">
        <f>IF(B86=""," ",A85+1)</f>
        <v xml:space="preserve"> </v>
      </c>
      <c r="B86" s="71"/>
      <c r="C86" s="13"/>
      <c r="D86" s="72"/>
      <c r="E86" s="73"/>
      <c r="F86" s="74"/>
      <c r="G86" s="20"/>
      <c r="H86" s="42"/>
      <c r="I86" s="42"/>
      <c r="J86" s="59"/>
      <c r="K86" s="13"/>
      <c r="L86" s="14"/>
      <c r="M86" s="15"/>
    </row>
    <row r="87" spans="1:13">
      <c r="A87" s="42" t="str">
        <f>IF(B87=""," ",A86+1)</f>
        <v xml:space="preserve"> </v>
      </c>
      <c r="B87" s="71"/>
      <c r="C87" s="13"/>
      <c r="D87" s="72"/>
      <c r="E87" s="73"/>
      <c r="F87" s="74"/>
      <c r="G87" s="20"/>
      <c r="H87" s="42"/>
      <c r="I87" s="42"/>
      <c r="J87" s="59"/>
      <c r="K87" s="609"/>
      <c r="L87" s="610"/>
      <c r="M87" s="611"/>
    </row>
    <row r="88" spans="1:13">
      <c r="A88" s="42" t="str">
        <f>IF(B88=""," ",#REF!+1)</f>
        <v xml:space="preserve"> </v>
      </c>
      <c r="B88" s="71"/>
      <c r="C88" s="13"/>
      <c r="D88" s="72"/>
      <c r="E88" s="73"/>
      <c r="F88" s="74"/>
      <c r="G88" s="20"/>
      <c r="H88" s="42"/>
      <c r="I88" s="42"/>
      <c r="J88" s="59"/>
      <c r="K88" s="609"/>
      <c r="L88" s="610"/>
      <c r="M88" s="611"/>
    </row>
    <row r="89" spans="1:13">
      <c r="A89" s="42" t="str">
        <f>IF(B89=""," ",#REF!+1)</f>
        <v xml:space="preserve"> </v>
      </c>
      <c r="B89" s="71"/>
      <c r="C89" s="13"/>
      <c r="D89" s="72"/>
      <c r="E89" s="73"/>
      <c r="F89" s="74"/>
      <c r="G89" s="20"/>
      <c r="H89" s="42"/>
      <c r="I89" s="42"/>
      <c r="J89" s="59"/>
      <c r="K89" s="13"/>
      <c r="L89" s="14"/>
      <c r="M89" s="15"/>
    </row>
    <row r="90" spans="1:13">
      <c r="A90" s="42" t="str">
        <f>IF(B90=""," ",A89+1)</f>
        <v xml:space="preserve"> </v>
      </c>
      <c r="B90" s="71"/>
      <c r="C90" s="13"/>
      <c r="D90" s="72"/>
      <c r="E90" s="73"/>
      <c r="F90" s="74"/>
      <c r="G90" s="20"/>
      <c r="H90" s="42"/>
      <c r="I90" s="42"/>
      <c r="J90" s="59"/>
      <c r="K90" s="13"/>
      <c r="L90" s="14"/>
      <c r="M90" s="15"/>
    </row>
    <row r="91" spans="1:13">
      <c r="A91" s="42" t="str">
        <f>IF(B91=""," ",A90+1)</f>
        <v xml:space="preserve"> </v>
      </c>
      <c r="B91" s="71"/>
      <c r="C91" s="13"/>
      <c r="D91" s="72"/>
      <c r="E91" s="73"/>
      <c r="F91" s="74"/>
      <c r="G91" s="20"/>
      <c r="H91" s="42"/>
      <c r="I91" s="42"/>
      <c r="J91" s="59"/>
      <c r="K91" s="609"/>
      <c r="L91" s="610"/>
      <c r="M91" s="611"/>
    </row>
    <row r="92" spans="1:13">
      <c r="A92" s="42" t="str">
        <f>IF(B92=""," ",#REF!+1)</f>
        <v xml:space="preserve"> </v>
      </c>
      <c r="B92" s="71"/>
      <c r="C92" s="13"/>
      <c r="D92" s="72"/>
      <c r="E92" s="73"/>
      <c r="F92" s="74"/>
      <c r="G92" s="20"/>
      <c r="H92" s="42"/>
      <c r="I92" s="42"/>
      <c r="J92" s="59"/>
      <c r="K92" s="609"/>
      <c r="L92" s="610"/>
      <c r="M92" s="611"/>
    </row>
    <row r="93" spans="1:13">
      <c r="A93" s="42" t="str">
        <f>IF(B93=""," ",#REF!+1)</f>
        <v xml:space="preserve"> </v>
      </c>
      <c r="B93" s="71"/>
      <c r="C93" s="13"/>
      <c r="D93" s="72"/>
      <c r="E93" s="73"/>
      <c r="F93" s="74"/>
      <c r="G93" s="20"/>
      <c r="H93" s="42"/>
      <c r="I93" s="42"/>
      <c r="J93" s="59"/>
      <c r="K93" s="13"/>
      <c r="L93" s="14"/>
      <c r="M93" s="15"/>
    </row>
    <row r="94" spans="1:13">
      <c r="A94" s="42" t="str">
        <f>IF(B94=""," ",A93+1)</f>
        <v xml:space="preserve"> </v>
      </c>
      <c r="B94" s="71"/>
      <c r="C94" s="13"/>
      <c r="D94" s="72"/>
      <c r="E94" s="73"/>
      <c r="F94" s="74"/>
      <c r="G94" s="20"/>
      <c r="H94" s="42"/>
      <c r="I94" s="42"/>
      <c r="J94" s="59"/>
      <c r="K94" s="13"/>
      <c r="L94" s="14"/>
      <c r="M94" s="15"/>
    </row>
    <row r="95" spans="1:13">
      <c r="A95" s="42" t="str">
        <f>IF(B95=""," ",A94+1)</f>
        <v xml:space="preserve"> </v>
      </c>
      <c r="B95" s="71"/>
      <c r="C95" s="13"/>
      <c r="D95" s="72"/>
      <c r="E95" s="73"/>
      <c r="F95" s="74"/>
      <c r="G95" s="20"/>
      <c r="H95" s="42"/>
      <c r="I95" s="42"/>
      <c r="J95" s="59"/>
      <c r="K95" s="609"/>
      <c r="L95" s="610"/>
      <c r="M95" s="611"/>
    </row>
    <row r="96" spans="1:13">
      <c r="A96" s="42" t="str">
        <f>IF(B96=""," ",#REF!+1)</f>
        <v xml:space="preserve"> </v>
      </c>
      <c r="B96" s="71"/>
      <c r="C96" s="13"/>
      <c r="D96" s="72"/>
      <c r="E96" s="73"/>
      <c r="F96" s="74"/>
      <c r="G96" s="20"/>
      <c r="H96" s="42"/>
      <c r="I96" s="42"/>
      <c r="J96" s="59"/>
      <c r="K96" s="609"/>
      <c r="L96" s="610"/>
      <c r="M96" s="611"/>
    </row>
    <row r="97" spans="1:13">
      <c r="A97" s="42" t="str">
        <f>IF(B97=""," ",#REF!+1)</f>
        <v xml:space="preserve"> </v>
      </c>
      <c r="B97" s="71"/>
      <c r="C97" s="13"/>
      <c r="D97" s="72"/>
      <c r="E97" s="73"/>
      <c r="F97" s="74"/>
      <c r="G97" s="20"/>
      <c r="H97" s="42"/>
      <c r="I97" s="42"/>
      <c r="J97" s="59"/>
      <c r="K97" s="13"/>
      <c r="L97" s="14"/>
      <c r="M97" s="15"/>
    </row>
    <row r="98" spans="1:13">
      <c r="A98" s="42" t="str">
        <f>IF(B98=""," ",A97+1)</f>
        <v xml:space="preserve"> </v>
      </c>
      <c r="B98" s="71"/>
      <c r="C98" s="13"/>
      <c r="D98" s="72"/>
      <c r="E98" s="73"/>
      <c r="F98" s="74"/>
      <c r="G98" s="20"/>
      <c r="H98" s="42"/>
      <c r="I98" s="42"/>
      <c r="J98" s="59"/>
      <c r="K98" s="13"/>
      <c r="L98" s="14"/>
      <c r="M98" s="15"/>
    </row>
    <row r="99" spans="1:13">
      <c r="A99" s="42" t="str">
        <f>IF(B99=""," ",A98+1)</f>
        <v xml:space="preserve"> </v>
      </c>
      <c r="B99" s="71"/>
      <c r="C99" s="13"/>
      <c r="D99" s="72"/>
      <c r="E99" s="73"/>
      <c r="F99" s="74"/>
      <c r="G99" s="20"/>
      <c r="H99" s="42"/>
      <c r="I99" s="42"/>
      <c r="J99" s="59"/>
      <c r="K99" s="609"/>
      <c r="L99" s="610"/>
      <c r="M99" s="611"/>
    </row>
    <row r="100" spans="1:13">
      <c r="A100" s="42" t="str">
        <f>IF(B100=""," ",#REF!+1)</f>
        <v xml:space="preserve"> </v>
      </c>
      <c r="B100" s="71"/>
      <c r="C100" s="13"/>
      <c r="D100" s="72"/>
      <c r="E100" s="73"/>
      <c r="F100" s="74"/>
      <c r="G100" s="20"/>
      <c r="H100" s="42"/>
      <c r="I100" s="42"/>
      <c r="J100" s="59"/>
      <c r="K100" s="609"/>
      <c r="L100" s="610"/>
      <c r="M100" s="611"/>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row r="110" spans="1:13" s="16" customFormat="1">
      <c r="A110" s="46"/>
      <c r="B110" s="75" t="s">
        <v>1463</v>
      </c>
      <c r="C110" s="16" t="s">
        <v>1411</v>
      </c>
    </row>
  </sheetData>
  <mergeCells count="64">
    <mergeCell ref="K95:M95"/>
    <mergeCell ref="K96:M96"/>
    <mergeCell ref="K99:M99"/>
    <mergeCell ref="K100:M100"/>
    <mergeCell ref="K87:M87"/>
    <mergeCell ref="K88:M88"/>
    <mergeCell ref="K91:M91"/>
    <mergeCell ref="K92:M92"/>
    <mergeCell ref="K79:M79"/>
    <mergeCell ref="K80:M80"/>
    <mergeCell ref="K83:M83"/>
    <mergeCell ref="K84:M84"/>
    <mergeCell ref="K71:M71"/>
    <mergeCell ref="K72:M72"/>
    <mergeCell ref="K75:M75"/>
    <mergeCell ref="K76:M76"/>
    <mergeCell ref="K63:M63"/>
    <mergeCell ref="K64:M64"/>
    <mergeCell ref="K67:M67"/>
    <mergeCell ref="K68:M68"/>
    <mergeCell ref="K55:M55"/>
    <mergeCell ref="K56:M56"/>
    <mergeCell ref="K59:M59"/>
    <mergeCell ref="K60:M60"/>
    <mergeCell ref="K47:M47"/>
    <mergeCell ref="K48:M48"/>
    <mergeCell ref="K51:M51"/>
    <mergeCell ref="K52:M52"/>
    <mergeCell ref="K39:M39"/>
    <mergeCell ref="K40:M40"/>
    <mergeCell ref="K43:M43"/>
    <mergeCell ref="K44:M44"/>
    <mergeCell ref="K17:M17"/>
    <mergeCell ref="K18:M18"/>
    <mergeCell ref="K23:M23"/>
    <mergeCell ref="K24:M24"/>
    <mergeCell ref="K19:M19"/>
    <mergeCell ref="K20:M20"/>
    <mergeCell ref="K21:M21"/>
    <mergeCell ref="K22:M22"/>
    <mergeCell ref="K7:M7"/>
    <mergeCell ref="A2:B2"/>
    <mergeCell ref="A3:B3"/>
    <mergeCell ref="A4:B4"/>
    <mergeCell ref="H2:J2"/>
    <mergeCell ref="C2:G2"/>
    <mergeCell ref="C3:G3"/>
    <mergeCell ref="C4:G4"/>
    <mergeCell ref="H4:I4"/>
    <mergeCell ref="H3:I3"/>
    <mergeCell ref="A5:A6"/>
    <mergeCell ref="B5:C5"/>
    <mergeCell ref="K5:M6"/>
    <mergeCell ref="I5:J5"/>
    <mergeCell ref="D5:H5"/>
    <mergeCell ref="K16:M16"/>
    <mergeCell ref="K8:M8"/>
    <mergeCell ref="K13:M13"/>
    <mergeCell ref="K11:M11"/>
    <mergeCell ref="K9:M9"/>
    <mergeCell ref="K10:M10"/>
    <mergeCell ref="K12:M12"/>
    <mergeCell ref="K14:M14"/>
    <mergeCell ref="K15:M15"/>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3">
    <pageSetUpPr fitToPage="1"/>
  </sheetPr>
  <dimension ref="A1:P108"/>
  <sheetViews>
    <sheetView showGridLines="0" zoomScaleNormal="100" zoomScaleSheetLayoutView="100" workbookViewId="0">
      <pane ySplit="6" topLeftCell="A7" activePane="bottomLeft" state="frozen"/>
      <selection activeCell="A7" sqref="A7"/>
      <selection pane="bottomLeft" activeCell="A7" sqref="A7"/>
    </sheetView>
  </sheetViews>
  <sheetFormatPr defaultRowHeight="12"/>
  <cols>
    <col min="1" max="1" width="3.875" style="113" bestFit="1" customWidth="1"/>
    <col min="2" max="2" width="28.625" style="113" customWidth="1"/>
    <col min="3" max="3" width="13.375" style="113" customWidth="1"/>
    <col min="4" max="4" width="9.375" style="113" customWidth="1"/>
    <col min="5" max="6" width="4.75" style="113" bestFit="1" customWidth="1"/>
    <col min="7" max="7" width="6.125" style="113" bestFit="1" customWidth="1"/>
    <col min="8" max="8" width="4.75" style="113" bestFit="1" customWidth="1"/>
    <col min="9" max="9" width="4.75" style="113" customWidth="1"/>
    <col min="10" max="11" width="9.625" style="113" customWidth="1"/>
    <col min="12" max="13" width="10.25" style="113" customWidth="1"/>
    <col min="14" max="14" width="9" style="113"/>
    <col min="15" max="16" width="9" style="113" hidden="1" customWidth="1"/>
    <col min="17" max="16384" width="9" style="113"/>
  </cols>
  <sheetData>
    <row r="1" spans="1:16">
      <c r="B1" s="47"/>
      <c r="C1" s="135" t="s">
        <v>390</v>
      </c>
    </row>
    <row r="2" spans="1:16">
      <c r="A2" s="592" t="s">
        <v>336</v>
      </c>
      <c r="B2" s="594"/>
      <c r="C2" s="592" t="s">
        <v>36</v>
      </c>
      <c r="D2" s="593"/>
      <c r="E2" s="593"/>
      <c r="F2" s="593"/>
      <c r="G2" s="594"/>
      <c r="H2" s="592"/>
      <c r="I2" s="593"/>
      <c r="J2" s="594"/>
      <c r="K2" s="115"/>
      <c r="L2" s="116" t="s">
        <v>37</v>
      </c>
      <c r="M2" s="116" t="s">
        <v>38</v>
      </c>
    </row>
    <row r="3" spans="1:16">
      <c r="A3" s="605"/>
      <c r="B3" s="606"/>
      <c r="C3" s="1009" t="s">
        <v>361</v>
      </c>
      <c r="D3" s="1010"/>
      <c r="E3" s="1010"/>
      <c r="F3" s="1010"/>
      <c r="G3" s="1011"/>
      <c r="H3" s="592" t="s">
        <v>39</v>
      </c>
      <c r="I3" s="594"/>
      <c r="J3" s="117">
        <f>COUNT(A7:A100)</f>
        <v>8</v>
      </c>
      <c r="K3" s="116" t="s">
        <v>40</v>
      </c>
      <c r="L3" s="118">
        <v>38629</v>
      </c>
      <c r="M3" s="41" t="s">
        <v>56</v>
      </c>
      <c r="O3" s="113" t="s">
        <v>41</v>
      </c>
      <c r="P3" s="113" t="s">
        <v>42</v>
      </c>
    </row>
    <row r="4" spans="1:16">
      <c r="A4" s="607" t="s">
        <v>43</v>
      </c>
      <c r="B4" s="608"/>
      <c r="C4" s="1012" t="s">
        <v>1477</v>
      </c>
      <c r="D4" s="1013"/>
      <c r="E4" s="1013"/>
      <c r="F4" s="1013"/>
      <c r="G4" s="1014"/>
      <c r="H4" s="592" t="s">
        <v>44</v>
      </c>
      <c r="I4" s="594"/>
      <c r="J4" s="117">
        <f>SUM(G7:G100)</f>
        <v>72</v>
      </c>
      <c r="K4" s="116" t="s">
        <v>45</v>
      </c>
      <c r="L4" s="40">
        <v>38748</v>
      </c>
      <c r="M4" s="42" t="s">
        <v>675</v>
      </c>
      <c r="O4" s="113" t="s">
        <v>1358</v>
      </c>
      <c r="P4" s="113" t="s">
        <v>1359</v>
      </c>
    </row>
    <row r="5" spans="1:16">
      <c r="A5" s="623" t="s">
        <v>1360</v>
      </c>
      <c r="B5" s="592" t="s">
        <v>46</v>
      </c>
      <c r="C5" s="593"/>
      <c r="D5" s="622" t="s">
        <v>47</v>
      </c>
      <c r="E5" s="593"/>
      <c r="F5" s="593"/>
      <c r="G5" s="593"/>
      <c r="H5" s="593"/>
      <c r="I5" s="592" t="s">
        <v>604</v>
      </c>
      <c r="J5" s="594"/>
      <c r="K5" s="616" t="s">
        <v>48</v>
      </c>
      <c r="L5" s="617"/>
      <c r="M5" s="618"/>
      <c r="P5" s="113" t="s">
        <v>605</v>
      </c>
    </row>
    <row r="6" spans="1:16">
      <c r="A6" s="624"/>
      <c r="B6" s="116" t="s">
        <v>49</v>
      </c>
      <c r="C6" s="119" t="s">
        <v>50</v>
      </c>
      <c r="D6" s="120" t="s">
        <v>42</v>
      </c>
      <c r="E6" s="121" t="s">
        <v>51</v>
      </c>
      <c r="F6" s="122" t="s">
        <v>52</v>
      </c>
      <c r="G6" s="116" t="s">
        <v>606</v>
      </c>
      <c r="H6" s="114" t="s">
        <v>53</v>
      </c>
      <c r="I6" s="114" t="s">
        <v>607</v>
      </c>
      <c r="J6" s="114" t="s">
        <v>608</v>
      </c>
      <c r="K6" s="619"/>
      <c r="L6" s="620"/>
      <c r="M6" s="621"/>
      <c r="P6" s="113" t="s">
        <v>609</v>
      </c>
    </row>
    <row r="7" spans="1:16" ht="11.25" customHeight="1">
      <c r="A7" s="41">
        <v>1</v>
      </c>
      <c r="B7" s="48" t="s">
        <v>354</v>
      </c>
      <c r="C7" s="49" t="s">
        <v>355</v>
      </c>
      <c r="D7" s="78" t="s">
        <v>55</v>
      </c>
      <c r="E7" s="127"/>
      <c r="F7" s="123"/>
      <c r="G7" s="21">
        <f t="shared" ref="G7:G13" si="0">IF(D7="DATE",4,IF(D7="CHAR",E7,IF(D7="SMALLINT",2,IF(D7="INTEGER",4,IF(D7="TIMESTAMP",10,IF(D7="TIME",3,0))))))</f>
        <v>2</v>
      </c>
      <c r="H7" s="41" t="s">
        <v>1435</v>
      </c>
      <c r="I7" s="41" t="s">
        <v>1435</v>
      </c>
      <c r="J7" s="124"/>
      <c r="K7" s="599"/>
      <c r="L7" s="600"/>
      <c r="M7" s="601"/>
      <c r="P7" s="113" t="s">
        <v>1436</v>
      </c>
    </row>
    <row r="8" spans="1:16" ht="11.25" customHeight="1">
      <c r="A8" s="41">
        <v>2</v>
      </c>
      <c r="B8" s="48" t="s">
        <v>60</v>
      </c>
      <c r="C8" s="49" t="s">
        <v>356</v>
      </c>
      <c r="D8" s="78" t="s">
        <v>524</v>
      </c>
      <c r="E8" s="127">
        <v>10</v>
      </c>
      <c r="F8" s="123"/>
      <c r="G8" s="21">
        <f t="shared" si="0"/>
        <v>10</v>
      </c>
      <c r="H8" s="41" t="s">
        <v>574</v>
      </c>
      <c r="I8" s="41" t="s">
        <v>574</v>
      </c>
      <c r="J8" s="124"/>
      <c r="K8" s="599"/>
      <c r="L8" s="600"/>
      <c r="M8" s="601"/>
      <c r="P8" s="113" t="s">
        <v>552</v>
      </c>
    </row>
    <row r="9" spans="1:16" ht="11.25" customHeight="1">
      <c r="A9" s="41">
        <v>3</v>
      </c>
      <c r="B9" s="48" t="s">
        <v>357</v>
      </c>
      <c r="C9" s="49" t="s">
        <v>61</v>
      </c>
      <c r="D9" s="78" t="s">
        <v>524</v>
      </c>
      <c r="E9" s="127">
        <v>32</v>
      </c>
      <c r="F9" s="123"/>
      <c r="G9" s="21">
        <f t="shared" si="0"/>
        <v>32</v>
      </c>
      <c r="H9" s="41" t="s">
        <v>574</v>
      </c>
      <c r="I9" s="41" t="s">
        <v>574</v>
      </c>
      <c r="J9" s="124"/>
      <c r="K9" s="599"/>
      <c r="L9" s="600"/>
      <c r="M9" s="601"/>
      <c r="P9" s="113" t="s">
        <v>551</v>
      </c>
    </row>
    <row r="10" spans="1:16" ht="34.5" customHeight="1">
      <c r="A10" s="41">
        <v>4</v>
      </c>
      <c r="B10" s="48" t="s">
        <v>59</v>
      </c>
      <c r="C10" s="49" t="s">
        <v>358</v>
      </c>
      <c r="D10" s="78" t="s">
        <v>55</v>
      </c>
      <c r="E10" s="127"/>
      <c r="F10" s="123"/>
      <c r="G10" s="21">
        <f t="shared" si="0"/>
        <v>2</v>
      </c>
      <c r="H10" s="41" t="s">
        <v>982</v>
      </c>
      <c r="I10" s="41" t="s">
        <v>982</v>
      </c>
      <c r="J10" s="124"/>
      <c r="K10" s="599" t="s">
        <v>359</v>
      </c>
      <c r="L10" s="600"/>
      <c r="M10" s="601"/>
      <c r="P10" s="113" t="s">
        <v>360</v>
      </c>
    </row>
    <row r="11" spans="1:16" s="22" customFormat="1">
      <c r="A11" s="41">
        <v>5</v>
      </c>
      <c r="B11" s="64" t="s">
        <v>26</v>
      </c>
      <c r="C11" s="24" t="s">
        <v>1399</v>
      </c>
      <c r="D11" s="65" t="s">
        <v>519</v>
      </c>
      <c r="E11" s="51"/>
      <c r="F11" s="58"/>
      <c r="G11" s="21">
        <f t="shared" si="0"/>
        <v>4</v>
      </c>
      <c r="H11" s="41" t="s">
        <v>1400</v>
      </c>
      <c r="I11" s="41" t="s">
        <v>1400</v>
      </c>
      <c r="J11" s="165"/>
      <c r="K11" s="632" t="s">
        <v>1659</v>
      </c>
      <c r="L11" s="633"/>
      <c r="M11" s="634"/>
    </row>
    <row r="12" spans="1:16" s="22" customFormat="1">
      <c r="A12" s="41">
        <v>6</v>
      </c>
      <c r="B12" s="64" t="s">
        <v>27</v>
      </c>
      <c r="C12" s="24" t="s">
        <v>1401</v>
      </c>
      <c r="D12" s="65" t="s">
        <v>1402</v>
      </c>
      <c r="E12" s="51"/>
      <c r="F12" s="58"/>
      <c r="G12" s="21">
        <f t="shared" si="0"/>
        <v>4</v>
      </c>
      <c r="H12" s="41" t="s">
        <v>1403</v>
      </c>
      <c r="I12" s="53"/>
      <c r="J12" s="165"/>
      <c r="K12" s="632" t="s">
        <v>1660</v>
      </c>
      <c r="L12" s="633"/>
      <c r="M12" s="634"/>
    </row>
    <row r="13" spans="1:16" s="22" customFormat="1">
      <c r="A13" s="89">
        <v>7</v>
      </c>
      <c r="B13" s="64" t="s">
        <v>1083</v>
      </c>
      <c r="C13" s="24" t="s">
        <v>1111</v>
      </c>
      <c r="D13" s="72" t="s">
        <v>1431</v>
      </c>
      <c r="E13" s="51">
        <v>8</v>
      </c>
      <c r="F13" s="58"/>
      <c r="G13" s="21">
        <f t="shared" si="0"/>
        <v>8</v>
      </c>
      <c r="H13" s="53" t="s">
        <v>1432</v>
      </c>
      <c r="I13" s="89"/>
      <c r="J13" s="92"/>
      <c r="K13" s="602"/>
      <c r="L13" s="603"/>
      <c r="M13" s="604"/>
    </row>
    <row r="14" spans="1:16" ht="11.25" customHeight="1">
      <c r="A14" s="41">
        <f t="shared" ref="A14:A45" si="1">IF(B14=""," ",A13+1)</f>
        <v>8</v>
      </c>
      <c r="B14" s="93" t="s">
        <v>1724</v>
      </c>
      <c r="C14" s="26" t="s">
        <v>1404</v>
      </c>
      <c r="D14" s="94" t="s">
        <v>1405</v>
      </c>
      <c r="E14" s="95"/>
      <c r="F14" s="90"/>
      <c r="G14" s="21">
        <f>IF(D14="DATE",4,IF(D14="CHAR",E14,IF(D14="SMALLINT",2,IF(D14="INTEGER",4,IF(D14="TIMESTAMP",10,IF(D14="TIME",3,0))))))</f>
        <v>10</v>
      </c>
      <c r="H14" s="91" t="s">
        <v>1406</v>
      </c>
      <c r="I14" s="41"/>
      <c r="J14" s="124"/>
      <c r="K14" s="599"/>
      <c r="L14" s="600"/>
      <c r="M14" s="601"/>
    </row>
    <row r="15" spans="1:16" ht="11.25" customHeight="1">
      <c r="A15" s="41" t="str">
        <f t="shared" si="1"/>
        <v xml:space="preserve"> </v>
      </c>
      <c r="B15" s="100"/>
      <c r="C15" s="137"/>
      <c r="D15" s="78"/>
      <c r="E15" s="127"/>
      <c r="F15" s="123"/>
      <c r="G15" s="168"/>
      <c r="H15" s="41"/>
      <c r="I15" s="41"/>
      <c r="J15" s="124"/>
      <c r="K15" s="599"/>
      <c r="L15" s="600"/>
      <c r="M15" s="601"/>
    </row>
    <row r="16" spans="1:16">
      <c r="A16" s="41" t="str">
        <f>IF(B16=""," ",#REF!+1)</f>
        <v xml:space="preserve"> </v>
      </c>
      <c r="B16" s="134"/>
      <c r="C16" s="27"/>
      <c r="D16" s="126"/>
      <c r="E16" s="127"/>
      <c r="F16" s="123"/>
      <c r="G16" s="168"/>
      <c r="H16" s="41"/>
      <c r="I16" s="41"/>
      <c r="J16" s="124"/>
      <c r="K16" s="595"/>
      <c r="L16" s="596"/>
      <c r="M16" s="597"/>
    </row>
    <row r="17" spans="1:13">
      <c r="A17" s="41" t="str">
        <f>IF(B17=""," ",A16+1)</f>
        <v xml:space="preserve"> </v>
      </c>
      <c r="B17" s="134"/>
      <c r="C17" s="27"/>
      <c r="D17" s="126"/>
      <c r="E17" s="127"/>
      <c r="F17" s="123"/>
      <c r="G17" s="168"/>
      <c r="H17" s="41"/>
      <c r="I17" s="41"/>
      <c r="J17" s="124"/>
      <c r="K17" s="595"/>
      <c r="L17" s="596"/>
      <c r="M17" s="597"/>
    </row>
    <row r="18" spans="1:13">
      <c r="A18" s="41" t="str">
        <f t="shared" si="1"/>
        <v xml:space="preserve"> </v>
      </c>
      <c r="B18" s="134"/>
      <c r="C18" s="27"/>
      <c r="D18" s="126"/>
      <c r="E18" s="127"/>
      <c r="F18" s="123"/>
      <c r="G18" s="168"/>
      <c r="H18" s="41"/>
      <c r="I18" s="41"/>
      <c r="J18" s="124"/>
      <c r="K18" s="595"/>
      <c r="L18" s="596"/>
      <c r="M18" s="597"/>
    </row>
    <row r="19" spans="1:13">
      <c r="A19" s="41" t="str">
        <f t="shared" si="1"/>
        <v xml:space="preserve"> </v>
      </c>
      <c r="B19" s="134"/>
      <c r="C19" s="27"/>
      <c r="D19" s="126"/>
      <c r="E19" s="127"/>
      <c r="F19" s="123"/>
      <c r="G19" s="168"/>
      <c r="H19" s="41"/>
      <c r="I19" s="41"/>
      <c r="J19" s="124"/>
      <c r="K19" s="595"/>
      <c r="L19" s="596"/>
      <c r="M19" s="597"/>
    </row>
    <row r="20" spans="1:13">
      <c r="A20" s="41" t="str">
        <f t="shared" si="1"/>
        <v xml:space="preserve"> </v>
      </c>
      <c r="B20" s="134"/>
      <c r="C20" s="27"/>
      <c r="D20" s="126"/>
      <c r="E20" s="127"/>
      <c r="F20" s="123"/>
      <c r="G20" s="168"/>
      <c r="H20" s="41"/>
      <c r="I20" s="41"/>
      <c r="J20" s="124"/>
      <c r="K20" s="595"/>
      <c r="L20" s="596"/>
      <c r="M20" s="597"/>
    </row>
    <row r="21" spans="1:13">
      <c r="A21" s="41" t="str">
        <f t="shared" si="1"/>
        <v xml:space="preserve"> </v>
      </c>
      <c r="B21" s="134"/>
      <c r="C21" s="27"/>
      <c r="D21" s="126"/>
      <c r="E21" s="127"/>
      <c r="F21" s="123"/>
      <c r="G21" s="168"/>
      <c r="H21" s="41"/>
      <c r="I21" s="41"/>
      <c r="J21" s="124"/>
      <c r="K21" s="595"/>
      <c r="L21" s="596"/>
      <c r="M21" s="597"/>
    </row>
    <row r="22" spans="1:13">
      <c r="A22" s="41" t="str">
        <f t="shared" si="1"/>
        <v xml:space="preserve"> </v>
      </c>
      <c r="B22" s="134"/>
      <c r="C22" s="27"/>
      <c r="D22" s="126"/>
      <c r="E22" s="127"/>
      <c r="F22" s="123"/>
      <c r="G22" s="168"/>
      <c r="H22" s="41"/>
      <c r="I22" s="41"/>
      <c r="J22" s="124"/>
      <c r="K22" s="595"/>
      <c r="L22" s="596"/>
      <c r="M22" s="597"/>
    </row>
    <row r="23" spans="1:13">
      <c r="A23" s="41" t="str">
        <f t="shared" si="1"/>
        <v xml:space="preserve"> </v>
      </c>
      <c r="B23" s="134"/>
      <c r="C23" s="27"/>
      <c r="D23" s="126"/>
      <c r="E23" s="127"/>
      <c r="F23" s="123"/>
      <c r="G23" s="168"/>
      <c r="H23" s="41"/>
      <c r="I23" s="41"/>
      <c r="J23" s="124"/>
      <c r="K23" s="595"/>
      <c r="L23" s="596"/>
      <c r="M23" s="597"/>
    </row>
    <row r="24" spans="1:13">
      <c r="A24" s="41" t="str">
        <f t="shared" si="1"/>
        <v xml:space="preserve"> </v>
      </c>
      <c r="B24" s="134"/>
      <c r="C24" s="27"/>
      <c r="D24" s="126"/>
      <c r="E24" s="127"/>
      <c r="F24" s="123"/>
      <c r="G24" s="168"/>
      <c r="H24" s="41"/>
      <c r="I24" s="41"/>
      <c r="J24" s="124"/>
      <c r="K24" s="595"/>
      <c r="L24" s="596"/>
      <c r="M24" s="597"/>
    </row>
    <row r="25" spans="1:13">
      <c r="A25" s="41" t="str">
        <f t="shared" si="1"/>
        <v xml:space="preserve"> </v>
      </c>
      <c r="B25" s="134"/>
      <c r="C25" s="27"/>
      <c r="D25" s="126"/>
      <c r="E25" s="127"/>
      <c r="F25" s="123"/>
      <c r="G25" s="168"/>
      <c r="H25" s="41"/>
      <c r="I25" s="41"/>
      <c r="J25" s="124"/>
      <c r="K25" s="595"/>
      <c r="L25" s="596"/>
      <c r="M25" s="597"/>
    </row>
    <row r="26" spans="1:13">
      <c r="A26" s="41" t="str">
        <f t="shared" si="1"/>
        <v xml:space="preserve"> </v>
      </c>
      <c r="B26" s="134"/>
      <c r="C26" s="27"/>
      <c r="D26" s="126"/>
      <c r="E26" s="127"/>
      <c r="F26" s="123"/>
      <c r="G26" s="168"/>
      <c r="H26" s="41"/>
      <c r="I26" s="41"/>
      <c r="J26" s="124"/>
      <c r="K26" s="595"/>
      <c r="L26" s="596"/>
      <c r="M26" s="597"/>
    </row>
    <row r="27" spans="1:13">
      <c r="A27" s="41" t="str">
        <f t="shared" si="1"/>
        <v xml:space="preserve"> </v>
      </c>
      <c r="B27" s="134"/>
      <c r="C27" s="27"/>
      <c r="D27" s="126"/>
      <c r="E27" s="127"/>
      <c r="F27" s="123"/>
      <c r="G27" s="168"/>
      <c r="H27" s="41"/>
      <c r="I27" s="41"/>
      <c r="J27" s="124"/>
      <c r="K27" s="595"/>
      <c r="L27" s="596"/>
      <c r="M27" s="597"/>
    </row>
    <row r="28" spans="1:13">
      <c r="A28" s="41" t="str">
        <f t="shared" si="1"/>
        <v xml:space="preserve"> </v>
      </c>
      <c r="B28" s="134"/>
      <c r="C28" s="27"/>
      <c r="D28" s="126"/>
      <c r="E28" s="127"/>
      <c r="F28" s="123"/>
      <c r="G28" s="168"/>
      <c r="H28" s="41"/>
      <c r="I28" s="41"/>
      <c r="J28" s="124"/>
      <c r="K28" s="595"/>
      <c r="L28" s="596"/>
      <c r="M28" s="597"/>
    </row>
    <row r="29" spans="1:13">
      <c r="A29" s="41" t="str">
        <f t="shared" si="1"/>
        <v xml:space="preserve"> </v>
      </c>
      <c r="B29" s="134"/>
      <c r="C29" s="27"/>
      <c r="D29" s="126"/>
      <c r="E29" s="127"/>
      <c r="F29" s="123"/>
      <c r="G29" s="168"/>
      <c r="H29" s="41"/>
      <c r="I29" s="41"/>
      <c r="J29" s="124"/>
      <c r="K29" s="595"/>
      <c r="L29" s="596"/>
      <c r="M29" s="597"/>
    </row>
    <row r="30" spans="1:13">
      <c r="A30" s="41" t="str">
        <f t="shared" si="1"/>
        <v xml:space="preserve"> </v>
      </c>
      <c r="B30" s="134"/>
      <c r="C30" s="27"/>
      <c r="D30" s="126"/>
      <c r="E30" s="127"/>
      <c r="F30" s="123"/>
      <c r="G30" s="168"/>
      <c r="H30" s="41"/>
      <c r="I30" s="41"/>
      <c r="J30" s="124"/>
      <c r="K30" s="595"/>
      <c r="L30" s="596"/>
      <c r="M30" s="597"/>
    </row>
    <row r="31" spans="1:13">
      <c r="A31" s="41" t="str">
        <f t="shared" si="1"/>
        <v xml:space="preserve"> </v>
      </c>
      <c r="B31" s="134"/>
      <c r="C31" s="27"/>
      <c r="D31" s="126"/>
      <c r="E31" s="127"/>
      <c r="F31" s="123"/>
      <c r="G31" s="168"/>
      <c r="H31" s="41"/>
      <c r="I31" s="41"/>
      <c r="J31" s="124"/>
      <c r="K31" s="595"/>
      <c r="L31" s="596"/>
      <c r="M31" s="597"/>
    </row>
    <row r="32" spans="1:13">
      <c r="A32" s="41" t="str">
        <f t="shared" si="1"/>
        <v xml:space="preserve"> </v>
      </c>
      <c r="B32" s="134"/>
      <c r="C32" s="27"/>
      <c r="D32" s="126"/>
      <c r="E32" s="127"/>
      <c r="F32" s="123"/>
      <c r="G32" s="168"/>
      <c r="H32" s="41"/>
      <c r="I32" s="41"/>
      <c r="J32" s="124"/>
      <c r="K32" s="595"/>
      <c r="L32" s="596"/>
      <c r="M32" s="597"/>
    </row>
    <row r="33" spans="1:13">
      <c r="A33" s="41" t="str">
        <f t="shared" si="1"/>
        <v xml:space="preserve"> </v>
      </c>
      <c r="B33" s="134"/>
      <c r="C33" s="27"/>
      <c r="D33" s="126"/>
      <c r="E33" s="127"/>
      <c r="F33" s="123"/>
      <c r="G33" s="168"/>
      <c r="H33" s="41"/>
      <c r="I33" s="41"/>
      <c r="J33" s="124"/>
      <c r="K33" s="595"/>
      <c r="L33" s="596"/>
      <c r="M33" s="597"/>
    </row>
    <row r="34" spans="1:13">
      <c r="A34" s="41" t="str">
        <f>IF(B34=""," ",A33+1)</f>
        <v xml:space="preserve"> </v>
      </c>
      <c r="B34" s="134"/>
      <c r="C34" s="27"/>
      <c r="D34" s="126"/>
      <c r="E34" s="127"/>
      <c r="F34" s="123"/>
      <c r="G34" s="168"/>
      <c r="H34" s="41"/>
      <c r="I34" s="41"/>
      <c r="J34" s="124"/>
      <c r="K34" s="595"/>
      <c r="L34" s="596"/>
      <c r="M34" s="597"/>
    </row>
    <row r="35" spans="1:13">
      <c r="A35" s="41" t="str">
        <f t="shared" si="1"/>
        <v xml:space="preserve"> </v>
      </c>
      <c r="B35" s="134"/>
      <c r="C35" s="27"/>
      <c r="D35" s="126"/>
      <c r="E35" s="127"/>
      <c r="F35" s="123"/>
      <c r="G35" s="168"/>
      <c r="H35" s="41"/>
      <c r="I35" s="41"/>
      <c r="J35" s="124"/>
      <c r="K35" s="595"/>
      <c r="L35" s="596"/>
      <c r="M35" s="597"/>
    </row>
    <row r="36" spans="1:13">
      <c r="A36" s="41" t="str">
        <f t="shared" si="1"/>
        <v xml:space="preserve"> </v>
      </c>
      <c r="B36" s="134"/>
      <c r="C36" s="27"/>
      <c r="D36" s="126"/>
      <c r="E36" s="127"/>
      <c r="F36" s="123"/>
      <c r="G36" s="168"/>
      <c r="H36" s="41"/>
      <c r="I36" s="41"/>
      <c r="J36" s="124"/>
      <c r="K36" s="595"/>
      <c r="L36" s="596"/>
      <c r="M36" s="597"/>
    </row>
    <row r="37" spans="1:13">
      <c r="A37" s="41" t="str">
        <f t="shared" si="1"/>
        <v xml:space="preserve"> </v>
      </c>
      <c r="B37" s="134"/>
      <c r="C37" s="27"/>
      <c r="D37" s="126"/>
      <c r="E37" s="127"/>
      <c r="F37" s="123"/>
      <c r="G37" s="168"/>
      <c r="H37" s="41"/>
      <c r="I37" s="41"/>
      <c r="J37" s="124"/>
      <c r="K37" s="595"/>
      <c r="L37" s="596"/>
      <c r="M37" s="597"/>
    </row>
    <row r="38" spans="1:13">
      <c r="A38" s="41" t="str">
        <f t="shared" si="1"/>
        <v xml:space="preserve"> </v>
      </c>
      <c r="B38" s="134"/>
      <c r="C38" s="27"/>
      <c r="D38" s="126"/>
      <c r="E38" s="127"/>
      <c r="F38" s="123"/>
      <c r="G38" s="168"/>
      <c r="H38" s="41"/>
      <c r="I38" s="41"/>
      <c r="J38" s="124"/>
      <c r="K38" s="595"/>
      <c r="L38" s="596"/>
      <c r="M38" s="597"/>
    </row>
    <row r="39" spans="1:13">
      <c r="A39" s="41" t="str">
        <f t="shared" si="1"/>
        <v xml:space="preserve"> </v>
      </c>
      <c r="B39" s="134"/>
      <c r="C39" s="27"/>
      <c r="D39" s="126"/>
      <c r="E39" s="127"/>
      <c r="F39" s="123"/>
      <c r="G39" s="168"/>
      <c r="H39" s="41"/>
      <c r="I39" s="41"/>
      <c r="J39" s="124"/>
      <c r="K39" s="595"/>
      <c r="L39" s="596"/>
      <c r="M39" s="597"/>
    </row>
    <row r="40" spans="1:13">
      <c r="A40" s="41" t="str">
        <f t="shared" si="1"/>
        <v xml:space="preserve"> </v>
      </c>
      <c r="B40" s="134"/>
      <c r="C40" s="27"/>
      <c r="D40" s="126"/>
      <c r="E40" s="127"/>
      <c r="F40" s="123"/>
      <c r="G40" s="168"/>
      <c r="H40" s="41"/>
      <c r="I40" s="41"/>
      <c r="J40" s="124"/>
      <c r="K40" s="595"/>
      <c r="L40" s="596"/>
      <c r="M40" s="597"/>
    </row>
    <row r="41" spans="1:13">
      <c r="A41" s="41" t="str">
        <f t="shared" si="1"/>
        <v xml:space="preserve"> </v>
      </c>
      <c r="B41" s="134"/>
      <c r="C41" s="27"/>
      <c r="D41" s="126"/>
      <c r="E41" s="127"/>
      <c r="F41" s="123"/>
      <c r="G41" s="168"/>
      <c r="H41" s="41"/>
      <c r="I41" s="41"/>
      <c r="J41" s="124"/>
      <c r="K41" s="595"/>
      <c r="L41" s="596"/>
      <c r="M41" s="597"/>
    </row>
    <row r="42" spans="1:13">
      <c r="A42" s="41" t="str">
        <f t="shared" si="1"/>
        <v xml:space="preserve"> </v>
      </c>
      <c r="B42" s="134"/>
      <c r="C42" s="27"/>
      <c r="D42" s="126"/>
      <c r="E42" s="127"/>
      <c r="F42" s="123"/>
      <c r="G42" s="168"/>
      <c r="H42" s="41"/>
      <c r="I42" s="41"/>
      <c r="J42" s="124"/>
      <c r="K42" s="595"/>
      <c r="L42" s="596"/>
      <c r="M42" s="597"/>
    </row>
    <row r="43" spans="1:13">
      <c r="A43" s="41" t="str">
        <f t="shared" si="1"/>
        <v xml:space="preserve"> </v>
      </c>
      <c r="B43" s="134"/>
      <c r="C43" s="27"/>
      <c r="D43" s="126"/>
      <c r="E43" s="127"/>
      <c r="F43" s="123"/>
      <c r="G43" s="168"/>
      <c r="H43" s="41"/>
      <c r="I43" s="41"/>
      <c r="J43" s="124"/>
      <c r="K43" s="595"/>
      <c r="L43" s="596"/>
      <c r="M43" s="597"/>
    </row>
    <row r="44" spans="1:13">
      <c r="A44" s="41" t="str">
        <f t="shared" si="1"/>
        <v xml:space="preserve"> </v>
      </c>
      <c r="B44" s="134"/>
      <c r="C44" s="27"/>
      <c r="D44" s="126"/>
      <c r="E44" s="127"/>
      <c r="F44" s="123"/>
      <c r="G44" s="168"/>
      <c r="H44" s="41"/>
      <c r="I44" s="41"/>
      <c r="J44" s="124"/>
      <c r="K44" s="595"/>
      <c r="L44" s="596"/>
      <c r="M44" s="597"/>
    </row>
    <row r="45" spans="1:13">
      <c r="A45" s="41" t="str">
        <f t="shared" si="1"/>
        <v xml:space="preserve"> </v>
      </c>
      <c r="B45" s="134"/>
      <c r="C45" s="27"/>
      <c r="D45" s="126"/>
      <c r="E45" s="127"/>
      <c r="F45" s="123"/>
      <c r="G45" s="168"/>
      <c r="H45" s="41"/>
      <c r="I45" s="41"/>
      <c r="J45" s="124"/>
      <c r="K45" s="595"/>
      <c r="L45" s="596"/>
      <c r="M45" s="597"/>
    </row>
    <row r="46" spans="1:13">
      <c r="A46" s="41" t="str">
        <f t="shared" ref="A46:A64" si="2">IF(B46=""," ",A45+1)</f>
        <v xml:space="preserve"> </v>
      </c>
      <c r="B46" s="134"/>
      <c r="C46" s="27"/>
      <c r="D46" s="126"/>
      <c r="E46" s="127"/>
      <c r="F46" s="123"/>
      <c r="G46" s="168"/>
      <c r="H46" s="41"/>
      <c r="I46" s="41"/>
      <c r="J46" s="124"/>
      <c r="K46" s="595"/>
      <c r="L46" s="596"/>
      <c r="M46" s="597"/>
    </row>
    <row r="47" spans="1:13">
      <c r="A47" s="41" t="str">
        <f t="shared" si="2"/>
        <v xml:space="preserve"> </v>
      </c>
      <c r="B47" s="134"/>
      <c r="C47" s="27"/>
      <c r="D47" s="126"/>
      <c r="E47" s="127"/>
      <c r="F47" s="123"/>
      <c r="G47" s="168"/>
      <c r="H47" s="41"/>
      <c r="I47" s="41"/>
      <c r="J47" s="124"/>
      <c r="K47" s="595"/>
      <c r="L47" s="596"/>
      <c r="M47" s="597"/>
    </row>
    <row r="48" spans="1:13">
      <c r="A48" s="41" t="str">
        <f t="shared" si="2"/>
        <v xml:space="preserve"> </v>
      </c>
      <c r="B48" s="134"/>
      <c r="C48" s="27"/>
      <c r="D48" s="126"/>
      <c r="E48" s="127"/>
      <c r="F48" s="123"/>
      <c r="G48" s="168"/>
      <c r="H48" s="41"/>
      <c r="I48" s="41"/>
      <c r="J48" s="124"/>
      <c r="K48" s="595"/>
      <c r="L48" s="596"/>
      <c r="M48" s="597"/>
    </row>
    <row r="49" spans="1:13">
      <c r="A49" s="41" t="str">
        <f t="shared" si="2"/>
        <v xml:space="preserve"> </v>
      </c>
      <c r="B49" s="134"/>
      <c r="C49" s="27"/>
      <c r="D49" s="126"/>
      <c r="E49" s="127"/>
      <c r="F49" s="123"/>
      <c r="G49" s="168"/>
      <c r="H49" s="41"/>
      <c r="I49" s="41"/>
      <c r="J49" s="124"/>
      <c r="K49" s="595"/>
      <c r="L49" s="596"/>
      <c r="M49" s="597"/>
    </row>
    <row r="50" spans="1:13">
      <c r="A50" s="41" t="str">
        <f t="shared" si="2"/>
        <v xml:space="preserve"> </v>
      </c>
      <c r="B50" s="134"/>
      <c r="C50" s="27"/>
      <c r="D50" s="126"/>
      <c r="E50" s="127"/>
      <c r="F50" s="123"/>
      <c r="G50" s="168"/>
      <c r="H50" s="41"/>
      <c r="I50" s="41"/>
      <c r="J50" s="124"/>
      <c r="K50" s="595"/>
      <c r="L50" s="596"/>
      <c r="M50" s="597"/>
    </row>
    <row r="51" spans="1:13">
      <c r="A51" s="41" t="str">
        <f t="shared" si="2"/>
        <v xml:space="preserve"> </v>
      </c>
      <c r="B51" s="134"/>
      <c r="C51" s="27"/>
      <c r="D51" s="126"/>
      <c r="E51" s="127"/>
      <c r="F51" s="123"/>
      <c r="G51" s="168"/>
      <c r="H51" s="41"/>
      <c r="I51" s="41"/>
      <c r="J51" s="124"/>
      <c r="K51" s="595"/>
      <c r="L51" s="596"/>
      <c r="M51" s="597"/>
    </row>
    <row r="52" spans="1:13">
      <c r="A52" s="41" t="str">
        <f t="shared" si="2"/>
        <v xml:space="preserve"> </v>
      </c>
      <c r="B52" s="134"/>
      <c r="C52" s="27"/>
      <c r="D52" s="126"/>
      <c r="E52" s="127"/>
      <c r="F52" s="123"/>
      <c r="G52" s="168"/>
      <c r="H52" s="41"/>
      <c r="I52" s="41"/>
      <c r="J52" s="124"/>
      <c r="K52" s="595"/>
      <c r="L52" s="596"/>
      <c r="M52" s="597"/>
    </row>
    <row r="53" spans="1:13">
      <c r="A53" s="89" t="str">
        <f t="shared" si="2"/>
        <v xml:space="preserve"> </v>
      </c>
      <c r="B53" s="66"/>
      <c r="C53" s="31"/>
      <c r="D53" s="97"/>
      <c r="E53" s="98"/>
      <c r="F53" s="99"/>
      <c r="G53" s="21"/>
      <c r="H53" s="89"/>
      <c r="I53" s="89"/>
      <c r="J53" s="92"/>
      <c r="K53" s="31"/>
      <c r="L53" s="32"/>
      <c r="M53" s="33"/>
    </row>
    <row r="54" spans="1:13">
      <c r="A54" s="89" t="str">
        <f>IF(B54=""," ",#REF!+1)</f>
        <v xml:space="preserve"> </v>
      </c>
      <c r="B54" s="96"/>
      <c r="C54" s="31"/>
      <c r="D54" s="97"/>
      <c r="E54" s="98"/>
      <c r="F54" s="99"/>
      <c r="G54" s="21"/>
      <c r="H54" s="89"/>
      <c r="I54" s="89"/>
      <c r="J54" s="92"/>
      <c r="K54" s="31"/>
      <c r="L54" s="32"/>
      <c r="M54" s="33"/>
    </row>
    <row r="55" spans="1:13">
      <c r="A55" s="89" t="str">
        <f>IF(B55=""," ",#REF!+1)</f>
        <v xml:space="preserve"> </v>
      </c>
      <c r="B55" s="96"/>
      <c r="C55" s="31"/>
      <c r="D55" s="97"/>
      <c r="E55" s="98"/>
      <c r="F55" s="99"/>
      <c r="G55" s="21"/>
      <c r="H55" s="89"/>
      <c r="I55" s="89"/>
      <c r="J55" s="92"/>
      <c r="K55" s="31"/>
      <c r="L55" s="32"/>
      <c r="M55" s="33"/>
    </row>
    <row r="56" spans="1:13">
      <c r="A56" s="89" t="str">
        <f t="shared" si="2"/>
        <v xml:space="preserve"> </v>
      </c>
      <c r="B56" s="96"/>
      <c r="C56" s="31"/>
      <c r="D56" s="97"/>
      <c r="E56" s="98"/>
      <c r="F56" s="99"/>
      <c r="G56" s="21"/>
      <c r="H56" s="89"/>
      <c r="I56" s="89"/>
      <c r="J56" s="92"/>
      <c r="K56" s="31"/>
      <c r="L56" s="32"/>
      <c r="M56" s="33"/>
    </row>
    <row r="57" spans="1:13">
      <c r="A57" s="89" t="str">
        <f t="shared" si="2"/>
        <v xml:space="preserve"> </v>
      </c>
      <c r="B57" s="96"/>
      <c r="C57" s="31"/>
      <c r="D57" s="97"/>
      <c r="E57" s="98"/>
      <c r="F57" s="99"/>
      <c r="G57" s="21"/>
      <c r="H57" s="89"/>
      <c r="I57" s="89"/>
      <c r="J57" s="92"/>
      <c r="K57" s="31"/>
      <c r="L57" s="32"/>
      <c r="M57" s="33"/>
    </row>
    <row r="58" spans="1:13">
      <c r="A58" s="89" t="str">
        <f t="shared" si="2"/>
        <v xml:space="preserve"> </v>
      </c>
      <c r="B58" s="96"/>
      <c r="C58" s="31"/>
      <c r="D58" s="97"/>
      <c r="E58" s="98"/>
      <c r="F58" s="99"/>
      <c r="G58" s="21"/>
      <c r="H58" s="89"/>
      <c r="I58" s="89"/>
      <c r="J58" s="92"/>
      <c r="K58" s="31"/>
      <c r="L58" s="32"/>
      <c r="M58" s="33"/>
    </row>
    <row r="59" spans="1:13">
      <c r="A59" s="89" t="str">
        <f>IF(B59=""," ",A58+1)</f>
        <v xml:space="preserve"> </v>
      </c>
      <c r="B59" s="96"/>
      <c r="C59" s="31"/>
      <c r="D59" s="97"/>
      <c r="E59" s="98"/>
      <c r="F59" s="99"/>
      <c r="G59" s="21"/>
      <c r="H59" s="89"/>
      <c r="I59" s="89"/>
      <c r="J59" s="92"/>
      <c r="K59" s="31"/>
      <c r="L59" s="32"/>
      <c r="M59" s="33"/>
    </row>
    <row r="60" spans="1:13">
      <c r="A60" s="89" t="str">
        <f t="shared" si="2"/>
        <v xml:space="preserve"> </v>
      </c>
      <c r="B60" s="96"/>
      <c r="C60" s="31"/>
      <c r="D60" s="97"/>
      <c r="E60" s="98"/>
      <c r="F60" s="99"/>
      <c r="G60" s="21"/>
      <c r="H60" s="89"/>
      <c r="I60" s="89"/>
      <c r="J60" s="92"/>
      <c r="K60" s="31"/>
      <c r="L60" s="32"/>
      <c r="M60" s="33"/>
    </row>
    <row r="61" spans="1:13">
      <c r="A61" s="89" t="str">
        <f t="shared" si="2"/>
        <v xml:space="preserve"> </v>
      </c>
      <c r="B61" s="96"/>
      <c r="C61" s="31"/>
      <c r="D61" s="97"/>
      <c r="E61" s="98"/>
      <c r="F61" s="99"/>
      <c r="G61" s="21"/>
      <c r="H61" s="89"/>
      <c r="I61" s="89"/>
      <c r="J61" s="92"/>
      <c r="K61" s="31"/>
      <c r="L61" s="32"/>
      <c r="M61" s="33"/>
    </row>
    <row r="62" spans="1:13">
      <c r="A62" s="89" t="str">
        <f t="shared" si="2"/>
        <v xml:space="preserve"> </v>
      </c>
      <c r="B62" s="96"/>
      <c r="C62" s="31"/>
      <c r="D62" s="97"/>
      <c r="E62" s="98"/>
      <c r="F62" s="99"/>
      <c r="G62" s="21"/>
      <c r="H62" s="89"/>
      <c r="I62" s="89"/>
      <c r="J62" s="92"/>
      <c r="K62" s="31"/>
      <c r="L62" s="32"/>
      <c r="M62" s="33"/>
    </row>
    <row r="63" spans="1:13">
      <c r="A63" s="89" t="str">
        <f t="shared" si="2"/>
        <v xml:space="preserve"> </v>
      </c>
      <c r="B63" s="96"/>
      <c r="C63" s="31"/>
      <c r="D63" s="97"/>
      <c r="E63" s="98"/>
      <c r="F63" s="99"/>
      <c r="G63" s="21"/>
      <c r="H63" s="89"/>
      <c r="I63" s="89"/>
      <c r="J63" s="92"/>
      <c r="K63" s="31"/>
      <c r="L63" s="32"/>
      <c r="M63" s="33"/>
    </row>
    <row r="64" spans="1:13">
      <c r="A64" s="89" t="str">
        <f t="shared" si="2"/>
        <v xml:space="preserve"> </v>
      </c>
      <c r="B64" s="96"/>
      <c r="C64" s="31"/>
      <c r="D64" s="97"/>
      <c r="E64" s="98"/>
      <c r="F64" s="99"/>
      <c r="G64" s="21"/>
      <c r="H64" s="89"/>
      <c r="I64" s="89"/>
      <c r="J64" s="92"/>
      <c r="K64" s="31"/>
      <c r="L64" s="32"/>
      <c r="M64" s="33"/>
    </row>
    <row r="65" spans="1:13">
      <c r="A65" s="42" t="str">
        <f>IF(B65=""," ",A64+1)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13"/>
      <c r="L99" s="14"/>
      <c r="M99" s="15"/>
    </row>
    <row r="100" spans="1:13">
      <c r="A100" s="42" t="str">
        <f>IF(B100=""," ",A99+1)</f>
        <v xml:space="preserve"> </v>
      </c>
      <c r="B100" s="71"/>
      <c r="C100" s="13"/>
      <c r="D100" s="72"/>
      <c r="E100" s="73"/>
      <c r="F100" s="74"/>
      <c r="G100" s="20"/>
      <c r="H100" s="42"/>
      <c r="I100" s="42"/>
      <c r="J100" s="59"/>
      <c r="K100" s="13"/>
      <c r="L100" s="14"/>
      <c r="M100" s="15"/>
    </row>
    <row r="102" spans="1:13">
      <c r="B102" s="16" t="s">
        <v>1691</v>
      </c>
      <c r="C102" s="16"/>
      <c r="D102" s="16"/>
      <c r="E102" s="16"/>
      <c r="F102" s="16"/>
      <c r="G102" s="16"/>
      <c r="H102" s="16"/>
      <c r="I102" s="16"/>
      <c r="J102" s="16"/>
      <c r="K102" s="16"/>
    </row>
    <row r="103" spans="1:13">
      <c r="B103" s="16"/>
      <c r="C103" s="16"/>
      <c r="D103" s="16"/>
      <c r="E103" s="16"/>
      <c r="F103" s="16"/>
      <c r="G103" s="16"/>
      <c r="H103" s="16"/>
      <c r="I103" s="16"/>
      <c r="J103" s="16"/>
      <c r="K103" s="16"/>
    </row>
    <row r="104" spans="1:13">
      <c r="B104" s="16" t="s">
        <v>1692</v>
      </c>
      <c r="C104" s="16" t="s">
        <v>1693</v>
      </c>
      <c r="D104" s="16" t="s">
        <v>1695</v>
      </c>
      <c r="E104" s="16"/>
      <c r="F104" s="16"/>
      <c r="G104" s="16"/>
      <c r="H104" s="16"/>
      <c r="I104" s="16"/>
      <c r="J104" s="16"/>
      <c r="K104" s="16"/>
    </row>
    <row r="105" spans="1:13">
      <c r="B105" s="16"/>
      <c r="C105" s="16"/>
      <c r="D105" s="16" t="s">
        <v>1694</v>
      </c>
      <c r="E105" s="16"/>
      <c r="F105" s="16"/>
      <c r="G105" s="16"/>
      <c r="H105" s="16"/>
      <c r="I105" s="16"/>
      <c r="J105" s="16"/>
      <c r="K105" s="16"/>
    </row>
    <row r="106" spans="1:13">
      <c r="C106" s="16"/>
      <c r="D106" s="16" t="s">
        <v>1726</v>
      </c>
    </row>
    <row r="107" spans="1:13">
      <c r="C107" s="16" t="s">
        <v>1720</v>
      </c>
      <c r="D107" s="16" t="s">
        <v>1724</v>
      </c>
    </row>
    <row r="108" spans="1:13">
      <c r="C108" s="16" t="s">
        <v>1725</v>
      </c>
      <c r="D108" s="16"/>
    </row>
  </sheetData>
  <mergeCells count="78">
    <mergeCell ref="K97:M97"/>
    <mergeCell ref="K98:M98"/>
    <mergeCell ref="K89:M89"/>
    <mergeCell ref="K90:M90"/>
    <mergeCell ref="K93:M93"/>
    <mergeCell ref="K94:M94"/>
    <mergeCell ref="K81:M81"/>
    <mergeCell ref="K82:M82"/>
    <mergeCell ref="K85:M85"/>
    <mergeCell ref="K86:M86"/>
    <mergeCell ref="K73:M73"/>
    <mergeCell ref="K74:M74"/>
    <mergeCell ref="K77:M77"/>
    <mergeCell ref="K78:M78"/>
    <mergeCell ref="A2:B2"/>
    <mergeCell ref="A3:B3"/>
    <mergeCell ref="A4:B4"/>
    <mergeCell ref="C2:G2"/>
    <mergeCell ref="C3:G3"/>
    <mergeCell ref="C4:G4"/>
    <mergeCell ref="K65:M65"/>
    <mergeCell ref="K66:M66"/>
    <mergeCell ref="K69:M69"/>
    <mergeCell ref="K70:M70"/>
    <mergeCell ref="A5:A6"/>
    <mergeCell ref="K12:M12"/>
    <mergeCell ref="K7:M7"/>
    <mergeCell ref="B5:C5"/>
    <mergeCell ref="K5:M6"/>
    <mergeCell ref="I5:J5"/>
    <mergeCell ref="D5:H5"/>
    <mergeCell ref="K11:M11"/>
    <mergeCell ref="K23:M23"/>
    <mergeCell ref="K24:M24"/>
    <mergeCell ref="K13:M13"/>
    <mergeCell ref="K14:M14"/>
    <mergeCell ref="H4:I4"/>
    <mergeCell ref="H3:I3"/>
    <mergeCell ref="K8:M8"/>
    <mergeCell ref="K9:M9"/>
    <mergeCell ref="K10:M10"/>
    <mergeCell ref="K15:M15"/>
    <mergeCell ref="K16:M16"/>
    <mergeCell ref="K17:M17"/>
    <mergeCell ref="K18:M18"/>
    <mergeCell ref="K52:M52"/>
    <mergeCell ref="K33:M33"/>
    <mergeCell ref="K34:M34"/>
    <mergeCell ref="K35:M35"/>
    <mergeCell ref="K36:M36"/>
    <mergeCell ref="K47:M47"/>
    <mergeCell ref="K48:M48"/>
    <mergeCell ref="K49:M49"/>
    <mergeCell ref="K50:M50"/>
    <mergeCell ref="K51:M51"/>
    <mergeCell ref="K42:M42"/>
    <mergeCell ref="K43:M43"/>
    <mergeCell ref="H2:J2"/>
    <mergeCell ref="K45:M45"/>
    <mergeCell ref="K46:M46"/>
    <mergeCell ref="K29:M29"/>
    <mergeCell ref="K30:M30"/>
    <mergeCell ref="K31:M31"/>
    <mergeCell ref="K32:M32"/>
    <mergeCell ref="K25:M25"/>
    <mergeCell ref="K26:M26"/>
    <mergeCell ref="K37:M37"/>
    <mergeCell ref="K19:M19"/>
    <mergeCell ref="K20:M20"/>
    <mergeCell ref="K27:M27"/>
    <mergeCell ref="K28:M28"/>
    <mergeCell ref="K21:M21"/>
    <mergeCell ref="K22:M22"/>
    <mergeCell ref="K44:M44"/>
    <mergeCell ref="K38:M38"/>
    <mergeCell ref="K39:M39"/>
    <mergeCell ref="K40:M40"/>
    <mergeCell ref="K41:M41"/>
  </mergeCells>
  <phoneticPr fontId="6"/>
  <dataValidations count="6">
    <dataValidation type="list" allowBlank="1" showInputMessage="1" showErrorMessage="1" sqref="I11 H7:I10 H11:H12 I14:I52 H15:H52" xr:uid="{00000000-0002-0000-2F00-000000000000}">
      <formula1>$O$4</formula1>
    </dataValidation>
    <dataValidation type="whole" imeMode="disabled" operator="greaterThan" allowBlank="1" showInputMessage="1" showErrorMessage="1" sqref="E7:E10 E15:E52" xr:uid="{00000000-0002-0000-2F00-000001000000}">
      <formula1>0</formula1>
    </dataValidation>
    <dataValidation type="whole" imeMode="disabled" operator="greaterThanOrEqual" allowBlank="1" showInputMessage="1" showErrorMessage="1" sqref="F7:F10 F15:F52" xr:uid="{00000000-0002-0000-2F00-000002000000}">
      <formula1>0</formula1>
    </dataValidation>
    <dataValidation type="textLength" imeMode="disabled" operator="lessThanOrEqual" allowBlank="1" showInputMessage="1" showErrorMessage="1" sqref="C4 E4:G4" xr:uid="{00000000-0002-0000-2F00-000003000000}">
      <formula1>8</formula1>
    </dataValidation>
    <dataValidation imeMode="disabled" allowBlank="1" showInputMessage="1" showErrorMessage="1" sqref="J7:J10 J14:J52" xr:uid="{00000000-0002-0000-2F00-000004000000}"/>
    <dataValidation type="textLength" imeMode="disabled" operator="lessThanOrEqual" allowBlank="1" showInputMessage="1" showErrorMessage="1" sqref="C7:C10 C15:C52" xr:uid="{00000000-0002-0000-2F00-000005000000}">
      <formula1>12</formula1>
    </dataValidation>
  </dataValidations>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7">
    <pageSetUpPr fitToPage="1"/>
  </sheetPr>
  <dimension ref="A1:P111"/>
  <sheetViews>
    <sheetView showGridLines="0" zoomScaleNormal="100" zoomScaleSheetLayoutView="100" workbookViewId="0">
      <pane ySplit="6" topLeftCell="A7" activePane="bottomLeft" state="frozen"/>
      <selection activeCell="A7" sqref="A7"/>
      <selection pane="bottomLeft"/>
    </sheetView>
  </sheetViews>
  <sheetFormatPr defaultRowHeight="12"/>
  <cols>
    <col min="1" max="1" width="3.875" style="46" bestFit="1" customWidth="1"/>
    <col min="2" max="2" width="28.625" style="16" customWidth="1"/>
    <col min="3" max="3" width="13.375" style="16" customWidth="1"/>
    <col min="4" max="4" width="9.375" style="16" customWidth="1"/>
    <col min="5" max="6" width="4.75" style="16" bestFit="1" customWidth="1"/>
    <col min="7" max="7" width="6.125" style="16" bestFit="1" customWidth="1"/>
    <col min="8" max="8" width="4.75" style="16" bestFit="1" customWidth="1"/>
    <col min="9" max="9" width="4.75" style="16" customWidth="1"/>
    <col min="10" max="11" width="9.625" style="16" customWidth="1"/>
    <col min="12" max="13" width="10.25" style="16" customWidth="1"/>
    <col min="14" max="14" width="9" style="16"/>
    <col min="15" max="16" width="9" style="16" hidden="1" customWidth="1"/>
    <col min="17" max="16384" width="9" style="16"/>
  </cols>
  <sheetData>
    <row r="1" spans="1:16">
      <c r="B1" s="47"/>
    </row>
    <row r="2" spans="1:16">
      <c r="A2" s="643" t="s">
        <v>1104</v>
      </c>
      <c r="B2" s="644"/>
      <c r="C2" s="643" t="s">
        <v>36</v>
      </c>
      <c r="D2" s="651"/>
      <c r="E2" s="651"/>
      <c r="F2" s="651"/>
      <c r="G2" s="644"/>
      <c r="H2" s="643"/>
      <c r="I2" s="651"/>
      <c r="J2" s="644"/>
      <c r="K2" s="37"/>
      <c r="L2" s="38" t="s">
        <v>37</v>
      </c>
      <c r="M2" s="38" t="s">
        <v>38</v>
      </c>
    </row>
    <row r="3" spans="1:16">
      <c r="A3" s="647"/>
      <c r="B3" s="648"/>
      <c r="C3" s="652" t="s">
        <v>1093</v>
      </c>
      <c r="D3" s="653"/>
      <c r="E3" s="653"/>
      <c r="F3" s="653"/>
      <c r="G3" s="654"/>
      <c r="H3" s="643" t="s">
        <v>39</v>
      </c>
      <c r="I3" s="644"/>
      <c r="J3" s="39">
        <f>COUNT(A7:A100)</f>
        <v>9</v>
      </c>
      <c r="K3" s="38" t="s">
        <v>40</v>
      </c>
      <c r="L3" s="40">
        <v>38629</v>
      </c>
      <c r="M3" s="41" t="s">
        <v>56</v>
      </c>
      <c r="O3" s="16" t="s">
        <v>41</v>
      </c>
      <c r="P3" s="16" t="s">
        <v>42</v>
      </c>
    </row>
    <row r="4" spans="1:16">
      <c r="A4" s="649" t="s">
        <v>43</v>
      </c>
      <c r="B4" s="650"/>
      <c r="C4" s="649" t="s">
        <v>1002</v>
      </c>
      <c r="D4" s="655"/>
      <c r="E4" s="655"/>
      <c r="F4" s="655"/>
      <c r="G4" s="650"/>
      <c r="H4" s="643" t="s">
        <v>44</v>
      </c>
      <c r="I4" s="644"/>
      <c r="J4" s="39">
        <f>SUM(G7:G100)</f>
        <v>102</v>
      </c>
      <c r="K4" s="38" t="s">
        <v>45</v>
      </c>
      <c r="L4" s="40">
        <v>38762</v>
      </c>
      <c r="M4" s="42" t="s">
        <v>1407</v>
      </c>
      <c r="O4" s="16" t="s">
        <v>1400</v>
      </c>
      <c r="P4" s="16" t="s">
        <v>569</v>
      </c>
    </row>
    <row r="5" spans="1:16">
      <c r="A5" s="645" t="s">
        <v>1442</v>
      </c>
      <c r="B5" s="643" t="s">
        <v>46</v>
      </c>
      <c r="C5" s="651"/>
      <c r="D5" s="662" t="s">
        <v>47</v>
      </c>
      <c r="E5" s="651"/>
      <c r="F5" s="651"/>
      <c r="G5" s="651"/>
      <c r="H5" s="651"/>
      <c r="I5" s="643" t="s">
        <v>604</v>
      </c>
      <c r="J5" s="644"/>
      <c r="K5" s="656" t="s">
        <v>48</v>
      </c>
      <c r="L5" s="657"/>
      <c r="M5" s="658"/>
      <c r="P5" s="16" t="s">
        <v>605</v>
      </c>
    </row>
    <row r="6" spans="1:16">
      <c r="A6" s="646"/>
      <c r="B6" s="38" t="s">
        <v>49</v>
      </c>
      <c r="C6" s="35" t="s">
        <v>50</v>
      </c>
      <c r="D6" s="43" t="s">
        <v>42</v>
      </c>
      <c r="E6" s="44" t="s">
        <v>51</v>
      </c>
      <c r="F6" s="45" t="s">
        <v>52</v>
      </c>
      <c r="G6" s="38" t="s">
        <v>606</v>
      </c>
      <c r="H6" s="36" t="s">
        <v>53</v>
      </c>
      <c r="I6" s="36" t="s">
        <v>607</v>
      </c>
      <c r="J6" s="36" t="s">
        <v>608</v>
      </c>
      <c r="K6" s="659"/>
      <c r="L6" s="660"/>
      <c r="M6" s="661"/>
      <c r="P6" s="16" t="s">
        <v>609</v>
      </c>
    </row>
    <row r="7" spans="1:16" ht="13.5">
      <c r="A7" s="42">
        <v>1</v>
      </c>
      <c r="B7" s="48" t="s">
        <v>119</v>
      </c>
      <c r="C7" s="49" t="s">
        <v>746</v>
      </c>
      <c r="D7" s="78" t="s">
        <v>1422</v>
      </c>
      <c r="E7" s="73">
        <v>4</v>
      </c>
      <c r="F7" s="74"/>
      <c r="G7" s="21">
        <f t="shared" ref="G7:G14" si="0">IF(D7="DATE",4,IF(D7="CHAR",E7,IF(D7="SMALLINT",2,IF(D7="INTEGER",4,IF(D7="TIMESTAMP",10,IF(D7="TIME",3,0))))))</f>
        <v>4</v>
      </c>
      <c r="H7" s="42" t="s">
        <v>576</v>
      </c>
      <c r="I7" s="42" t="s">
        <v>576</v>
      </c>
      <c r="J7" s="59"/>
      <c r="K7" s="1015" t="s">
        <v>1105</v>
      </c>
      <c r="L7" s="635"/>
      <c r="M7" s="636"/>
      <c r="P7" s="16" t="s">
        <v>577</v>
      </c>
    </row>
    <row r="8" spans="1:16">
      <c r="A8" s="42">
        <f t="shared" ref="A8:A15" si="1">IF(B8=""," ",A7+1)</f>
        <v>2</v>
      </c>
      <c r="B8" s="48" t="s">
        <v>1095</v>
      </c>
      <c r="C8" s="49" t="s">
        <v>1106</v>
      </c>
      <c r="D8" s="78" t="s">
        <v>1422</v>
      </c>
      <c r="E8" s="73">
        <v>10</v>
      </c>
      <c r="F8" s="74"/>
      <c r="G8" s="21">
        <f t="shared" si="0"/>
        <v>10</v>
      </c>
      <c r="H8" s="42" t="s">
        <v>576</v>
      </c>
      <c r="I8" s="42"/>
      <c r="J8" s="59"/>
      <c r="K8" s="55"/>
      <c r="L8" s="56"/>
      <c r="M8" s="57"/>
      <c r="P8" s="16" t="s">
        <v>1423</v>
      </c>
    </row>
    <row r="9" spans="1:16">
      <c r="A9" s="42">
        <f t="shared" si="1"/>
        <v>3</v>
      </c>
      <c r="B9" s="48" t="s">
        <v>1101</v>
      </c>
      <c r="C9" s="49" t="s">
        <v>1107</v>
      </c>
      <c r="D9" s="78" t="s">
        <v>1422</v>
      </c>
      <c r="E9" s="73">
        <v>20</v>
      </c>
      <c r="F9" s="74"/>
      <c r="G9" s="21">
        <f t="shared" si="0"/>
        <v>20</v>
      </c>
      <c r="H9" s="42" t="s">
        <v>576</v>
      </c>
      <c r="I9" s="42"/>
      <c r="J9" s="59"/>
      <c r="K9" s="55"/>
      <c r="L9" s="56"/>
      <c r="M9" s="57"/>
    </row>
    <row r="10" spans="1:16">
      <c r="A10" s="42">
        <f t="shared" si="1"/>
        <v>4</v>
      </c>
      <c r="B10" s="48" t="s">
        <v>1102</v>
      </c>
      <c r="C10" s="49" t="s">
        <v>1108</v>
      </c>
      <c r="D10" s="78" t="s">
        <v>1422</v>
      </c>
      <c r="E10" s="73">
        <v>40</v>
      </c>
      <c r="F10" s="74"/>
      <c r="G10" s="21">
        <f>IF(D10="DATE",4,IF(D10="CHAR",E10,IF(D10="SMALLINT",2,IF(D10="INTEGER",4,IF(D10="TIMESTAMP",10,IF(D10="TIME",3,0))))))</f>
        <v>40</v>
      </c>
      <c r="H10" s="42" t="s">
        <v>576</v>
      </c>
      <c r="I10" s="42"/>
      <c r="J10" s="59"/>
      <c r="K10" s="55"/>
      <c r="L10" s="56"/>
      <c r="M10" s="57"/>
    </row>
    <row r="11" spans="1:16" ht="13.5">
      <c r="A11" s="42">
        <f t="shared" si="1"/>
        <v>5</v>
      </c>
      <c r="B11" s="48" t="s">
        <v>1103</v>
      </c>
      <c r="C11" s="49" t="s">
        <v>1109</v>
      </c>
      <c r="D11" s="78" t="s">
        <v>1422</v>
      </c>
      <c r="E11" s="73">
        <v>2</v>
      </c>
      <c r="F11" s="74"/>
      <c r="G11" s="21">
        <f t="shared" si="0"/>
        <v>2</v>
      </c>
      <c r="H11" s="42" t="s">
        <v>576</v>
      </c>
      <c r="I11" s="42"/>
      <c r="J11" s="59"/>
      <c r="K11" s="1015" t="s">
        <v>1110</v>
      </c>
      <c r="L11" s="635"/>
      <c r="M11" s="636"/>
      <c r="P11" s="16" t="s">
        <v>559</v>
      </c>
    </row>
    <row r="12" spans="1:16" s="113" customFormat="1" ht="13.5" customHeight="1">
      <c r="A12" s="42">
        <f t="shared" si="1"/>
        <v>6</v>
      </c>
      <c r="B12" s="64" t="s">
        <v>26</v>
      </c>
      <c r="C12" s="24" t="s">
        <v>1399</v>
      </c>
      <c r="D12" s="72" t="s">
        <v>519</v>
      </c>
      <c r="E12" s="73"/>
      <c r="F12" s="74"/>
      <c r="G12" s="21">
        <f t="shared" si="0"/>
        <v>4</v>
      </c>
      <c r="H12" s="42" t="s">
        <v>1400</v>
      </c>
      <c r="I12" s="42" t="s">
        <v>1400</v>
      </c>
      <c r="J12" s="59"/>
      <c r="K12" s="609" t="s">
        <v>1409</v>
      </c>
      <c r="L12" s="610"/>
      <c r="M12" s="611"/>
    </row>
    <row r="13" spans="1:16" s="113" customFormat="1">
      <c r="A13" s="42">
        <f t="shared" si="1"/>
        <v>7</v>
      </c>
      <c r="B13" s="64" t="s">
        <v>27</v>
      </c>
      <c r="C13" s="24" t="s">
        <v>1401</v>
      </c>
      <c r="D13" s="72" t="s">
        <v>1402</v>
      </c>
      <c r="E13" s="73"/>
      <c r="F13" s="74"/>
      <c r="G13" s="21">
        <f t="shared" si="0"/>
        <v>4</v>
      </c>
      <c r="H13" s="42" t="s">
        <v>1403</v>
      </c>
      <c r="I13" s="42"/>
      <c r="J13" s="59"/>
      <c r="K13" s="669" t="s">
        <v>1410</v>
      </c>
      <c r="L13" s="603"/>
      <c r="M13" s="604"/>
    </row>
    <row r="14" spans="1:16" ht="12" customHeight="1">
      <c r="A14" s="42">
        <f t="shared" si="1"/>
        <v>8</v>
      </c>
      <c r="B14" s="64" t="s">
        <v>1083</v>
      </c>
      <c r="C14" s="24" t="s">
        <v>1111</v>
      </c>
      <c r="D14" s="72" t="s">
        <v>1431</v>
      </c>
      <c r="E14" s="51">
        <v>8</v>
      </c>
      <c r="F14" s="58"/>
      <c r="G14" s="20">
        <f t="shared" si="0"/>
        <v>8</v>
      </c>
      <c r="H14" s="53" t="s">
        <v>1432</v>
      </c>
      <c r="I14" s="53"/>
      <c r="J14" s="59"/>
      <c r="K14" s="609" t="s">
        <v>1112</v>
      </c>
      <c r="L14" s="610"/>
      <c r="M14" s="611"/>
    </row>
    <row r="15" spans="1:16" s="22" customFormat="1">
      <c r="A15" s="42">
        <f t="shared" si="1"/>
        <v>9</v>
      </c>
      <c r="B15" s="93" t="s">
        <v>1724</v>
      </c>
      <c r="C15" s="26" t="s">
        <v>1404</v>
      </c>
      <c r="D15" s="94" t="s">
        <v>1405</v>
      </c>
      <c r="E15" s="95"/>
      <c r="F15" s="90"/>
      <c r="G15" s="21">
        <f>IF(D15="DATE",4,IF(D15="CHAR",E15,IF(D15="SMALLINT",2,IF(D15="INTEGER",4,IF(D15="TIMESTAMP",10,IF(D15="TIME",3,0))))))</f>
        <v>10</v>
      </c>
      <c r="H15" s="91" t="s">
        <v>1406</v>
      </c>
      <c r="I15" s="89"/>
      <c r="J15" s="92"/>
      <c r="K15" s="602"/>
      <c r="L15" s="603"/>
      <c r="M15" s="604"/>
    </row>
    <row r="16" spans="1:16" s="113" customFormat="1">
      <c r="A16" s="42"/>
      <c r="B16" s="64"/>
      <c r="C16" s="24"/>
      <c r="D16" s="72"/>
      <c r="E16" s="73"/>
      <c r="F16" s="74"/>
      <c r="G16" s="20"/>
      <c r="H16" s="42"/>
      <c r="I16" s="42"/>
      <c r="J16" s="59"/>
      <c r="K16" s="749"/>
      <c r="L16" s="610"/>
      <c r="M16" s="611"/>
    </row>
    <row r="17" spans="1:13">
      <c r="A17" s="136" t="str">
        <f t="shared" ref="A17:A24" si="2">IF(B17=""," ",A16+1)</f>
        <v xml:space="preserve"> </v>
      </c>
      <c r="B17" s="100"/>
      <c r="C17" s="137"/>
      <c r="D17" s="78"/>
      <c r="E17" s="73"/>
      <c r="F17" s="74"/>
      <c r="G17" s="20"/>
      <c r="H17" s="42"/>
      <c r="I17" s="42"/>
      <c r="J17" s="59"/>
      <c r="K17" s="55"/>
      <c r="L17" s="56"/>
      <c r="M17" s="57"/>
    </row>
    <row r="18" spans="1:13">
      <c r="A18" s="136" t="str">
        <f>IF(B18=""," ",#REF!+1)</f>
        <v xml:space="preserve"> </v>
      </c>
      <c r="B18" s="71"/>
      <c r="C18" s="13"/>
      <c r="D18" s="72"/>
      <c r="E18" s="73"/>
      <c r="F18" s="74"/>
      <c r="G18" s="20"/>
      <c r="H18" s="42"/>
      <c r="I18" s="42"/>
      <c r="J18" s="59"/>
      <c r="K18" s="13"/>
      <c r="L18" s="14"/>
      <c r="M18" s="15"/>
    </row>
    <row r="19" spans="1:13">
      <c r="A19" s="136" t="str">
        <f t="shared" si="2"/>
        <v xml:space="preserve"> </v>
      </c>
      <c r="B19" s="71"/>
      <c r="C19" s="13"/>
      <c r="D19" s="72"/>
      <c r="E19" s="73"/>
      <c r="F19" s="74"/>
      <c r="G19" s="20"/>
      <c r="H19" s="42"/>
      <c r="I19" s="42"/>
      <c r="J19" s="59"/>
      <c r="K19" s="67"/>
      <c r="L19" s="14"/>
      <c r="M19" s="15"/>
    </row>
    <row r="20" spans="1:13">
      <c r="A20" s="136" t="str">
        <f>IF(B20=""," ",#REF!+1)</f>
        <v xml:space="preserve"> </v>
      </c>
      <c r="B20" s="71"/>
      <c r="C20" s="13"/>
      <c r="D20" s="72"/>
      <c r="E20" s="73"/>
      <c r="F20" s="74"/>
      <c r="G20" s="20"/>
      <c r="H20" s="42"/>
      <c r="I20" s="42"/>
      <c r="J20" s="59"/>
      <c r="K20" s="13"/>
      <c r="L20" s="14"/>
      <c r="M20" s="15"/>
    </row>
    <row r="21" spans="1:13">
      <c r="A21" s="136" t="str">
        <f t="shared" si="2"/>
        <v xml:space="preserve"> </v>
      </c>
      <c r="B21" s="71"/>
      <c r="C21" s="13"/>
      <c r="D21" s="72"/>
      <c r="E21" s="73"/>
      <c r="F21" s="74"/>
      <c r="G21" s="20"/>
      <c r="H21" s="42"/>
      <c r="I21" s="42"/>
      <c r="J21" s="59"/>
      <c r="K21" s="13"/>
      <c r="L21" s="14"/>
      <c r="M21" s="15"/>
    </row>
    <row r="22" spans="1:13">
      <c r="A22" s="136" t="str">
        <f t="shared" si="2"/>
        <v xml:space="preserve"> </v>
      </c>
      <c r="B22" s="71"/>
      <c r="C22" s="13"/>
      <c r="D22" s="72"/>
      <c r="E22" s="73"/>
      <c r="F22" s="74"/>
      <c r="G22" s="20"/>
      <c r="H22" s="42"/>
      <c r="I22" s="42"/>
      <c r="J22" s="59"/>
      <c r="K22" s="13"/>
      <c r="L22" s="14"/>
      <c r="M22" s="15"/>
    </row>
    <row r="23" spans="1:13">
      <c r="A23" s="136" t="str">
        <f t="shared" si="2"/>
        <v xml:space="preserve"> </v>
      </c>
      <c r="B23" s="71"/>
      <c r="C23" s="13"/>
      <c r="D23" s="72"/>
      <c r="E23" s="73"/>
      <c r="F23" s="74"/>
      <c r="G23" s="20"/>
      <c r="H23" s="42"/>
      <c r="I23" s="42"/>
      <c r="J23" s="59"/>
      <c r="K23" s="13"/>
      <c r="L23" s="14"/>
      <c r="M23" s="15"/>
    </row>
    <row r="24" spans="1:13">
      <c r="A24" s="136" t="str">
        <f t="shared" si="2"/>
        <v xml:space="preserve"> </v>
      </c>
      <c r="B24" s="71"/>
      <c r="C24" s="13"/>
      <c r="D24" s="72"/>
      <c r="E24" s="73"/>
      <c r="F24" s="74"/>
      <c r="G24" s="20"/>
      <c r="H24" s="42"/>
      <c r="I24" s="42"/>
      <c r="J24" s="59"/>
      <c r="K24" s="13"/>
      <c r="L24" s="14"/>
      <c r="M24" s="15"/>
    </row>
    <row r="25" spans="1:13">
      <c r="A25" s="136" t="str">
        <f t="shared" ref="A25:A31" si="3">IF(B25=""," ",A24+1)</f>
        <v xml:space="preserve"> </v>
      </c>
      <c r="B25" s="71"/>
      <c r="C25" s="13"/>
      <c r="D25" s="72"/>
      <c r="E25" s="73"/>
      <c r="F25" s="74"/>
      <c r="G25" s="20"/>
      <c r="H25" s="42"/>
      <c r="I25" s="42"/>
      <c r="J25" s="59"/>
      <c r="K25" s="13"/>
      <c r="L25" s="14"/>
      <c r="M25" s="15"/>
    </row>
    <row r="26" spans="1:13">
      <c r="A26" s="136" t="str">
        <f t="shared" si="3"/>
        <v xml:space="preserve"> </v>
      </c>
      <c r="B26" s="71"/>
      <c r="C26" s="13"/>
      <c r="D26" s="72"/>
      <c r="E26" s="73"/>
      <c r="F26" s="74"/>
      <c r="G26" s="20"/>
      <c r="H26" s="42"/>
      <c r="I26" s="42"/>
      <c r="J26" s="59"/>
      <c r="K26" s="13"/>
      <c r="L26" s="14"/>
      <c r="M26" s="15"/>
    </row>
    <row r="27" spans="1:13">
      <c r="A27" s="136" t="str">
        <f t="shared" si="3"/>
        <v xml:space="preserve"> </v>
      </c>
      <c r="B27" s="71"/>
      <c r="C27" s="13"/>
      <c r="D27" s="72"/>
      <c r="E27" s="73"/>
      <c r="F27" s="74"/>
      <c r="G27" s="20"/>
      <c r="H27" s="42"/>
      <c r="I27" s="42"/>
      <c r="J27" s="59"/>
      <c r="K27" s="13"/>
      <c r="L27" s="14"/>
      <c r="M27" s="15"/>
    </row>
    <row r="28" spans="1:13">
      <c r="A28" s="136" t="str">
        <f t="shared" si="3"/>
        <v xml:space="preserve"> </v>
      </c>
      <c r="B28" s="71"/>
      <c r="C28" s="13"/>
      <c r="D28" s="72"/>
      <c r="E28" s="73"/>
      <c r="F28" s="74"/>
      <c r="G28" s="20"/>
      <c r="H28" s="42"/>
      <c r="I28" s="42"/>
      <c r="J28" s="59"/>
      <c r="K28" s="13"/>
      <c r="L28" s="14"/>
      <c r="M28" s="15"/>
    </row>
    <row r="29" spans="1:13">
      <c r="A29" s="136" t="str">
        <f t="shared" si="3"/>
        <v xml:space="preserve"> </v>
      </c>
      <c r="B29" s="71"/>
      <c r="C29" s="13"/>
      <c r="D29" s="72"/>
      <c r="E29" s="73"/>
      <c r="F29" s="74"/>
      <c r="G29" s="20"/>
      <c r="H29" s="42"/>
      <c r="I29" s="42"/>
      <c r="J29" s="59"/>
      <c r="K29" s="13"/>
      <c r="L29" s="14"/>
      <c r="M29" s="15"/>
    </row>
    <row r="30" spans="1:13">
      <c r="A30" s="136" t="str">
        <f t="shared" si="3"/>
        <v xml:space="preserve"> </v>
      </c>
      <c r="B30" s="71"/>
      <c r="C30" s="13"/>
      <c r="D30" s="72"/>
      <c r="E30" s="73"/>
      <c r="F30" s="74"/>
      <c r="G30" s="20"/>
      <c r="H30" s="42"/>
      <c r="I30" s="42"/>
      <c r="J30" s="59"/>
      <c r="K30" s="13"/>
      <c r="L30" s="14"/>
      <c r="M30" s="15"/>
    </row>
    <row r="31" spans="1:13">
      <c r="A31" s="136" t="str">
        <f t="shared" si="3"/>
        <v xml:space="preserve"> </v>
      </c>
      <c r="B31" s="71"/>
      <c r="C31" s="13"/>
      <c r="D31" s="72"/>
      <c r="E31" s="73"/>
      <c r="F31" s="74"/>
      <c r="G31" s="20"/>
      <c r="H31" s="42"/>
      <c r="I31" s="42"/>
      <c r="J31" s="59"/>
      <c r="K31" s="13"/>
      <c r="L31" s="14"/>
      <c r="M31" s="15"/>
    </row>
    <row r="32" spans="1:13">
      <c r="A32" s="42" t="str">
        <f>IF(B32=""," ",A31+1)</f>
        <v xml:space="preserve"> </v>
      </c>
      <c r="B32" s="71"/>
      <c r="C32" s="13"/>
      <c r="D32" s="72"/>
      <c r="E32" s="73"/>
      <c r="F32" s="74"/>
      <c r="G32" s="20"/>
      <c r="H32" s="42"/>
      <c r="I32" s="42"/>
      <c r="J32" s="59"/>
      <c r="K32" s="13"/>
      <c r="L32" s="14"/>
      <c r="M32" s="15"/>
    </row>
    <row r="33" spans="1:13">
      <c r="A33" s="89" t="str">
        <f t="shared" ref="A33:A44" si="4">IF(B33=""," ",A32+1)</f>
        <v xml:space="preserve"> </v>
      </c>
      <c r="B33" s="66"/>
      <c r="C33" s="31"/>
      <c r="D33" s="97"/>
      <c r="E33" s="98"/>
      <c r="F33" s="99"/>
      <c r="G33" s="20"/>
      <c r="H33" s="89"/>
      <c r="I33" s="89"/>
      <c r="J33" s="92"/>
      <c r="K33" s="31"/>
      <c r="L33" s="32"/>
      <c r="M33" s="33"/>
    </row>
    <row r="34" spans="1:13">
      <c r="A34" s="89" t="str">
        <f>IF(B34=""," ",#REF!+1)</f>
        <v xml:space="preserve"> </v>
      </c>
      <c r="B34" s="96"/>
      <c r="C34" s="31"/>
      <c r="D34" s="97"/>
      <c r="E34" s="98"/>
      <c r="F34" s="99"/>
      <c r="G34" s="20"/>
      <c r="H34" s="89"/>
      <c r="I34" s="89"/>
      <c r="J34" s="92"/>
      <c r="K34" s="31"/>
      <c r="L34" s="32"/>
      <c r="M34" s="33"/>
    </row>
    <row r="35" spans="1:13">
      <c r="A35" s="89" t="str">
        <f>IF(B35=""," ",#REF!+1)</f>
        <v xml:space="preserve"> </v>
      </c>
      <c r="B35" s="96"/>
      <c r="C35" s="31"/>
      <c r="D35" s="97"/>
      <c r="E35" s="98"/>
      <c r="F35" s="99"/>
      <c r="G35" s="20"/>
      <c r="H35" s="89"/>
      <c r="I35" s="89"/>
      <c r="J35" s="92"/>
      <c r="K35" s="31"/>
      <c r="L35" s="32"/>
      <c r="M35" s="33"/>
    </row>
    <row r="36" spans="1:13">
      <c r="A36" s="89" t="str">
        <f t="shared" si="4"/>
        <v xml:space="preserve"> </v>
      </c>
      <c r="B36" s="96"/>
      <c r="C36" s="31"/>
      <c r="D36" s="97"/>
      <c r="E36" s="98"/>
      <c r="F36" s="99"/>
      <c r="G36" s="21"/>
      <c r="H36" s="89"/>
      <c r="I36" s="89"/>
      <c r="J36" s="92"/>
      <c r="K36" s="31"/>
      <c r="L36" s="32"/>
      <c r="M36" s="33"/>
    </row>
    <row r="37" spans="1:13">
      <c r="A37" s="89" t="str">
        <f t="shared" si="4"/>
        <v xml:space="preserve"> </v>
      </c>
      <c r="B37" s="96"/>
      <c r="C37" s="31"/>
      <c r="D37" s="97"/>
      <c r="E37" s="98"/>
      <c r="F37" s="99"/>
      <c r="G37" s="21"/>
      <c r="H37" s="89"/>
      <c r="I37" s="89"/>
      <c r="J37" s="92"/>
      <c r="K37" s="31"/>
      <c r="L37" s="32"/>
      <c r="M37" s="33"/>
    </row>
    <row r="38" spans="1:13">
      <c r="A38" s="89" t="str">
        <f t="shared" si="4"/>
        <v xml:space="preserve"> </v>
      </c>
      <c r="B38" s="96"/>
      <c r="C38" s="31"/>
      <c r="D38" s="97"/>
      <c r="E38" s="98"/>
      <c r="F38" s="99"/>
      <c r="G38" s="21"/>
      <c r="H38" s="89"/>
      <c r="I38" s="89"/>
      <c r="J38" s="92"/>
      <c r="K38" s="31"/>
      <c r="L38" s="32"/>
      <c r="M38" s="33"/>
    </row>
    <row r="39" spans="1:13">
      <c r="A39" s="89" t="str">
        <f>IF(B39=""," ",A38+1)</f>
        <v xml:space="preserve"> </v>
      </c>
      <c r="B39" s="96"/>
      <c r="C39" s="31"/>
      <c r="D39" s="97"/>
      <c r="E39" s="98"/>
      <c r="F39" s="99"/>
      <c r="G39" s="21"/>
      <c r="H39" s="89"/>
      <c r="I39" s="89"/>
      <c r="J39" s="92"/>
      <c r="K39" s="31"/>
      <c r="L39" s="32"/>
      <c r="M39" s="33"/>
    </row>
    <row r="40" spans="1:13">
      <c r="A40" s="89" t="str">
        <f t="shared" si="4"/>
        <v xml:space="preserve"> </v>
      </c>
      <c r="B40" s="96"/>
      <c r="C40" s="31"/>
      <c r="D40" s="97"/>
      <c r="E40" s="98"/>
      <c r="F40" s="99"/>
      <c r="G40" s="21"/>
      <c r="H40" s="89"/>
      <c r="I40" s="89"/>
      <c r="J40" s="92"/>
      <c r="K40" s="31"/>
      <c r="L40" s="32"/>
      <c r="M40" s="33"/>
    </row>
    <row r="41" spans="1:13">
      <c r="A41" s="89" t="str">
        <f t="shared" si="4"/>
        <v xml:space="preserve"> </v>
      </c>
      <c r="B41" s="96"/>
      <c r="C41" s="31"/>
      <c r="D41" s="97"/>
      <c r="E41" s="98"/>
      <c r="F41" s="99"/>
      <c r="G41" s="21"/>
      <c r="H41" s="89"/>
      <c r="I41" s="89"/>
      <c r="J41" s="92"/>
      <c r="K41" s="31"/>
      <c r="L41" s="32"/>
      <c r="M41" s="33"/>
    </row>
    <row r="42" spans="1:13">
      <c r="A42" s="89" t="str">
        <f t="shared" si="4"/>
        <v xml:space="preserve"> </v>
      </c>
      <c r="B42" s="96"/>
      <c r="C42" s="31"/>
      <c r="D42" s="97"/>
      <c r="E42" s="98"/>
      <c r="F42" s="99"/>
      <c r="G42" s="21"/>
      <c r="H42" s="89"/>
      <c r="I42" s="89"/>
      <c r="J42" s="92"/>
      <c r="K42" s="31"/>
      <c r="L42" s="32"/>
      <c r="M42" s="33"/>
    </row>
    <row r="43" spans="1:13">
      <c r="A43" s="89" t="str">
        <f t="shared" si="4"/>
        <v xml:space="preserve"> </v>
      </c>
      <c r="B43" s="96"/>
      <c r="C43" s="31"/>
      <c r="D43" s="97"/>
      <c r="E43" s="98"/>
      <c r="F43" s="99"/>
      <c r="G43" s="21"/>
      <c r="H43" s="89"/>
      <c r="I43" s="89"/>
      <c r="J43" s="92"/>
      <c r="K43" s="31"/>
      <c r="L43" s="32"/>
      <c r="M43" s="33"/>
    </row>
    <row r="44" spans="1:13">
      <c r="A44" s="89" t="str">
        <f t="shared" si="4"/>
        <v xml:space="preserve"> </v>
      </c>
      <c r="B44" s="96"/>
      <c r="C44" s="31"/>
      <c r="D44" s="97"/>
      <c r="E44" s="98"/>
      <c r="F44" s="99"/>
      <c r="G44" s="21"/>
      <c r="H44" s="89"/>
      <c r="I44" s="89"/>
      <c r="J44" s="92"/>
      <c r="K44" s="31"/>
      <c r="L44" s="32"/>
      <c r="M44" s="33"/>
    </row>
    <row r="45" spans="1:13">
      <c r="A45" s="42" t="str">
        <f>IF(B45=""," ",A44+1)</f>
        <v xml:space="preserve"> </v>
      </c>
      <c r="B45" s="71"/>
      <c r="C45" s="13"/>
      <c r="D45" s="72"/>
      <c r="E45" s="73"/>
      <c r="F45" s="74"/>
      <c r="G45" s="20"/>
      <c r="H45" s="42"/>
      <c r="I45" s="42"/>
      <c r="J45" s="59"/>
      <c r="K45" s="609"/>
      <c r="L45" s="610"/>
      <c r="M45" s="611"/>
    </row>
    <row r="46" spans="1:13">
      <c r="A46" s="42" t="str">
        <f>IF(B46=""," ",#REF!+1)</f>
        <v xml:space="preserve"> </v>
      </c>
      <c r="B46" s="71"/>
      <c r="C46" s="13"/>
      <c r="D46" s="72"/>
      <c r="E46" s="73"/>
      <c r="F46" s="74"/>
      <c r="G46" s="20"/>
      <c r="H46" s="42"/>
      <c r="I46" s="42"/>
      <c r="J46" s="59"/>
      <c r="K46" s="609"/>
      <c r="L46" s="610"/>
      <c r="M46" s="611"/>
    </row>
    <row r="47" spans="1:13">
      <c r="A47" s="42" t="str">
        <f>IF(B47=""," ",#REF!+1)</f>
        <v xml:space="preserve"> </v>
      </c>
      <c r="B47" s="71"/>
      <c r="C47" s="13"/>
      <c r="D47" s="72"/>
      <c r="E47" s="73"/>
      <c r="F47" s="74"/>
      <c r="G47" s="20"/>
      <c r="H47" s="42"/>
      <c r="I47" s="42"/>
      <c r="J47" s="59"/>
      <c r="K47" s="13"/>
      <c r="L47" s="14"/>
      <c r="M47" s="15"/>
    </row>
    <row r="48" spans="1:13">
      <c r="A48" s="42" t="str">
        <f>IF(B48=""," ",A47+1)</f>
        <v xml:space="preserve"> </v>
      </c>
      <c r="B48" s="71"/>
      <c r="C48" s="13"/>
      <c r="D48" s="72"/>
      <c r="E48" s="73"/>
      <c r="F48" s="74"/>
      <c r="G48" s="20"/>
      <c r="H48" s="42"/>
      <c r="I48" s="42"/>
      <c r="J48" s="59"/>
      <c r="K48" s="13"/>
      <c r="L48" s="14"/>
      <c r="M48" s="15"/>
    </row>
    <row r="49" spans="1:13">
      <c r="A49" s="42" t="str">
        <f>IF(B49=""," ",A48+1)</f>
        <v xml:space="preserve"> </v>
      </c>
      <c r="B49" s="71"/>
      <c r="C49" s="13"/>
      <c r="D49" s="72"/>
      <c r="E49" s="73"/>
      <c r="F49" s="74"/>
      <c r="G49" s="20"/>
      <c r="H49" s="42"/>
      <c r="I49" s="42"/>
      <c r="J49" s="59"/>
      <c r="K49" s="609"/>
      <c r="L49" s="610"/>
      <c r="M49" s="611"/>
    </row>
    <row r="50" spans="1:13">
      <c r="A50" s="42" t="str">
        <f>IF(B50=""," ",#REF!+1)</f>
        <v xml:space="preserve"> </v>
      </c>
      <c r="B50" s="71"/>
      <c r="C50" s="13"/>
      <c r="D50" s="72"/>
      <c r="E50" s="73"/>
      <c r="F50" s="74"/>
      <c r="G50" s="20"/>
      <c r="H50" s="42"/>
      <c r="I50" s="42"/>
      <c r="J50" s="59"/>
      <c r="K50" s="609"/>
      <c r="L50" s="610"/>
      <c r="M50" s="611"/>
    </row>
    <row r="51" spans="1:13">
      <c r="A51" s="42" t="str">
        <f>IF(B51=""," ",#REF!+1)</f>
        <v xml:space="preserve"> </v>
      </c>
      <c r="B51" s="71"/>
      <c r="C51" s="13"/>
      <c r="D51" s="72"/>
      <c r="E51" s="73"/>
      <c r="F51" s="74"/>
      <c r="G51" s="20"/>
      <c r="H51" s="42"/>
      <c r="I51" s="42"/>
      <c r="J51" s="59"/>
      <c r="K51" s="13"/>
      <c r="L51" s="14"/>
      <c r="M51" s="15"/>
    </row>
    <row r="52" spans="1:13">
      <c r="A52" s="42" t="str">
        <f>IF(B52=""," ",A51+1)</f>
        <v xml:space="preserve"> </v>
      </c>
      <c r="B52" s="71"/>
      <c r="C52" s="13"/>
      <c r="D52" s="72"/>
      <c r="E52" s="73"/>
      <c r="F52" s="74"/>
      <c r="G52" s="20"/>
      <c r="H52" s="42"/>
      <c r="I52" s="42"/>
      <c r="J52" s="59"/>
      <c r="K52" s="13"/>
      <c r="L52" s="14"/>
      <c r="M52" s="15"/>
    </row>
    <row r="53" spans="1:13">
      <c r="A53" s="42" t="str">
        <f>IF(B53=""," ",A52+1)</f>
        <v xml:space="preserve"> </v>
      </c>
      <c r="B53" s="71"/>
      <c r="C53" s="13"/>
      <c r="D53" s="72"/>
      <c r="E53" s="73"/>
      <c r="F53" s="74"/>
      <c r="G53" s="20"/>
      <c r="H53" s="42"/>
      <c r="I53" s="42"/>
      <c r="J53" s="59"/>
      <c r="K53" s="609"/>
      <c r="L53" s="610"/>
      <c r="M53" s="611"/>
    </row>
    <row r="54" spans="1:13">
      <c r="A54" s="42" t="str">
        <f>IF(B54=""," ",#REF!+1)</f>
        <v xml:space="preserve"> </v>
      </c>
      <c r="B54" s="71"/>
      <c r="C54" s="13"/>
      <c r="D54" s="72"/>
      <c r="E54" s="73"/>
      <c r="F54" s="74"/>
      <c r="G54" s="20"/>
      <c r="H54" s="42"/>
      <c r="I54" s="42"/>
      <c r="J54" s="59"/>
      <c r="K54" s="609"/>
      <c r="L54" s="610"/>
      <c r="M54" s="611"/>
    </row>
    <row r="55" spans="1:13">
      <c r="A55" s="42" t="str">
        <f>IF(B55=""," ",#REF!+1)</f>
        <v xml:space="preserve"> </v>
      </c>
      <c r="B55" s="71"/>
      <c r="C55" s="13"/>
      <c r="D55" s="72"/>
      <c r="E55" s="73"/>
      <c r="F55" s="74"/>
      <c r="G55" s="20"/>
      <c r="H55" s="42"/>
      <c r="I55" s="42"/>
      <c r="J55" s="59"/>
      <c r="K55" s="13"/>
      <c r="L55" s="14"/>
      <c r="M55" s="15"/>
    </row>
    <row r="56" spans="1:13">
      <c r="A56" s="42" t="str">
        <f>IF(B56=""," ",A55+1)</f>
        <v xml:space="preserve"> </v>
      </c>
      <c r="B56" s="71"/>
      <c r="C56" s="13"/>
      <c r="D56" s="72"/>
      <c r="E56" s="73"/>
      <c r="F56" s="74"/>
      <c r="G56" s="20"/>
      <c r="H56" s="42"/>
      <c r="I56" s="42"/>
      <c r="J56" s="59"/>
      <c r="K56" s="13"/>
      <c r="L56" s="14"/>
      <c r="M56" s="15"/>
    </row>
    <row r="57" spans="1:13">
      <c r="A57" s="42" t="str">
        <f>IF(B57=""," ",A56+1)</f>
        <v xml:space="preserve"> </v>
      </c>
      <c r="B57" s="71"/>
      <c r="C57" s="13"/>
      <c r="D57" s="72"/>
      <c r="E57" s="73"/>
      <c r="F57" s="74"/>
      <c r="G57" s="20"/>
      <c r="H57" s="42"/>
      <c r="I57" s="42"/>
      <c r="J57" s="59"/>
      <c r="K57" s="609"/>
      <c r="L57" s="610"/>
      <c r="M57" s="611"/>
    </row>
    <row r="58" spans="1:13">
      <c r="A58" s="42" t="str">
        <f>IF(B58=""," ",#REF!+1)</f>
        <v xml:space="preserve"> </v>
      </c>
      <c r="B58" s="71"/>
      <c r="C58" s="13"/>
      <c r="D58" s="72"/>
      <c r="E58" s="73"/>
      <c r="F58" s="74"/>
      <c r="G58" s="20"/>
      <c r="H58" s="42"/>
      <c r="I58" s="42"/>
      <c r="J58" s="59"/>
      <c r="K58" s="609"/>
      <c r="L58" s="610"/>
      <c r="M58" s="611"/>
    </row>
    <row r="59" spans="1:13">
      <c r="A59" s="42" t="str">
        <f>IF(B59=""," ",#REF!+1)</f>
        <v xml:space="preserve"> </v>
      </c>
      <c r="B59" s="71"/>
      <c r="C59" s="13"/>
      <c r="D59" s="72"/>
      <c r="E59" s="73"/>
      <c r="F59" s="74"/>
      <c r="G59" s="20"/>
      <c r="H59" s="42"/>
      <c r="I59" s="42"/>
      <c r="J59" s="59"/>
      <c r="K59" s="13"/>
      <c r="L59" s="14"/>
      <c r="M59" s="15"/>
    </row>
    <row r="60" spans="1:13">
      <c r="A60" s="42" t="str">
        <f>IF(B60=""," ",A59+1)</f>
        <v xml:space="preserve"> </v>
      </c>
      <c r="B60" s="71"/>
      <c r="C60" s="13"/>
      <c r="D60" s="72"/>
      <c r="E60" s="73"/>
      <c r="F60" s="74"/>
      <c r="G60" s="20"/>
      <c r="H60" s="42"/>
      <c r="I60" s="42"/>
      <c r="J60" s="59"/>
      <c r="K60" s="13"/>
      <c r="L60" s="14"/>
      <c r="M60" s="15"/>
    </row>
    <row r="61" spans="1:13">
      <c r="A61" s="42" t="str">
        <f>IF(B61=""," ",A60+1)</f>
        <v xml:space="preserve"> </v>
      </c>
      <c r="B61" s="71"/>
      <c r="C61" s="13"/>
      <c r="D61" s="72"/>
      <c r="E61" s="73"/>
      <c r="F61" s="74"/>
      <c r="G61" s="20"/>
      <c r="H61" s="42"/>
      <c r="I61" s="42"/>
      <c r="J61" s="59"/>
      <c r="K61" s="609"/>
      <c r="L61" s="610"/>
      <c r="M61" s="611"/>
    </row>
    <row r="62" spans="1:13">
      <c r="A62" s="42" t="str">
        <f>IF(B62=""," ",#REF!+1)</f>
        <v xml:space="preserve"> </v>
      </c>
      <c r="B62" s="71"/>
      <c r="C62" s="13"/>
      <c r="D62" s="72"/>
      <c r="E62" s="73"/>
      <c r="F62" s="74"/>
      <c r="G62" s="20"/>
      <c r="H62" s="42"/>
      <c r="I62" s="42"/>
      <c r="J62" s="59"/>
      <c r="K62" s="609"/>
      <c r="L62" s="610"/>
      <c r="M62" s="611"/>
    </row>
    <row r="63" spans="1:13">
      <c r="A63" s="42" t="str">
        <f>IF(B63=""," ",#REF!+1)</f>
        <v xml:space="preserve"> </v>
      </c>
      <c r="B63" s="71"/>
      <c r="C63" s="13"/>
      <c r="D63" s="72"/>
      <c r="E63" s="73"/>
      <c r="F63" s="74"/>
      <c r="G63" s="20"/>
      <c r="H63" s="42"/>
      <c r="I63" s="42"/>
      <c r="J63" s="59"/>
      <c r="K63" s="13"/>
      <c r="L63" s="14"/>
      <c r="M63" s="15"/>
    </row>
    <row r="64" spans="1:13">
      <c r="A64" s="42" t="str">
        <f>IF(B64=""," ",A63+1)</f>
        <v xml:space="preserve"> </v>
      </c>
      <c r="B64" s="71"/>
      <c r="C64" s="13"/>
      <c r="D64" s="72"/>
      <c r="E64" s="73"/>
      <c r="F64" s="74"/>
      <c r="G64" s="20"/>
      <c r="H64" s="42"/>
      <c r="I64" s="42"/>
      <c r="J64" s="59"/>
      <c r="K64" s="13"/>
      <c r="L64" s="14"/>
      <c r="M64" s="15"/>
    </row>
    <row r="65" spans="1:13">
      <c r="A65" s="42" t="str">
        <f>IF(B65=""," ",A64+1)</f>
        <v xml:space="preserve"> </v>
      </c>
      <c r="B65" s="71"/>
      <c r="C65" s="13"/>
      <c r="D65" s="72"/>
      <c r="E65" s="73"/>
      <c r="F65" s="74"/>
      <c r="G65" s="20"/>
      <c r="H65" s="42"/>
      <c r="I65" s="42"/>
      <c r="J65" s="59"/>
      <c r="K65" s="609"/>
      <c r="L65" s="610"/>
      <c r="M65" s="611"/>
    </row>
    <row r="66" spans="1:13">
      <c r="A66" s="42" t="str">
        <f>IF(B66=""," ",#REF!+1)</f>
        <v xml:space="preserve"> </v>
      </c>
      <c r="B66" s="71"/>
      <c r="C66" s="13"/>
      <c r="D66" s="72"/>
      <c r="E66" s="73"/>
      <c r="F66" s="74"/>
      <c r="G66" s="20"/>
      <c r="H66" s="42"/>
      <c r="I66" s="42"/>
      <c r="J66" s="59"/>
      <c r="K66" s="609"/>
      <c r="L66" s="610"/>
      <c r="M66" s="611"/>
    </row>
    <row r="67" spans="1:13">
      <c r="A67" s="42" t="str">
        <f>IF(B67=""," ",#REF!+1)</f>
        <v xml:space="preserve"> </v>
      </c>
      <c r="B67" s="71"/>
      <c r="C67" s="13"/>
      <c r="D67" s="72"/>
      <c r="E67" s="73"/>
      <c r="F67" s="74"/>
      <c r="G67" s="20"/>
      <c r="H67" s="42"/>
      <c r="I67" s="42"/>
      <c r="J67" s="59"/>
      <c r="K67" s="13"/>
      <c r="L67" s="14"/>
      <c r="M67" s="15"/>
    </row>
    <row r="68" spans="1:13">
      <c r="A68" s="42" t="str">
        <f>IF(B68=""," ",A67+1)</f>
        <v xml:space="preserve"> </v>
      </c>
      <c r="B68" s="71"/>
      <c r="C68" s="13"/>
      <c r="D68" s="72"/>
      <c r="E68" s="73"/>
      <c r="F68" s="74"/>
      <c r="G68" s="20"/>
      <c r="H68" s="42"/>
      <c r="I68" s="42"/>
      <c r="J68" s="59"/>
      <c r="K68" s="13"/>
      <c r="L68" s="14"/>
      <c r="M68" s="15"/>
    </row>
    <row r="69" spans="1:13">
      <c r="A69" s="42" t="str">
        <f>IF(B69=""," ",A68+1)</f>
        <v xml:space="preserve"> </v>
      </c>
      <c r="B69" s="71"/>
      <c r="C69" s="13"/>
      <c r="D69" s="72"/>
      <c r="E69" s="73"/>
      <c r="F69" s="74"/>
      <c r="G69" s="20"/>
      <c r="H69" s="42"/>
      <c r="I69" s="42"/>
      <c r="J69" s="59"/>
      <c r="K69" s="609"/>
      <c r="L69" s="610"/>
      <c r="M69" s="611"/>
    </row>
    <row r="70" spans="1:13">
      <c r="A70" s="42" t="str">
        <f>IF(B70=""," ",#REF!+1)</f>
        <v xml:space="preserve"> </v>
      </c>
      <c r="B70" s="71"/>
      <c r="C70" s="13"/>
      <c r="D70" s="72"/>
      <c r="E70" s="73"/>
      <c r="F70" s="74"/>
      <c r="G70" s="20"/>
      <c r="H70" s="42"/>
      <c r="I70" s="42"/>
      <c r="J70" s="59"/>
      <c r="K70" s="609"/>
      <c r="L70" s="610"/>
      <c r="M70" s="611"/>
    </row>
    <row r="71" spans="1:13">
      <c r="A71" s="42" t="str">
        <f>IF(B71=""," ",#REF!+1)</f>
        <v xml:space="preserve"> </v>
      </c>
      <c r="B71" s="71"/>
      <c r="C71" s="13"/>
      <c r="D71" s="72"/>
      <c r="E71" s="73"/>
      <c r="F71" s="74"/>
      <c r="G71" s="20"/>
      <c r="H71" s="42"/>
      <c r="I71" s="42"/>
      <c r="J71" s="59"/>
      <c r="K71" s="13"/>
      <c r="L71" s="14"/>
      <c r="M71" s="15"/>
    </row>
    <row r="72" spans="1:13">
      <c r="A72" s="42" t="str">
        <f>IF(B72=""," ",A71+1)</f>
        <v xml:space="preserve"> </v>
      </c>
      <c r="B72" s="71"/>
      <c r="C72" s="13"/>
      <c r="D72" s="72"/>
      <c r="E72" s="73"/>
      <c r="F72" s="74"/>
      <c r="G72" s="20"/>
      <c r="H72" s="42"/>
      <c r="I72" s="42"/>
      <c r="J72" s="59"/>
      <c r="K72" s="13"/>
      <c r="L72" s="14"/>
      <c r="M72" s="15"/>
    </row>
    <row r="73" spans="1:13">
      <c r="A73" s="42" t="str">
        <f>IF(B73=""," ",A72+1)</f>
        <v xml:space="preserve"> </v>
      </c>
      <c r="B73" s="71"/>
      <c r="C73" s="13"/>
      <c r="D73" s="72"/>
      <c r="E73" s="73"/>
      <c r="F73" s="74"/>
      <c r="G73" s="20"/>
      <c r="H73" s="42"/>
      <c r="I73" s="42"/>
      <c r="J73" s="59"/>
      <c r="K73" s="609"/>
      <c r="L73" s="610"/>
      <c r="M73" s="611"/>
    </row>
    <row r="74" spans="1:13">
      <c r="A74" s="42" t="str">
        <f>IF(B74=""," ",#REF!+1)</f>
        <v xml:space="preserve"> </v>
      </c>
      <c r="B74" s="71"/>
      <c r="C74" s="13"/>
      <c r="D74" s="72"/>
      <c r="E74" s="73"/>
      <c r="F74" s="74"/>
      <c r="G74" s="20"/>
      <c r="H74" s="42"/>
      <c r="I74" s="42"/>
      <c r="J74" s="59"/>
      <c r="K74" s="609"/>
      <c r="L74" s="610"/>
      <c r="M74" s="611"/>
    </row>
    <row r="75" spans="1:13">
      <c r="A75" s="42" t="str">
        <f>IF(B75=""," ",#REF!+1)</f>
        <v xml:space="preserve"> </v>
      </c>
      <c r="B75" s="71"/>
      <c r="C75" s="13"/>
      <c r="D75" s="72"/>
      <c r="E75" s="73"/>
      <c r="F75" s="74"/>
      <c r="G75" s="20"/>
      <c r="H75" s="42"/>
      <c r="I75" s="42"/>
      <c r="J75" s="59"/>
      <c r="K75" s="13"/>
      <c r="L75" s="14"/>
      <c r="M75" s="15"/>
    </row>
    <row r="76" spans="1:13">
      <c r="A76" s="42" t="str">
        <f>IF(B76=""," ",A75+1)</f>
        <v xml:space="preserve"> </v>
      </c>
      <c r="B76" s="71"/>
      <c r="C76" s="13"/>
      <c r="D76" s="72"/>
      <c r="E76" s="73"/>
      <c r="F76" s="74"/>
      <c r="G76" s="20"/>
      <c r="H76" s="42"/>
      <c r="I76" s="42"/>
      <c r="J76" s="59"/>
      <c r="K76" s="13"/>
      <c r="L76" s="14"/>
      <c r="M76" s="15"/>
    </row>
    <row r="77" spans="1:13">
      <c r="A77" s="42" t="str">
        <f>IF(B77=""," ",A76+1)</f>
        <v xml:space="preserve"> </v>
      </c>
      <c r="B77" s="71"/>
      <c r="C77" s="13"/>
      <c r="D77" s="72"/>
      <c r="E77" s="73"/>
      <c r="F77" s="74"/>
      <c r="G77" s="20"/>
      <c r="H77" s="42"/>
      <c r="I77" s="42"/>
      <c r="J77" s="59"/>
      <c r="K77" s="609"/>
      <c r="L77" s="610"/>
      <c r="M77" s="611"/>
    </row>
    <row r="78" spans="1:13">
      <c r="A78" s="42" t="str">
        <f>IF(B78=""," ",#REF!+1)</f>
        <v xml:space="preserve"> </v>
      </c>
      <c r="B78" s="71"/>
      <c r="C78" s="13"/>
      <c r="D78" s="72"/>
      <c r="E78" s="73"/>
      <c r="F78" s="74"/>
      <c r="G78" s="20"/>
      <c r="H78" s="42"/>
      <c r="I78" s="42"/>
      <c r="J78" s="59"/>
      <c r="K78" s="609"/>
      <c r="L78" s="610"/>
      <c r="M78" s="611"/>
    </row>
    <row r="79" spans="1:13">
      <c r="A79" s="42" t="str">
        <f>IF(B79=""," ",#REF!+1)</f>
        <v xml:space="preserve"> </v>
      </c>
      <c r="B79" s="71"/>
      <c r="C79" s="13"/>
      <c r="D79" s="72"/>
      <c r="E79" s="73"/>
      <c r="F79" s="74"/>
      <c r="G79" s="20"/>
      <c r="H79" s="42"/>
      <c r="I79" s="42"/>
      <c r="J79" s="59"/>
      <c r="K79" s="13"/>
      <c r="L79" s="14"/>
      <c r="M79" s="15"/>
    </row>
    <row r="80" spans="1:13">
      <c r="A80" s="42" t="str">
        <f>IF(B80=""," ",A79+1)</f>
        <v xml:space="preserve"> </v>
      </c>
      <c r="B80" s="71"/>
      <c r="C80" s="13"/>
      <c r="D80" s="72"/>
      <c r="E80" s="73"/>
      <c r="F80" s="74"/>
      <c r="G80" s="20"/>
      <c r="H80" s="42"/>
      <c r="I80" s="42"/>
      <c r="J80" s="59"/>
      <c r="K80" s="13"/>
      <c r="L80" s="14"/>
      <c r="M80" s="15"/>
    </row>
    <row r="81" spans="1:13">
      <c r="A81" s="42" t="str">
        <f>IF(B81=""," ",A80+1)</f>
        <v xml:space="preserve"> </v>
      </c>
      <c r="B81" s="71"/>
      <c r="C81" s="13"/>
      <c r="D81" s="72"/>
      <c r="E81" s="73"/>
      <c r="F81" s="74"/>
      <c r="G81" s="20"/>
      <c r="H81" s="42"/>
      <c r="I81" s="42"/>
      <c r="J81" s="59"/>
      <c r="K81" s="609"/>
      <c r="L81" s="610"/>
      <c r="M81" s="611"/>
    </row>
    <row r="82" spans="1:13">
      <c r="A82" s="42" t="str">
        <f>IF(B82=""," ",#REF!+1)</f>
        <v xml:space="preserve"> </v>
      </c>
      <c r="B82" s="71"/>
      <c r="C82" s="13"/>
      <c r="D82" s="72"/>
      <c r="E82" s="73"/>
      <c r="F82" s="74"/>
      <c r="G82" s="20"/>
      <c r="H82" s="42"/>
      <c r="I82" s="42"/>
      <c r="J82" s="59"/>
      <c r="K82" s="609"/>
      <c r="L82" s="610"/>
      <c r="M82" s="611"/>
    </row>
    <row r="83" spans="1:13">
      <c r="A83" s="42" t="str">
        <f>IF(B83=""," ",#REF!+1)</f>
        <v xml:space="preserve"> </v>
      </c>
      <c r="B83" s="71"/>
      <c r="C83" s="13"/>
      <c r="D83" s="72"/>
      <c r="E83" s="73"/>
      <c r="F83" s="74"/>
      <c r="G83" s="20"/>
      <c r="H83" s="42"/>
      <c r="I83" s="42"/>
      <c r="J83" s="59"/>
      <c r="K83" s="13"/>
      <c r="L83" s="14"/>
      <c r="M83" s="15"/>
    </row>
    <row r="84" spans="1:13">
      <c r="A84" s="42" t="str">
        <f>IF(B84=""," ",A83+1)</f>
        <v xml:space="preserve"> </v>
      </c>
      <c r="B84" s="71"/>
      <c r="C84" s="13"/>
      <c r="D84" s="72"/>
      <c r="E84" s="73"/>
      <c r="F84" s="74"/>
      <c r="G84" s="20"/>
      <c r="H84" s="42"/>
      <c r="I84" s="42"/>
      <c r="J84" s="59"/>
      <c r="K84" s="13"/>
      <c r="L84" s="14"/>
      <c r="M84" s="15"/>
    </row>
    <row r="85" spans="1:13">
      <c r="A85" s="42" t="str">
        <f>IF(B85=""," ",A84+1)</f>
        <v xml:space="preserve"> </v>
      </c>
      <c r="B85" s="71"/>
      <c r="C85" s="13"/>
      <c r="D85" s="72"/>
      <c r="E85" s="73"/>
      <c r="F85" s="74"/>
      <c r="G85" s="20"/>
      <c r="H85" s="42"/>
      <c r="I85" s="42"/>
      <c r="J85" s="59"/>
      <c r="K85" s="609"/>
      <c r="L85" s="610"/>
      <c r="M85" s="611"/>
    </row>
    <row r="86" spans="1:13">
      <c r="A86" s="42" t="str">
        <f>IF(B86=""," ",#REF!+1)</f>
        <v xml:space="preserve"> </v>
      </c>
      <c r="B86" s="71"/>
      <c r="C86" s="13"/>
      <c r="D86" s="72"/>
      <c r="E86" s="73"/>
      <c r="F86" s="74"/>
      <c r="G86" s="20"/>
      <c r="H86" s="42"/>
      <c r="I86" s="42"/>
      <c r="J86" s="59"/>
      <c r="K86" s="609"/>
      <c r="L86" s="610"/>
      <c r="M86" s="611"/>
    </row>
    <row r="87" spans="1:13">
      <c r="A87" s="42" t="str">
        <f>IF(B87=""," ",#REF!+1)</f>
        <v xml:space="preserve"> </v>
      </c>
      <c r="B87" s="71"/>
      <c r="C87" s="13"/>
      <c r="D87" s="72"/>
      <c r="E87" s="73"/>
      <c r="F87" s="74"/>
      <c r="G87" s="20"/>
      <c r="H87" s="42"/>
      <c r="I87" s="42"/>
      <c r="J87" s="59"/>
      <c r="K87" s="13"/>
      <c r="L87" s="14"/>
      <c r="M87" s="15"/>
    </row>
    <row r="88" spans="1:13">
      <c r="A88" s="42" t="str">
        <f>IF(B88=""," ",A87+1)</f>
        <v xml:space="preserve"> </v>
      </c>
      <c r="B88" s="71"/>
      <c r="C88" s="13"/>
      <c r="D88" s="72"/>
      <c r="E88" s="73"/>
      <c r="F88" s="74"/>
      <c r="G88" s="20"/>
      <c r="H88" s="42"/>
      <c r="I88" s="42"/>
      <c r="J88" s="59"/>
      <c r="K88" s="13"/>
      <c r="L88" s="14"/>
      <c r="M88" s="15"/>
    </row>
    <row r="89" spans="1:13">
      <c r="A89" s="42" t="str">
        <f>IF(B89=""," ",A88+1)</f>
        <v xml:space="preserve"> </v>
      </c>
      <c r="B89" s="71"/>
      <c r="C89" s="13"/>
      <c r="D89" s="72"/>
      <c r="E89" s="73"/>
      <c r="F89" s="74"/>
      <c r="G89" s="20"/>
      <c r="H89" s="42"/>
      <c r="I89" s="42"/>
      <c r="J89" s="59"/>
      <c r="K89" s="609"/>
      <c r="L89" s="610"/>
      <c r="M89" s="611"/>
    </row>
    <row r="90" spans="1:13">
      <c r="A90" s="42" t="str">
        <f>IF(B90=""," ",#REF!+1)</f>
        <v xml:space="preserve"> </v>
      </c>
      <c r="B90" s="71"/>
      <c r="C90" s="13"/>
      <c r="D90" s="72"/>
      <c r="E90" s="73"/>
      <c r="F90" s="74"/>
      <c r="G90" s="20"/>
      <c r="H90" s="42"/>
      <c r="I90" s="42"/>
      <c r="J90" s="59"/>
      <c r="K90" s="609"/>
      <c r="L90" s="610"/>
      <c r="M90" s="611"/>
    </row>
    <row r="91" spans="1:13">
      <c r="A91" s="42" t="str">
        <f>IF(B91=""," ",#REF!+1)</f>
        <v xml:space="preserve"> </v>
      </c>
      <c r="B91" s="71"/>
      <c r="C91" s="13"/>
      <c r="D91" s="72"/>
      <c r="E91" s="73"/>
      <c r="F91" s="74"/>
      <c r="G91" s="20"/>
      <c r="H91" s="42"/>
      <c r="I91" s="42"/>
      <c r="J91" s="59"/>
      <c r="K91" s="13"/>
      <c r="L91" s="14"/>
      <c r="M91" s="15"/>
    </row>
    <row r="92" spans="1:13">
      <c r="A92" s="42" t="str">
        <f>IF(B92=""," ",A91+1)</f>
        <v xml:space="preserve"> </v>
      </c>
      <c r="B92" s="71"/>
      <c r="C92" s="13"/>
      <c r="D92" s="72"/>
      <c r="E92" s="73"/>
      <c r="F92" s="74"/>
      <c r="G92" s="20"/>
      <c r="H92" s="42"/>
      <c r="I92" s="42"/>
      <c r="J92" s="59"/>
      <c r="K92" s="13"/>
      <c r="L92" s="14"/>
      <c r="M92" s="15"/>
    </row>
    <row r="93" spans="1:13">
      <c r="A93" s="42" t="str">
        <f>IF(B93=""," ",A92+1)</f>
        <v xml:space="preserve"> </v>
      </c>
      <c r="B93" s="71"/>
      <c r="C93" s="13"/>
      <c r="D93" s="72"/>
      <c r="E93" s="73"/>
      <c r="F93" s="74"/>
      <c r="G93" s="20"/>
      <c r="H93" s="42"/>
      <c r="I93" s="42"/>
      <c r="J93" s="59"/>
      <c r="K93" s="609"/>
      <c r="L93" s="610"/>
      <c r="M93" s="611"/>
    </row>
    <row r="94" spans="1:13">
      <c r="A94" s="42" t="str">
        <f>IF(B94=""," ",#REF!+1)</f>
        <v xml:space="preserve"> </v>
      </c>
      <c r="B94" s="71"/>
      <c r="C94" s="13"/>
      <c r="D94" s="72"/>
      <c r="E94" s="73"/>
      <c r="F94" s="74"/>
      <c r="G94" s="20"/>
      <c r="H94" s="42"/>
      <c r="I94" s="42"/>
      <c r="J94" s="59"/>
      <c r="K94" s="609"/>
      <c r="L94" s="610"/>
      <c r="M94" s="611"/>
    </row>
    <row r="95" spans="1:13">
      <c r="A95" s="42" t="str">
        <f>IF(B95=""," ",#REF!+1)</f>
        <v xml:space="preserve"> </v>
      </c>
      <c r="B95" s="71"/>
      <c r="C95" s="13"/>
      <c r="D95" s="72"/>
      <c r="E95" s="73"/>
      <c r="F95" s="74"/>
      <c r="G95" s="20"/>
      <c r="H95" s="42"/>
      <c r="I95" s="42"/>
      <c r="J95" s="59"/>
      <c r="K95" s="13"/>
      <c r="L95" s="14"/>
      <c r="M95" s="15"/>
    </row>
    <row r="96" spans="1:13">
      <c r="A96" s="42" t="str">
        <f>IF(B96=""," ",A95+1)</f>
        <v xml:space="preserve"> </v>
      </c>
      <c r="B96" s="71"/>
      <c r="C96" s="13"/>
      <c r="D96" s="72"/>
      <c r="E96" s="73"/>
      <c r="F96" s="74"/>
      <c r="G96" s="20"/>
      <c r="H96" s="42"/>
      <c r="I96" s="42"/>
      <c r="J96" s="59"/>
      <c r="K96" s="13"/>
      <c r="L96" s="14"/>
      <c r="M96" s="15"/>
    </row>
    <row r="97" spans="1:13">
      <c r="A97" s="42" t="str">
        <f>IF(B97=""," ",A96+1)</f>
        <v xml:space="preserve"> </v>
      </c>
      <c r="B97" s="71"/>
      <c r="C97" s="13"/>
      <c r="D97" s="72"/>
      <c r="E97" s="73"/>
      <c r="F97" s="74"/>
      <c r="G97" s="20"/>
      <c r="H97" s="42"/>
      <c r="I97" s="42"/>
      <c r="J97" s="59"/>
      <c r="K97" s="609"/>
      <c r="L97" s="610"/>
      <c r="M97" s="611"/>
    </row>
    <row r="98" spans="1:13">
      <c r="A98" s="42" t="str">
        <f>IF(B98=""," ",#REF!+1)</f>
        <v xml:space="preserve"> </v>
      </c>
      <c r="B98" s="71"/>
      <c r="C98" s="13"/>
      <c r="D98" s="72"/>
      <c r="E98" s="73"/>
      <c r="F98" s="74"/>
      <c r="G98" s="20"/>
      <c r="H98" s="42"/>
      <c r="I98" s="42"/>
      <c r="J98" s="59"/>
      <c r="K98" s="609"/>
      <c r="L98" s="610"/>
      <c r="M98" s="611"/>
    </row>
    <row r="99" spans="1:13">
      <c r="A99" s="42" t="str">
        <f>IF(B99=""," ",#REF!+1)</f>
        <v xml:space="preserve"> </v>
      </c>
      <c r="B99" s="71"/>
      <c r="C99" s="13"/>
      <c r="D99" s="72"/>
      <c r="E99" s="73"/>
      <c r="F99" s="74"/>
      <c r="G99" s="20"/>
      <c r="H99" s="42"/>
      <c r="I99" s="42"/>
      <c r="J99" s="59"/>
      <c r="K99" s="13"/>
      <c r="L99" s="14"/>
      <c r="M99" s="15"/>
    </row>
    <row r="100" spans="1:13">
      <c r="A100" s="42" t="str">
        <f>IF(B100=""," ",#REF!+1)</f>
        <v xml:space="preserve"> </v>
      </c>
      <c r="B100" s="71"/>
      <c r="C100" s="13"/>
      <c r="D100" s="72"/>
      <c r="E100" s="73"/>
      <c r="F100" s="74"/>
      <c r="G100" s="20"/>
      <c r="H100" s="42"/>
      <c r="I100" s="42"/>
      <c r="J100" s="59"/>
      <c r="K100" s="13"/>
      <c r="L100" s="14"/>
      <c r="M100" s="15"/>
    </row>
    <row r="102" spans="1:13">
      <c r="B102" s="16" t="s">
        <v>1691</v>
      </c>
    </row>
    <row r="104" spans="1:13">
      <c r="B104" s="16" t="s">
        <v>1692</v>
      </c>
      <c r="C104" s="16" t="s">
        <v>1693</v>
      </c>
      <c r="D104" s="16" t="s">
        <v>1695</v>
      </c>
    </row>
    <row r="105" spans="1:13">
      <c r="D105" s="16" t="s">
        <v>1694</v>
      </c>
    </row>
    <row r="106" spans="1:13">
      <c r="D106" s="16" t="s">
        <v>1726</v>
      </c>
    </row>
    <row r="108" spans="1:13">
      <c r="B108" s="16" t="s">
        <v>798</v>
      </c>
      <c r="C108" s="16" t="s">
        <v>1720</v>
      </c>
      <c r="D108" s="16" t="s">
        <v>1724</v>
      </c>
    </row>
    <row r="109" spans="1:13">
      <c r="C109" s="16" t="s">
        <v>1725</v>
      </c>
    </row>
    <row r="111" spans="1:13">
      <c r="B111" s="75" t="s">
        <v>799</v>
      </c>
      <c r="C111" s="16" t="s">
        <v>1411</v>
      </c>
    </row>
  </sheetData>
  <mergeCells count="49">
    <mergeCell ref="K53:M53"/>
    <mergeCell ref="K54:M54"/>
    <mergeCell ref="K57:M57"/>
    <mergeCell ref="K98:M98"/>
    <mergeCell ref="K90:M90"/>
    <mergeCell ref="K77:M77"/>
    <mergeCell ref="K78:M78"/>
    <mergeCell ref="K81:M81"/>
    <mergeCell ref="K82:M82"/>
    <mergeCell ref="K85:M85"/>
    <mergeCell ref="K86:M86"/>
    <mergeCell ref="K89:M89"/>
    <mergeCell ref="K93:M93"/>
    <mergeCell ref="K94:M94"/>
    <mergeCell ref="K97:M97"/>
    <mergeCell ref="K69:M69"/>
    <mergeCell ref="K70:M70"/>
    <mergeCell ref="K73:M73"/>
    <mergeCell ref="K74:M74"/>
    <mergeCell ref="K58:M58"/>
    <mergeCell ref="K61:M61"/>
    <mergeCell ref="K62:M62"/>
    <mergeCell ref="K65:M65"/>
    <mergeCell ref="K66:M66"/>
    <mergeCell ref="K45:M45"/>
    <mergeCell ref="K46:M46"/>
    <mergeCell ref="K49:M49"/>
    <mergeCell ref="K50:M50"/>
    <mergeCell ref="H4:I4"/>
    <mergeCell ref="K12:M12"/>
    <mergeCell ref="K16:M16"/>
    <mergeCell ref="K5:M6"/>
    <mergeCell ref="I5:J5"/>
    <mergeCell ref="D5:H5"/>
    <mergeCell ref="K15:M15"/>
    <mergeCell ref="K13:M13"/>
    <mergeCell ref="K14:M14"/>
    <mergeCell ref="K7:M7"/>
    <mergeCell ref="K11:M11"/>
    <mergeCell ref="H3:I3"/>
    <mergeCell ref="A5:A6"/>
    <mergeCell ref="A2:B2"/>
    <mergeCell ref="A3:B3"/>
    <mergeCell ref="A4:B4"/>
    <mergeCell ref="H2:J2"/>
    <mergeCell ref="C2:G2"/>
    <mergeCell ref="C3:G3"/>
    <mergeCell ref="C4:G4"/>
    <mergeCell ref="B5:C5"/>
  </mergeCells>
  <phoneticPr fontId="6"/>
  <pageMargins left="0.78740157480314965" right="0.19685039370078741" top="0.59055118110236227" bottom="0.59055118110236227" header="0.51181102362204722" footer="0.39370078740157483"/>
  <pageSetup paperSize="9" scale="73" fitToHeight="0" orientation="portrait" r:id="rId1"/>
  <headerFooter alignWithMargins="0">
    <oddFooter>&amp;C&amp;10&amp;P/&amp;N&amp;R&amp;10&amp;A</oddFooter>
  </headerFooter>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pageSetUpPr fitToPage="1"/>
  </sheetPr>
  <dimension ref="A1:P113"/>
  <sheetViews>
    <sheetView showGridLines="0" zoomScaleSheetLayoutView="100" workbookViewId="0">
      <pane ySplit="6" topLeftCell="A7" activePane="bottomLeft" state="frozen"/>
      <selection pane="bottomLeft"/>
    </sheetView>
  </sheetViews>
  <sheetFormatPr defaultRowHeight="12"/>
  <cols>
    <col min="1" max="1" width="3.875" style="489" bestFit="1" customWidth="1"/>
    <col min="2" max="2" width="28.625" style="490" customWidth="1"/>
    <col min="3" max="3" width="13.375" style="490" customWidth="1"/>
    <col min="4" max="4" width="9.375" style="490" customWidth="1"/>
    <col min="5" max="6" width="4.75" style="490" bestFit="1" customWidth="1"/>
    <col min="7" max="7" width="6.125" style="490" bestFit="1" customWidth="1"/>
    <col min="8" max="8" width="4.75" style="490" bestFit="1" customWidth="1"/>
    <col min="9" max="9" width="4.75" style="490" customWidth="1"/>
    <col min="10" max="11" width="9.625" style="490" customWidth="1"/>
    <col min="12" max="13" width="10.25" style="490" customWidth="1"/>
    <col min="14" max="14" width="9" style="490"/>
    <col min="15" max="16" width="9" style="490" hidden="1" customWidth="1"/>
    <col min="17" max="16384" width="9" style="490"/>
  </cols>
  <sheetData>
    <row r="1" spans="1:16">
      <c r="B1" s="47"/>
    </row>
    <row r="2" spans="1:16">
      <c r="A2" s="1025" t="s">
        <v>1847</v>
      </c>
      <c r="B2" s="1026"/>
      <c r="C2" s="1025" t="s">
        <v>1848</v>
      </c>
      <c r="D2" s="1029"/>
      <c r="E2" s="1029"/>
      <c r="F2" s="1029"/>
      <c r="G2" s="1026"/>
      <c r="H2" s="1025"/>
      <c r="I2" s="1029"/>
      <c r="J2" s="1026"/>
      <c r="K2" s="491"/>
      <c r="L2" s="492" t="s">
        <v>1849</v>
      </c>
      <c r="M2" s="492" t="s">
        <v>1850</v>
      </c>
    </row>
    <row r="3" spans="1:16">
      <c r="A3" s="1037"/>
      <c r="B3" s="1038"/>
      <c r="C3" s="1039" t="s">
        <v>1851</v>
      </c>
      <c r="D3" s="1040"/>
      <c r="E3" s="1040"/>
      <c r="F3" s="1040"/>
      <c r="G3" s="1041"/>
      <c r="H3" s="1025" t="s">
        <v>1852</v>
      </c>
      <c r="I3" s="1026"/>
      <c r="J3" s="493">
        <f>COUNT(A7:A101)</f>
        <v>10</v>
      </c>
      <c r="K3" s="492" t="s">
        <v>1853</v>
      </c>
      <c r="L3" s="494">
        <v>43647</v>
      </c>
      <c r="M3" s="495" t="s">
        <v>1854</v>
      </c>
      <c r="O3" s="490" t="s">
        <v>1855</v>
      </c>
      <c r="P3" s="490" t="s">
        <v>1856</v>
      </c>
    </row>
    <row r="4" spans="1:16">
      <c r="A4" s="1022" t="s">
        <v>1857</v>
      </c>
      <c r="B4" s="1023"/>
      <c r="C4" s="1022" t="s">
        <v>1832</v>
      </c>
      <c r="D4" s="1024"/>
      <c r="E4" s="1024"/>
      <c r="F4" s="1024"/>
      <c r="G4" s="1023"/>
      <c r="H4" s="1025" t="s">
        <v>1858</v>
      </c>
      <c r="I4" s="1026"/>
      <c r="J4" s="493">
        <f>SUM(G7:G101)</f>
        <v>81</v>
      </c>
      <c r="K4" s="492" t="s">
        <v>1859</v>
      </c>
      <c r="L4" s="494"/>
      <c r="M4" s="496"/>
      <c r="O4" s="490" t="s">
        <v>1860</v>
      </c>
      <c r="P4" s="490" t="s">
        <v>533</v>
      </c>
    </row>
    <row r="5" spans="1:16">
      <c r="A5" s="1027" t="s">
        <v>1861</v>
      </c>
      <c r="B5" s="1025" t="s">
        <v>1862</v>
      </c>
      <c r="C5" s="1029"/>
      <c r="D5" s="1030" t="s">
        <v>1863</v>
      </c>
      <c r="E5" s="1029"/>
      <c r="F5" s="1029"/>
      <c r="G5" s="1029"/>
      <c r="H5" s="1029"/>
      <c r="I5" s="1025" t="s">
        <v>1864</v>
      </c>
      <c r="J5" s="1026"/>
      <c r="K5" s="1031" t="s">
        <v>1865</v>
      </c>
      <c r="L5" s="1032"/>
      <c r="M5" s="1033"/>
      <c r="P5" s="490" t="s">
        <v>1866</v>
      </c>
    </row>
    <row r="6" spans="1:16">
      <c r="A6" s="1028"/>
      <c r="B6" s="492" t="s">
        <v>1867</v>
      </c>
      <c r="C6" s="497" t="s">
        <v>1868</v>
      </c>
      <c r="D6" s="498" t="s">
        <v>1856</v>
      </c>
      <c r="E6" s="499" t="s">
        <v>1869</v>
      </c>
      <c r="F6" s="500" t="s">
        <v>1870</v>
      </c>
      <c r="G6" s="492" t="s">
        <v>1871</v>
      </c>
      <c r="H6" s="501" t="s">
        <v>1872</v>
      </c>
      <c r="I6" s="501" t="s">
        <v>1873</v>
      </c>
      <c r="J6" s="501" t="s">
        <v>1874</v>
      </c>
      <c r="K6" s="1034"/>
      <c r="L6" s="1035"/>
      <c r="M6" s="1036"/>
      <c r="P6" s="490" t="s">
        <v>1875</v>
      </c>
    </row>
    <row r="7" spans="1:16">
      <c r="A7" s="496">
        <v>1</v>
      </c>
      <c r="B7" s="48" t="s">
        <v>543</v>
      </c>
      <c r="C7" s="49" t="s">
        <v>1280</v>
      </c>
      <c r="D7" s="50" t="s">
        <v>533</v>
      </c>
      <c r="E7" s="502">
        <v>16</v>
      </c>
      <c r="F7" s="503"/>
      <c r="G7" s="504">
        <f t="shared" ref="G7:G11" si="0">IF(D7="DATE",4,IF(D7="CHAR",E7,IF(D7="SMALLINT",2,IF(D7="INTEGER",4,IF(D7="TIMESTAMP",10,IF(D7="TIME",3,0))))))</f>
        <v>16</v>
      </c>
      <c r="H7" s="505" t="s">
        <v>1860</v>
      </c>
      <c r="I7" s="505" t="s">
        <v>1860</v>
      </c>
      <c r="J7" s="506"/>
      <c r="K7" s="599"/>
      <c r="L7" s="600"/>
      <c r="M7" s="601"/>
      <c r="P7" s="490" t="s">
        <v>1876</v>
      </c>
    </row>
    <row r="8" spans="1:16">
      <c r="A8" s="496">
        <f t="shared" ref="A8:A16" si="1">IF(B8=""," ",A7+1)</f>
        <v>2</v>
      </c>
      <c r="B8" s="48" t="s">
        <v>542</v>
      </c>
      <c r="C8" s="49" t="s">
        <v>1877</v>
      </c>
      <c r="D8" s="78" t="s">
        <v>533</v>
      </c>
      <c r="E8" s="98">
        <v>7</v>
      </c>
      <c r="F8" s="507"/>
      <c r="G8" s="504">
        <f t="shared" si="0"/>
        <v>7</v>
      </c>
      <c r="H8" s="505" t="s">
        <v>1860</v>
      </c>
      <c r="I8" s="505" t="s">
        <v>1860</v>
      </c>
      <c r="J8" s="508"/>
      <c r="K8" s="599"/>
      <c r="L8" s="600"/>
      <c r="M8" s="601"/>
      <c r="P8" s="490" t="s">
        <v>1878</v>
      </c>
    </row>
    <row r="9" spans="1:16" ht="27" customHeight="1">
      <c r="A9" s="496">
        <f t="shared" si="1"/>
        <v>3</v>
      </c>
      <c r="B9" s="48" t="s">
        <v>1879</v>
      </c>
      <c r="C9" s="49" t="s">
        <v>1880</v>
      </c>
      <c r="D9" s="78" t="s">
        <v>533</v>
      </c>
      <c r="E9" s="98">
        <v>7</v>
      </c>
      <c r="F9" s="507"/>
      <c r="G9" s="504">
        <f t="shared" si="0"/>
        <v>7</v>
      </c>
      <c r="H9" s="505" t="s">
        <v>1860</v>
      </c>
      <c r="I9" s="505" t="s">
        <v>1860</v>
      </c>
      <c r="J9" s="508"/>
      <c r="K9" s="599" t="s">
        <v>1881</v>
      </c>
      <c r="L9" s="600"/>
      <c r="M9" s="601"/>
      <c r="P9" s="490" t="s">
        <v>1882</v>
      </c>
    </row>
    <row r="10" spans="1:16" ht="30" customHeight="1">
      <c r="A10" s="496">
        <f t="shared" si="1"/>
        <v>4</v>
      </c>
      <c r="B10" s="48" t="s">
        <v>1883</v>
      </c>
      <c r="C10" s="49" t="s">
        <v>745</v>
      </c>
      <c r="D10" s="78" t="s">
        <v>533</v>
      </c>
      <c r="E10" s="509">
        <v>4</v>
      </c>
      <c r="F10" s="510"/>
      <c r="G10" s="21">
        <f t="shared" si="0"/>
        <v>4</v>
      </c>
      <c r="H10" s="496" t="s">
        <v>1860</v>
      </c>
      <c r="I10" s="496" t="s">
        <v>1860</v>
      </c>
      <c r="J10" s="508"/>
      <c r="K10" s="599" t="s">
        <v>1881</v>
      </c>
      <c r="L10" s="635"/>
      <c r="M10" s="636"/>
      <c r="P10" s="490" t="s">
        <v>1884</v>
      </c>
    </row>
    <row r="11" spans="1:16" ht="96.95" customHeight="1">
      <c r="A11" s="496">
        <f t="shared" si="1"/>
        <v>5</v>
      </c>
      <c r="B11" s="48" t="s">
        <v>1885</v>
      </c>
      <c r="C11" s="49" t="s">
        <v>1886</v>
      </c>
      <c r="D11" s="78" t="s">
        <v>533</v>
      </c>
      <c r="E11" s="509">
        <v>1</v>
      </c>
      <c r="F11" s="510"/>
      <c r="G11" s="21">
        <f t="shared" si="0"/>
        <v>1</v>
      </c>
      <c r="H11" s="496" t="s">
        <v>1860</v>
      </c>
      <c r="I11" s="496"/>
      <c r="J11" s="508"/>
      <c r="K11" s="599" t="s">
        <v>1887</v>
      </c>
      <c r="L11" s="635"/>
      <c r="M11" s="636"/>
      <c r="P11" s="490" t="s">
        <v>1884</v>
      </c>
    </row>
    <row r="12" spans="1:16" ht="216.95" customHeight="1">
      <c r="A12" s="496">
        <f t="shared" si="1"/>
        <v>6</v>
      </c>
      <c r="B12" s="48" t="s">
        <v>1888</v>
      </c>
      <c r="C12" s="49" t="s">
        <v>1889</v>
      </c>
      <c r="D12" s="50" t="s">
        <v>1866</v>
      </c>
      <c r="E12" s="502">
        <v>128</v>
      </c>
      <c r="F12" s="507"/>
      <c r="G12" s="504">
        <v>20</v>
      </c>
      <c r="H12" s="505" t="s">
        <v>1860</v>
      </c>
      <c r="I12" s="505"/>
      <c r="J12" s="508"/>
      <c r="K12" s="599" t="s">
        <v>1890</v>
      </c>
      <c r="L12" s="600"/>
      <c r="M12" s="601"/>
    </row>
    <row r="13" spans="1:16">
      <c r="A13" s="496">
        <f t="shared" si="1"/>
        <v>7</v>
      </c>
      <c r="B13" s="511" t="s">
        <v>1545</v>
      </c>
      <c r="C13" s="512" t="s">
        <v>1891</v>
      </c>
      <c r="D13" s="513" t="s">
        <v>1878</v>
      </c>
      <c r="E13" s="502"/>
      <c r="F13" s="507"/>
      <c r="G13" s="504">
        <f t="shared" ref="G13:G16" si="2">IF(D13="DATE",4,IF(D13="CHAR",E13,IF(D13="SMALLINT",2,IF(D13="INTEGER",4,IF(D13="TIMESTAMP",10,IF(D13="TIME",3,0))))))</f>
        <v>4</v>
      </c>
      <c r="H13" s="505" t="s">
        <v>1860</v>
      </c>
      <c r="I13" s="496" t="s">
        <v>1860</v>
      </c>
      <c r="J13" s="508"/>
      <c r="K13" s="1016" t="s">
        <v>1892</v>
      </c>
      <c r="L13" s="1017"/>
      <c r="M13" s="1018"/>
      <c r="P13" s="490" t="s">
        <v>1882</v>
      </c>
    </row>
    <row r="14" spans="1:16" s="514" customFormat="1">
      <c r="A14" s="496">
        <f t="shared" si="1"/>
        <v>8</v>
      </c>
      <c r="B14" s="511" t="s">
        <v>1893</v>
      </c>
      <c r="C14" s="512" t="s">
        <v>1894</v>
      </c>
      <c r="D14" s="513" t="s">
        <v>1878</v>
      </c>
      <c r="E14" s="502"/>
      <c r="F14" s="507"/>
      <c r="G14" s="504">
        <f t="shared" si="2"/>
        <v>4</v>
      </c>
      <c r="H14" s="505" t="s">
        <v>1860</v>
      </c>
      <c r="I14" s="505"/>
      <c r="J14" s="508"/>
      <c r="K14" s="1016" t="s">
        <v>1895</v>
      </c>
      <c r="L14" s="1017"/>
      <c r="M14" s="1018"/>
    </row>
    <row r="15" spans="1:16" s="514" customFormat="1" ht="12" customHeight="1">
      <c r="A15" s="496">
        <f t="shared" si="1"/>
        <v>9</v>
      </c>
      <c r="B15" s="511" t="s">
        <v>1896</v>
      </c>
      <c r="C15" s="512" t="s">
        <v>1897</v>
      </c>
      <c r="D15" s="515" t="s">
        <v>533</v>
      </c>
      <c r="E15" s="502">
        <v>8</v>
      </c>
      <c r="F15" s="507"/>
      <c r="G15" s="504">
        <f t="shared" si="2"/>
        <v>8</v>
      </c>
      <c r="H15" s="505" t="s">
        <v>1860</v>
      </c>
      <c r="I15" s="505"/>
      <c r="J15" s="508"/>
      <c r="K15" s="1016" t="s">
        <v>1898</v>
      </c>
      <c r="L15" s="1017"/>
      <c r="M15" s="1018"/>
    </row>
    <row r="16" spans="1:16" ht="12" customHeight="1">
      <c r="A16" s="496">
        <f t="shared" si="1"/>
        <v>10</v>
      </c>
      <c r="B16" s="93" t="s">
        <v>1899</v>
      </c>
      <c r="C16" s="26" t="s">
        <v>1900</v>
      </c>
      <c r="D16" s="94" t="s">
        <v>1901</v>
      </c>
      <c r="E16" s="95"/>
      <c r="F16" s="90"/>
      <c r="G16" s="504">
        <f t="shared" si="2"/>
        <v>10</v>
      </c>
      <c r="H16" s="91" t="s">
        <v>1860</v>
      </c>
      <c r="I16" s="89"/>
      <c r="J16" s="92"/>
      <c r="K16" s="602"/>
      <c r="L16" s="603"/>
      <c r="M16" s="604"/>
    </row>
    <row r="17" spans="1:13" s="514" customFormat="1">
      <c r="A17" s="496"/>
      <c r="B17" s="516"/>
      <c r="C17" s="517"/>
      <c r="D17" s="518"/>
      <c r="E17" s="519"/>
      <c r="F17" s="520"/>
      <c r="G17" s="521"/>
      <c r="H17" s="522"/>
      <c r="I17" s="523"/>
      <c r="J17" s="524"/>
      <c r="K17" s="1019"/>
      <c r="L17" s="1020"/>
      <c r="M17" s="1021"/>
    </row>
    <row r="18" spans="1:13" ht="13.5" customHeight="1">
      <c r="A18" s="496" t="str">
        <f>IF(B18=""," ",A17+1)</f>
        <v xml:space="preserve"> </v>
      </c>
      <c r="B18" s="66"/>
      <c r="C18" s="525"/>
      <c r="D18" s="515"/>
      <c r="E18" s="509"/>
      <c r="F18" s="510"/>
      <c r="G18" s="504"/>
      <c r="H18" s="496"/>
      <c r="I18" s="496"/>
      <c r="J18" s="508"/>
      <c r="K18" s="628"/>
      <c r="L18" s="629"/>
      <c r="M18" s="630"/>
    </row>
    <row r="19" spans="1:13" ht="13.5" customHeight="1">
      <c r="A19" s="496" t="str">
        <f>IF(B19=""," ",A18+1)</f>
        <v xml:space="preserve"> </v>
      </c>
      <c r="B19" s="66"/>
      <c r="C19" s="525"/>
      <c r="D19" s="515"/>
      <c r="E19" s="509"/>
      <c r="F19" s="510"/>
      <c r="G19" s="504"/>
      <c r="H19" s="496"/>
      <c r="I19" s="496"/>
      <c r="J19" s="508"/>
      <c r="K19" s="628"/>
      <c r="L19" s="629"/>
      <c r="M19" s="630"/>
    </row>
    <row r="20" spans="1:13" ht="13.5" customHeight="1">
      <c r="A20" s="496" t="str">
        <f>IF(B20=""," ",#REF!+1)</f>
        <v xml:space="preserve"> </v>
      </c>
      <c r="B20" s="526"/>
      <c r="C20" s="525"/>
      <c r="D20" s="515"/>
      <c r="E20" s="509"/>
      <c r="F20" s="510"/>
      <c r="G20" s="504"/>
      <c r="H20" s="496"/>
      <c r="I20" s="496"/>
      <c r="J20" s="508"/>
      <c r="K20" s="628"/>
      <c r="L20" s="629"/>
      <c r="M20" s="630"/>
    </row>
    <row r="21" spans="1:13" ht="13.5" customHeight="1">
      <c r="A21" s="496" t="str">
        <f t="shared" ref="A21:A27" si="3">IF(B21=""," ",A20+1)</f>
        <v xml:space="preserve"> </v>
      </c>
      <c r="B21" s="526"/>
      <c r="C21" s="525"/>
      <c r="D21" s="515"/>
      <c r="E21" s="509"/>
      <c r="F21" s="510"/>
      <c r="G21" s="504"/>
      <c r="H21" s="496"/>
      <c r="I21" s="496"/>
      <c r="J21" s="508"/>
      <c r="K21" s="628"/>
      <c r="L21" s="629"/>
      <c r="M21" s="630"/>
    </row>
    <row r="22" spans="1:13" ht="13.5" customHeight="1">
      <c r="A22" s="496" t="str">
        <f t="shared" si="3"/>
        <v xml:space="preserve"> </v>
      </c>
      <c r="B22" s="526"/>
      <c r="C22" s="525"/>
      <c r="D22" s="515"/>
      <c r="E22" s="509"/>
      <c r="F22" s="510"/>
      <c r="G22" s="504"/>
      <c r="H22" s="496"/>
      <c r="I22" s="496"/>
      <c r="J22" s="508"/>
      <c r="K22" s="628"/>
      <c r="L22" s="629"/>
      <c r="M22" s="630"/>
    </row>
    <row r="23" spans="1:13" ht="13.5" customHeight="1">
      <c r="A23" s="496" t="str">
        <f t="shared" si="3"/>
        <v xml:space="preserve"> </v>
      </c>
      <c r="B23" s="526"/>
      <c r="C23" s="525"/>
      <c r="D23" s="515"/>
      <c r="E23" s="509"/>
      <c r="F23" s="510"/>
      <c r="G23" s="504"/>
      <c r="H23" s="496"/>
      <c r="I23" s="496"/>
      <c r="J23" s="508"/>
      <c r="K23" s="628"/>
      <c r="L23" s="629"/>
      <c r="M23" s="630"/>
    </row>
    <row r="24" spans="1:13" ht="13.5" customHeight="1">
      <c r="A24" s="496" t="str">
        <f t="shared" si="3"/>
        <v xml:space="preserve"> </v>
      </c>
      <c r="B24" s="526"/>
      <c r="C24" s="525"/>
      <c r="D24" s="515"/>
      <c r="E24" s="509"/>
      <c r="F24" s="510"/>
      <c r="G24" s="504"/>
      <c r="H24" s="496"/>
      <c r="I24" s="496"/>
      <c r="J24" s="508"/>
      <c r="K24" s="628"/>
      <c r="L24" s="629"/>
      <c r="M24" s="630"/>
    </row>
    <row r="25" spans="1:13" ht="13.5" customHeight="1">
      <c r="A25" s="496" t="str">
        <f t="shared" si="3"/>
        <v xml:space="preserve"> </v>
      </c>
      <c r="B25" s="526"/>
      <c r="C25" s="525"/>
      <c r="D25" s="515"/>
      <c r="E25" s="509"/>
      <c r="F25" s="510"/>
      <c r="G25" s="504"/>
      <c r="H25" s="496"/>
      <c r="I25" s="496"/>
      <c r="J25" s="508"/>
      <c r="K25" s="628"/>
      <c r="L25" s="629"/>
      <c r="M25" s="630"/>
    </row>
    <row r="26" spans="1:13" ht="13.5" customHeight="1">
      <c r="A26" s="496" t="str">
        <f t="shared" si="3"/>
        <v xml:space="preserve"> </v>
      </c>
      <c r="B26" s="526"/>
      <c r="C26" s="525"/>
      <c r="D26" s="515"/>
      <c r="E26" s="509"/>
      <c r="F26" s="510"/>
      <c r="G26" s="504"/>
      <c r="H26" s="496"/>
      <c r="I26" s="496"/>
      <c r="J26" s="508"/>
      <c r="K26" s="628"/>
      <c r="L26" s="629"/>
      <c r="M26" s="630"/>
    </row>
    <row r="27" spans="1:13">
      <c r="A27" s="523" t="str">
        <f t="shared" si="3"/>
        <v xml:space="preserve"> </v>
      </c>
      <c r="B27" s="66"/>
      <c r="C27" s="527"/>
      <c r="D27" s="528"/>
      <c r="E27" s="529"/>
      <c r="F27" s="530"/>
      <c r="G27" s="504"/>
      <c r="H27" s="523"/>
      <c r="I27" s="523"/>
      <c r="J27" s="524"/>
      <c r="K27" s="527"/>
      <c r="L27" s="531"/>
      <c r="M27" s="532"/>
    </row>
    <row r="28" spans="1:13">
      <c r="A28" s="523" t="str">
        <f>IF(B28=""," ",#REF!+1)</f>
        <v xml:space="preserve"> </v>
      </c>
      <c r="B28" s="533"/>
      <c r="C28" s="527"/>
      <c r="D28" s="528"/>
      <c r="E28" s="529"/>
      <c r="F28" s="530"/>
      <c r="G28" s="504"/>
      <c r="H28" s="523"/>
      <c r="I28" s="523"/>
      <c r="J28" s="524"/>
      <c r="K28" s="527"/>
      <c r="L28" s="531"/>
      <c r="M28" s="532"/>
    </row>
    <row r="29" spans="1:13">
      <c r="A29" s="523" t="str">
        <f>IF(B29=""," ",#REF!+1)</f>
        <v xml:space="preserve"> </v>
      </c>
      <c r="B29" s="533"/>
      <c r="C29" s="527"/>
      <c r="D29" s="528"/>
      <c r="E29" s="529"/>
      <c r="F29" s="530"/>
      <c r="G29" s="504"/>
      <c r="H29" s="523"/>
      <c r="I29" s="523"/>
      <c r="J29" s="524"/>
      <c r="K29" s="527"/>
      <c r="L29" s="531"/>
      <c r="M29" s="532"/>
    </row>
    <row r="30" spans="1:13">
      <c r="A30" s="523" t="str">
        <f t="shared" ref="A30:A39" si="4">IF(B30=""," ",A29+1)</f>
        <v xml:space="preserve"> </v>
      </c>
      <c r="B30" s="533"/>
      <c r="C30" s="527"/>
      <c r="D30" s="528"/>
      <c r="E30" s="529"/>
      <c r="F30" s="530"/>
      <c r="G30" s="504"/>
      <c r="H30" s="523"/>
      <c r="I30" s="523"/>
      <c r="J30" s="524"/>
      <c r="K30" s="527"/>
      <c r="L30" s="531"/>
      <c r="M30" s="532"/>
    </row>
    <row r="31" spans="1:13">
      <c r="A31" s="523" t="str">
        <f t="shared" si="4"/>
        <v xml:space="preserve"> </v>
      </c>
      <c r="B31" s="533"/>
      <c r="C31" s="527"/>
      <c r="D31" s="528"/>
      <c r="E31" s="529"/>
      <c r="F31" s="530"/>
      <c r="G31" s="504"/>
      <c r="H31" s="523"/>
      <c r="I31" s="523"/>
      <c r="J31" s="524"/>
      <c r="K31" s="527"/>
      <c r="L31" s="531"/>
      <c r="M31" s="532"/>
    </row>
    <row r="32" spans="1:13">
      <c r="A32" s="523" t="str">
        <f t="shared" si="4"/>
        <v xml:space="preserve"> </v>
      </c>
      <c r="B32" s="533"/>
      <c r="C32" s="527"/>
      <c r="D32" s="528"/>
      <c r="E32" s="529"/>
      <c r="F32" s="530"/>
      <c r="G32" s="504"/>
      <c r="H32" s="523"/>
      <c r="I32" s="523"/>
      <c r="J32" s="524"/>
      <c r="K32" s="527"/>
      <c r="L32" s="531"/>
      <c r="M32" s="532"/>
    </row>
    <row r="33" spans="1:13">
      <c r="A33" s="523" t="str">
        <f t="shared" si="4"/>
        <v xml:space="preserve"> </v>
      </c>
      <c r="B33" s="533"/>
      <c r="C33" s="527"/>
      <c r="D33" s="528"/>
      <c r="E33" s="529"/>
      <c r="F33" s="530"/>
      <c r="G33" s="521"/>
      <c r="H33" s="523"/>
      <c r="I33" s="523"/>
      <c r="J33" s="524"/>
      <c r="K33" s="527"/>
      <c r="L33" s="531"/>
      <c r="M33" s="532"/>
    </row>
    <row r="34" spans="1:13">
      <c r="A34" s="523" t="str">
        <f t="shared" si="4"/>
        <v xml:space="preserve"> </v>
      </c>
      <c r="B34" s="533"/>
      <c r="C34" s="527"/>
      <c r="D34" s="528"/>
      <c r="E34" s="529"/>
      <c r="F34" s="530"/>
      <c r="G34" s="521"/>
      <c r="H34" s="523"/>
      <c r="I34" s="523"/>
      <c r="J34" s="524"/>
      <c r="K34" s="527"/>
      <c r="L34" s="531"/>
      <c r="M34" s="532"/>
    </row>
    <row r="35" spans="1:13">
      <c r="A35" s="523" t="str">
        <f t="shared" si="4"/>
        <v xml:space="preserve"> </v>
      </c>
      <c r="B35" s="533"/>
      <c r="C35" s="527"/>
      <c r="D35" s="528"/>
      <c r="E35" s="529"/>
      <c r="F35" s="530"/>
      <c r="G35" s="521"/>
      <c r="H35" s="523"/>
      <c r="I35" s="523"/>
      <c r="J35" s="524"/>
      <c r="K35" s="527"/>
      <c r="L35" s="531"/>
      <c r="M35" s="532"/>
    </row>
    <row r="36" spans="1:13">
      <c r="A36" s="523" t="str">
        <f t="shared" si="4"/>
        <v xml:space="preserve"> </v>
      </c>
      <c r="B36" s="533"/>
      <c r="C36" s="527"/>
      <c r="D36" s="528"/>
      <c r="E36" s="529"/>
      <c r="F36" s="530"/>
      <c r="G36" s="521"/>
      <c r="H36" s="523"/>
      <c r="I36" s="523"/>
      <c r="J36" s="524"/>
      <c r="K36" s="527"/>
      <c r="L36" s="531"/>
      <c r="M36" s="532"/>
    </row>
    <row r="37" spans="1:13">
      <c r="A37" s="523" t="str">
        <f t="shared" si="4"/>
        <v xml:space="preserve"> </v>
      </c>
      <c r="B37" s="533"/>
      <c r="C37" s="527"/>
      <c r="D37" s="528"/>
      <c r="E37" s="529"/>
      <c r="F37" s="530"/>
      <c r="G37" s="521"/>
      <c r="H37" s="523"/>
      <c r="I37" s="523"/>
      <c r="J37" s="524"/>
      <c r="K37" s="527"/>
      <c r="L37" s="531"/>
      <c r="M37" s="532"/>
    </row>
    <row r="38" spans="1:13">
      <c r="A38" s="523" t="str">
        <f t="shared" si="4"/>
        <v xml:space="preserve"> </v>
      </c>
      <c r="B38" s="533"/>
      <c r="C38" s="527"/>
      <c r="D38" s="528"/>
      <c r="E38" s="529"/>
      <c r="F38" s="530"/>
      <c r="G38" s="521"/>
      <c r="H38" s="523"/>
      <c r="I38" s="523"/>
      <c r="J38" s="524"/>
      <c r="K38" s="527"/>
      <c r="L38" s="531"/>
      <c r="M38" s="532"/>
    </row>
    <row r="39" spans="1:13">
      <c r="A39" s="496" t="str">
        <f t="shared" si="4"/>
        <v xml:space="preserve"> </v>
      </c>
      <c r="B39" s="526"/>
      <c r="C39" s="525"/>
      <c r="D39" s="515"/>
      <c r="E39" s="509"/>
      <c r="F39" s="510"/>
      <c r="G39" s="504"/>
      <c r="H39" s="496"/>
      <c r="I39" s="496"/>
      <c r="J39" s="508"/>
      <c r="K39" s="1016"/>
      <c r="L39" s="1017"/>
      <c r="M39" s="1018"/>
    </row>
    <row r="40" spans="1:13">
      <c r="A40" s="496" t="str">
        <f>IF(B40=""," ",#REF!+1)</f>
        <v xml:space="preserve"> </v>
      </c>
      <c r="B40" s="526"/>
      <c r="C40" s="525"/>
      <c r="D40" s="515"/>
      <c r="E40" s="509"/>
      <c r="F40" s="510"/>
      <c r="G40" s="504"/>
      <c r="H40" s="496"/>
      <c r="I40" s="496"/>
      <c r="J40" s="508"/>
      <c r="K40" s="1016"/>
      <c r="L40" s="1017"/>
      <c r="M40" s="1018"/>
    </row>
    <row r="41" spans="1:13">
      <c r="A41" s="496" t="str">
        <f>IF(B41=""," ",#REF!+1)</f>
        <v xml:space="preserve"> </v>
      </c>
      <c r="B41" s="526"/>
      <c r="C41" s="525"/>
      <c r="D41" s="515"/>
      <c r="E41" s="509"/>
      <c r="F41" s="510"/>
      <c r="G41" s="504"/>
      <c r="H41" s="496"/>
      <c r="I41" s="496"/>
      <c r="J41" s="508"/>
      <c r="K41" s="525"/>
      <c r="L41" s="534"/>
      <c r="M41" s="535"/>
    </row>
    <row r="42" spans="1:13">
      <c r="A42" s="496" t="str">
        <f t="shared" ref="A42:A47" si="5">IF(B42=""," ",A41+1)</f>
        <v xml:space="preserve"> </v>
      </c>
      <c r="B42" s="526"/>
      <c r="C42" s="525"/>
      <c r="D42" s="515"/>
      <c r="E42" s="509"/>
      <c r="F42" s="510"/>
      <c r="G42" s="504"/>
      <c r="H42" s="496"/>
      <c r="I42" s="496"/>
      <c r="J42" s="508"/>
      <c r="K42" s="525"/>
      <c r="L42" s="534"/>
      <c r="M42" s="535"/>
    </row>
    <row r="43" spans="1:13">
      <c r="A43" s="496" t="str">
        <f t="shared" si="5"/>
        <v xml:space="preserve"> </v>
      </c>
      <c r="B43" s="526"/>
      <c r="C43" s="525"/>
      <c r="D43" s="515"/>
      <c r="E43" s="509"/>
      <c r="F43" s="510"/>
      <c r="G43" s="504"/>
      <c r="H43" s="496"/>
      <c r="I43" s="496"/>
      <c r="J43" s="508"/>
      <c r="K43" s="1016"/>
      <c r="L43" s="1017"/>
      <c r="M43" s="1018"/>
    </row>
    <row r="44" spans="1:13">
      <c r="A44" s="496" t="str">
        <f>IF(B44=""," ",#REF!+1)</f>
        <v xml:space="preserve"> </v>
      </c>
      <c r="B44" s="526"/>
      <c r="C44" s="525"/>
      <c r="D44" s="515"/>
      <c r="E44" s="509"/>
      <c r="F44" s="510"/>
      <c r="G44" s="504"/>
      <c r="H44" s="496"/>
      <c r="I44" s="496"/>
      <c r="J44" s="508"/>
      <c r="K44" s="1016"/>
      <c r="L44" s="1017"/>
      <c r="M44" s="1018"/>
    </row>
    <row r="45" spans="1:13">
      <c r="A45" s="496" t="str">
        <f>IF(B45=""," ",#REF!+1)</f>
        <v xml:space="preserve"> </v>
      </c>
      <c r="B45" s="526"/>
      <c r="C45" s="525"/>
      <c r="D45" s="515"/>
      <c r="E45" s="509"/>
      <c r="F45" s="510"/>
      <c r="G45" s="504"/>
      <c r="H45" s="496"/>
      <c r="I45" s="496"/>
      <c r="J45" s="508"/>
      <c r="K45" s="525"/>
      <c r="L45" s="534"/>
      <c r="M45" s="535"/>
    </row>
    <row r="46" spans="1:13">
      <c r="A46" s="496" t="str">
        <f t="shared" si="5"/>
        <v xml:space="preserve"> </v>
      </c>
      <c r="B46" s="526"/>
      <c r="C46" s="525"/>
      <c r="D46" s="515"/>
      <c r="E46" s="509"/>
      <c r="F46" s="510"/>
      <c r="G46" s="504"/>
      <c r="H46" s="496"/>
      <c r="I46" s="496"/>
      <c r="J46" s="508"/>
      <c r="K46" s="525"/>
      <c r="L46" s="534"/>
      <c r="M46" s="535"/>
    </row>
    <row r="47" spans="1:13">
      <c r="A47" s="496" t="str">
        <f t="shared" si="5"/>
        <v xml:space="preserve"> </v>
      </c>
      <c r="B47" s="526"/>
      <c r="C47" s="525"/>
      <c r="D47" s="515"/>
      <c r="E47" s="509"/>
      <c r="F47" s="510"/>
      <c r="G47" s="504"/>
      <c r="H47" s="496"/>
      <c r="I47" s="496"/>
      <c r="J47" s="508"/>
      <c r="K47" s="1016"/>
      <c r="L47" s="1017"/>
      <c r="M47" s="1018"/>
    </row>
    <row r="48" spans="1:13">
      <c r="A48" s="496" t="str">
        <f>IF(B48=""," ",#REF!+1)</f>
        <v xml:space="preserve"> </v>
      </c>
      <c r="B48" s="526"/>
      <c r="C48" s="525"/>
      <c r="D48" s="515"/>
      <c r="E48" s="509"/>
      <c r="F48" s="510"/>
      <c r="G48" s="504"/>
      <c r="H48" s="496"/>
      <c r="I48" s="496"/>
      <c r="J48" s="508"/>
      <c r="K48" s="1016"/>
      <c r="L48" s="1017"/>
      <c r="M48" s="1018"/>
    </row>
    <row r="49" spans="1:13">
      <c r="A49" s="496" t="str">
        <f>IF(B49=""," ",#REF!+1)</f>
        <v xml:space="preserve"> </v>
      </c>
      <c r="B49" s="526"/>
      <c r="C49" s="525"/>
      <c r="D49" s="515"/>
      <c r="E49" s="509"/>
      <c r="F49" s="510"/>
      <c r="G49" s="504"/>
      <c r="H49" s="496"/>
      <c r="I49" s="496"/>
      <c r="J49" s="508"/>
      <c r="K49" s="525"/>
      <c r="L49" s="534"/>
      <c r="M49" s="535"/>
    </row>
    <row r="50" spans="1:13">
      <c r="A50" s="496" t="str">
        <f t="shared" ref="A50:A55" si="6">IF(B50=""," ",A49+1)</f>
        <v xml:space="preserve"> </v>
      </c>
      <c r="B50" s="526"/>
      <c r="C50" s="525"/>
      <c r="D50" s="515"/>
      <c r="E50" s="509"/>
      <c r="F50" s="510"/>
      <c r="G50" s="504"/>
      <c r="H50" s="496"/>
      <c r="I50" s="496"/>
      <c r="J50" s="508"/>
      <c r="K50" s="525"/>
      <c r="L50" s="534"/>
      <c r="M50" s="535"/>
    </row>
    <row r="51" spans="1:13">
      <c r="A51" s="496" t="str">
        <f t="shared" si="6"/>
        <v xml:space="preserve"> </v>
      </c>
      <c r="B51" s="526"/>
      <c r="C51" s="525"/>
      <c r="D51" s="515"/>
      <c r="E51" s="509"/>
      <c r="F51" s="510"/>
      <c r="G51" s="504"/>
      <c r="H51" s="496"/>
      <c r="I51" s="496"/>
      <c r="J51" s="508"/>
      <c r="K51" s="1016"/>
      <c r="L51" s="1017"/>
      <c r="M51" s="1018"/>
    </row>
    <row r="52" spans="1:13">
      <c r="A52" s="496" t="str">
        <f>IF(B52=""," ",#REF!+1)</f>
        <v xml:space="preserve"> </v>
      </c>
      <c r="B52" s="526"/>
      <c r="C52" s="525"/>
      <c r="D52" s="515"/>
      <c r="E52" s="509"/>
      <c r="F52" s="510"/>
      <c r="G52" s="504"/>
      <c r="H52" s="496"/>
      <c r="I52" s="496"/>
      <c r="J52" s="508"/>
      <c r="K52" s="1016"/>
      <c r="L52" s="1017"/>
      <c r="M52" s="1018"/>
    </row>
    <row r="53" spans="1:13">
      <c r="A53" s="496" t="str">
        <f>IF(B53=""," ",#REF!+1)</f>
        <v xml:space="preserve"> </v>
      </c>
      <c r="B53" s="526"/>
      <c r="C53" s="525"/>
      <c r="D53" s="515"/>
      <c r="E53" s="509"/>
      <c r="F53" s="510"/>
      <c r="G53" s="504"/>
      <c r="H53" s="496"/>
      <c r="I53" s="496"/>
      <c r="J53" s="508"/>
      <c r="K53" s="525"/>
      <c r="L53" s="534"/>
      <c r="M53" s="535"/>
    </row>
    <row r="54" spans="1:13">
      <c r="A54" s="496" t="str">
        <f t="shared" si="6"/>
        <v xml:space="preserve"> </v>
      </c>
      <c r="B54" s="526"/>
      <c r="C54" s="525"/>
      <c r="D54" s="515"/>
      <c r="E54" s="509"/>
      <c r="F54" s="510"/>
      <c r="G54" s="504"/>
      <c r="H54" s="496"/>
      <c r="I54" s="496"/>
      <c r="J54" s="508"/>
      <c r="K54" s="525"/>
      <c r="L54" s="534"/>
      <c r="M54" s="535"/>
    </row>
    <row r="55" spans="1:13">
      <c r="A55" s="496" t="str">
        <f t="shared" si="6"/>
        <v xml:space="preserve"> </v>
      </c>
      <c r="B55" s="526"/>
      <c r="C55" s="525"/>
      <c r="D55" s="515"/>
      <c r="E55" s="509"/>
      <c r="F55" s="510"/>
      <c r="G55" s="504"/>
      <c r="H55" s="496"/>
      <c r="I55" s="496"/>
      <c r="J55" s="508"/>
      <c r="K55" s="1016"/>
      <c r="L55" s="1017"/>
      <c r="M55" s="1018"/>
    </row>
    <row r="56" spans="1:13">
      <c r="A56" s="496" t="str">
        <f>IF(B56=""," ",#REF!+1)</f>
        <v xml:space="preserve"> </v>
      </c>
      <c r="B56" s="526"/>
      <c r="C56" s="525"/>
      <c r="D56" s="515"/>
      <c r="E56" s="509"/>
      <c r="F56" s="510"/>
      <c r="G56" s="504"/>
      <c r="H56" s="496"/>
      <c r="I56" s="496"/>
      <c r="J56" s="508"/>
      <c r="K56" s="1016"/>
      <c r="L56" s="1017"/>
      <c r="M56" s="1018"/>
    </row>
    <row r="57" spans="1:13">
      <c r="A57" s="496" t="str">
        <f>IF(B57=""," ",#REF!+1)</f>
        <v xml:space="preserve"> </v>
      </c>
      <c r="B57" s="526"/>
      <c r="C57" s="525"/>
      <c r="D57" s="515"/>
      <c r="E57" s="509"/>
      <c r="F57" s="510"/>
      <c r="G57" s="504"/>
      <c r="H57" s="496"/>
      <c r="I57" s="496"/>
      <c r="J57" s="508"/>
      <c r="K57" s="525"/>
      <c r="L57" s="534"/>
      <c r="M57" s="535"/>
    </row>
    <row r="58" spans="1:13">
      <c r="A58" s="496" t="str">
        <f t="shared" ref="A58:A63" si="7">IF(B58=""," ",A57+1)</f>
        <v xml:space="preserve"> </v>
      </c>
      <c r="B58" s="526"/>
      <c r="C58" s="525"/>
      <c r="D58" s="515"/>
      <c r="E58" s="509"/>
      <c r="F58" s="510"/>
      <c r="G58" s="504"/>
      <c r="H58" s="496"/>
      <c r="I58" s="496"/>
      <c r="J58" s="508"/>
      <c r="K58" s="525"/>
      <c r="L58" s="534"/>
      <c r="M58" s="535"/>
    </row>
    <row r="59" spans="1:13">
      <c r="A59" s="496" t="str">
        <f t="shared" si="7"/>
        <v xml:space="preserve"> </v>
      </c>
      <c r="B59" s="526"/>
      <c r="C59" s="525"/>
      <c r="D59" s="515"/>
      <c r="E59" s="509"/>
      <c r="F59" s="510"/>
      <c r="G59" s="504"/>
      <c r="H59" s="496"/>
      <c r="I59" s="496"/>
      <c r="J59" s="508"/>
      <c r="K59" s="1016"/>
      <c r="L59" s="1017"/>
      <c r="M59" s="1018"/>
    </row>
    <row r="60" spans="1:13">
      <c r="A60" s="496" t="str">
        <f>IF(B60=""," ",#REF!+1)</f>
        <v xml:space="preserve"> </v>
      </c>
      <c r="B60" s="526"/>
      <c r="C60" s="525"/>
      <c r="D60" s="515"/>
      <c r="E60" s="509"/>
      <c r="F60" s="510"/>
      <c r="G60" s="504"/>
      <c r="H60" s="496"/>
      <c r="I60" s="496"/>
      <c r="J60" s="508"/>
      <c r="K60" s="1016"/>
      <c r="L60" s="1017"/>
      <c r="M60" s="1018"/>
    </row>
    <row r="61" spans="1:13">
      <c r="A61" s="496" t="str">
        <f>IF(B61=""," ",#REF!+1)</f>
        <v xml:space="preserve"> </v>
      </c>
      <c r="B61" s="526"/>
      <c r="C61" s="525"/>
      <c r="D61" s="515"/>
      <c r="E61" s="509"/>
      <c r="F61" s="510"/>
      <c r="G61" s="504"/>
      <c r="H61" s="496"/>
      <c r="I61" s="496"/>
      <c r="J61" s="508"/>
      <c r="K61" s="525"/>
      <c r="L61" s="534"/>
      <c r="M61" s="535"/>
    </row>
    <row r="62" spans="1:13">
      <c r="A62" s="496" t="str">
        <f t="shared" si="7"/>
        <v xml:space="preserve"> </v>
      </c>
      <c r="B62" s="526"/>
      <c r="C62" s="525"/>
      <c r="D62" s="515"/>
      <c r="E62" s="509"/>
      <c r="F62" s="510"/>
      <c r="G62" s="504"/>
      <c r="H62" s="496"/>
      <c r="I62" s="496"/>
      <c r="J62" s="508"/>
      <c r="K62" s="525"/>
      <c r="L62" s="534"/>
      <c r="M62" s="535"/>
    </row>
    <row r="63" spans="1:13">
      <c r="A63" s="496" t="str">
        <f t="shared" si="7"/>
        <v xml:space="preserve"> </v>
      </c>
      <c r="B63" s="526"/>
      <c r="C63" s="525"/>
      <c r="D63" s="515"/>
      <c r="E63" s="509"/>
      <c r="F63" s="510"/>
      <c r="G63" s="504"/>
      <c r="H63" s="496"/>
      <c r="I63" s="496"/>
      <c r="J63" s="508"/>
      <c r="K63" s="1016"/>
      <c r="L63" s="1017"/>
      <c r="M63" s="1018"/>
    </row>
    <row r="64" spans="1:13">
      <c r="A64" s="496" t="str">
        <f>IF(B64=""," ",#REF!+1)</f>
        <v xml:space="preserve"> </v>
      </c>
      <c r="B64" s="526"/>
      <c r="C64" s="525"/>
      <c r="D64" s="515"/>
      <c r="E64" s="509"/>
      <c r="F64" s="510"/>
      <c r="G64" s="504"/>
      <c r="H64" s="496"/>
      <c r="I64" s="496"/>
      <c r="J64" s="508"/>
      <c r="K64" s="1016"/>
      <c r="L64" s="1017"/>
      <c r="M64" s="1018"/>
    </row>
    <row r="65" spans="1:13">
      <c r="A65" s="496" t="str">
        <f>IF(B65=""," ",#REF!+1)</f>
        <v xml:space="preserve"> </v>
      </c>
      <c r="B65" s="526"/>
      <c r="C65" s="525"/>
      <c r="D65" s="515"/>
      <c r="E65" s="509"/>
      <c r="F65" s="510"/>
      <c r="G65" s="504"/>
      <c r="H65" s="496"/>
      <c r="I65" s="496"/>
      <c r="J65" s="508"/>
      <c r="K65" s="525"/>
      <c r="L65" s="534"/>
      <c r="M65" s="535"/>
    </row>
    <row r="66" spans="1:13">
      <c r="A66" s="496" t="str">
        <f t="shared" ref="A66:A71" si="8">IF(B66=""," ",A65+1)</f>
        <v xml:space="preserve"> </v>
      </c>
      <c r="B66" s="526"/>
      <c r="C66" s="525"/>
      <c r="D66" s="515"/>
      <c r="E66" s="509"/>
      <c r="F66" s="510"/>
      <c r="G66" s="504"/>
      <c r="H66" s="496"/>
      <c r="I66" s="496"/>
      <c r="J66" s="508"/>
      <c r="K66" s="525"/>
      <c r="L66" s="534"/>
      <c r="M66" s="535"/>
    </row>
    <row r="67" spans="1:13">
      <c r="A67" s="496" t="str">
        <f t="shared" si="8"/>
        <v xml:space="preserve"> </v>
      </c>
      <c r="B67" s="526"/>
      <c r="C67" s="525"/>
      <c r="D67" s="515"/>
      <c r="E67" s="509"/>
      <c r="F67" s="510"/>
      <c r="G67" s="504"/>
      <c r="H67" s="496"/>
      <c r="I67" s="496"/>
      <c r="J67" s="508"/>
      <c r="K67" s="1016"/>
      <c r="L67" s="1017"/>
      <c r="M67" s="1018"/>
    </row>
    <row r="68" spans="1:13">
      <c r="A68" s="496" t="str">
        <f>IF(B68=""," ",#REF!+1)</f>
        <v xml:space="preserve"> </v>
      </c>
      <c r="B68" s="526"/>
      <c r="C68" s="525"/>
      <c r="D68" s="515"/>
      <c r="E68" s="509"/>
      <c r="F68" s="510"/>
      <c r="G68" s="504"/>
      <c r="H68" s="496"/>
      <c r="I68" s="496"/>
      <c r="J68" s="508"/>
      <c r="K68" s="1016"/>
      <c r="L68" s="1017"/>
      <c r="M68" s="1018"/>
    </row>
    <row r="69" spans="1:13">
      <c r="A69" s="496" t="str">
        <f>IF(B69=""," ",#REF!+1)</f>
        <v xml:space="preserve"> </v>
      </c>
      <c r="B69" s="526"/>
      <c r="C69" s="525"/>
      <c r="D69" s="515"/>
      <c r="E69" s="509"/>
      <c r="F69" s="510"/>
      <c r="G69" s="504"/>
      <c r="H69" s="496"/>
      <c r="I69" s="496"/>
      <c r="J69" s="508"/>
      <c r="K69" s="525"/>
      <c r="L69" s="534"/>
      <c r="M69" s="535"/>
    </row>
    <row r="70" spans="1:13">
      <c r="A70" s="496" t="str">
        <f t="shared" si="8"/>
        <v xml:space="preserve"> </v>
      </c>
      <c r="B70" s="526"/>
      <c r="C70" s="525"/>
      <c r="D70" s="515"/>
      <c r="E70" s="509"/>
      <c r="F70" s="510"/>
      <c r="G70" s="504"/>
      <c r="H70" s="496"/>
      <c r="I70" s="496"/>
      <c r="J70" s="508"/>
      <c r="K70" s="525"/>
      <c r="L70" s="534"/>
      <c r="M70" s="535"/>
    </row>
    <row r="71" spans="1:13">
      <c r="A71" s="496" t="str">
        <f t="shared" si="8"/>
        <v xml:space="preserve"> </v>
      </c>
      <c r="B71" s="526"/>
      <c r="C71" s="525"/>
      <c r="D71" s="515"/>
      <c r="E71" s="509"/>
      <c r="F71" s="510"/>
      <c r="G71" s="504"/>
      <c r="H71" s="496"/>
      <c r="I71" s="496"/>
      <c r="J71" s="508"/>
      <c r="K71" s="1016"/>
      <c r="L71" s="1017"/>
      <c r="M71" s="1018"/>
    </row>
    <row r="72" spans="1:13">
      <c r="A72" s="496" t="str">
        <f>IF(B72=""," ",#REF!+1)</f>
        <v xml:space="preserve"> </v>
      </c>
      <c r="B72" s="526"/>
      <c r="C72" s="525"/>
      <c r="D72" s="515"/>
      <c r="E72" s="509"/>
      <c r="F72" s="510"/>
      <c r="G72" s="504"/>
      <c r="H72" s="496"/>
      <c r="I72" s="496"/>
      <c r="J72" s="508"/>
      <c r="K72" s="1016"/>
      <c r="L72" s="1017"/>
      <c r="M72" s="1018"/>
    </row>
    <row r="73" spans="1:13">
      <c r="A73" s="496" t="str">
        <f>IF(B73=""," ",#REF!+1)</f>
        <v xml:space="preserve"> </v>
      </c>
      <c r="B73" s="526"/>
      <c r="C73" s="525"/>
      <c r="D73" s="515"/>
      <c r="E73" s="509"/>
      <c r="F73" s="510"/>
      <c r="G73" s="504"/>
      <c r="H73" s="496"/>
      <c r="I73" s="496"/>
      <c r="J73" s="508"/>
      <c r="K73" s="525"/>
      <c r="L73" s="534"/>
      <c r="M73" s="535"/>
    </row>
    <row r="74" spans="1:13">
      <c r="A74" s="496" t="str">
        <f t="shared" ref="A74:A79" si="9">IF(B74=""," ",A73+1)</f>
        <v xml:space="preserve"> </v>
      </c>
      <c r="B74" s="526"/>
      <c r="C74" s="525"/>
      <c r="D74" s="515"/>
      <c r="E74" s="509"/>
      <c r="F74" s="510"/>
      <c r="G74" s="504"/>
      <c r="H74" s="496"/>
      <c r="I74" s="496"/>
      <c r="J74" s="508"/>
      <c r="K74" s="525"/>
      <c r="L74" s="534"/>
      <c r="M74" s="535"/>
    </row>
    <row r="75" spans="1:13">
      <c r="A75" s="496" t="str">
        <f t="shared" si="9"/>
        <v xml:space="preserve"> </v>
      </c>
      <c r="B75" s="526"/>
      <c r="C75" s="525"/>
      <c r="D75" s="515"/>
      <c r="E75" s="509"/>
      <c r="F75" s="510"/>
      <c r="G75" s="504"/>
      <c r="H75" s="496"/>
      <c r="I75" s="496"/>
      <c r="J75" s="508"/>
      <c r="K75" s="1016"/>
      <c r="L75" s="1017"/>
      <c r="M75" s="1018"/>
    </row>
    <row r="76" spans="1:13">
      <c r="A76" s="496" t="str">
        <f>IF(B76=""," ",#REF!+1)</f>
        <v xml:space="preserve"> </v>
      </c>
      <c r="B76" s="526"/>
      <c r="C76" s="525"/>
      <c r="D76" s="515"/>
      <c r="E76" s="509"/>
      <c r="F76" s="510"/>
      <c r="G76" s="504"/>
      <c r="H76" s="496"/>
      <c r="I76" s="496"/>
      <c r="J76" s="508"/>
      <c r="K76" s="1016"/>
      <c r="L76" s="1017"/>
      <c r="M76" s="1018"/>
    </row>
    <row r="77" spans="1:13">
      <c r="A77" s="496" t="str">
        <f>IF(B77=""," ",#REF!+1)</f>
        <v xml:space="preserve"> </v>
      </c>
      <c r="B77" s="526"/>
      <c r="C77" s="525"/>
      <c r="D77" s="515"/>
      <c r="E77" s="509"/>
      <c r="F77" s="510"/>
      <c r="G77" s="504"/>
      <c r="H77" s="496"/>
      <c r="I77" s="496"/>
      <c r="J77" s="508"/>
      <c r="K77" s="525"/>
      <c r="L77" s="534"/>
      <c r="M77" s="535"/>
    </row>
    <row r="78" spans="1:13">
      <c r="A78" s="496" t="str">
        <f t="shared" si="9"/>
        <v xml:space="preserve"> </v>
      </c>
      <c r="B78" s="526"/>
      <c r="C78" s="525"/>
      <c r="D78" s="515"/>
      <c r="E78" s="509"/>
      <c r="F78" s="510"/>
      <c r="G78" s="504"/>
      <c r="H78" s="496"/>
      <c r="I78" s="496"/>
      <c r="J78" s="508"/>
      <c r="K78" s="525"/>
      <c r="L78" s="534"/>
      <c r="M78" s="535"/>
    </row>
    <row r="79" spans="1:13">
      <c r="A79" s="496" t="str">
        <f t="shared" si="9"/>
        <v xml:space="preserve"> </v>
      </c>
      <c r="B79" s="526"/>
      <c r="C79" s="525"/>
      <c r="D79" s="515"/>
      <c r="E79" s="509"/>
      <c r="F79" s="510"/>
      <c r="G79" s="504"/>
      <c r="H79" s="496"/>
      <c r="I79" s="496"/>
      <c r="J79" s="508"/>
      <c r="K79" s="1016"/>
      <c r="L79" s="1017"/>
      <c r="M79" s="1018"/>
    </row>
    <row r="80" spans="1:13">
      <c r="A80" s="496" t="str">
        <f>IF(B80=""," ",#REF!+1)</f>
        <v xml:space="preserve"> </v>
      </c>
      <c r="B80" s="526"/>
      <c r="C80" s="525"/>
      <c r="D80" s="515"/>
      <c r="E80" s="509"/>
      <c r="F80" s="510"/>
      <c r="G80" s="504"/>
      <c r="H80" s="496"/>
      <c r="I80" s="496"/>
      <c r="J80" s="508"/>
      <c r="K80" s="1016"/>
      <c r="L80" s="1017"/>
      <c r="M80" s="1018"/>
    </row>
    <row r="81" spans="1:13">
      <c r="A81" s="496" t="str">
        <f>IF(B81=""," ",#REF!+1)</f>
        <v xml:space="preserve"> </v>
      </c>
      <c r="B81" s="526"/>
      <c r="C81" s="525"/>
      <c r="D81" s="515"/>
      <c r="E81" s="509"/>
      <c r="F81" s="510"/>
      <c r="G81" s="504"/>
      <c r="H81" s="496"/>
      <c r="I81" s="496"/>
      <c r="J81" s="508"/>
      <c r="K81" s="525"/>
      <c r="L81" s="534"/>
      <c r="M81" s="535"/>
    </row>
    <row r="82" spans="1:13">
      <c r="A82" s="496" t="str">
        <f t="shared" ref="A82:A87" si="10">IF(B82=""," ",A81+1)</f>
        <v xml:space="preserve"> </v>
      </c>
      <c r="B82" s="526"/>
      <c r="C82" s="525"/>
      <c r="D82" s="515"/>
      <c r="E82" s="509"/>
      <c r="F82" s="510"/>
      <c r="G82" s="504"/>
      <c r="H82" s="496"/>
      <c r="I82" s="496"/>
      <c r="J82" s="508"/>
      <c r="K82" s="525"/>
      <c r="L82" s="534"/>
      <c r="M82" s="535"/>
    </row>
    <row r="83" spans="1:13">
      <c r="A83" s="496" t="str">
        <f t="shared" si="10"/>
        <v xml:space="preserve"> </v>
      </c>
      <c r="B83" s="526"/>
      <c r="C83" s="525"/>
      <c r="D83" s="515"/>
      <c r="E83" s="509"/>
      <c r="F83" s="510"/>
      <c r="G83" s="504"/>
      <c r="H83" s="496"/>
      <c r="I83" s="496"/>
      <c r="J83" s="508"/>
      <c r="K83" s="1016"/>
      <c r="L83" s="1017"/>
      <c r="M83" s="1018"/>
    </row>
    <row r="84" spans="1:13">
      <c r="A84" s="496" t="str">
        <f>IF(B84=""," ",#REF!+1)</f>
        <v xml:space="preserve"> </v>
      </c>
      <c r="B84" s="526"/>
      <c r="C84" s="525"/>
      <c r="D84" s="515"/>
      <c r="E84" s="509"/>
      <c r="F84" s="510"/>
      <c r="G84" s="504"/>
      <c r="H84" s="496"/>
      <c r="I84" s="496"/>
      <c r="J84" s="508"/>
      <c r="K84" s="1016"/>
      <c r="L84" s="1017"/>
      <c r="M84" s="1018"/>
    </row>
    <row r="85" spans="1:13">
      <c r="A85" s="496" t="str">
        <f>IF(B85=""," ",#REF!+1)</f>
        <v xml:space="preserve"> </v>
      </c>
      <c r="B85" s="526"/>
      <c r="C85" s="525"/>
      <c r="D85" s="515"/>
      <c r="E85" s="509"/>
      <c r="F85" s="510"/>
      <c r="G85" s="504"/>
      <c r="H85" s="496"/>
      <c r="I85" s="496"/>
      <c r="J85" s="508"/>
      <c r="K85" s="525"/>
      <c r="L85" s="534"/>
      <c r="M85" s="535"/>
    </row>
    <row r="86" spans="1:13">
      <c r="A86" s="496" t="str">
        <f t="shared" si="10"/>
        <v xml:space="preserve"> </v>
      </c>
      <c r="B86" s="526"/>
      <c r="C86" s="525"/>
      <c r="D86" s="515"/>
      <c r="E86" s="509"/>
      <c r="F86" s="510"/>
      <c r="G86" s="504"/>
      <c r="H86" s="496"/>
      <c r="I86" s="496"/>
      <c r="J86" s="508"/>
      <c r="K86" s="525"/>
      <c r="L86" s="534"/>
      <c r="M86" s="535"/>
    </row>
    <row r="87" spans="1:13">
      <c r="A87" s="496" t="str">
        <f t="shared" si="10"/>
        <v xml:space="preserve"> </v>
      </c>
      <c r="B87" s="526"/>
      <c r="C87" s="525"/>
      <c r="D87" s="515"/>
      <c r="E87" s="509"/>
      <c r="F87" s="510"/>
      <c r="G87" s="504"/>
      <c r="H87" s="496"/>
      <c r="I87" s="496"/>
      <c r="J87" s="508"/>
      <c r="K87" s="1016"/>
      <c r="L87" s="1017"/>
      <c r="M87" s="1018"/>
    </row>
    <row r="88" spans="1:13">
      <c r="A88" s="496" t="str">
        <f>IF(B88=""," ",#REF!+1)</f>
        <v xml:space="preserve"> </v>
      </c>
      <c r="B88" s="526"/>
      <c r="C88" s="525"/>
      <c r="D88" s="515"/>
      <c r="E88" s="509"/>
      <c r="F88" s="510"/>
      <c r="G88" s="504"/>
      <c r="H88" s="496"/>
      <c r="I88" s="496"/>
      <c r="J88" s="508"/>
      <c r="K88" s="1016"/>
      <c r="L88" s="1017"/>
      <c r="M88" s="1018"/>
    </row>
    <row r="89" spans="1:13">
      <c r="A89" s="496" t="str">
        <f>IF(B89=""," ",#REF!+1)</f>
        <v xml:space="preserve"> </v>
      </c>
      <c r="B89" s="526"/>
      <c r="C89" s="525"/>
      <c r="D89" s="515"/>
      <c r="E89" s="509"/>
      <c r="F89" s="510"/>
      <c r="G89" s="504"/>
      <c r="H89" s="496"/>
      <c r="I89" s="496"/>
      <c r="J89" s="508"/>
      <c r="K89" s="525"/>
      <c r="L89" s="534"/>
      <c r="M89" s="535"/>
    </row>
    <row r="90" spans="1:13">
      <c r="A90" s="496" t="str">
        <f t="shared" ref="A90:A95" si="11">IF(B90=""," ",A89+1)</f>
        <v xml:space="preserve"> </v>
      </c>
      <c r="B90" s="526"/>
      <c r="C90" s="525"/>
      <c r="D90" s="515"/>
      <c r="E90" s="509"/>
      <c r="F90" s="510"/>
      <c r="G90" s="504"/>
      <c r="H90" s="496"/>
      <c r="I90" s="496"/>
      <c r="J90" s="508"/>
      <c r="K90" s="525"/>
      <c r="L90" s="534"/>
      <c r="M90" s="535"/>
    </row>
    <row r="91" spans="1:13">
      <c r="A91" s="496" t="str">
        <f t="shared" si="11"/>
        <v xml:space="preserve"> </v>
      </c>
      <c r="B91" s="526"/>
      <c r="C91" s="525"/>
      <c r="D91" s="515"/>
      <c r="E91" s="509"/>
      <c r="F91" s="510"/>
      <c r="G91" s="504"/>
      <c r="H91" s="496"/>
      <c r="I91" s="496"/>
      <c r="J91" s="508"/>
      <c r="K91" s="1016"/>
      <c r="L91" s="1017"/>
      <c r="M91" s="1018"/>
    </row>
    <row r="92" spans="1:13">
      <c r="A92" s="496" t="str">
        <f>IF(B92=""," ",#REF!+1)</f>
        <v xml:space="preserve"> </v>
      </c>
      <c r="B92" s="526"/>
      <c r="C92" s="525"/>
      <c r="D92" s="515"/>
      <c r="E92" s="509"/>
      <c r="F92" s="510"/>
      <c r="G92" s="504"/>
      <c r="H92" s="496"/>
      <c r="I92" s="496"/>
      <c r="J92" s="508"/>
      <c r="K92" s="1016"/>
      <c r="L92" s="1017"/>
      <c r="M92" s="1018"/>
    </row>
    <row r="93" spans="1:13">
      <c r="A93" s="496" t="str">
        <f>IF(B93=""," ",#REF!+1)</f>
        <v xml:space="preserve"> </v>
      </c>
      <c r="B93" s="526"/>
      <c r="C93" s="525"/>
      <c r="D93" s="515"/>
      <c r="E93" s="509"/>
      <c r="F93" s="510"/>
      <c r="G93" s="504"/>
      <c r="H93" s="496"/>
      <c r="I93" s="496"/>
      <c r="J93" s="508"/>
      <c r="K93" s="525"/>
      <c r="L93" s="534"/>
      <c r="M93" s="535"/>
    </row>
    <row r="94" spans="1:13">
      <c r="A94" s="496" t="str">
        <f t="shared" si="11"/>
        <v xml:space="preserve"> </v>
      </c>
      <c r="B94" s="526"/>
      <c r="C94" s="525"/>
      <c r="D94" s="515"/>
      <c r="E94" s="509"/>
      <c r="F94" s="510"/>
      <c r="G94" s="504"/>
      <c r="H94" s="496"/>
      <c r="I94" s="496"/>
      <c r="J94" s="508"/>
      <c r="K94" s="525"/>
      <c r="L94" s="534"/>
      <c r="M94" s="535"/>
    </row>
    <row r="95" spans="1:13">
      <c r="A95" s="496" t="str">
        <f t="shared" si="11"/>
        <v xml:space="preserve"> </v>
      </c>
      <c r="B95" s="526"/>
      <c r="C95" s="525"/>
      <c r="D95" s="515"/>
      <c r="E95" s="509"/>
      <c r="F95" s="510"/>
      <c r="G95" s="504"/>
      <c r="H95" s="496"/>
      <c r="I95" s="496"/>
      <c r="J95" s="508"/>
      <c r="K95" s="1016"/>
      <c r="L95" s="1017"/>
      <c r="M95" s="1018"/>
    </row>
    <row r="96" spans="1:13">
      <c r="A96" s="496" t="str">
        <f>IF(B96=""," ",#REF!+1)</f>
        <v xml:space="preserve"> </v>
      </c>
      <c r="B96" s="526"/>
      <c r="C96" s="525"/>
      <c r="D96" s="515"/>
      <c r="E96" s="509"/>
      <c r="F96" s="510"/>
      <c r="G96" s="504"/>
      <c r="H96" s="496"/>
      <c r="I96" s="496"/>
      <c r="J96" s="508"/>
      <c r="K96" s="1016"/>
      <c r="L96" s="1017"/>
      <c r="M96" s="1018"/>
    </row>
    <row r="97" spans="1:13">
      <c r="A97" s="496" t="str">
        <f>IF(B97=""," ",#REF!+1)</f>
        <v xml:space="preserve"> </v>
      </c>
      <c r="B97" s="526"/>
      <c r="C97" s="525"/>
      <c r="D97" s="515"/>
      <c r="E97" s="509"/>
      <c r="F97" s="510"/>
      <c r="G97" s="504"/>
      <c r="H97" s="496"/>
      <c r="I97" s="496"/>
      <c r="J97" s="508"/>
      <c r="K97" s="525"/>
      <c r="L97" s="534"/>
      <c r="M97" s="535"/>
    </row>
    <row r="98" spans="1:13">
      <c r="A98" s="496" t="str">
        <f>IF(B98=""," ",A97+1)</f>
        <v xml:space="preserve"> </v>
      </c>
      <c r="B98" s="526"/>
      <c r="C98" s="525"/>
      <c r="D98" s="515"/>
      <c r="E98" s="509"/>
      <c r="F98" s="510"/>
      <c r="G98" s="504"/>
      <c r="H98" s="496"/>
      <c r="I98" s="496"/>
      <c r="J98" s="508"/>
      <c r="K98" s="525"/>
      <c r="L98" s="534"/>
      <c r="M98" s="535"/>
    </row>
    <row r="99" spans="1:13">
      <c r="A99" s="496" t="str">
        <f>IF(B99=""," ",A98+1)</f>
        <v xml:space="preserve"> </v>
      </c>
      <c r="B99" s="526"/>
      <c r="C99" s="525"/>
      <c r="D99" s="515"/>
      <c r="E99" s="509"/>
      <c r="F99" s="510"/>
      <c r="G99" s="504"/>
      <c r="H99" s="496"/>
      <c r="I99" s="496"/>
      <c r="J99" s="508"/>
      <c r="K99" s="1016"/>
      <c r="L99" s="1017"/>
      <c r="M99" s="1018"/>
    </row>
    <row r="100" spans="1:13">
      <c r="A100" s="496" t="str">
        <f>IF(B100=""," ",#REF!+1)</f>
        <v xml:space="preserve"> </v>
      </c>
      <c r="B100" s="526"/>
      <c r="C100" s="525"/>
      <c r="D100" s="515"/>
      <c r="E100" s="509"/>
      <c r="F100" s="510"/>
      <c r="G100" s="504"/>
      <c r="H100" s="496"/>
      <c r="I100" s="496"/>
      <c r="J100" s="508"/>
      <c r="K100" s="1016"/>
      <c r="L100" s="1017"/>
      <c r="M100" s="1018"/>
    </row>
    <row r="101" spans="1:13">
      <c r="A101" s="496" t="str">
        <f>IF(B101=""," ",#REF!+1)</f>
        <v xml:space="preserve"> </v>
      </c>
      <c r="B101" s="526"/>
      <c r="C101" s="525"/>
      <c r="D101" s="515"/>
      <c r="E101" s="509"/>
      <c r="F101" s="510"/>
      <c r="G101" s="504"/>
      <c r="H101" s="496"/>
      <c r="I101" s="496"/>
      <c r="J101" s="508"/>
      <c r="K101" s="1016"/>
      <c r="L101" s="1017"/>
      <c r="M101" s="1018"/>
    </row>
    <row r="103" spans="1:13">
      <c r="B103" s="490" t="s">
        <v>1902</v>
      </c>
    </row>
    <row r="113" spans="2:2">
      <c r="B113" s="536"/>
    </row>
  </sheetData>
  <mergeCells count="67">
    <mergeCell ref="A2:B2"/>
    <mergeCell ref="C2:G2"/>
    <mergeCell ref="H2:J2"/>
    <mergeCell ref="A3:B3"/>
    <mergeCell ref="C3:G3"/>
    <mergeCell ref="H3:I3"/>
    <mergeCell ref="K11:M11"/>
    <mergeCell ref="A4:B4"/>
    <mergeCell ref="C4:G4"/>
    <mergeCell ref="H4:I4"/>
    <mergeCell ref="A5:A6"/>
    <mergeCell ref="B5:C5"/>
    <mergeCell ref="D5:H5"/>
    <mergeCell ref="I5:J5"/>
    <mergeCell ref="K5:M6"/>
    <mergeCell ref="K7:M7"/>
    <mergeCell ref="K8:M8"/>
    <mergeCell ref="K9:M9"/>
    <mergeCell ref="K10:M10"/>
    <mergeCell ref="K23:M23"/>
    <mergeCell ref="K12:M12"/>
    <mergeCell ref="K13:M13"/>
    <mergeCell ref="K14:M14"/>
    <mergeCell ref="K15:M15"/>
    <mergeCell ref="K16:M16"/>
    <mergeCell ref="K17:M17"/>
    <mergeCell ref="K18:M18"/>
    <mergeCell ref="K19:M19"/>
    <mergeCell ref="K20:M20"/>
    <mergeCell ref="K21:M21"/>
    <mergeCell ref="K22:M22"/>
    <mergeCell ref="K55:M55"/>
    <mergeCell ref="K24:M24"/>
    <mergeCell ref="K25:M25"/>
    <mergeCell ref="K26:M26"/>
    <mergeCell ref="K39:M39"/>
    <mergeCell ref="K40:M40"/>
    <mergeCell ref="K43:M43"/>
    <mergeCell ref="K44:M44"/>
    <mergeCell ref="K47:M47"/>
    <mergeCell ref="K48:M48"/>
    <mergeCell ref="K51:M51"/>
    <mergeCell ref="K52:M52"/>
    <mergeCell ref="K79:M79"/>
    <mergeCell ref="K56:M56"/>
    <mergeCell ref="K59:M59"/>
    <mergeCell ref="K60:M60"/>
    <mergeCell ref="K63:M63"/>
    <mergeCell ref="K64:M64"/>
    <mergeCell ref="K67:M67"/>
    <mergeCell ref="K68:M68"/>
    <mergeCell ref="K71:M71"/>
    <mergeCell ref="K72:M72"/>
    <mergeCell ref="K75:M75"/>
    <mergeCell ref="K76:M76"/>
    <mergeCell ref="K101:M101"/>
    <mergeCell ref="K80:M80"/>
    <mergeCell ref="K83:M83"/>
    <mergeCell ref="K84:M84"/>
    <mergeCell ref="K87:M87"/>
    <mergeCell ref="K88:M88"/>
    <mergeCell ref="K91:M91"/>
    <mergeCell ref="K92:M92"/>
    <mergeCell ref="K95:M95"/>
    <mergeCell ref="K96:M96"/>
    <mergeCell ref="K99:M99"/>
    <mergeCell ref="K100:M100"/>
  </mergeCells>
  <phoneticPr fontId="6"/>
  <pageMargins left="0.78680555555555554" right="0.19652777777777777" top="0.59027777777777779" bottom="0.59027777777777779" header="0.51111111111111107" footer="0.39305555555555555"/>
  <pageSetup paperSize="9" scale="68" fitToHeight="0" orientation="portrait" r:id="rId1"/>
  <headerFooter scaleWithDoc="0" alignWithMargins="0">
    <oddFooter>&amp;C&amp;10&amp;P/&amp;N&amp;R&amp;10&amp;A</oddFooter>
  </headerFooter>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pageSetUpPr fitToPage="1"/>
  </sheetPr>
  <dimension ref="A1:P107"/>
  <sheetViews>
    <sheetView showGridLines="0" zoomScaleSheetLayoutView="100" workbookViewId="0">
      <pane ySplit="6" topLeftCell="A7" activePane="bottomLeft" state="frozen"/>
      <selection pane="bottomLeft" activeCell="K9" sqref="K9:M9"/>
    </sheetView>
  </sheetViews>
  <sheetFormatPr defaultRowHeight="12"/>
  <cols>
    <col min="1" max="1" width="3.875" style="489" bestFit="1" customWidth="1"/>
    <col min="2" max="2" width="28.625" style="490" customWidth="1"/>
    <col min="3" max="3" width="13.375" style="490" customWidth="1"/>
    <col min="4" max="4" width="9.375" style="490" customWidth="1"/>
    <col min="5" max="6" width="4.75" style="490" bestFit="1" customWidth="1"/>
    <col min="7" max="7" width="6.125" style="490" bestFit="1" customWidth="1"/>
    <col min="8" max="8" width="4.75" style="490" bestFit="1" customWidth="1"/>
    <col min="9" max="9" width="4.75" style="490" customWidth="1"/>
    <col min="10" max="11" width="9.625" style="490" customWidth="1"/>
    <col min="12" max="13" width="10.25" style="490" customWidth="1"/>
    <col min="14" max="14" width="9" style="490"/>
    <col min="15" max="16" width="9" style="490" hidden="1" customWidth="1"/>
    <col min="17" max="16384" width="9" style="490"/>
  </cols>
  <sheetData>
    <row r="1" spans="1:16" ht="12" customHeight="1">
      <c r="B1" s="47"/>
    </row>
    <row r="2" spans="1:16" ht="12" customHeight="1">
      <c r="A2" s="1025" t="s">
        <v>1847</v>
      </c>
      <c r="B2" s="1026"/>
      <c r="C2" s="1025" t="s">
        <v>1848</v>
      </c>
      <c r="D2" s="1029"/>
      <c r="E2" s="1029"/>
      <c r="F2" s="1029"/>
      <c r="G2" s="1026"/>
      <c r="H2" s="1025"/>
      <c r="I2" s="1029"/>
      <c r="J2" s="1026"/>
      <c r="K2" s="491"/>
      <c r="L2" s="492" t="s">
        <v>1849</v>
      </c>
      <c r="M2" s="492" t="s">
        <v>1850</v>
      </c>
    </row>
    <row r="3" spans="1:16" ht="12" customHeight="1">
      <c r="A3" s="1037"/>
      <c r="B3" s="1038"/>
      <c r="C3" s="1039" t="s">
        <v>1906</v>
      </c>
      <c r="D3" s="1040"/>
      <c r="E3" s="1040"/>
      <c r="F3" s="1040"/>
      <c r="G3" s="1041"/>
      <c r="H3" s="1025" t="s">
        <v>1852</v>
      </c>
      <c r="I3" s="1026"/>
      <c r="J3" s="493">
        <f>COUNT(A7:A105)</f>
        <v>13</v>
      </c>
      <c r="K3" s="492" t="s">
        <v>1853</v>
      </c>
      <c r="L3" s="494">
        <v>43647</v>
      </c>
      <c r="M3" s="495" t="s">
        <v>1854</v>
      </c>
      <c r="O3" s="490" t="s">
        <v>1855</v>
      </c>
      <c r="P3" s="490" t="s">
        <v>1856</v>
      </c>
    </row>
    <row r="4" spans="1:16" ht="12" customHeight="1">
      <c r="A4" s="1022" t="s">
        <v>1857</v>
      </c>
      <c r="B4" s="1023"/>
      <c r="C4" s="1022" t="s">
        <v>1833</v>
      </c>
      <c r="D4" s="1024"/>
      <c r="E4" s="1024"/>
      <c r="F4" s="1024"/>
      <c r="G4" s="1023"/>
      <c r="H4" s="1025" t="s">
        <v>1858</v>
      </c>
      <c r="I4" s="1026"/>
      <c r="J4" s="493">
        <f>SUM(G7:G105)</f>
        <v>62</v>
      </c>
      <c r="K4" s="492" t="s">
        <v>1859</v>
      </c>
      <c r="L4" s="494"/>
      <c r="M4" s="496"/>
      <c r="O4" s="490" t="s">
        <v>1860</v>
      </c>
      <c r="P4" s="490" t="s">
        <v>533</v>
      </c>
    </row>
    <row r="5" spans="1:16" ht="12" customHeight="1">
      <c r="A5" s="1027" t="s">
        <v>1861</v>
      </c>
      <c r="B5" s="1025" t="s">
        <v>1862</v>
      </c>
      <c r="C5" s="1029"/>
      <c r="D5" s="1030" t="s">
        <v>1863</v>
      </c>
      <c r="E5" s="1029"/>
      <c r="F5" s="1029"/>
      <c r="G5" s="1029"/>
      <c r="H5" s="1029"/>
      <c r="I5" s="1025" t="s">
        <v>1864</v>
      </c>
      <c r="J5" s="1026"/>
      <c r="K5" s="1031" t="s">
        <v>1865</v>
      </c>
      <c r="L5" s="1032"/>
      <c r="M5" s="1033"/>
      <c r="P5" s="490" t="s">
        <v>1866</v>
      </c>
    </row>
    <row r="6" spans="1:16" ht="12" customHeight="1">
      <c r="A6" s="1028"/>
      <c r="B6" s="492" t="s">
        <v>1867</v>
      </c>
      <c r="C6" s="497" t="s">
        <v>1868</v>
      </c>
      <c r="D6" s="498" t="s">
        <v>1856</v>
      </c>
      <c r="E6" s="499" t="s">
        <v>1869</v>
      </c>
      <c r="F6" s="500" t="s">
        <v>1870</v>
      </c>
      <c r="G6" s="492" t="s">
        <v>1871</v>
      </c>
      <c r="H6" s="501" t="s">
        <v>1872</v>
      </c>
      <c r="I6" s="501" t="s">
        <v>1873</v>
      </c>
      <c r="J6" s="501" t="s">
        <v>1874</v>
      </c>
      <c r="K6" s="1034"/>
      <c r="L6" s="1035"/>
      <c r="M6" s="1036"/>
      <c r="P6" s="490" t="s">
        <v>1875</v>
      </c>
    </row>
    <row r="7" spans="1:16" ht="12" customHeight="1">
      <c r="A7" s="496">
        <v>1</v>
      </c>
      <c r="B7" s="48" t="s">
        <v>543</v>
      </c>
      <c r="C7" s="538" t="s">
        <v>1280</v>
      </c>
      <c r="D7" s="50" t="s">
        <v>533</v>
      </c>
      <c r="E7" s="502">
        <v>16</v>
      </c>
      <c r="F7" s="503"/>
      <c r="G7" s="504">
        <f>IF(D7="DATE",4,IF(D7="CHAR",E7,IF(D7="SMALLINT",2,IF(D7="INTEGER",4,IF(D7="TIMESTAMP",10,IF(D7="TIME",3,0))))))</f>
        <v>16</v>
      </c>
      <c r="H7" s="505" t="s">
        <v>1860</v>
      </c>
      <c r="I7" s="505" t="s">
        <v>1860</v>
      </c>
      <c r="J7" s="506"/>
      <c r="K7" s="599"/>
      <c r="L7" s="600"/>
      <c r="M7" s="601"/>
      <c r="P7" s="490" t="s">
        <v>55</v>
      </c>
    </row>
    <row r="8" spans="1:16">
      <c r="A8" s="496">
        <f>IF(B8=""," ",A7+1)</f>
        <v>2</v>
      </c>
      <c r="B8" s="48" t="s">
        <v>542</v>
      </c>
      <c r="C8" s="538" t="s">
        <v>1877</v>
      </c>
      <c r="D8" s="78" t="s">
        <v>533</v>
      </c>
      <c r="E8" s="98">
        <v>7</v>
      </c>
      <c r="F8" s="507"/>
      <c r="G8" s="504">
        <f>IF(D8="DATE",4,IF(D8="CHAR",E8,IF(D8="SMALLINT",2,IF(D8="INTEGER",4,IF(D8="TIMESTAMP",10,IF(D8="TIME",3,0))))))</f>
        <v>7</v>
      </c>
      <c r="H8" s="505" t="s">
        <v>1860</v>
      </c>
      <c r="I8" s="505" t="s">
        <v>1860</v>
      </c>
      <c r="J8" s="508"/>
      <c r="K8" s="599"/>
      <c r="L8" s="600"/>
      <c r="M8" s="601"/>
      <c r="P8" s="490" t="s">
        <v>1882</v>
      </c>
    </row>
    <row r="9" spans="1:16" s="22" customFormat="1" ht="30" customHeight="1">
      <c r="A9" s="496">
        <f>IF(B9=""," ",A8+1)</f>
        <v>3</v>
      </c>
      <c r="B9" s="48" t="s">
        <v>1879</v>
      </c>
      <c r="C9" s="49" t="s">
        <v>1880</v>
      </c>
      <c r="D9" s="78" t="s">
        <v>533</v>
      </c>
      <c r="E9" s="98">
        <v>7</v>
      </c>
      <c r="F9" s="507"/>
      <c r="G9" s="504">
        <f>IF(D9="DATE",4,IF(D9="CHAR",E9,IF(D9="SMALLINT",2,IF(D9="INTEGER",4,IF(D9="TIMESTAMP",10,IF(D9="TIME",3,0))))))</f>
        <v>7</v>
      </c>
      <c r="H9" s="505" t="s">
        <v>1860</v>
      </c>
      <c r="I9" s="505" t="s">
        <v>1860</v>
      </c>
      <c r="J9" s="508"/>
      <c r="K9" s="599" t="s">
        <v>1881</v>
      </c>
      <c r="L9" s="600"/>
      <c r="M9" s="601"/>
      <c r="P9" s="22" t="s">
        <v>1876</v>
      </c>
    </row>
    <row r="10" spans="1:16" ht="30" customHeight="1">
      <c r="A10" s="496">
        <f>IF(B10=""," ",A9+1)</f>
        <v>4</v>
      </c>
      <c r="B10" s="48" t="s">
        <v>1907</v>
      </c>
      <c r="C10" s="538" t="s">
        <v>1908</v>
      </c>
      <c r="D10" s="78" t="s">
        <v>533</v>
      </c>
      <c r="E10" s="509">
        <v>1</v>
      </c>
      <c r="F10" s="510"/>
      <c r="G10" s="21">
        <f t="shared" ref="G10:G19" si="0">IF(D10="DATE",4,IF(D10="CHAR",E10,IF(D10="SMALLINT",2,IF(D10="INTEGER",4,IF(D10="TIMESTAMP",10,IF(D10="TIME",3,0))))))</f>
        <v>1</v>
      </c>
      <c r="H10" s="496" t="s">
        <v>1860</v>
      </c>
      <c r="I10" s="496"/>
      <c r="J10" s="508"/>
      <c r="K10" s="599" t="s">
        <v>1909</v>
      </c>
      <c r="L10" s="600"/>
      <c r="M10" s="601"/>
      <c r="P10" s="490" t="s">
        <v>1876</v>
      </c>
    </row>
    <row r="11" spans="1:16" s="22" customFormat="1" ht="30" customHeight="1">
      <c r="A11" s="496">
        <f t="shared" ref="A11:A19" si="1">IF(B11=""," ",A10+1)</f>
        <v>5</v>
      </c>
      <c r="B11" s="48" t="s">
        <v>1910</v>
      </c>
      <c r="C11" s="538" t="s">
        <v>1911</v>
      </c>
      <c r="D11" s="78" t="s">
        <v>533</v>
      </c>
      <c r="E11" s="509">
        <v>1</v>
      </c>
      <c r="F11" s="510"/>
      <c r="G11" s="21">
        <f t="shared" si="0"/>
        <v>1</v>
      </c>
      <c r="H11" s="496" t="s">
        <v>1860</v>
      </c>
      <c r="I11" s="496"/>
      <c r="J11" s="508"/>
      <c r="K11" s="599" t="s">
        <v>1909</v>
      </c>
      <c r="L11" s="600"/>
      <c r="M11" s="601"/>
    </row>
    <row r="12" spans="1:16" s="22" customFormat="1" ht="30" customHeight="1">
      <c r="A12" s="496">
        <f t="shared" si="1"/>
        <v>6</v>
      </c>
      <c r="B12" s="511" t="s">
        <v>1912</v>
      </c>
      <c r="C12" s="538" t="s">
        <v>1913</v>
      </c>
      <c r="D12" s="539" t="s">
        <v>533</v>
      </c>
      <c r="E12" s="502">
        <v>1</v>
      </c>
      <c r="F12" s="507"/>
      <c r="G12" s="21">
        <f t="shared" si="0"/>
        <v>1</v>
      </c>
      <c r="H12" s="496" t="s">
        <v>1860</v>
      </c>
      <c r="I12" s="505"/>
      <c r="J12" s="540"/>
      <c r="K12" s="599" t="s">
        <v>1909</v>
      </c>
      <c r="L12" s="600"/>
      <c r="M12" s="601"/>
    </row>
    <row r="13" spans="1:16" ht="30" customHeight="1">
      <c r="A13" s="496">
        <f t="shared" si="1"/>
        <v>7</v>
      </c>
      <c r="B13" s="93" t="s">
        <v>1914</v>
      </c>
      <c r="C13" s="538" t="s">
        <v>1915</v>
      </c>
      <c r="D13" s="154" t="s">
        <v>533</v>
      </c>
      <c r="E13" s="95">
        <v>1</v>
      </c>
      <c r="F13" s="90"/>
      <c r="G13" s="21">
        <f t="shared" si="0"/>
        <v>1</v>
      </c>
      <c r="H13" s="91" t="s">
        <v>1860</v>
      </c>
      <c r="I13" s="89"/>
      <c r="J13" s="92"/>
      <c r="K13" s="599" t="s">
        <v>1909</v>
      </c>
      <c r="L13" s="600"/>
      <c r="M13" s="601"/>
    </row>
    <row r="14" spans="1:16" ht="30" customHeight="1">
      <c r="A14" s="496">
        <f t="shared" si="1"/>
        <v>8</v>
      </c>
      <c r="B14" s="100" t="s">
        <v>1916</v>
      </c>
      <c r="C14" s="538" t="s">
        <v>1917</v>
      </c>
      <c r="D14" s="78" t="s">
        <v>533</v>
      </c>
      <c r="E14" s="95">
        <v>1</v>
      </c>
      <c r="F14" s="90"/>
      <c r="G14" s="21">
        <f t="shared" si="0"/>
        <v>1</v>
      </c>
      <c r="H14" s="496" t="s">
        <v>1860</v>
      </c>
      <c r="I14" s="496"/>
      <c r="J14" s="508"/>
      <c r="K14" s="599" t="s">
        <v>1909</v>
      </c>
      <c r="L14" s="600"/>
      <c r="M14" s="601"/>
      <c r="P14" s="490" t="s">
        <v>1878</v>
      </c>
    </row>
    <row r="15" spans="1:16" ht="30" customHeight="1">
      <c r="A15" s="496">
        <f t="shared" si="1"/>
        <v>9</v>
      </c>
      <c r="B15" s="48" t="s">
        <v>1918</v>
      </c>
      <c r="C15" s="538" t="s">
        <v>1919</v>
      </c>
      <c r="D15" s="78" t="s">
        <v>533</v>
      </c>
      <c r="E15" s="509">
        <v>1</v>
      </c>
      <c r="F15" s="510"/>
      <c r="G15" s="21">
        <f t="shared" si="0"/>
        <v>1</v>
      </c>
      <c r="H15" s="496" t="s">
        <v>1860</v>
      </c>
      <c r="I15" s="496"/>
      <c r="J15" s="508"/>
      <c r="K15" s="599" t="s">
        <v>1909</v>
      </c>
      <c r="L15" s="600"/>
      <c r="M15" s="601"/>
      <c r="P15" s="490" t="s">
        <v>1876</v>
      </c>
    </row>
    <row r="16" spans="1:16" s="22" customFormat="1" ht="12" customHeight="1">
      <c r="A16" s="496">
        <f t="shared" si="1"/>
        <v>10</v>
      </c>
      <c r="B16" s="511" t="s">
        <v>1545</v>
      </c>
      <c r="C16" s="512" t="s">
        <v>1891</v>
      </c>
      <c r="D16" s="513" t="s">
        <v>1878</v>
      </c>
      <c r="E16" s="502"/>
      <c r="F16" s="507"/>
      <c r="G16" s="504">
        <f t="shared" si="0"/>
        <v>4</v>
      </c>
      <c r="H16" s="496" t="s">
        <v>1860</v>
      </c>
      <c r="I16" s="496" t="s">
        <v>1860</v>
      </c>
      <c r="J16" s="508"/>
      <c r="K16" s="599"/>
      <c r="L16" s="600"/>
      <c r="M16" s="601"/>
    </row>
    <row r="17" spans="1:16" ht="12" customHeight="1">
      <c r="A17" s="496">
        <f t="shared" si="1"/>
        <v>11</v>
      </c>
      <c r="B17" s="511" t="s">
        <v>1893</v>
      </c>
      <c r="C17" s="512" t="s">
        <v>1894</v>
      </c>
      <c r="D17" s="513" t="s">
        <v>1878</v>
      </c>
      <c r="E17" s="502"/>
      <c r="F17" s="507"/>
      <c r="G17" s="504">
        <f t="shared" si="0"/>
        <v>4</v>
      </c>
      <c r="H17" s="496" t="s">
        <v>1860</v>
      </c>
      <c r="I17" s="496"/>
      <c r="J17" s="540"/>
      <c r="K17" s="872"/>
      <c r="L17" s="873"/>
      <c r="M17" s="874"/>
      <c r="P17" s="490" t="s">
        <v>1876</v>
      </c>
    </row>
    <row r="18" spans="1:16" s="22" customFormat="1" ht="12" customHeight="1">
      <c r="A18" s="496">
        <f t="shared" si="1"/>
        <v>12</v>
      </c>
      <c r="B18" s="511" t="s">
        <v>1896</v>
      </c>
      <c r="C18" s="512" t="s">
        <v>1897</v>
      </c>
      <c r="D18" s="515" t="s">
        <v>533</v>
      </c>
      <c r="E18" s="502">
        <v>8</v>
      </c>
      <c r="F18" s="507"/>
      <c r="G18" s="504">
        <f t="shared" si="0"/>
        <v>8</v>
      </c>
      <c r="H18" s="496" t="s">
        <v>1860</v>
      </c>
      <c r="I18" s="496"/>
      <c r="J18" s="508"/>
      <c r="K18" s="599"/>
      <c r="L18" s="600"/>
      <c r="M18" s="601"/>
    </row>
    <row r="19" spans="1:16" ht="12" customHeight="1">
      <c r="A19" s="496">
        <f t="shared" si="1"/>
        <v>13</v>
      </c>
      <c r="B19" s="93" t="s">
        <v>1899</v>
      </c>
      <c r="C19" s="26" t="s">
        <v>1900</v>
      </c>
      <c r="D19" s="94" t="s">
        <v>1901</v>
      </c>
      <c r="E19" s="95"/>
      <c r="F19" s="90"/>
      <c r="G19" s="504">
        <f t="shared" si="0"/>
        <v>10</v>
      </c>
      <c r="H19" s="496" t="s">
        <v>1860</v>
      </c>
      <c r="I19" s="496"/>
      <c r="J19" s="540"/>
      <c r="K19" s="872"/>
      <c r="L19" s="873"/>
      <c r="M19" s="874"/>
    </row>
    <row r="20" spans="1:16" ht="12" customHeight="1">
      <c r="A20" s="496"/>
      <c r="B20" s="511"/>
      <c r="C20" s="512"/>
      <c r="D20" s="513"/>
      <c r="E20" s="502"/>
      <c r="F20" s="507"/>
      <c r="G20" s="504"/>
      <c r="H20" s="496"/>
      <c r="I20" s="496"/>
      <c r="J20" s="508"/>
      <c r="K20" s="1016"/>
      <c r="L20" s="1017"/>
      <c r="M20" s="1018"/>
    </row>
    <row r="21" spans="1:16" ht="12" customHeight="1">
      <c r="A21" s="496"/>
      <c r="B21" s="511"/>
      <c r="C21" s="512"/>
      <c r="D21" s="513"/>
      <c r="E21" s="502"/>
      <c r="F21" s="507"/>
      <c r="G21" s="504"/>
      <c r="H21" s="496"/>
      <c r="I21" s="496"/>
      <c r="J21" s="508"/>
      <c r="K21" s="1016"/>
      <c r="L21" s="1017"/>
      <c r="M21" s="1018"/>
    </row>
    <row r="22" spans="1:16" ht="12" customHeight="1">
      <c r="A22" s="496"/>
      <c r="B22" s="511"/>
      <c r="C22" s="512"/>
      <c r="D22" s="515"/>
      <c r="E22" s="502"/>
      <c r="F22" s="507"/>
      <c r="G22" s="504"/>
      <c r="H22" s="496"/>
      <c r="I22" s="496"/>
      <c r="J22" s="508"/>
      <c r="K22" s="1016"/>
      <c r="L22" s="1017"/>
      <c r="M22" s="1018"/>
    </row>
    <row r="23" spans="1:16">
      <c r="A23" s="496"/>
      <c r="B23" s="93"/>
      <c r="C23" s="26"/>
      <c r="D23" s="94"/>
      <c r="E23" s="95"/>
      <c r="F23" s="90"/>
      <c r="G23" s="504"/>
      <c r="H23" s="496"/>
      <c r="I23" s="496"/>
      <c r="J23" s="508"/>
      <c r="K23" s="1016"/>
      <c r="L23" s="1017"/>
      <c r="M23" s="1018"/>
    </row>
    <row r="24" spans="1:16">
      <c r="A24" s="496"/>
      <c r="B24" s="526"/>
      <c r="C24" s="525"/>
      <c r="D24" s="515"/>
      <c r="E24" s="509"/>
      <c r="F24" s="510"/>
      <c r="G24" s="504"/>
      <c r="H24" s="496"/>
      <c r="I24" s="496"/>
      <c r="J24" s="508"/>
      <c r="K24" s="525"/>
      <c r="L24" s="534"/>
      <c r="M24" s="535"/>
    </row>
    <row r="25" spans="1:16">
      <c r="A25" s="89"/>
      <c r="B25" s="66"/>
      <c r="C25" s="31"/>
      <c r="D25" s="97"/>
      <c r="E25" s="98"/>
      <c r="F25" s="99"/>
      <c r="G25" s="504"/>
      <c r="H25" s="89"/>
      <c r="I25" s="89"/>
      <c r="J25" s="92"/>
      <c r="K25" s="31"/>
      <c r="L25" s="32"/>
      <c r="M25" s="33"/>
    </row>
    <row r="26" spans="1:16">
      <c r="A26" s="89"/>
      <c r="B26" s="96"/>
      <c r="C26" s="31"/>
      <c r="D26" s="97"/>
      <c r="E26" s="98"/>
      <c r="F26" s="99"/>
      <c r="G26" s="504"/>
      <c r="H26" s="89"/>
      <c r="I26" s="89"/>
      <c r="J26" s="92"/>
      <c r="K26" s="31"/>
      <c r="L26" s="32"/>
      <c r="M26" s="33"/>
    </row>
    <row r="27" spans="1:16">
      <c r="A27" s="89"/>
      <c r="B27" s="96"/>
      <c r="C27" s="31"/>
      <c r="D27" s="97"/>
      <c r="E27" s="98"/>
      <c r="F27" s="99"/>
      <c r="G27" s="504"/>
      <c r="H27" s="89"/>
      <c r="I27" s="89"/>
      <c r="J27" s="92"/>
      <c r="K27" s="31"/>
      <c r="L27" s="32"/>
      <c r="M27" s="33"/>
    </row>
    <row r="28" spans="1:16">
      <c r="A28" s="89"/>
      <c r="B28" s="96"/>
      <c r="C28" s="31"/>
      <c r="D28" s="97"/>
      <c r="E28" s="98"/>
      <c r="F28" s="99"/>
      <c r="G28" s="504"/>
      <c r="H28" s="89"/>
      <c r="I28" s="89"/>
      <c r="J28" s="92"/>
      <c r="K28" s="31"/>
      <c r="L28" s="32"/>
      <c r="M28" s="33"/>
    </row>
    <row r="29" spans="1:16">
      <c r="A29" s="89"/>
      <c r="B29" s="96"/>
      <c r="C29" s="31"/>
      <c r="D29" s="97"/>
      <c r="E29" s="98"/>
      <c r="F29" s="99"/>
      <c r="G29" s="504"/>
      <c r="H29" s="89"/>
      <c r="I29" s="89"/>
      <c r="J29" s="92"/>
      <c r="K29" s="31"/>
      <c r="L29" s="32"/>
      <c r="M29" s="33"/>
    </row>
    <row r="30" spans="1:16">
      <c r="A30" s="89"/>
      <c r="B30" s="96"/>
      <c r="C30" s="31"/>
      <c r="D30" s="97"/>
      <c r="E30" s="98"/>
      <c r="F30" s="99"/>
      <c r="G30" s="504"/>
      <c r="H30" s="89"/>
      <c r="I30" s="89"/>
      <c r="J30" s="92"/>
      <c r="K30" s="31"/>
      <c r="L30" s="32"/>
      <c r="M30" s="33"/>
    </row>
    <row r="31" spans="1:16">
      <c r="A31" s="89"/>
      <c r="B31" s="96"/>
      <c r="C31" s="31"/>
      <c r="D31" s="97"/>
      <c r="E31" s="98"/>
      <c r="F31" s="99"/>
      <c r="G31" s="504"/>
      <c r="H31" s="89"/>
      <c r="I31" s="89"/>
      <c r="J31" s="92"/>
      <c r="K31" s="31"/>
      <c r="L31" s="32"/>
      <c r="M31" s="33"/>
    </row>
    <row r="32" spans="1:16">
      <c r="A32" s="89"/>
      <c r="B32" s="96"/>
      <c r="C32" s="31"/>
      <c r="D32" s="97"/>
      <c r="E32" s="98"/>
      <c r="F32" s="99"/>
      <c r="G32" s="504"/>
      <c r="H32" s="89"/>
      <c r="I32" s="89"/>
      <c r="J32" s="92"/>
      <c r="K32" s="31"/>
      <c r="L32" s="32"/>
      <c r="M32" s="33"/>
    </row>
    <row r="33" spans="1:13">
      <c r="A33" s="89"/>
      <c r="B33" s="96"/>
      <c r="C33" s="31"/>
      <c r="D33" s="97"/>
      <c r="E33" s="98"/>
      <c r="F33" s="99"/>
      <c r="G33" s="504"/>
      <c r="H33" s="89"/>
      <c r="I33" s="89"/>
      <c r="J33" s="92"/>
      <c r="K33" s="31"/>
      <c r="L33" s="32"/>
      <c r="M33" s="33"/>
    </row>
    <row r="34" spans="1:13">
      <c r="A34" s="89"/>
      <c r="B34" s="96"/>
      <c r="C34" s="31"/>
      <c r="D34" s="97"/>
      <c r="E34" s="98"/>
      <c r="F34" s="99"/>
      <c r="G34" s="21"/>
      <c r="H34" s="89"/>
      <c r="I34" s="89"/>
      <c r="J34" s="92"/>
      <c r="K34" s="31"/>
      <c r="L34" s="32"/>
      <c r="M34" s="33"/>
    </row>
    <row r="35" spans="1:13">
      <c r="A35" s="89"/>
      <c r="B35" s="96"/>
      <c r="C35" s="31"/>
      <c r="D35" s="97"/>
      <c r="E35" s="98"/>
      <c r="F35" s="99"/>
      <c r="G35" s="21"/>
      <c r="H35" s="89"/>
      <c r="I35" s="89"/>
      <c r="J35" s="92"/>
      <c r="K35" s="31"/>
      <c r="L35" s="32"/>
      <c r="M35" s="33"/>
    </row>
    <row r="36" spans="1:13">
      <c r="A36" s="89"/>
      <c r="B36" s="96"/>
      <c r="C36" s="31"/>
      <c r="D36" s="97"/>
      <c r="E36" s="98"/>
      <c r="F36" s="99"/>
      <c r="G36" s="21"/>
      <c r="H36" s="89"/>
      <c r="I36" s="89"/>
      <c r="J36" s="92"/>
      <c r="K36" s="31"/>
      <c r="L36" s="32"/>
      <c r="M36" s="33"/>
    </row>
    <row r="37" spans="1:13">
      <c r="A37" s="496"/>
      <c r="B37" s="526"/>
      <c r="C37" s="525"/>
      <c r="D37" s="515"/>
      <c r="E37" s="509"/>
      <c r="F37" s="510"/>
      <c r="G37" s="504"/>
      <c r="H37" s="496"/>
      <c r="I37" s="496"/>
      <c r="J37" s="508"/>
      <c r="K37" s="1016"/>
      <c r="L37" s="1017"/>
      <c r="M37" s="1018"/>
    </row>
    <row r="38" spans="1:13">
      <c r="A38" s="496"/>
      <c r="B38" s="526"/>
      <c r="C38" s="525"/>
      <c r="D38" s="515"/>
      <c r="E38" s="509"/>
      <c r="F38" s="510"/>
      <c r="G38" s="504"/>
      <c r="H38" s="496"/>
      <c r="I38" s="496"/>
      <c r="J38" s="508"/>
      <c r="K38" s="1016"/>
      <c r="L38" s="1017"/>
      <c r="M38" s="1018"/>
    </row>
    <row r="39" spans="1:13">
      <c r="A39" s="496"/>
      <c r="B39" s="526"/>
      <c r="C39" s="525"/>
      <c r="D39" s="515"/>
      <c r="E39" s="509"/>
      <c r="F39" s="510"/>
      <c r="G39" s="504"/>
      <c r="H39" s="496"/>
      <c r="I39" s="496"/>
      <c r="J39" s="508"/>
      <c r="K39" s="525"/>
      <c r="L39" s="534"/>
      <c r="M39" s="535"/>
    </row>
    <row r="40" spans="1:13">
      <c r="A40" s="496"/>
      <c r="B40" s="526"/>
      <c r="C40" s="525"/>
      <c r="D40" s="515"/>
      <c r="E40" s="509"/>
      <c r="F40" s="510"/>
      <c r="G40" s="504"/>
      <c r="H40" s="496"/>
      <c r="I40" s="496"/>
      <c r="J40" s="508"/>
      <c r="K40" s="525"/>
      <c r="L40" s="534"/>
      <c r="M40" s="535"/>
    </row>
    <row r="41" spans="1:13">
      <c r="A41" s="496"/>
      <c r="B41" s="526"/>
      <c r="C41" s="525"/>
      <c r="D41" s="515"/>
      <c r="E41" s="509"/>
      <c r="F41" s="510"/>
      <c r="G41" s="504"/>
      <c r="H41" s="496"/>
      <c r="I41" s="496"/>
      <c r="J41" s="508"/>
      <c r="K41" s="1016"/>
      <c r="L41" s="1017"/>
      <c r="M41" s="1018"/>
    </row>
    <row r="42" spans="1:13">
      <c r="A42" s="496"/>
      <c r="B42" s="526"/>
      <c r="C42" s="525"/>
      <c r="D42" s="515"/>
      <c r="E42" s="509"/>
      <c r="F42" s="510"/>
      <c r="G42" s="504"/>
      <c r="H42" s="496"/>
      <c r="I42" s="496"/>
      <c r="J42" s="508"/>
      <c r="K42" s="1016"/>
      <c r="L42" s="1017"/>
      <c r="M42" s="1018"/>
    </row>
    <row r="43" spans="1:13">
      <c r="A43" s="496"/>
      <c r="B43" s="526"/>
      <c r="C43" s="525"/>
      <c r="D43" s="515"/>
      <c r="E43" s="509"/>
      <c r="F43" s="510"/>
      <c r="G43" s="504"/>
      <c r="H43" s="496"/>
      <c r="I43" s="496"/>
      <c r="J43" s="508"/>
      <c r="K43" s="525"/>
      <c r="L43" s="534"/>
      <c r="M43" s="535"/>
    </row>
    <row r="44" spans="1:13">
      <c r="A44" s="496"/>
      <c r="B44" s="526"/>
      <c r="C44" s="525"/>
      <c r="D44" s="515"/>
      <c r="E44" s="509"/>
      <c r="F44" s="510"/>
      <c r="G44" s="504"/>
      <c r="H44" s="496"/>
      <c r="I44" s="496"/>
      <c r="J44" s="508"/>
      <c r="K44" s="525"/>
      <c r="L44" s="534"/>
      <c r="M44" s="535"/>
    </row>
    <row r="45" spans="1:13">
      <c r="A45" s="496" t="str">
        <f t="shared" ref="A45:A49" si="2">IF(B45=""," ",A44+1)</f>
        <v xml:space="preserve"> </v>
      </c>
      <c r="B45" s="526"/>
      <c r="C45" s="525"/>
      <c r="D45" s="515"/>
      <c r="E45" s="509"/>
      <c r="F45" s="510"/>
      <c r="G45" s="504"/>
      <c r="H45" s="496"/>
      <c r="I45" s="496"/>
      <c r="J45" s="508"/>
      <c r="K45" s="1016"/>
      <c r="L45" s="1017"/>
      <c r="M45" s="1018"/>
    </row>
    <row r="46" spans="1:13">
      <c r="A46" s="496" t="str">
        <f>IF(B46=""," ",#REF!+1)</f>
        <v xml:space="preserve"> </v>
      </c>
      <c r="B46" s="526"/>
      <c r="C46" s="525"/>
      <c r="D46" s="515"/>
      <c r="E46" s="509"/>
      <c r="F46" s="510"/>
      <c r="G46" s="504"/>
      <c r="H46" s="496"/>
      <c r="I46" s="496"/>
      <c r="J46" s="508"/>
      <c r="K46" s="1016"/>
      <c r="L46" s="1017"/>
      <c r="M46" s="1018"/>
    </row>
    <row r="47" spans="1:13">
      <c r="A47" s="496" t="str">
        <f>IF(B47=""," ",#REF!+1)</f>
        <v xml:space="preserve"> </v>
      </c>
      <c r="B47" s="526"/>
      <c r="C47" s="525"/>
      <c r="D47" s="515"/>
      <c r="E47" s="509"/>
      <c r="F47" s="510"/>
      <c r="G47" s="504"/>
      <c r="H47" s="496"/>
      <c r="I47" s="496"/>
      <c r="J47" s="508"/>
      <c r="K47" s="525"/>
      <c r="L47" s="534"/>
      <c r="M47" s="535"/>
    </row>
    <row r="48" spans="1:13">
      <c r="A48" s="496" t="str">
        <f t="shared" si="2"/>
        <v xml:space="preserve"> </v>
      </c>
      <c r="B48" s="526"/>
      <c r="C48" s="525"/>
      <c r="D48" s="515"/>
      <c r="E48" s="509"/>
      <c r="F48" s="510"/>
      <c r="G48" s="504"/>
      <c r="H48" s="496"/>
      <c r="I48" s="496"/>
      <c r="J48" s="508"/>
      <c r="K48" s="525"/>
      <c r="L48" s="534"/>
      <c r="M48" s="535"/>
    </row>
    <row r="49" spans="1:13">
      <c r="A49" s="496" t="str">
        <f t="shared" si="2"/>
        <v xml:space="preserve"> </v>
      </c>
      <c r="B49" s="526"/>
      <c r="C49" s="525"/>
      <c r="D49" s="515"/>
      <c r="E49" s="509"/>
      <c r="F49" s="510"/>
      <c r="G49" s="504"/>
      <c r="H49" s="496"/>
      <c r="I49" s="496"/>
      <c r="J49" s="508"/>
      <c r="K49" s="1016"/>
      <c r="L49" s="1017"/>
      <c r="M49" s="1018"/>
    </row>
    <row r="50" spans="1:13">
      <c r="A50" s="496" t="str">
        <f>IF(B50=""," ",#REF!+1)</f>
        <v xml:space="preserve"> </v>
      </c>
      <c r="B50" s="526"/>
      <c r="C50" s="525"/>
      <c r="D50" s="515"/>
      <c r="E50" s="509"/>
      <c r="F50" s="510"/>
      <c r="G50" s="504"/>
      <c r="H50" s="496"/>
      <c r="I50" s="496"/>
      <c r="J50" s="508"/>
      <c r="K50" s="1016"/>
      <c r="L50" s="1017"/>
      <c r="M50" s="1018"/>
    </row>
    <row r="51" spans="1:13">
      <c r="A51" s="496" t="str">
        <f>IF(B51=""," ",#REF!+1)</f>
        <v xml:space="preserve"> </v>
      </c>
      <c r="B51" s="526"/>
      <c r="C51" s="525"/>
      <c r="D51" s="515"/>
      <c r="E51" s="509"/>
      <c r="F51" s="510"/>
      <c r="G51" s="504"/>
      <c r="H51" s="496"/>
      <c r="I51" s="496"/>
      <c r="J51" s="508"/>
      <c r="K51" s="525"/>
      <c r="L51" s="534"/>
      <c r="M51" s="535"/>
    </row>
    <row r="52" spans="1:13">
      <c r="A52" s="496" t="str">
        <f t="shared" ref="A52:A57" si="3">IF(B52=""," ",A51+1)</f>
        <v xml:space="preserve"> </v>
      </c>
      <c r="B52" s="526"/>
      <c r="C52" s="525"/>
      <c r="D52" s="515"/>
      <c r="E52" s="509"/>
      <c r="F52" s="510"/>
      <c r="G52" s="504"/>
      <c r="H52" s="496"/>
      <c r="I52" s="496"/>
      <c r="J52" s="508"/>
      <c r="K52" s="525"/>
      <c r="L52" s="534"/>
      <c r="M52" s="535"/>
    </row>
    <row r="53" spans="1:13">
      <c r="A53" s="496" t="str">
        <f t="shared" si="3"/>
        <v xml:space="preserve"> </v>
      </c>
      <c r="B53" s="526"/>
      <c r="C53" s="525"/>
      <c r="D53" s="515"/>
      <c r="E53" s="509"/>
      <c r="F53" s="510"/>
      <c r="G53" s="504"/>
      <c r="H53" s="496"/>
      <c r="I53" s="496"/>
      <c r="J53" s="508"/>
      <c r="K53" s="1016"/>
      <c r="L53" s="1017"/>
      <c r="M53" s="1018"/>
    </row>
    <row r="54" spans="1:13">
      <c r="A54" s="496" t="str">
        <f>IF(B54=""," ",#REF!+1)</f>
        <v xml:space="preserve"> </v>
      </c>
      <c r="B54" s="526"/>
      <c r="C54" s="525"/>
      <c r="D54" s="515"/>
      <c r="E54" s="509"/>
      <c r="F54" s="510"/>
      <c r="G54" s="504"/>
      <c r="H54" s="496"/>
      <c r="I54" s="496"/>
      <c r="J54" s="508"/>
      <c r="K54" s="1016"/>
      <c r="L54" s="1017"/>
      <c r="M54" s="1018"/>
    </row>
    <row r="55" spans="1:13">
      <c r="A55" s="496" t="str">
        <f>IF(B55=""," ",#REF!+1)</f>
        <v xml:space="preserve"> </v>
      </c>
      <c r="B55" s="526"/>
      <c r="C55" s="525"/>
      <c r="D55" s="515"/>
      <c r="E55" s="509"/>
      <c r="F55" s="510"/>
      <c r="G55" s="504"/>
      <c r="H55" s="496"/>
      <c r="I55" s="496"/>
      <c r="J55" s="508"/>
      <c r="K55" s="525"/>
      <c r="L55" s="534"/>
      <c r="M55" s="535"/>
    </row>
    <row r="56" spans="1:13">
      <c r="A56" s="496" t="str">
        <f t="shared" si="3"/>
        <v xml:space="preserve"> </v>
      </c>
      <c r="B56" s="526"/>
      <c r="C56" s="525"/>
      <c r="D56" s="515"/>
      <c r="E56" s="509"/>
      <c r="F56" s="510"/>
      <c r="G56" s="504"/>
      <c r="H56" s="496"/>
      <c r="I56" s="496"/>
      <c r="J56" s="508"/>
      <c r="K56" s="525"/>
      <c r="L56" s="534"/>
      <c r="M56" s="535"/>
    </row>
    <row r="57" spans="1:13">
      <c r="A57" s="496" t="str">
        <f t="shared" si="3"/>
        <v xml:space="preserve"> </v>
      </c>
      <c r="B57" s="526"/>
      <c r="C57" s="525"/>
      <c r="D57" s="515"/>
      <c r="E57" s="509"/>
      <c r="F57" s="510"/>
      <c r="G57" s="504"/>
      <c r="H57" s="496"/>
      <c r="I57" s="496"/>
      <c r="J57" s="508"/>
      <c r="K57" s="1016"/>
      <c r="L57" s="1017"/>
      <c r="M57" s="1018"/>
    </row>
    <row r="58" spans="1:13">
      <c r="A58" s="496" t="str">
        <f>IF(B58=""," ",#REF!+1)</f>
        <v xml:space="preserve"> </v>
      </c>
      <c r="B58" s="526"/>
      <c r="C58" s="525"/>
      <c r="D58" s="515"/>
      <c r="E58" s="509"/>
      <c r="F58" s="510"/>
      <c r="G58" s="504"/>
      <c r="H58" s="496"/>
      <c r="I58" s="496"/>
      <c r="J58" s="508"/>
      <c r="K58" s="1016"/>
      <c r="L58" s="1017"/>
      <c r="M58" s="1018"/>
    </row>
    <row r="59" spans="1:13">
      <c r="A59" s="496" t="str">
        <f>IF(B59=""," ",#REF!+1)</f>
        <v xml:space="preserve"> </v>
      </c>
      <c r="B59" s="526"/>
      <c r="C59" s="525"/>
      <c r="D59" s="515"/>
      <c r="E59" s="509"/>
      <c r="F59" s="510"/>
      <c r="G59" s="504"/>
      <c r="H59" s="496"/>
      <c r="I59" s="496"/>
      <c r="J59" s="508"/>
      <c r="K59" s="525"/>
      <c r="L59" s="534"/>
      <c r="M59" s="535"/>
    </row>
    <row r="60" spans="1:13">
      <c r="A60" s="496" t="str">
        <f t="shared" ref="A60:A65" si="4">IF(B60=""," ",A59+1)</f>
        <v xml:space="preserve"> </v>
      </c>
      <c r="B60" s="526"/>
      <c r="C60" s="525"/>
      <c r="D60" s="515"/>
      <c r="E60" s="509"/>
      <c r="F60" s="510"/>
      <c r="G60" s="504"/>
      <c r="H60" s="496"/>
      <c r="I60" s="496"/>
      <c r="J60" s="508"/>
      <c r="K60" s="525"/>
      <c r="L60" s="534"/>
      <c r="M60" s="535"/>
    </row>
    <row r="61" spans="1:13">
      <c r="A61" s="496" t="str">
        <f t="shared" si="4"/>
        <v xml:space="preserve"> </v>
      </c>
      <c r="B61" s="526"/>
      <c r="C61" s="525"/>
      <c r="D61" s="515"/>
      <c r="E61" s="509"/>
      <c r="F61" s="510"/>
      <c r="G61" s="504"/>
      <c r="H61" s="496"/>
      <c r="I61" s="496"/>
      <c r="J61" s="508"/>
      <c r="K61" s="1016"/>
      <c r="L61" s="1017"/>
      <c r="M61" s="1018"/>
    </row>
    <row r="62" spans="1:13">
      <c r="A62" s="496" t="str">
        <f>IF(B62=""," ",#REF!+1)</f>
        <v xml:space="preserve"> </v>
      </c>
      <c r="B62" s="526"/>
      <c r="C62" s="525"/>
      <c r="D62" s="515"/>
      <c r="E62" s="509"/>
      <c r="F62" s="510"/>
      <c r="G62" s="504"/>
      <c r="H62" s="496"/>
      <c r="I62" s="496"/>
      <c r="J62" s="508"/>
      <c r="K62" s="1016"/>
      <c r="L62" s="1017"/>
      <c r="M62" s="1018"/>
    </row>
    <row r="63" spans="1:13">
      <c r="A63" s="496" t="str">
        <f>IF(B63=""," ",#REF!+1)</f>
        <v xml:space="preserve"> </v>
      </c>
      <c r="B63" s="526"/>
      <c r="C63" s="525"/>
      <c r="D63" s="515"/>
      <c r="E63" s="509"/>
      <c r="F63" s="510"/>
      <c r="G63" s="504"/>
      <c r="H63" s="496"/>
      <c r="I63" s="496"/>
      <c r="J63" s="508"/>
      <c r="K63" s="525"/>
      <c r="L63" s="534"/>
      <c r="M63" s="535"/>
    </row>
    <row r="64" spans="1:13">
      <c r="A64" s="496" t="str">
        <f t="shared" si="4"/>
        <v xml:space="preserve"> </v>
      </c>
      <c r="B64" s="526"/>
      <c r="C64" s="525"/>
      <c r="D64" s="515"/>
      <c r="E64" s="509"/>
      <c r="F64" s="510"/>
      <c r="G64" s="504"/>
      <c r="H64" s="496"/>
      <c r="I64" s="496"/>
      <c r="J64" s="508"/>
      <c r="K64" s="525"/>
      <c r="L64" s="534"/>
      <c r="M64" s="535"/>
    </row>
    <row r="65" spans="1:13">
      <c r="A65" s="496" t="str">
        <f t="shared" si="4"/>
        <v xml:space="preserve"> </v>
      </c>
      <c r="B65" s="526"/>
      <c r="C65" s="525"/>
      <c r="D65" s="515"/>
      <c r="E65" s="509"/>
      <c r="F65" s="510"/>
      <c r="G65" s="504"/>
      <c r="H65" s="496"/>
      <c r="I65" s="496"/>
      <c r="J65" s="508"/>
      <c r="K65" s="1016"/>
      <c r="L65" s="1017"/>
      <c r="M65" s="1018"/>
    </row>
    <row r="66" spans="1:13">
      <c r="A66" s="496" t="str">
        <f>IF(B66=""," ",#REF!+1)</f>
        <v xml:space="preserve"> </v>
      </c>
      <c r="B66" s="526"/>
      <c r="C66" s="525"/>
      <c r="D66" s="515"/>
      <c r="E66" s="509"/>
      <c r="F66" s="510"/>
      <c r="G66" s="504"/>
      <c r="H66" s="496"/>
      <c r="I66" s="496"/>
      <c r="J66" s="508"/>
      <c r="K66" s="1016"/>
      <c r="L66" s="1017"/>
      <c r="M66" s="1018"/>
    </row>
    <row r="67" spans="1:13">
      <c r="A67" s="496" t="str">
        <f>IF(B67=""," ",#REF!+1)</f>
        <v xml:space="preserve"> </v>
      </c>
      <c r="B67" s="526"/>
      <c r="C67" s="525"/>
      <c r="D67" s="515"/>
      <c r="E67" s="509"/>
      <c r="F67" s="510"/>
      <c r="G67" s="504"/>
      <c r="H67" s="496"/>
      <c r="I67" s="496"/>
      <c r="J67" s="508"/>
      <c r="K67" s="525"/>
      <c r="L67" s="534"/>
      <c r="M67" s="535"/>
    </row>
    <row r="68" spans="1:13">
      <c r="A68" s="496" t="str">
        <f t="shared" ref="A68:A73" si="5">IF(B68=""," ",A67+1)</f>
        <v xml:space="preserve"> </v>
      </c>
      <c r="B68" s="526"/>
      <c r="C68" s="525"/>
      <c r="D68" s="515"/>
      <c r="E68" s="509"/>
      <c r="F68" s="510"/>
      <c r="G68" s="504"/>
      <c r="H68" s="496"/>
      <c r="I68" s="496"/>
      <c r="J68" s="508"/>
      <c r="K68" s="525"/>
      <c r="L68" s="534"/>
      <c r="M68" s="535"/>
    </row>
    <row r="69" spans="1:13">
      <c r="A69" s="496" t="str">
        <f t="shared" si="5"/>
        <v xml:space="preserve"> </v>
      </c>
      <c r="B69" s="526"/>
      <c r="C69" s="525"/>
      <c r="D69" s="515"/>
      <c r="E69" s="509"/>
      <c r="F69" s="510"/>
      <c r="G69" s="504"/>
      <c r="H69" s="496"/>
      <c r="I69" s="496"/>
      <c r="J69" s="508"/>
      <c r="K69" s="1016"/>
      <c r="L69" s="1017"/>
      <c r="M69" s="1018"/>
    </row>
    <row r="70" spans="1:13">
      <c r="A70" s="496" t="str">
        <f>IF(B70=""," ",#REF!+1)</f>
        <v xml:space="preserve"> </v>
      </c>
      <c r="B70" s="526"/>
      <c r="C70" s="525"/>
      <c r="D70" s="515"/>
      <c r="E70" s="509"/>
      <c r="F70" s="510"/>
      <c r="G70" s="504"/>
      <c r="H70" s="496"/>
      <c r="I70" s="496"/>
      <c r="J70" s="508"/>
      <c r="K70" s="1016"/>
      <c r="L70" s="1017"/>
      <c r="M70" s="1018"/>
    </row>
    <row r="71" spans="1:13">
      <c r="A71" s="496" t="str">
        <f>IF(B71=""," ",#REF!+1)</f>
        <v xml:space="preserve"> </v>
      </c>
      <c r="B71" s="526"/>
      <c r="C71" s="525"/>
      <c r="D71" s="515"/>
      <c r="E71" s="509"/>
      <c r="F71" s="510"/>
      <c r="G71" s="504"/>
      <c r="H71" s="496"/>
      <c r="I71" s="496"/>
      <c r="J71" s="508"/>
      <c r="K71" s="525"/>
      <c r="L71" s="534"/>
      <c r="M71" s="535"/>
    </row>
    <row r="72" spans="1:13">
      <c r="A72" s="496" t="str">
        <f t="shared" si="5"/>
        <v xml:space="preserve"> </v>
      </c>
      <c r="B72" s="526"/>
      <c r="C72" s="525"/>
      <c r="D72" s="515"/>
      <c r="E72" s="509"/>
      <c r="F72" s="510"/>
      <c r="G72" s="504"/>
      <c r="H72" s="496"/>
      <c r="I72" s="496"/>
      <c r="J72" s="508"/>
      <c r="K72" s="525"/>
      <c r="L72" s="534"/>
      <c r="M72" s="535"/>
    </row>
    <row r="73" spans="1:13">
      <c r="A73" s="496" t="str">
        <f t="shared" si="5"/>
        <v xml:space="preserve"> </v>
      </c>
      <c r="B73" s="526"/>
      <c r="C73" s="525"/>
      <c r="D73" s="515"/>
      <c r="E73" s="509"/>
      <c r="F73" s="510"/>
      <c r="G73" s="504"/>
      <c r="H73" s="496"/>
      <c r="I73" s="496"/>
      <c r="J73" s="508"/>
      <c r="K73" s="1016"/>
      <c r="L73" s="1017"/>
      <c r="M73" s="1018"/>
    </row>
    <row r="74" spans="1:13">
      <c r="A74" s="496" t="str">
        <f>IF(B74=""," ",#REF!+1)</f>
        <v xml:space="preserve"> </v>
      </c>
      <c r="B74" s="526"/>
      <c r="C74" s="525"/>
      <c r="D74" s="515"/>
      <c r="E74" s="509"/>
      <c r="F74" s="510"/>
      <c r="G74" s="504"/>
      <c r="H74" s="496"/>
      <c r="I74" s="496"/>
      <c r="J74" s="508"/>
      <c r="K74" s="1016"/>
      <c r="L74" s="1017"/>
      <c r="M74" s="1018"/>
    </row>
    <row r="75" spans="1:13">
      <c r="A75" s="496" t="str">
        <f>IF(B75=""," ",#REF!+1)</f>
        <v xml:space="preserve"> </v>
      </c>
      <c r="B75" s="526"/>
      <c r="C75" s="525"/>
      <c r="D75" s="515"/>
      <c r="E75" s="509"/>
      <c r="F75" s="510"/>
      <c r="G75" s="504"/>
      <c r="H75" s="496"/>
      <c r="I75" s="496"/>
      <c r="J75" s="508"/>
      <c r="K75" s="525"/>
      <c r="L75" s="534"/>
      <c r="M75" s="535"/>
    </row>
    <row r="76" spans="1:13">
      <c r="A76" s="496" t="str">
        <f t="shared" ref="A76:A81" si="6">IF(B76=""," ",A75+1)</f>
        <v xml:space="preserve"> </v>
      </c>
      <c r="B76" s="526"/>
      <c r="C76" s="525"/>
      <c r="D76" s="515"/>
      <c r="E76" s="509"/>
      <c r="F76" s="510"/>
      <c r="G76" s="504"/>
      <c r="H76" s="496"/>
      <c r="I76" s="496"/>
      <c r="J76" s="508"/>
      <c r="K76" s="525"/>
      <c r="L76" s="534"/>
      <c r="M76" s="535"/>
    </row>
    <row r="77" spans="1:13">
      <c r="A77" s="496" t="str">
        <f t="shared" si="6"/>
        <v xml:space="preserve"> </v>
      </c>
      <c r="B77" s="526"/>
      <c r="C77" s="525"/>
      <c r="D77" s="515"/>
      <c r="E77" s="509"/>
      <c r="F77" s="510"/>
      <c r="G77" s="504"/>
      <c r="H77" s="496"/>
      <c r="I77" s="496"/>
      <c r="J77" s="508"/>
      <c r="K77" s="1016"/>
      <c r="L77" s="1017"/>
      <c r="M77" s="1018"/>
    </row>
    <row r="78" spans="1:13">
      <c r="A78" s="496" t="str">
        <f>IF(B78=""," ",#REF!+1)</f>
        <v xml:space="preserve"> </v>
      </c>
      <c r="B78" s="526"/>
      <c r="C78" s="525"/>
      <c r="D78" s="515"/>
      <c r="E78" s="509"/>
      <c r="F78" s="510"/>
      <c r="G78" s="504"/>
      <c r="H78" s="496"/>
      <c r="I78" s="496"/>
      <c r="J78" s="508"/>
      <c r="K78" s="1016"/>
      <c r="L78" s="1017"/>
      <c r="M78" s="1018"/>
    </row>
    <row r="79" spans="1:13">
      <c r="A79" s="496" t="str">
        <f>IF(B79=""," ",#REF!+1)</f>
        <v xml:space="preserve"> </v>
      </c>
      <c r="B79" s="526"/>
      <c r="C79" s="525"/>
      <c r="D79" s="515"/>
      <c r="E79" s="509"/>
      <c r="F79" s="510"/>
      <c r="G79" s="504"/>
      <c r="H79" s="496"/>
      <c r="I79" s="496"/>
      <c r="J79" s="508"/>
      <c r="K79" s="525"/>
      <c r="L79" s="534"/>
      <c r="M79" s="535"/>
    </row>
    <row r="80" spans="1:13">
      <c r="A80" s="496" t="str">
        <f t="shared" si="6"/>
        <v xml:space="preserve"> </v>
      </c>
      <c r="B80" s="526"/>
      <c r="C80" s="525"/>
      <c r="D80" s="515"/>
      <c r="E80" s="509"/>
      <c r="F80" s="510"/>
      <c r="G80" s="504"/>
      <c r="H80" s="496"/>
      <c r="I80" s="496"/>
      <c r="J80" s="508"/>
      <c r="K80" s="525"/>
      <c r="L80" s="534"/>
      <c r="M80" s="535"/>
    </row>
    <row r="81" spans="1:13">
      <c r="A81" s="496" t="str">
        <f t="shared" si="6"/>
        <v xml:space="preserve"> </v>
      </c>
      <c r="B81" s="526"/>
      <c r="C81" s="525"/>
      <c r="D81" s="515"/>
      <c r="E81" s="509"/>
      <c r="F81" s="510"/>
      <c r="G81" s="504"/>
      <c r="H81" s="496"/>
      <c r="I81" s="496"/>
      <c r="J81" s="508"/>
      <c r="K81" s="1016"/>
      <c r="L81" s="1017"/>
      <c r="M81" s="1018"/>
    </row>
    <row r="82" spans="1:13">
      <c r="A82" s="496" t="str">
        <f>IF(B82=""," ",#REF!+1)</f>
        <v xml:space="preserve"> </v>
      </c>
      <c r="B82" s="526"/>
      <c r="C82" s="525"/>
      <c r="D82" s="515"/>
      <c r="E82" s="509"/>
      <c r="F82" s="510"/>
      <c r="G82" s="504"/>
      <c r="H82" s="496"/>
      <c r="I82" s="496"/>
      <c r="J82" s="508"/>
      <c r="K82" s="1016"/>
      <c r="L82" s="1017"/>
      <c r="M82" s="1018"/>
    </row>
    <row r="83" spans="1:13">
      <c r="A83" s="496" t="str">
        <f>IF(B83=""," ",#REF!+1)</f>
        <v xml:space="preserve"> </v>
      </c>
      <c r="B83" s="526"/>
      <c r="C83" s="525"/>
      <c r="D83" s="515"/>
      <c r="E83" s="509"/>
      <c r="F83" s="510"/>
      <c r="G83" s="504"/>
      <c r="H83" s="496"/>
      <c r="I83" s="496"/>
      <c r="J83" s="508"/>
      <c r="K83" s="525"/>
      <c r="L83" s="534"/>
      <c r="M83" s="535"/>
    </row>
    <row r="84" spans="1:13">
      <c r="A84" s="496" t="str">
        <f t="shared" ref="A84:A89" si="7">IF(B84=""," ",A83+1)</f>
        <v xml:space="preserve"> </v>
      </c>
      <c r="B84" s="526"/>
      <c r="C84" s="525"/>
      <c r="D84" s="515"/>
      <c r="E84" s="509"/>
      <c r="F84" s="510"/>
      <c r="G84" s="504"/>
      <c r="H84" s="496"/>
      <c r="I84" s="496"/>
      <c r="J84" s="508"/>
      <c r="K84" s="525"/>
      <c r="L84" s="534"/>
      <c r="M84" s="535"/>
    </row>
    <row r="85" spans="1:13">
      <c r="A85" s="496" t="str">
        <f t="shared" si="7"/>
        <v xml:space="preserve"> </v>
      </c>
      <c r="B85" s="526"/>
      <c r="C85" s="525"/>
      <c r="D85" s="515"/>
      <c r="E85" s="509"/>
      <c r="F85" s="510"/>
      <c r="G85" s="504"/>
      <c r="H85" s="496"/>
      <c r="I85" s="496"/>
      <c r="J85" s="508"/>
      <c r="K85" s="1016"/>
      <c r="L85" s="1017"/>
      <c r="M85" s="1018"/>
    </row>
    <row r="86" spans="1:13">
      <c r="A86" s="496" t="str">
        <f>IF(B86=""," ",#REF!+1)</f>
        <v xml:space="preserve"> </v>
      </c>
      <c r="B86" s="526"/>
      <c r="C86" s="525"/>
      <c r="D86" s="515"/>
      <c r="E86" s="509"/>
      <c r="F86" s="510"/>
      <c r="G86" s="504"/>
      <c r="H86" s="496"/>
      <c r="I86" s="496"/>
      <c r="J86" s="508"/>
      <c r="K86" s="1016"/>
      <c r="L86" s="1017"/>
      <c r="M86" s="1018"/>
    </row>
    <row r="87" spans="1:13">
      <c r="A87" s="496" t="str">
        <f>IF(B87=""," ",#REF!+1)</f>
        <v xml:space="preserve"> </v>
      </c>
      <c r="B87" s="526"/>
      <c r="C87" s="525"/>
      <c r="D87" s="515"/>
      <c r="E87" s="509"/>
      <c r="F87" s="510"/>
      <c r="G87" s="504"/>
      <c r="H87" s="496"/>
      <c r="I87" s="496"/>
      <c r="J87" s="508"/>
      <c r="K87" s="525"/>
      <c r="L87" s="534"/>
      <c r="M87" s="535"/>
    </row>
    <row r="88" spans="1:13">
      <c r="A88" s="496" t="str">
        <f t="shared" si="7"/>
        <v xml:space="preserve"> </v>
      </c>
      <c r="B88" s="526"/>
      <c r="C88" s="525"/>
      <c r="D88" s="515"/>
      <c r="E88" s="509"/>
      <c r="F88" s="510"/>
      <c r="G88" s="504"/>
      <c r="H88" s="496"/>
      <c r="I88" s="496"/>
      <c r="J88" s="508"/>
      <c r="K88" s="525"/>
      <c r="L88" s="534"/>
      <c r="M88" s="535"/>
    </row>
    <row r="89" spans="1:13">
      <c r="A89" s="496" t="str">
        <f t="shared" si="7"/>
        <v xml:space="preserve"> </v>
      </c>
      <c r="B89" s="526"/>
      <c r="C89" s="525"/>
      <c r="D89" s="515"/>
      <c r="E89" s="509"/>
      <c r="F89" s="510"/>
      <c r="G89" s="504"/>
      <c r="H89" s="496"/>
      <c r="I89" s="496"/>
      <c r="J89" s="508"/>
      <c r="K89" s="1016"/>
      <c r="L89" s="1017"/>
      <c r="M89" s="1018"/>
    </row>
    <row r="90" spans="1:13">
      <c r="A90" s="496" t="str">
        <f>IF(B90=""," ",#REF!+1)</f>
        <v xml:space="preserve"> </v>
      </c>
      <c r="B90" s="526"/>
      <c r="C90" s="525"/>
      <c r="D90" s="515"/>
      <c r="E90" s="509"/>
      <c r="F90" s="510"/>
      <c r="G90" s="504"/>
      <c r="H90" s="496"/>
      <c r="I90" s="496"/>
      <c r="J90" s="508"/>
      <c r="K90" s="1016"/>
      <c r="L90" s="1017"/>
      <c r="M90" s="1018"/>
    </row>
    <row r="91" spans="1:13">
      <c r="A91" s="496" t="str">
        <f>IF(B91=""," ",#REF!+1)</f>
        <v xml:space="preserve"> </v>
      </c>
      <c r="B91" s="526"/>
      <c r="C91" s="525"/>
      <c r="D91" s="515"/>
      <c r="E91" s="509"/>
      <c r="F91" s="510"/>
      <c r="G91" s="504"/>
      <c r="H91" s="496"/>
      <c r="I91" s="496"/>
      <c r="J91" s="508"/>
      <c r="K91" s="525"/>
      <c r="L91" s="534"/>
      <c r="M91" s="535"/>
    </row>
    <row r="92" spans="1:13">
      <c r="A92" s="496" t="str">
        <f t="shared" ref="A92:A97" si="8">IF(B92=""," ",A91+1)</f>
        <v xml:space="preserve"> </v>
      </c>
      <c r="B92" s="526"/>
      <c r="C92" s="525"/>
      <c r="D92" s="515"/>
      <c r="E92" s="509"/>
      <c r="F92" s="510"/>
      <c r="G92" s="504"/>
      <c r="H92" s="496"/>
      <c r="I92" s="496"/>
      <c r="J92" s="508"/>
      <c r="K92" s="525"/>
      <c r="L92" s="534"/>
      <c r="M92" s="535"/>
    </row>
    <row r="93" spans="1:13">
      <c r="A93" s="496" t="str">
        <f t="shared" si="8"/>
        <v xml:space="preserve"> </v>
      </c>
      <c r="B93" s="526"/>
      <c r="C93" s="525"/>
      <c r="D93" s="515"/>
      <c r="E93" s="509"/>
      <c r="F93" s="510"/>
      <c r="G93" s="504"/>
      <c r="H93" s="496"/>
      <c r="I93" s="496"/>
      <c r="J93" s="508"/>
      <c r="K93" s="1016"/>
      <c r="L93" s="1017"/>
      <c r="M93" s="1018"/>
    </row>
    <row r="94" spans="1:13">
      <c r="A94" s="496" t="str">
        <f>IF(B94=""," ",#REF!+1)</f>
        <v xml:space="preserve"> </v>
      </c>
      <c r="B94" s="526"/>
      <c r="C94" s="525"/>
      <c r="D94" s="515"/>
      <c r="E94" s="509"/>
      <c r="F94" s="510"/>
      <c r="G94" s="504"/>
      <c r="H94" s="496"/>
      <c r="I94" s="496"/>
      <c r="J94" s="508"/>
      <c r="K94" s="1016"/>
      <c r="L94" s="1017"/>
      <c r="M94" s="1018"/>
    </row>
    <row r="95" spans="1:13">
      <c r="A95" s="496" t="str">
        <f>IF(B95=""," ",#REF!+1)</f>
        <v xml:space="preserve"> </v>
      </c>
      <c r="B95" s="526"/>
      <c r="C95" s="525"/>
      <c r="D95" s="515"/>
      <c r="E95" s="509"/>
      <c r="F95" s="510"/>
      <c r="G95" s="504"/>
      <c r="H95" s="496"/>
      <c r="I95" s="496"/>
      <c r="J95" s="508"/>
      <c r="K95" s="525"/>
      <c r="L95" s="534"/>
      <c r="M95" s="535"/>
    </row>
    <row r="96" spans="1:13">
      <c r="A96" s="496" t="str">
        <f t="shared" si="8"/>
        <v xml:space="preserve"> </v>
      </c>
      <c r="B96" s="526"/>
      <c r="C96" s="525"/>
      <c r="D96" s="515"/>
      <c r="E96" s="509"/>
      <c r="F96" s="510"/>
      <c r="G96" s="504"/>
      <c r="H96" s="496"/>
      <c r="I96" s="496"/>
      <c r="J96" s="508"/>
      <c r="K96" s="525"/>
      <c r="L96" s="534"/>
      <c r="M96" s="535"/>
    </row>
    <row r="97" spans="1:13">
      <c r="A97" s="496" t="str">
        <f t="shared" si="8"/>
        <v xml:space="preserve"> </v>
      </c>
      <c r="B97" s="526"/>
      <c r="C97" s="525"/>
      <c r="D97" s="515"/>
      <c r="E97" s="509"/>
      <c r="F97" s="510"/>
      <c r="G97" s="504"/>
      <c r="H97" s="496"/>
      <c r="I97" s="496"/>
      <c r="J97" s="508"/>
      <c r="K97" s="1016"/>
      <c r="L97" s="1017"/>
      <c r="M97" s="1018"/>
    </row>
    <row r="98" spans="1:13">
      <c r="A98" s="496" t="str">
        <f>IF(B98=""," ",#REF!+1)</f>
        <v xml:space="preserve"> </v>
      </c>
      <c r="B98" s="526"/>
      <c r="C98" s="525"/>
      <c r="D98" s="515"/>
      <c r="E98" s="509"/>
      <c r="F98" s="510"/>
      <c r="G98" s="504"/>
      <c r="H98" s="496"/>
      <c r="I98" s="496"/>
      <c r="J98" s="508"/>
      <c r="K98" s="1016"/>
      <c r="L98" s="1017"/>
      <c r="M98" s="1018"/>
    </row>
    <row r="99" spans="1:13">
      <c r="A99" s="496" t="str">
        <f>IF(B99=""," ",#REF!+1)</f>
        <v xml:space="preserve"> </v>
      </c>
      <c r="B99" s="526"/>
      <c r="C99" s="525"/>
      <c r="D99" s="515"/>
      <c r="E99" s="509"/>
      <c r="F99" s="510"/>
      <c r="G99" s="504"/>
      <c r="H99" s="496"/>
      <c r="I99" s="496"/>
      <c r="J99" s="508"/>
      <c r="K99" s="525"/>
      <c r="L99" s="534"/>
      <c r="M99" s="535"/>
    </row>
    <row r="100" spans="1:13">
      <c r="A100" s="496" t="str">
        <f t="shared" ref="A100:A105" si="9">IF(B100=""," ",A99+1)</f>
        <v xml:space="preserve"> </v>
      </c>
      <c r="B100" s="526"/>
      <c r="C100" s="525"/>
      <c r="D100" s="515"/>
      <c r="E100" s="509"/>
      <c r="F100" s="510"/>
      <c r="G100" s="504"/>
      <c r="H100" s="496"/>
      <c r="I100" s="496"/>
      <c r="J100" s="508"/>
      <c r="K100" s="525"/>
      <c r="L100" s="534"/>
      <c r="M100" s="535"/>
    </row>
    <row r="101" spans="1:13">
      <c r="A101" s="496" t="str">
        <f t="shared" si="9"/>
        <v xml:space="preserve"> </v>
      </c>
      <c r="B101" s="526"/>
      <c r="C101" s="525"/>
      <c r="D101" s="515"/>
      <c r="E101" s="509"/>
      <c r="F101" s="510"/>
      <c r="G101" s="504"/>
      <c r="H101" s="496"/>
      <c r="I101" s="496"/>
      <c r="J101" s="508"/>
      <c r="K101" s="525"/>
      <c r="L101" s="534"/>
      <c r="M101" s="535"/>
    </row>
    <row r="102" spans="1:13">
      <c r="A102" s="496" t="str">
        <f t="shared" si="9"/>
        <v xml:space="preserve"> </v>
      </c>
      <c r="B102" s="526"/>
      <c r="C102" s="525"/>
      <c r="D102" s="515"/>
      <c r="E102" s="509"/>
      <c r="F102" s="510"/>
      <c r="G102" s="504"/>
      <c r="H102" s="496"/>
      <c r="I102" s="496"/>
      <c r="J102" s="508"/>
      <c r="K102" s="525"/>
      <c r="L102" s="534"/>
      <c r="M102" s="535"/>
    </row>
    <row r="103" spans="1:13">
      <c r="A103" s="496" t="str">
        <f t="shared" si="9"/>
        <v xml:space="preserve"> </v>
      </c>
      <c r="B103" s="526"/>
      <c r="C103" s="525"/>
      <c r="D103" s="515"/>
      <c r="E103" s="509"/>
      <c r="F103" s="510"/>
      <c r="G103" s="504"/>
      <c r="H103" s="496"/>
      <c r="I103" s="496"/>
      <c r="J103" s="508"/>
      <c r="K103" s="525"/>
      <c r="L103" s="534"/>
      <c r="M103" s="535"/>
    </row>
    <row r="104" spans="1:13">
      <c r="A104" s="496" t="str">
        <f t="shared" si="9"/>
        <v xml:space="preserve"> </v>
      </c>
      <c r="B104" s="526"/>
      <c r="C104" s="525"/>
      <c r="D104" s="515"/>
      <c r="E104" s="509"/>
      <c r="F104" s="510"/>
      <c r="G104" s="504"/>
      <c r="H104" s="496"/>
      <c r="I104" s="496"/>
      <c r="J104" s="508"/>
      <c r="K104" s="525"/>
      <c r="L104" s="534"/>
      <c r="M104" s="535"/>
    </row>
    <row r="105" spans="1:13">
      <c r="A105" s="496" t="str">
        <f t="shared" si="9"/>
        <v xml:space="preserve"> </v>
      </c>
      <c r="B105" s="526"/>
      <c r="C105" s="525"/>
      <c r="D105" s="515"/>
      <c r="E105" s="509"/>
      <c r="F105" s="510"/>
      <c r="G105" s="504"/>
      <c r="H105" s="496"/>
      <c r="I105" s="496"/>
      <c r="J105" s="508"/>
      <c r="K105" s="525"/>
      <c r="L105" s="534"/>
      <c r="M105" s="535"/>
    </row>
    <row r="107" spans="1:13">
      <c r="B107" s="490" t="s">
        <v>1902</v>
      </c>
    </row>
  </sheetData>
  <mergeCells count="63">
    <mergeCell ref="A2:B2"/>
    <mergeCell ref="C2:G2"/>
    <mergeCell ref="H2:J2"/>
    <mergeCell ref="A3:B3"/>
    <mergeCell ref="C3:G3"/>
    <mergeCell ref="H3:I3"/>
    <mergeCell ref="K11:M11"/>
    <mergeCell ref="A4:B4"/>
    <mergeCell ref="C4:G4"/>
    <mergeCell ref="H4:I4"/>
    <mergeCell ref="A5:A6"/>
    <mergeCell ref="B5:C5"/>
    <mergeCell ref="D5:H5"/>
    <mergeCell ref="I5:J5"/>
    <mergeCell ref="K5:M6"/>
    <mergeCell ref="K7:M7"/>
    <mergeCell ref="K8:M8"/>
    <mergeCell ref="K9:M9"/>
    <mergeCell ref="K10:M10"/>
    <mergeCell ref="K23:M23"/>
    <mergeCell ref="K12:M12"/>
    <mergeCell ref="K13:M13"/>
    <mergeCell ref="K14:M14"/>
    <mergeCell ref="K15:M15"/>
    <mergeCell ref="K16:M16"/>
    <mergeCell ref="K17:M17"/>
    <mergeCell ref="K18:M18"/>
    <mergeCell ref="K19:M19"/>
    <mergeCell ref="K20:M20"/>
    <mergeCell ref="K21:M21"/>
    <mergeCell ref="K22:M22"/>
    <mergeCell ref="K58:M58"/>
    <mergeCell ref="K37:M37"/>
    <mergeCell ref="K38:M38"/>
    <mergeCell ref="K41:M41"/>
    <mergeCell ref="K42:M42"/>
    <mergeCell ref="K45:M45"/>
    <mergeCell ref="K46:M46"/>
    <mergeCell ref="K49:M49"/>
    <mergeCell ref="K50:M50"/>
    <mergeCell ref="K53:M53"/>
    <mergeCell ref="K54:M54"/>
    <mergeCell ref="K57:M57"/>
    <mergeCell ref="K82:M82"/>
    <mergeCell ref="K61:M61"/>
    <mergeCell ref="K62:M62"/>
    <mergeCell ref="K65:M65"/>
    <mergeCell ref="K66:M66"/>
    <mergeCell ref="K69:M69"/>
    <mergeCell ref="K70:M70"/>
    <mergeCell ref="K73:M73"/>
    <mergeCell ref="K74:M74"/>
    <mergeCell ref="K77:M77"/>
    <mergeCell ref="K78:M78"/>
    <mergeCell ref="K81:M81"/>
    <mergeCell ref="K97:M97"/>
    <mergeCell ref="K98:M98"/>
    <mergeCell ref="K85:M85"/>
    <mergeCell ref="K86:M86"/>
    <mergeCell ref="K89:M89"/>
    <mergeCell ref="K90:M90"/>
    <mergeCell ref="K93:M93"/>
    <mergeCell ref="K94:M94"/>
  </mergeCells>
  <phoneticPr fontId="6"/>
  <pageMargins left="0.78680555555555554" right="0.19652777777777777" top="0.59027777777777779" bottom="0.59027777777777779" header="0.51111111111111107" footer="0.39305555555555555"/>
  <pageSetup paperSize="9" scale="73" fitToHeight="0" orientation="portrait" r:id="rId1"/>
  <headerFooter scaleWithDoc="0" alignWithMargins="0">
    <oddFooter>&amp;C&amp;10&amp;P/&amp;N&amp;R&amp;10&amp;A</oddFooter>
  </headerFooter>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pageSetUpPr fitToPage="1"/>
  </sheetPr>
  <dimension ref="A1:P109"/>
  <sheetViews>
    <sheetView showGridLines="0" zoomScaleSheetLayoutView="100" workbookViewId="0">
      <pane ySplit="6" topLeftCell="A7" activePane="bottomLeft" state="frozen"/>
      <selection pane="bottomLeft" activeCell="K8" sqref="K8:M8"/>
    </sheetView>
  </sheetViews>
  <sheetFormatPr defaultRowHeight="12"/>
  <cols>
    <col min="1" max="1" width="3.875" style="489" customWidth="1"/>
    <col min="2" max="2" width="28.625" style="490" customWidth="1"/>
    <col min="3" max="3" width="13.375" style="490" customWidth="1"/>
    <col min="4" max="4" width="9.375" style="490" customWidth="1"/>
    <col min="5" max="6" width="4.75" style="490" bestFit="1" customWidth="1"/>
    <col min="7" max="7" width="6.125" style="490" bestFit="1" customWidth="1"/>
    <col min="8" max="8" width="4.75" style="490" bestFit="1" customWidth="1"/>
    <col min="9" max="9" width="4.75" style="490" customWidth="1"/>
    <col min="10" max="11" width="9.625" style="490" customWidth="1"/>
    <col min="12" max="13" width="10.25" style="490" customWidth="1"/>
    <col min="14" max="14" width="9" style="490"/>
    <col min="15" max="16" width="9" style="490" hidden="1" customWidth="1"/>
    <col min="17" max="16384" width="9" style="490"/>
  </cols>
  <sheetData>
    <row r="1" spans="1:16">
      <c r="B1" s="47"/>
    </row>
    <row r="2" spans="1:16">
      <c r="A2" s="1025" t="s">
        <v>1847</v>
      </c>
      <c r="B2" s="1026"/>
      <c r="C2" s="1025" t="s">
        <v>1848</v>
      </c>
      <c r="D2" s="1029"/>
      <c r="E2" s="1029"/>
      <c r="F2" s="1029"/>
      <c r="G2" s="1026"/>
      <c r="H2" s="1025"/>
      <c r="I2" s="1029"/>
      <c r="J2" s="1026"/>
      <c r="K2" s="491"/>
      <c r="L2" s="492" t="s">
        <v>1849</v>
      </c>
      <c r="M2" s="492" t="s">
        <v>1850</v>
      </c>
    </row>
    <row r="3" spans="1:16">
      <c r="A3" s="1037"/>
      <c r="B3" s="1038"/>
      <c r="C3" s="1039" t="s">
        <v>1903</v>
      </c>
      <c r="D3" s="1040"/>
      <c r="E3" s="1040"/>
      <c r="F3" s="1040"/>
      <c r="G3" s="1041"/>
      <c r="H3" s="1025" t="s">
        <v>1852</v>
      </c>
      <c r="I3" s="1026"/>
      <c r="J3" s="493">
        <f>COUNT(A7:A97)</f>
        <v>6</v>
      </c>
      <c r="K3" s="492" t="s">
        <v>1853</v>
      </c>
      <c r="L3" s="494">
        <v>43647</v>
      </c>
      <c r="M3" s="495" t="s">
        <v>1854</v>
      </c>
      <c r="O3" s="490" t="s">
        <v>1855</v>
      </c>
      <c r="P3" s="490" t="s">
        <v>1856</v>
      </c>
    </row>
    <row r="4" spans="1:16">
      <c r="A4" s="1022" t="s">
        <v>1857</v>
      </c>
      <c r="B4" s="1023"/>
      <c r="C4" s="1022" t="s">
        <v>1838</v>
      </c>
      <c r="D4" s="1024"/>
      <c r="E4" s="1024"/>
      <c r="F4" s="1024"/>
      <c r="G4" s="1023"/>
      <c r="H4" s="1025" t="s">
        <v>1858</v>
      </c>
      <c r="I4" s="1026"/>
      <c r="J4" s="493">
        <f>SUM(G7:G97)</f>
        <v>40</v>
      </c>
      <c r="K4" s="492" t="s">
        <v>1859</v>
      </c>
      <c r="L4" s="494"/>
      <c r="M4" s="496"/>
      <c r="O4" s="490" t="s">
        <v>1860</v>
      </c>
      <c r="P4" s="490" t="s">
        <v>533</v>
      </c>
    </row>
    <row r="5" spans="1:16">
      <c r="A5" s="1027" t="s">
        <v>1861</v>
      </c>
      <c r="B5" s="1025" t="s">
        <v>1862</v>
      </c>
      <c r="C5" s="1029"/>
      <c r="D5" s="1030" t="s">
        <v>1863</v>
      </c>
      <c r="E5" s="1029"/>
      <c r="F5" s="1029"/>
      <c r="G5" s="1029"/>
      <c r="H5" s="1029"/>
      <c r="I5" s="1025" t="s">
        <v>1864</v>
      </c>
      <c r="J5" s="1026"/>
      <c r="K5" s="1031" t="s">
        <v>1865</v>
      </c>
      <c r="L5" s="1032"/>
      <c r="M5" s="1033"/>
      <c r="P5" s="490" t="s">
        <v>1866</v>
      </c>
    </row>
    <row r="6" spans="1:16">
      <c r="A6" s="1028"/>
      <c r="B6" s="492" t="s">
        <v>1867</v>
      </c>
      <c r="C6" s="497" t="s">
        <v>1868</v>
      </c>
      <c r="D6" s="498" t="s">
        <v>1856</v>
      </c>
      <c r="E6" s="499" t="s">
        <v>1869</v>
      </c>
      <c r="F6" s="500" t="s">
        <v>1870</v>
      </c>
      <c r="G6" s="492" t="s">
        <v>1871</v>
      </c>
      <c r="H6" s="501" t="s">
        <v>1872</v>
      </c>
      <c r="I6" s="501" t="s">
        <v>1873</v>
      </c>
      <c r="J6" s="501" t="s">
        <v>1874</v>
      </c>
      <c r="K6" s="1034"/>
      <c r="L6" s="1035"/>
      <c r="M6" s="1036"/>
      <c r="P6" s="490" t="s">
        <v>1875</v>
      </c>
    </row>
    <row r="7" spans="1:16">
      <c r="A7" s="496">
        <f t="shared" ref="A7:A13" si="0">IF(B7=""," ",A6+1)</f>
        <v>1</v>
      </c>
      <c r="B7" s="48" t="s">
        <v>542</v>
      </c>
      <c r="C7" s="49" t="s">
        <v>1877</v>
      </c>
      <c r="D7" s="78" t="s">
        <v>533</v>
      </c>
      <c r="E7" s="98">
        <v>7</v>
      </c>
      <c r="F7" s="507"/>
      <c r="G7" s="504">
        <f>IF(D7="DATE",4,IF(D7="CHAR",E7,IF(D7="SMALLINT",2,IF(D7="INTEGER",4,IF(D7="TIMESTAMP",10,IF(D7="TIME",3,0))))))</f>
        <v>7</v>
      </c>
      <c r="H7" s="505" t="s">
        <v>1860</v>
      </c>
      <c r="I7" s="505" t="s">
        <v>1860</v>
      </c>
      <c r="J7" s="506"/>
      <c r="K7" s="599"/>
      <c r="L7" s="600"/>
      <c r="M7" s="601"/>
    </row>
    <row r="8" spans="1:16" s="514" customFormat="1">
      <c r="A8" s="496">
        <f t="shared" si="0"/>
        <v>2</v>
      </c>
      <c r="B8" s="48" t="s">
        <v>1904</v>
      </c>
      <c r="C8" s="517" t="s">
        <v>1905</v>
      </c>
      <c r="D8" s="537" t="s">
        <v>533</v>
      </c>
      <c r="E8" s="98">
        <v>7</v>
      </c>
      <c r="F8" s="507"/>
      <c r="G8" s="504">
        <f>IF(D8="DATE",4,IF(D8="CHAR",E8,IF(D8="SMALLINT",2,IF(D8="INTEGER",4,IF(D8="TIMESTAMP",10,IF(D8="TIME",3,0))))))</f>
        <v>7</v>
      </c>
      <c r="H8" s="505" t="s">
        <v>1860</v>
      </c>
      <c r="I8" s="505" t="s">
        <v>1860</v>
      </c>
      <c r="J8" s="524"/>
      <c r="K8" s="1019"/>
      <c r="L8" s="1020"/>
      <c r="M8" s="1021"/>
    </row>
    <row r="9" spans="1:16">
      <c r="A9" s="496">
        <f t="shared" si="0"/>
        <v>3</v>
      </c>
      <c r="B9" s="511" t="s">
        <v>1545</v>
      </c>
      <c r="C9" s="512" t="s">
        <v>1891</v>
      </c>
      <c r="D9" s="513" t="s">
        <v>1878</v>
      </c>
      <c r="E9" s="502"/>
      <c r="F9" s="507"/>
      <c r="G9" s="504">
        <f t="shared" ref="G9:G12" si="1">IF(D9="DATE",4,IF(D9="CHAR",E9,IF(D9="SMALLINT",2,IF(D9="INTEGER",4,IF(D9="TIMESTAMP",10,IF(D9="TIME",3,0))))))</f>
        <v>4</v>
      </c>
      <c r="H9" s="505" t="s">
        <v>1860</v>
      </c>
      <c r="I9" s="496" t="s">
        <v>1860</v>
      </c>
      <c r="J9" s="508"/>
      <c r="K9" s="1016" t="s">
        <v>1892</v>
      </c>
      <c r="L9" s="1017"/>
      <c r="M9" s="1018"/>
      <c r="P9" s="490" t="s">
        <v>1882</v>
      </c>
    </row>
    <row r="10" spans="1:16">
      <c r="A10" s="496">
        <f t="shared" si="0"/>
        <v>4</v>
      </c>
      <c r="B10" s="511" t="s">
        <v>1893</v>
      </c>
      <c r="C10" s="512" t="s">
        <v>1894</v>
      </c>
      <c r="D10" s="513" t="s">
        <v>1878</v>
      </c>
      <c r="E10" s="502"/>
      <c r="F10" s="507"/>
      <c r="G10" s="504">
        <f t="shared" si="1"/>
        <v>4</v>
      </c>
      <c r="H10" s="505" t="s">
        <v>1860</v>
      </c>
      <c r="I10" s="505"/>
      <c r="J10" s="508"/>
      <c r="K10" s="1016" t="s">
        <v>1895</v>
      </c>
      <c r="L10" s="1017"/>
      <c r="M10" s="1018"/>
      <c r="P10" s="490" t="s">
        <v>1882</v>
      </c>
    </row>
    <row r="11" spans="1:16" s="514" customFormat="1">
      <c r="A11" s="496">
        <f t="shared" si="0"/>
        <v>5</v>
      </c>
      <c r="B11" s="511" t="s">
        <v>1896</v>
      </c>
      <c r="C11" s="512" t="s">
        <v>1897</v>
      </c>
      <c r="D11" s="515" t="s">
        <v>533</v>
      </c>
      <c r="E11" s="502">
        <v>8</v>
      </c>
      <c r="F11" s="507"/>
      <c r="G11" s="504">
        <f t="shared" si="1"/>
        <v>8</v>
      </c>
      <c r="H11" s="505" t="s">
        <v>1860</v>
      </c>
      <c r="I11" s="505"/>
      <c r="J11" s="508"/>
      <c r="K11" s="1016" t="s">
        <v>1898</v>
      </c>
      <c r="L11" s="1017"/>
      <c r="M11" s="1018"/>
    </row>
    <row r="12" spans="1:16" s="514" customFormat="1" ht="12" customHeight="1">
      <c r="A12" s="496">
        <f t="shared" si="0"/>
        <v>6</v>
      </c>
      <c r="B12" s="93" t="s">
        <v>1899</v>
      </c>
      <c r="C12" s="26" t="s">
        <v>1900</v>
      </c>
      <c r="D12" s="94" t="s">
        <v>1901</v>
      </c>
      <c r="E12" s="95"/>
      <c r="F12" s="90"/>
      <c r="G12" s="504">
        <f t="shared" si="1"/>
        <v>10</v>
      </c>
      <c r="H12" s="91" t="s">
        <v>1860</v>
      </c>
      <c r="I12" s="89"/>
      <c r="J12" s="92"/>
      <c r="K12" s="602"/>
      <c r="L12" s="603"/>
      <c r="M12" s="604"/>
    </row>
    <row r="13" spans="1:16" ht="12" customHeight="1">
      <c r="A13" s="496" t="str">
        <f t="shared" si="0"/>
        <v xml:space="preserve"> </v>
      </c>
      <c r="B13" s="48"/>
      <c r="C13" s="49"/>
      <c r="D13" s="78"/>
      <c r="E13" s="98"/>
      <c r="F13" s="507"/>
      <c r="G13" s="504"/>
      <c r="H13" s="505"/>
      <c r="I13" s="505"/>
      <c r="J13" s="508"/>
      <c r="K13" s="599"/>
      <c r="L13" s="600"/>
      <c r="M13" s="601"/>
    </row>
    <row r="14" spans="1:16" ht="13.5" customHeight="1">
      <c r="A14" s="496" t="str">
        <f t="shared" ref="A14:A77" si="2">IF(B14=""," ",A8+1)</f>
        <v xml:space="preserve"> </v>
      </c>
      <c r="B14" s="66"/>
      <c r="C14" s="525"/>
      <c r="D14" s="515"/>
      <c r="E14" s="509"/>
      <c r="F14" s="510"/>
      <c r="G14" s="504"/>
      <c r="H14" s="496"/>
      <c r="I14" s="496"/>
      <c r="J14" s="508"/>
      <c r="K14" s="628"/>
      <c r="L14" s="629"/>
      <c r="M14" s="630"/>
    </row>
    <row r="15" spans="1:16" ht="13.5" customHeight="1">
      <c r="A15" s="496" t="str">
        <f t="shared" si="2"/>
        <v xml:space="preserve"> </v>
      </c>
      <c r="B15" s="66"/>
      <c r="C15" s="525"/>
      <c r="D15" s="515"/>
      <c r="E15" s="509"/>
      <c r="F15" s="510"/>
      <c r="G15" s="504"/>
      <c r="H15" s="496"/>
      <c r="I15" s="496"/>
      <c r="J15" s="508"/>
      <c r="K15" s="628"/>
      <c r="L15" s="629"/>
      <c r="M15" s="630"/>
    </row>
    <row r="16" spans="1:16" ht="13.5" customHeight="1">
      <c r="A16" s="496" t="str">
        <f t="shared" si="2"/>
        <v xml:space="preserve"> </v>
      </c>
      <c r="B16" s="526"/>
      <c r="C16" s="525"/>
      <c r="D16" s="515"/>
      <c r="E16" s="509"/>
      <c r="F16" s="510"/>
      <c r="G16" s="504"/>
      <c r="H16" s="496"/>
      <c r="I16" s="496"/>
      <c r="J16" s="508"/>
      <c r="K16" s="628"/>
      <c r="L16" s="629"/>
      <c r="M16" s="630"/>
    </row>
    <row r="17" spans="1:13" ht="13.5" customHeight="1">
      <c r="A17" s="496" t="str">
        <f t="shared" si="2"/>
        <v xml:space="preserve"> </v>
      </c>
      <c r="B17" s="526"/>
      <c r="C17" s="525"/>
      <c r="D17" s="515"/>
      <c r="E17" s="509"/>
      <c r="F17" s="510"/>
      <c r="G17" s="504"/>
      <c r="H17" s="496"/>
      <c r="I17" s="496"/>
      <c r="J17" s="508"/>
      <c r="K17" s="628"/>
      <c r="L17" s="629"/>
      <c r="M17" s="630"/>
    </row>
    <row r="18" spans="1:13" ht="13.5" customHeight="1">
      <c r="A18" s="496" t="str">
        <f t="shared" si="2"/>
        <v xml:space="preserve"> </v>
      </c>
      <c r="B18" s="526"/>
      <c r="C18" s="525"/>
      <c r="D18" s="515"/>
      <c r="E18" s="509"/>
      <c r="F18" s="510"/>
      <c r="G18" s="504"/>
      <c r="H18" s="496"/>
      <c r="I18" s="496"/>
      <c r="J18" s="508"/>
      <c r="K18" s="628"/>
      <c r="L18" s="629"/>
      <c r="M18" s="630"/>
    </row>
    <row r="19" spans="1:13" ht="13.5" customHeight="1">
      <c r="A19" s="496" t="str">
        <f t="shared" si="2"/>
        <v xml:space="preserve"> </v>
      </c>
      <c r="B19" s="526"/>
      <c r="C19" s="525"/>
      <c r="D19" s="515"/>
      <c r="E19" s="509"/>
      <c r="F19" s="510"/>
      <c r="G19" s="504"/>
      <c r="H19" s="496"/>
      <c r="I19" s="496"/>
      <c r="J19" s="508"/>
      <c r="K19" s="628"/>
      <c r="L19" s="629"/>
      <c r="M19" s="630"/>
    </row>
    <row r="20" spans="1:13" ht="13.5" customHeight="1">
      <c r="A20" s="496" t="str">
        <f t="shared" si="2"/>
        <v xml:space="preserve"> </v>
      </c>
      <c r="B20" s="526"/>
      <c r="C20" s="525"/>
      <c r="D20" s="515"/>
      <c r="E20" s="509"/>
      <c r="F20" s="510"/>
      <c r="G20" s="504"/>
      <c r="H20" s="496"/>
      <c r="I20" s="496"/>
      <c r="J20" s="508"/>
      <c r="K20" s="628"/>
      <c r="L20" s="629"/>
      <c r="M20" s="630"/>
    </row>
    <row r="21" spans="1:13" ht="13.5" customHeight="1">
      <c r="A21" s="496" t="str">
        <f t="shared" si="2"/>
        <v xml:space="preserve"> </v>
      </c>
      <c r="B21" s="526"/>
      <c r="C21" s="525"/>
      <c r="D21" s="515"/>
      <c r="E21" s="509"/>
      <c r="F21" s="510"/>
      <c r="G21" s="504"/>
      <c r="H21" s="496"/>
      <c r="I21" s="496"/>
      <c r="J21" s="508"/>
      <c r="K21" s="628"/>
      <c r="L21" s="629"/>
      <c r="M21" s="630"/>
    </row>
    <row r="22" spans="1:13" ht="13.5" customHeight="1">
      <c r="A22" s="496" t="str">
        <f t="shared" si="2"/>
        <v xml:space="preserve"> </v>
      </c>
      <c r="B22" s="526"/>
      <c r="C22" s="525"/>
      <c r="D22" s="515"/>
      <c r="E22" s="509"/>
      <c r="F22" s="510"/>
      <c r="G22" s="504"/>
      <c r="H22" s="496"/>
      <c r="I22" s="496"/>
      <c r="J22" s="508"/>
      <c r="K22" s="628"/>
      <c r="L22" s="629"/>
      <c r="M22" s="630"/>
    </row>
    <row r="23" spans="1:13">
      <c r="A23" s="496" t="str">
        <f t="shared" si="2"/>
        <v xml:space="preserve"> </v>
      </c>
      <c r="B23" s="66"/>
      <c r="C23" s="527"/>
      <c r="D23" s="528"/>
      <c r="E23" s="529"/>
      <c r="F23" s="530"/>
      <c r="G23" s="504"/>
      <c r="H23" s="523"/>
      <c r="I23" s="523"/>
      <c r="J23" s="524"/>
      <c r="K23" s="527"/>
      <c r="L23" s="531"/>
      <c r="M23" s="532"/>
    </row>
    <row r="24" spans="1:13">
      <c r="A24" s="496" t="str">
        <f t="shared" si="2"/>
        <v xml:space="preserve"> </v>
      </c>
      <c r="B24" s="533"/>
      <c r="C24" s="527"/>
      <c r="D24" s="528"/>
      <c r="E24" s="529"/>
      <c r="F24" s="530"/>
      <c r="G24" s="504"/>
      <c r="H24" s="523"/>
      <c r="I24" s="523"/>
      <c r="J24" s="524"/>
      <c r="K24" s="527"/>
      <c r="L24" s="531"/>
      <c r="M24" s="532"/>
    </row>
    <row r="25" spans="1:13">
      <c r="A25" s="496" t="str">
        <f t="shared" si="2"/>
        <v xml:space="preserve"> </v>
      </c>
      <c r="B25" s="533"/>
      <c r="C25" s="527"/>
      <c r="D25" s="528"/>
      <c r="E25" s="529"/>
      <c r="F25" s="530"/>
      <c r="G25" s="504"/>
      <c r="H25" s="523"/>
      <c r="I25" s="523"/>
      <c r="J25" s="524"/>
      <c r="K25" s="527"/>
      <c r="L25" s="531"/>
      <c r="M25" s="532"/>
    </row>
    <row r="26" spans="1:13">
      <c r="A26" s="496" t="str">
        <f t="shared" si="2"/>
        <v xml:space="preserve"> </v>
      </c>
      <c r="B26" s="533"/>
      <c r="C26" s="527"/>
      <c r="D26" s="528"/>
      <c r="E26" s="529"/>
      <c r="F26" s="530"/>
      <c r="G26" s="504"/>
      <c r="H26" s="523"/>
      <c r="I26" s="523"/>
      <c r="J26" s="524"/>
      <c r="K26" s="527"/>
      <c r="L26" s="531"/>
      <c r="M26" s="532"/>
    </row>
    <row r="27" spans="1:13">
      <c r="A27" s="496" t="str">
        <f t="shared" si="2"/>
        <v xml:space="preserve"> </v>
      </c>
      <c r="B27" s="533"/>
      <c r="C27" s="527"/>
      <c r="D27" s="528"/>
      <c r="E27" s="529"/>
      <c r="F27" s="530"/>
      <c r="G27" s="504"/>
      <c r="H27" s="523"/>
      <c r="I27" s="523"/>
      <c r="J27" s="524"/>
      <c r="K27" s="527"/>
      <c r="L27" s="531"/>
      <c r="M27" s="532"/>
    </row>
    <row r="28" spans="1:13">
      <c r="A28" s="496" t="str">
        <f t="shared" si="2"/>
        <v xml:space="preserve"> </v>
      </c>
      <c r="B28" s="533"/>
      <c r="C28" s="527"/>
      <c r="D28" s="528"/>
      <c r="E28" s="529"/>
      <c r="F28" s="530"/>
      <c r="G28" s="504"/>
      <c r="H28" s="523"/>
      <c r="I28" s="523"/>
      <c r="J28" s="524"/>
      <c r="K28" s="527"/>
      <c r="L28" s="531"/>
      <c r="M28" s="532"/>
    </row>
    <row r="29" spans="1:13">
      <c r="A29" s="496" t="str">
        <f t="shared" si="2"/>
        <v xml:space="preserve"> </v>
      </c>
      <c r="B29" s="533"/>
      <c r="C29" s="527"/>
      <c r="D29" s="528"/>
      <c r="E29" s="529"/>
      <c r="F29" s="530"/>
      <c r="G29" s="521"/>
      <c r="H29" s="523"/>
      <c r="I29" s="523"/>
      <c r="J29" s="524"/>
      <c r="K29" s="527"/>
      <c r="L29" s="531"/>
      <c r="M29" s="532"/>
    </row>
    <row r="30" spans="1:13">
      <c r="A30" s="496" t="str">
        <f t="shared" si="2"/>
        <v xml:space="preserve"> </v>
      </c>
      <c r="B30" s="533"/>
      <c r="C30" s="527"/>
      <c r="D30" s="528"/>
      <c r="E30" s="529"/>
      <c r="F30" s="530"/>
      <c r="G30" s="521"/>
      <c r="H30" s="523"/>
      <c r="I30" s="523"/>
      <c r="J30" s="524"/>
      <c r="K30" s="527"/>
      <c r="L30" s="531"/>
      <c r="M30" s="532"/>
    </row>
    <row r="31" spans="1:13">
      <c r="A31" s="496" t="str">
        <f t="shared" si="2"/>
        <v xml:space="preserve"> </v>
      </c>
      <c r="B31" s="533"/>
      <c r="C31" s="527"/>
      <c r="D31" s="528"/>
      <c r="E31" s="529"/>
      <c r="F31" s="530"/>
      <c r="G31" s="521"/>
      <c r="H31" s="523"/>
      <c r="I31" s="523"/>
      <c r="J31" s="524"/>
      <c r="K31" s="527"/>
      <c r="L31" s="531"/>
      <c r="M31" s="532"/>
    </row>
    <row r="32" spans="1:13">
      <c r="A32" s="496" t="str">
        <f t="shared" si="2"/>
        <v xml:space="preserve"> </v>
      </c>
      <c r="B32" s="533"/>
      <c r="C32" s="527"/>
      <c r="D32" s="528"/>
      <c r="E32" s="529"/>
      <c r="F32" s="530"/>
      <c r="G32" s="521"/>
      <c r="H32" s="523"/>
      <c r="I32" s="523"/>
      <c r="J32" s="524"/>
      <c r="K32" s="527"/>
      <c r="L32" s="531"/>
      <c r="M32" s="532"/>
    </row>
    <row r="33" spans="1:13">
      <c r="A33" s="496" t="str">
        <f t="shared" si="2"/>
        <v xml:space="preserve"> </v>
      </c>
      <c r="B33" s="533"/>
      <c r="C33" s="527"/>
      <c r="D33" s="528"/>
      <c r="E33" s="529"/>
      <c r="F33" s="530"/>
      <c r="G33" s="521"/>
      <c r="H33" s="523"/>
      <c r="I33" s="523"/>
      <c r="J33" s="524"/>
      <c r="K33" s="527"/>
      <c r="L33" s="531"/>
      <c r="M33" s="532"/>
    </row>
    <row r="34" spans="1:13">
      <c r="A34" s="496" t="str">
        <f t="shared" si="2"/>
        <v xml:space="preserve"> </v>
      </c>
      <c r="B34" s="533"/>
      <c r="C34" s="527"/>
      <c r="D34" s="528"/>
      <c r="E34" s="529"/>
      <c r="F34" s="530"/>
      <c r="G34" s="521"/>
      <c r="H34" s="523"/>
      <c r="I34" s="523"/>
      <c r="J34" s="524"/>
      <c r="K34" s="527"/>
      <c r="L34" s="531"/>
      <c r="M34" s="532"/>
    </row>
    <row r="35" spans="1:13">
      <c r="A35" s="496" t="str">
        <f t="shared" si="2"/>
        <v xml:space="preserve"> </v>
      </c>
      <c r="B35" s="526"/>
      <c r="C35" s="525"/>
      <c r="D35" s="515"/>
      <c r="E35" s="509"/>
      <c r="F35" s="510"/>
      <c r="G35" s="504"/>
      <c r="H35" s="496"/>
      <c r="I35" s="496"/>
      <c r="J35" s="508"/>
      <c r="K35" s="1016"/>
      <c r="L35" s="1017"/>
      <c r="M35" s="1018"/>
    </row>
    <row r="36" spans="1:13">
      <c r="A36" s="496" t="str">
        <f t="shared" si="2"/>
        <v xml:space="preserve"> </v>
      </c>
      <c r="B36" s="526"/>
      <c r="C36" s="525"/>
      <c r="D36" s="515"/>
      <c r="E36" s="509"/>
      <c r="F36" s="510"/>
      <c r="G36" s="504"/>
      <c r="H36" s="496"/>
      <c r="I36" s="496"/>
      <c r="J36" s="508"/>
      <c r="K36" s="1016"/>
      <c r="L36" s="1017"/>
      <c r="M36" s="1018"/>
    </row>
    <row r="37" spans="1:13">
      <c r="A37" s="496" t="str">
        <f t="shared" si="2"/>
        <v xml:space="preserve"> </v>
      </c>
      <c r="B37" s="526"/>
      <c r="C37" s="525"/>
      <c r="D37" s="515"/>
      <c r="E37" s="509"/>
      <c r="F37" s="510"/>
      <c r="G37" s="504"/>
      <c r="H37" s="496"/>
      <c r="I37" s="496"/>
      <c r="J37" s="508"/>
      <c r="K37" s="525"/>
      <c r="L37" s="534"/>
      <c r="M37" s="535"/>
    </row>
    <row r="38" spans="1:13">
      <c r="A38" s="496" t="str">
        <f t="shared" si="2"/>
        <v xml:space="preserve"> </v>
      </c>
      <c r="B38" s="526"/>
      <c r="C38" s="525"/>
      <c r="D38" s="515"/>
      <c r="E38" s="509"/>
      <c r="F38" s="510"/>
      <c r="G38" s="504"/>
      <c r="H38" s="496"/>
      <c r="I38" s="496"/>
      <c r="J38" s="508"/>
      <c r="K38" s="525"/>
      <c r="L38" s="534"/>
      <c r="M38" s="535"/>
    </row>
    <row r="39" spans="1:13">
      <c r="A39" s="496" t="str">
        <f t="shared" si="2"/>
        <v xml:space="preserve"> </v>
      </c>
      <c r="B39" s="526"/>
      <c r="C39" s="525"/>
      <c r="D39" s="515"/>
      <c r="E39" s="509"/>
      <c r="F39" s="510"/>
      <c r="G39" s="504"/>
      <c r="H39" s="496"/>
      <c r="I39" s="496"/>
      <c r="J39" s="508"/>
      <c r="K39" s="1016"/>
      <c r="L39" s="1017"/>
      <c r="M39" s="1018"/>
    </row>
    <row r="40" spans="1:13">
      <c r="A40" s="496" t="str">
        <f t="shared" si="2"/>
        <v xml:space="preserve"> </v>
      </c>
      <c r="B40" s="526"/>
      <c r="C40" s="525"/>
      <c r="D40" s="515"/>
      <c r="E40" s="509"/>
      <c r="F40" s="510"/>
      <c r="G40" s="504"/>
      <c r="H40" s="496"/>
      <c r="I40" s="496"/>
      <c r="J40" s="508"/>
      <c r="K40" s="1016"/>
      <c r="L40" s="1017"/>
      <c r="M40" s="1018"/>
    </row>
    <row r="41" spans="1:13">
      <c r="A41" s="496" t="str">
        <f t="shared" si="2"/>
        <v xml:space="preserve"> </v>
      </c>
      <c r="B41" s="526"/>
      <c r="C41" s="525"/>
      <c r="D41" s="515"/>
      <c r="E41" s="509"/>
      <c r="F41" s="510"/>
      <c r="G41" s="504"/>
      <c r="H41" s="496"/>
      <c r="I41" s="496"/>
      <c r="J41" s="508"/>
      <c r="K41" s="525"/>
      <c r="L41" s="534"/>
      <c r="M41" s="535"/>
    </row>
    <row r="42" spans="1:13">
      <c r="A42" s="496" t="str">
        <f t="shared" si="2"/>
        <v xml:space="preserve"> </v>
      </c>
      <c r="B42" s="526"/>
      <c r="C42" s="525"/>
      <c r="D42" s="515"/>
      <c r="E42" s="509"/>
      <c r="F42" s="510"/>
      <c r="G42" s="504"/>
      <c r="H42" s="496"/>
      <c r="I42" s="496"/>
      <c r="J42" s="508"/>
      <c r="K42" s="525"/>
      <c r="L42" s="534"/>
      <c r="M42" s="535"/>
    </row>
    <row r="43" spans="1:13">
      <c r="A43" s="496" t="str">
        <f t="shared" si="2"/>
        <v xml:space="preserve"> </v>
      </c>
      <c r="B43" s="526"/>
      <c r="C43" s="525"/>
      <c r="D43" s="515"/>
      <c r="E43" s="509"/>
      <c r="F43" s="510"/>
      <c r="G43" s="504"/>
      <c r="H43" s="496"/>
      <c r="I43" s="496"/>
      <c r="J43" s="508"/>
      <c r="K43" s="1016"/>
      <c r="L43" s="1017"/>
      <c r="M43" s="1018"/>
    </row>
    <row r="44" spans="1:13">
      <c r="A44" s="496" t="str">
        <f t="shared" si="2"/>
        <v xml:space="preserve"> </v>
      </c>
      <c r="B44" s="526"/>
      <c r="C44" s="525"/>
      <c r="D44" s="515"/>
      <c r="E44" s="509"/>
      <c r="F44" s="510"/>
      <c r="G44" s="504"/>
      <c r="H44" s="496"/>
      <c r="I44" s="496"/>
      <c r="J44" s="508"/>
      <c r="K44" s="1016"/>
      <c r="L44" s="1017"/>
      <c r="M44" s="1018"/>
    </row>
    <row r="45" spans="1:13">
      <c r="A45" s="496" t="str">
        <f t="shared" si="2"/>
        <v xml:space="preserve"> </v>
      </c>
      <c r="B45" s="526"/>
      <c r="C45" s="525"/>
      <c r="D45" s="515"/>
      <c r="E45" s="509"/>
      <c r="F45" s="510"/>
      <c r="G45" s="504"/>
      <c r="H45" s="496"/>
      <c r="I45" s="496"/>
      <c r="J45" s="508"/>
      <c r="K45" s="525"/>
      <c r="L45" s="534"/>
      <c r="M45" s="535"/>
    </row>
    <row r="46" spans="1:13">
      <c r="A46" s="496" t="str">
        <f t="shared" si="2"/>
        <v xml:space="preserve"> </v>
      </c>
      <c r="B46" s="526"/>
      <c r="C46" s="525"/>
      <c r="D46" s="515"/>
      <c r="E46" s="509"/>
      <c r="F46" s="510"/>
      <c r="G46" s="504"/>
      <c r="H46" s="496"/>
      <c r="I46" s="496"/>
      <c r="J46" s="508"/>
      <c r="K46" s="525"/>
      <c r="L46" s="534"/>
      <c r="M46" s="535"/>
    </row>
    <row r="47" spans="1:13">
      <c r="A47" s="496" t="str">
        <f t="shared" si="2"/>
        <v xml:space="preserve"> </v>
      </c>
      <c r="B47" s="526"/>
      <c r="C47" s="525"/>
      <c r="D47" s="515"/>
      <c r="E47" s="509"/>
      <c r="F47" s="510"/>
      <c r="G47" s="504"/>
      <c r="H47" s="496"/>
      <c r="I47" s="496"/>
      <c r="J47" s="508"/>
      <c r="K47" s="1016"/>
      <c r="L47" s="1017"/>
      <c r="M47" s="1018"/>
    </row>
    <row r="48" spans="1:13">
      <c r="A48" s="496" t="str">
        <f t="shared" si="2"/>
        <v xml:space="preserve"> </v>
      </c>
      <c r="B48" s="526"/>
      <c r="C48" s="525"/>
      <c r="D48" s="515"/>
      <c r="E48" s="509"/>
      <c r="F48" s="510"/>
      <c r="G48" s="504"/>
      <c r="H48" s="496"/>
      <c r="I48" s="496"/>
      <c r="J48" s="508"/>
      <c r="K48" s="1016"/>
      <c r="L48" s="1017"/>
      <c r="M48" s="1018"/>
    </row>
    <row r="49" spans="1:13">
      <c r="A49" s="496" t="str">
        <f t="shared" si="2"/>
        <v xml:space="preserve"> </v>
      </c>
      <c r="B49" s="526"/>
      <c r="C49" s="525"/>
      <c r="D49" s="515"/>
      <c r="E49" s="509"/>
      <c r="F49" s="510"/>
      <c r="G49" s="504"/>
      <c r="H49" s="496"/>
      <c r="I49" s="496"/>
      <c r="J49" s="508"/>
      <c r="K49" s="525"/>
      <c r="L49" s="534"/>
      <c r="M49" s="535"/>
    </row>
    <row r="50" spans="1:13">
      <c r="A50" s="496" t="str">
        <f t="shared" si="2"/>
        <v xml:space="preserve"> </v>
      </c>
      <c r="B50" s="526"/>
      <c r="C50" s="525"/>
      <c r="D50" s="515"/>
      <c r="E50" s="509"/>
      <c r="F50" s="510"/>
      <c r="G50" s="504"/>
      <c r="H50" s="496"/>
      <c r="I50" s="496"/>
      <c r="J50" s="508"/>
      <c r="K50" s="525"/>
      <c r="L50" s="534"/>
      <c r="M50" s="535"/>
    </row>
    <row r="51" spans="1:13">
      <c r="A51" s="496" t="str">
        <f t="shared" si="2"/>
        <v xml:space="preserve"> </v>
      </c>
      <c r="B51" s="526"/>
      <c r="C51" s="525"/>
      <c r="D51" s="515"/>
      <c r="E51" s="509"/>
      <c r="F51" s="510"/>
      <c r="G51" s="504"/>
      <c r="H51" s="496"/>
      <c r="I51" s="496"/>
      <c r="J51" s="508"/>
      <c r="K51" s="1016"/>
      <c r="L51" s="1017"/>
      <c r="M51" s="1018"/>
    </row>
    <row r="52" spans="1:13">
      <c r="A52" s="496" t="str">
        <f t="shared" si="2"/>
        <v xml:space="preserve"> </v>
      </c>
      <c r="B52" s="526"/>
      <c r="C52" s="525"/>
      <c r="D52" s="515"/>
      <c r="E52" s="509"/>
      <c r="F52" s="510"/>
      <c r="G52" s="504"/>
      <c r="H52" s="496"/>
      <c r="I52" s="496"/>
      <c r="J52" s="508"/>
      <c r="K52" s="1016"/>
      <c r="L52" s="1017"/>
      <c r="M52" s="1018"/>
    </row>
    <row r="53" spans="1:13">
      <c r="A53" s="496" t="str">
        <f t="shared" si="2"/>
        <v xml:space="preserve"> </v>
      </c>
      <c r="B53" s="526"/>
      <c r="C53" s="525"/>
      <c r="D53" s="515"/>
      <c r="E53" s="509"/>
      <c r="F53" s="510"/>
      <c r="G53" s="504"/>
      <c r="H53" s="496"/>
      <c r="I53" s="496"/>
      <c r="J53" s="508"/>
      <c r="K53" s="525"/>
      <c r="L53" s="534"/>
      <c r="M53" s="535"/>
    </row>
    <row r="54" spans="1:13">
      <c r="A54" s="496" t="str">
        <f t="shared" si="2"/>
        <v xml:space="preserve"> </v>
      </c>
      <c r="B54" s="526"/>
      <c r="C54" s="525"/>
      <c r="D54" s="515"/>
      <c r="E54" s="509"/>
      <c r="F54" s="510"/>
      <c r="G54" s="504"/>
      <c r="H54" s="496"/>
      <c r="I54" s="496"/>
      <c r="J54" s="508"/>
      <c r="K54" s="525"/>
      <c r="L54" s="534"/>
      <c r="M54" s="535"/>
    </row>
    <row r="55" spans="1:13">
      <c r="A55" s="496" t="str">
        <f t="shared" si="2"/>
        <v xml:space="preserve"> </v>
      </c>
      <c r="B55" s="526"/>
      <c r="C55" s="525"/>
      <c r="D55" s="515"/>
      <c r="E55" s="509"/>
      <c r="F55" s="510"/>
      <c r="G55" s="504"/>
      <c r="H55" s="496"/>
      <c r="I55" s="496"/>
      <c r="J55" s="508"/>
      <c r="K55" s="1016"/>
      <c r="L55" s="1017"/>
      <c r="M55" s="1018"/>
    </row>
    <row r="56" spans="1:13">
      <c r="A56" s="496" t="str">
        <f t="shared" si="2"/>
        <v xml:space="preserve"> </v>
      </c>
      <c r="B56" s="526"/>
      <c r="C56" s="525"/>
      <c r="D56" s="515"/>
      <c r="E56" s="509"/>
      <c r="F56" s="510"/>
      <c r="G56" s="504"/>
      <c r="H56" s="496"/>
      <c r="I56" s="496"/>
      <c r="J56" s="508"/>
      <c r="K56" s="1016"/>
      <c r="L56" s="1017"/>
      <c r="M56" s="1018"/>
    </row>
    <row r="57" spans="1:13">
      <c r="A57" s="496" t="str">
        <f t="shared" si="2"/>
        <v xml:space="preserve"> </v>
      </c>
      <c r="B57" s="526"/>
      <c r="C57" s="525"/>
      <c r="D57" s="515"/>
      <c r="E57" s="509"/>
      <c r="F57" s="510"/>
      <c r="G57" s="504"/>
      <c r="H57" s="496"/>
      <c r="I57" s="496"/>
      <c r="J57" s="508"/>
      <c r="K57" s="525"/>
      <c r="L57" s="534"/>
      <c r="M57" s="535"/>
    </row>
    <row r="58" spans="1:13">
      <c r="A58" s="496" t="str">
        <f t="shared" si="2"/>
        <v xml:space="preserve"> </v>
      </c>
      <c r="B58" s="526"/>
      <c r="C58" s="525"/>
      <c r="D58" s="515"/>
      <c r="E58" s="509"/>
      <c r="F58" s="510"/>
      <c r="G58" s="504"/>
      <c r="H58" s="496"/>
      <c r="I58" s="496"/>
      <c r="J58" s="508"/>
      <c r="K58" s="525"/>
      <c r="L58" s="534"/>
      <c r="M58" s="535"/>
    </row>
    <row r="59" spans="1:13">
      <c r="A59" s="496" t="str">
        <f t="shared" si="2"/>
        <v xml:space="preserve"> </v>
      </c>
      <c r="B59" s="526"/>
      <c r="C59" s="525"/>
      <c r="D59" s="515"/>
      <c r="E59" s="509"/>
      <c r="F59" s="510"/>
      <c r="G59" s="504"/>
      <c r="H59" s="496"/>
      <c r="I59" s="496"/>
      <c r="J59" s="508"/>
      <c r="K59" s="1016"/>
      <c r="L59" s="1017"/>
      <c r="M59" s="1018"/>
    </row>
    <row r="60" spans="1:13">
      <c r="A60" s="496" t="str">
        <f t="shared" si="2"/>
        <v xml:space="preserve"> </v>
      </c>
      <c r="B60" s="526"/>
      <c r="C60" s="525"/>
      <c r="D60" s="515"/>
      <c r="E60" s="509"/>
      <c r="F60" s="510"/>
      <c r="G60" s="504"/>
      <c r="H60" s="496"/>
      <c r="I60" s="496"/>
      <c r="J60" s="508"/>
      <c r="K60" s="1016"/>
      <c r="L60" s="1017"/>
      <c r="M60" s="1018"/>
    </row>
    <row r="61" spans="1:13">
      <c r="A61" s="496" t="str">
        <f t="shared" si="2"/>
        <v xml:space="preserve"> </v>
      </c>
      <c r="B61" s="526"/>
      <c r="C61" s="525"/>
      <c r="D61" s="515"/>
      <c r="E61" s="509"/>
      <c r="F61" s="510"/>
      <c r="G61" s="504"/>
      <c r="H61" s="496"/>
      <c r="I61" s="496"/>
      <c r="J61" s="508"/>
      <c r="K61" s="525"/>
      <c r="L61" s="534"/>
      <c r="M61" s="535"/>
    </row>
    <row r="62" spans="1:13">
      <c r="A62" s="496" t="str">
        <f t="shared" si="2"/>
        <v xml:space="preserve"> </v>
      </c>
      <c r="B62" s="526"/>
      <c r="C62" s="525"/>
      <c r="D62" s="515"/>
      <c r="E62" s="509"/>
      <c r="F62" s="510"/>
      <c r="G62" s="504"/>
      <c r="H62" s="496"/>
      <c r="I62" s="496"/>
      <c r="J62" s="508"/>
      <c r="K62" s="525"/>
      <c r="L62" s="534"/>
      <c r="M62" s="535"/>
    </row>
    <row r="63" spans="1:13">
      <c r="A63" s="496" t="str">
        <f t="shared" si="2"/>
        <v xml:space="preserve"> </v>
      </c>
      <c r="B63" s="526"/>
      <c r="C63" s="525"/>
      <c r="D63" s="515"/>
      <c r="E63" s="509"/>
      <c r="F63" s="510"/>
      <c r="G63" s="504"/>
      <c r="H63" s="496"/>
      <c r="I63" s="496"/>
      <c r="J63" s="508"/>
      <c r="K63" s="1016"/>
      <c r="L63" s="1017"/>
      <c r="M63" s="1018"/>
    </row>
    <row r="64" spans="1:13">
      <c r="A64" s="496" t="str">
        <f t="shared" si="2"/>
        <v xml:space="preserve"> </v>
      </c>
      <c r="B64" s="526"/>
      <c r="C64" s="525"/>
      <c r="D64" s="515"/>
      <c r="E64" s="509"/>
      <c r="F64" s="510"/>
      <c r="G64" s="504"/>
      <c r="H64" s="496"/>
      <c r="I64" s="496"/>
      <c r="J64" s="508"/>
      <c r="K64" s="1016"/>
      <c r="L64" s="1017"/>
      <c r="M64" s="1018"/>
    </row>
    <row r="65" spans="1:13">
      <c r="A65" s="496" t="str">
        <f t="shared" si="2"/>
        <v xml:space="preserve"> </v>
      </c>
      <c r="B65" s="526"/>
      <c r="C65" s="525"/>
      <c r="D65" s="515"/>
      <c r="E65" s="509"/>
      <c r="F65" s="510"/>
      <c r="G65" s="504"/>
      <c r="H65" s="496"/>
      <c r="I65" s="496"/>
      <c r="J65" s="508"/>
      <c r="K65" s="525"/>
      <c r="L65" s="534"/>
      <c r="M65" s="535"/>
    </row>
    <row r="66" spans="1:13">
      <c r="A66" s="496" t="str">
        <f t="shared" si="2"/>
        <v xml:space="preserve"> </v>
      </c>
      <c r="B66" s="526"/>
      <c r="C66" s="525"/>
      <c r="D66" s="515"/>
      <c r="E66" s="509"/>
      <c r="F66" s="510"/>
      <c r="G66" s="504"/>
      <c r="H66" s="496"/>
      <c r="I66" s="496"/>
      <c r="J66" s="508"/>
      <c r="K66" s="525"/>
      <c r="L66" s="534"/>
      <c r="M66" s="535"/>
    </row>
    <row r="67" spans="1:13">
      <c r="A67" s="496" t="str">
        <f t="shared" si="2"/>
        <v xml:space="preserve"> </v>
      </c>
      <c r="B67" s="526"/>
      <c r="C67" s="525"/>
      <c r="D67" s="515"/>
      <c r="E67" s="509"/>
      <c r="F67" s="510"/>
      <c r="G67" s="504"/>
      <c r="H67" s="496"/>
      <c r="I67" s="496"/>
      <c r="J67" s="508"/>
      <c r="K67" s="1016"/>
      <c r="L67" s="1017"/>
      <c r="M67" s="1018"/>
    </row>
    <row r="68" spans="1:13">
      <c r="A68" s="496" t="str">
        <f t="shared" si="2"/>
        <v xml:space="preserve"> </v>
      </c>
      <c r="B68" s="526"/>
      <c r="C68" s="525"/>
      <c r="D68" s="515"/>
      <c r="E68" s="509"/>
      <c r="F68" s="510"/>
      <c r="G68" s="504"/>
      <c r="H68" s="496"/>
      <c r="I68" s="496"/>
      <c r="J68" s="508"/>
      <c r="K68" s="1016"/>
      <c r="L68" s="1017"/>
      <c r="M68" s="1018"/>
    </row>
    <row r="69" spans="1:13">
      <c r="A69" s="496" t="str">
        <f t="shared" si="2"/>
        <v xml:space="preserve"> </v>
      </c>
      <c r="B69" s="526"/>
      <c r="C69" s="525"/>
      <c r="D69" s="515"/>
      <c r="E69" s="509"/>
      <c r="F69" s="510"/>
      <c r="G69" s="504"/>
      <c r="H69" s="496"/>
      <c r="I69" s="496"/>
      <c r="J69" s="508"/>
      <c r="K69" s="525"/>
      <c r="L69" s="534"/>
      <c r="M69" s="535"/>
    </row>
    <row r="70" spans="1:13">
      <c r="A70" s="496" t="str">
        <f t="shared" si="2"/>
        <v xml:space="preserve"> </v>
      </c>
      <c r="B70" s="526"/>
      <c r="C70" s="525"/>
      <c r="D70" s="515"/>
      <c r="E70" s="509"/>
      <c r="F70" s="510"/>
      <c r="G70" s="504"/>
      <c r="H70" s="496"/>
      <c r="I70" s="496"/>
      <c r="J70" s="508"/>
      <c r="K70" s="525"/>
      <c r="L70" s="534"/>
      <c r="M70" s="535"/>
    </row>
    <row r="71" spans="1:13">
      <c r="A71" s="496" t="str">
        <f t="shared" si="2"/>
        <v xml:space="preserve"> </v>
      </c>
      <c r="B71" s="526"/>
      <c r="C71" s="525"/>
      <c r="D71" s="515"/>
      <c r="E71" s="509"/>
      <c r="F71" s="510"/>
      <c r="G71" s="504"/>
      <c r="H71" s="496"/>
      <c r="I71" s="496"/>
      <c r="J71" s="508"/>
      <c r="K71" s="1016"/>
      <c r="L71" s="1017"/>
      <c r="M71" s="1018"/>
    </row>
    <row r="72" spans="1:13">
      <c r="A72" s="496" t="str">
        <f t="shared" si="2"/>
        <v xml:space="preserve"> </v>
      </c>
      <c r="B72" s="526"/>
      <c r="C72" s="525"/>
      <c r="D72" s="515"/>
      <c r="E72" s="509"/>
      <c r="F72" s="510"/>
      <c r="G72" s="504"/>
      <c r="H72" s="496"/>
      <c r="I72" s="496"/>
      <c r="J72" s="508"/>
      <c r="K72" s="1016"/>
      <c r="L72" s="1017"/>
      <c r="M72" s="1018"/>
    </row>
    <row r="73" spans="1:13">
      <c r="A73" s="496" t="str">
        <f t="shared" si="2"/>
        <v xml:space="preserve"> </v>
      </c>
      <c r="B73" s="526"/>
      <c r="C73" s="525"/>
      <c r="D73" s="515"/>
      <c r="E73" s="509"/>
      <c r="F73" s="510"/>
      <c r="G73" s="504"/>
      <c r="H73" s="496"/>
      <c r="I73" s="496"/>
      <c r="J73" s="508"/>
      <c r="K73" s="525"/>
      <c r="L73" s="534"/>
      <c r="M73" s="535"/>
    </row>
    <row r="74" spans="1:13">
      <c r="A74" s="496" t="str">
        <f t="shared" si="2"/>
        <v xml:space="preserve"> </v>
      </c>
      <c r="B74" s="526"/>
      <c r="C74" s="525"/>
      <c r="D74" s="515"/>
      <c r="E74" s="509"/>
      <c r="F74" s="510"/>
      <c r="G74" s="504"/>
      <c r="H74" s="496"/>
      <c r="I74" s="496"/>
      <c r="J74" s="508"/>
      <c r="K74" s="525"/>
      <c r="L74" s="534"/>
      <c r="M74" s="535"/>
    </row>
    <row r="75" spans="1:13">
      <c r="A75" s="496" t="str">
        <f t="shared" si="2"/>
        <v xml:space="preserve"> </v>
      </c>
      <c r="B75" s="526"/>
      <c r="C75" s="525"/>
      <c r="D75" s="515"/>
      <c r="E75" s="509"/>
      <c r="F75" s="510"/>
      <c r="G75" s="504"/>
      <c r="H75" s="496"/>
      <c r="I75" s="496"/>
      <c r="J75" s="508"/>
      <c r="K75" s="1016"/>
      <c r="L75" s="1017"/>
      <c r="M75" s="1018"/>
    </row>
    <row r="76" spans="1:13">
      <c r="A76" s="496" t="str">
        <f t="shared" si="2"/>
        <v xml:space="preserve"> </v>
      </c>
      <c r="B76" s="526"/>
      <c r="C76" s="525"/>
      <c r="D76" s="515"/>
      <c r="E76" s="509"/>
      <c r="F76" s="510"/>
      <c r="G76" s="504"/>
      <c r="H76" s="496"/>
      <c r="I76" s="496"/>
      <c r="J76" s="508"/>
      <c r="K76" s="1016"/>
      <c r="L76" s="1017"/>
      <c r="M76" s="1018"/>
    </row>
    <row r="77" spans="1:13">
      <c r="A77" s="496" t="str">
        <f t="shared" si="2"/>
        <v xml:space="preserve"> </v>
      </c>
      <c r="B77" s="526"/>
      <c r="C77" s="525"/>
      <c r="D77" s="515"/>
      <c r="E77" s="509"/>
      <c r="F77" s="510"/>
      <c r="G77" s="504"/>
      <c r="H77" s="496"/>
      <c r="I77" s="496"/>
      <c r="J77" s="508"/>
      <c r="K77" s="525"/>
      <c r="L77" s="534"/>
      <c r="M77" s="535"/>
    </row>
    <row r="78" spans="1:13">
      <c r="A78" s="496" t="str">
        <f t="shared" ref="A78:A97" si="3">IF(B78=""," ",A72+1)</f>
        <v xml:space="preserve"> </v>
      </c>
      <c r="B78" s="526"/>
      <c r="C78" s="525"/>
      <c r="D78" s="515"/>
      <c r="E78" s="509"/>
      <c r="F78" s="510"/>
      <c r="G78" s="504"/>
      <c r="H78" s="496"/>
      <c r="I78" s="496"/>
      <c r="J78" s="508"/>
      <c r="K78" s="525"/>
      <c r="L78" s="534"/>
      <c r="M78" s="535"/>
    </row>
    <row r="79" spans="1:13">
      <c r="A79" s="496" t="str">
        <f t="shared" si="3"/>
        <v xml:space="preserve"> </v>
      </c>
      <c r="B79" s="526"/>
      <c r="C79" s="525"/>
      <c r="D79" s="515"/>
      <c r="E79" s="509"/>
      <c r="F79" s="510"/>
      <c r="G79" s="504"/>
      <c r="H79" s="496"/>
      <c r="I79" s="496"/>
      <c r="J79" s="508"/>
      <c r="K79" s="1016"/>
      <c r="L79" s="1017"/>
      <c r="M79" s="1018"/>
    </row>
    <row r="80" spans="1:13">
      <c r="A80" s="496" t="str">
        <f t="shared" si="3"/>
        <v xml:space="preserve"> </v>
      </c>
      <c r="B80" s="526"/>
      <c r="C80" s="525"/>
      <c r="D80" s="515"/>
      <c r="E80" s="509"/>
      <c r="F80" s="510"/>
      <c r="G80" s="504"/>
      <c r="H80" s="496"/>
      <c r="I80" s="496"/>
      <c r="J80" s="508"/>
      <c r="K80" s="1016"/>
      <c r="L80" s="1017"/>
      <c r="M80" s="1018"/>
    </row>
    <row r="81" spans="1:13">
      <c r="A81" s="496" t="str">
        <f t="shared" si="3"/>
        <v xml:space="preserve"> </v>
      </c>
      <c r="B81" s="526"/>
      <c r="C81" s="525"/>
      <c r="D81" s="515"/>
      <c r="E81" s="509"/>
      <c r="F81" s="510"/>
      <c r="G81" s="504"/>
      <c r="H81" s="496"/>
      <c r="I81" s="496"/>
      <c r="J81" s="508"/>
      <c r="K81" s="525"/>
      <c r="L81" s="534"/>
      <c r="M81" s="535"/>
    </row>
    <row r="82" spans="1:13">
      <c r="A82" s="496" t="str">
        <f t="shared" si="3"/>
        <v xml:space="preserve"> </v>
      </c>
      <c r="B82" s="526"/>
      <c r="C82" s="525"/>
      <c r="D82" s="515"/>
      <c r="E82" s="509"/>
      <c r="F82" s="510"/>
      <c r="G82" s="504"/>
      <c r="H82" s="496"/>
      <c r="I82" s="496"/>
      <c r="J82" s="508"/>
      <c r="K82" s="525"/>
      <c r="L82" s="534"/>
      <c r="M82" s="535"/>
    </row>
    <row r="83" spans="1:13">
      <c r="A83" s="496" t="str">
        <f t="shared" si="3"/>
        <v xml:space="preserve"> </v>
      </c>
      <c r="B83" s="526"/>
      <c r="C83" s="525"/>
      <c r="D83" s="515"/>
      <c r="E83" s="509"/>
      <c r="F83" s="510"/>
      <c r="G83" s="504"/>
      <c r="H83" s="496"/>
      <c r="I83" s="496"/>
      <c r="J83" s="508"/>
      <c r="K83" s="1016"/>
      <c r="L83" s="1017"/>
      <c r="M83" s="1018"/>
    </row>
    <row r="84" spans="1:13">
      <c r="A84" s="496" t="str">
        <f t="shared" si="3"/>
        <v xml:space="preserve"> </v>
      </c>
      <c r="B84" s="526"/>
      <c r="C84" s="525"/>
      <c r="D84" s="515"/>
      <c r="E84" s="509"/>
      <c r="F84" s="510"/>
      <c r="G84" s="504"/>
      <c r="H84" s="496"/>
      <c r="I84" s="496"/>
      <c r="J84" s="508"/>
      <c r="K84" s="1016"/>
      <c r="L84" s="1017"/>
      <c r="M84" s="1018"/>
    </row>
    <row r="85" spans="1:13">
      <c r="A85" s="496" t="str">
        <f t="shared" si="3"/>
        <v xml:space="preserve"> </v>
      </c>
      <c r="B85" s="526"/>
      <c r="C85" s="525"/>
      <c r="D85" s="515"/>
      <c r="E85" s="509"/>
      <c r="F85" s="510"/>
      <c r="G85" s="504"/>
      <c r="H85" s="496"/>
      <c r="I85" s="496"/>
      <c r="J85" s="508"/>
      <c r="K85" s="525"/>
      <c r="L85" s="534"/>
      <c r="M85" s="535"/>
    </row>
    <row r="86" spans="1:13">
      <c r="A86" s="496" t="str">
        <f t="shared" si="3"/>
        <v xml:space="preserve"> </v>
      </c>
      <c r="B86" s="526"/>
      <c r="C86" s="525"/>
      <c r="D86" s="515"/>
      <c r="E86" s="509"/>
      <c r="F86" s="510"/>
      <c r="G86" s="504"/>
      <c r="H86" s="496"/>
      <c r="I86" s="496"/>
      <c r="J86" s="508"/>
      <c r="K86" s="525"/>
      <c r="L86" s="534"/>
      <c r="M86" s="535"/>
    </row>
    <row r="87" spans="1:13">
      <c r="A87" s="496" t="str">
        <f t="shared" si="3"/>
        <v xml:space="preserve"> </v>
      </c>
      <c r="B87" s="526"/>
      <c r="C87" s="525"/>
      <c r="D87" s="515"/>
      <c r="E87" s="509"/>
      <c r="F87" s="510"/>
      <c r="G87" s="504"/>
      <c r="H87" s="496"/>
      <c r="I87" s="496"/>
      <c r="J87" s="508"/>
      <c r="K87" s="1016"/>
      <c r="L87" s="1017"/>
      <c r="M87" s="1018"/>
    </row>
    <row r="88" spans="1:13">
      <c r="A88" s="496" t="str">
        <f t="shared" si="3"/>
        <v xml:space="preserve"> </v>
      </c>
      <c r="B88" s="526"/>
      <c r="C88" s="525"/>
      <c r="D88" s="515"/>
      <c r="E88" s="509"/>
      <c r="F88" s="510"/>
      <c r="G88" s="504"/>
      <c r="H88" s="496"/>
      <c r="I88" s="496"/>
      <c r="J88" s="508"/>
      <c r="K88" s="1016"/>
      <c r="L88" s="1017"/>
      <c r="M88" s="1018"/>
    </row>
    <row r="89" spans="1:13">
      <c r="A89" s="496" t="str">
        <f t="shared" si="3"/>
        <v xml:space="preserve"> </v>
      </c>
      <c r="B89" s="526"/>
      <c r="C89" s="525"/>
      <c r="D89" s="515"/>
      <c r="E89" s="509"/>
      <c r="F89" s="510"/>
      <c r="G89" s="504"/>
      <c r="H89" s="496"/>
      <c r="I89" s="496"/>
      <c r="J89" s="508"/>
      <c r="K89" s="525"/>
      <c r="L89" s="534"/>
      <c r="M89" s="535"/>
    </row>
    <row r="90" spans="1:13">
      <c r="A90" s="496" t="str">
        <f t="shared" si="3"/>
        <v xml:space="preserve"> </v>
      </c>
      <c r="B90" s="526"/>
      <c r="C90" s="525"/>
      <c r="D90" s="515"/>
      <c r="E90" s="509"/>
      <c r="F90" s="510"/>
      <c r="G90" s="504"/>
      <c r="H90" s="496"/>
      <c r="I90" s="496"/>
      <c r="J90" s="508"/>
      <c r="K90" s="525"/>
      <c r="L90" s="534"/>
      <c r="M90" s="535"/>
    </row>
    <row r="91" spans="1:13">
      <c r="A91" s="496" t="str">
        <f t="shared" si="3"/>
        <v xml:space="preserve"> </v>
      </c>
      <c r="B91" s="526"/>
      <c r="C91" s="525"/>
      <c r="D91" s="515"/>
      <c r="E91" s="509"/>
      <c r="F91" s="510"/>
      <c r="G91" s="504"/>
      <c r="H91" s="496"/>
      <c r="I91" s="496"/>
      <c r="J91" s="508"/>
      <c r="K91" s="1016"/>
      <c r="L91" s="1017"/>
      <c r="M91" s="1018"/>
    </row>
    <row r="92" spans="1:13">
      <c r="A92" s="496" t="str">
        <f t="shared" si="3"/>
        <v xml:space="preserve"> </v>
      </c>
      <c r="B92" s="526"/>
      <c r="C92" s="525"/>
      <c r="D92" s="515"/>
      <c r="E92" s="509"/>
      <c r="F92" s="510"/>
      <c r="G92" s="504"/>
      <c r="H92" s="496"/>
      <c r="I92" s="496"/>
      <c r="J92" s="508"/>
      <c r="K92" s="1016"/>
      <c r="L92" s="1017"/>
      <c r="M92" s="1018"/>
    </row>
    <row r="93" spans="1:13">
      <c r="A93" s="496" t="str">
        <f t="shared" si="3"/>
        <v xml:space="preserve"> </v>
      </c>
      <c r="B93" s="526"/>
      <c r="C93" s="525"/>
      <c r="D93" s="515"/>
      <c r="E93" s="509"/>
      <c r="F93" s="510"/>
      <c r="G93" s="504"/>
      <c r="H93" s="496"/>
      <c r="I93" s="496"/>
      <c r="J93" s="508"/>
      <c r="K93" s="525"/>
      <c r="L93" s="534"/>
      <c r="M93" s="535"/>
    </row>
    <row r="94" spans="1:13">
      <c r="A94" s="496" t="str">
        <f t="shared" si="3"/>
        <v xml:space="preserve"> </v>
      </c>
      <c r="B94" s="526"/>
      <c r="C94" s="525"/>
      <c r="D94" s="515"/>
      <c r="E94" s="509"/>
      <c r="F94" s="510"/>
      <c r="G94" s="504"/>
      <c r="H94" s="496"/>
      <c r="I94" s="496"/>
      <c r="J94" s="508"/>
      <c r="K94" s="525"/>
      <c r="L94" s="534"/>
      <c r="M94" s="535"/>
    </row>
    <row r="95" spans="1:13">
      <c r="A95" s="496" t="str">
        <f t="shared" si="3"/>
        <v xml:space="preserve"> </v>
      </c>
      <c r="B95" s="526"/>
      <c r="C95" s="525"/>
      <c r="D95" s="515"/>
      <c r="E95" s="509"/>
      <c r="F95" s="510"/>
      <c r="G95" s="504"/>
      <c r="H95" s="496"/>
      <c r="I95" s="496"/>
      <c r="J95" s="508"/>
      <c r="K95" s="1016"/>
      <c r="L95" s="1017"/>
      <c r="M95" s="1018"/>
    </row>
    <row r="96" spans="1:13">
      <c r="A96" s="496" t="str">
        <f t="shared" si="3"/>
        <v xml:space="preserve"> </v>
      </c>
      <c r="B96" s="526"/>
      <c r="C96" s="525"/>
      <c r="D96" s="515"/>
      <c r="E96" s="509"/>
      <c r="F96" s="510"/>
      <c r="G96" s="504"/>
      <c r="H96" s="496"/>
      <c r="I96" s="496"/>
      <c r="J96" s="508"/>
      <c r="K96" s="1016"/>
      <c r="L96" s="1017"/>
      <c r="M96" s="1018"/>
    </row>
    <row r="97" spans="1:13">
      <c r="A97" s="496" t="str">
        <f t="shared" si="3"/>
        <v xml:space="preserve"> </v>
      </c>
      <c r="B97" s="526"/>
      <c r="C97" s="525"/>
      <c r="D97" s="515"/>
      <c r="E97" s="509"/>
      <c r="F97" s="510"/>
      <c r="G97" s="504"/>
      <c r="H97" s="496"/>
      <c r="I97" s="496"/>
      <c r="J97" s="508"/>
      <c r="K97" s="1016"/>
      <c r="L97" s="1017"/>
      <c r="M97" s="1018"/>
    </row>
    <row r="99" spans="1:13">
      <c r="B99" s="490" t="s">
        <v>1902</v>
      </c>
    </row>
    <row r="109" spans="1:13">
      <c r="B109" s="536"/>
    </row>
  </sheetData>
  <mergeCells count="63">
    <mergeCell ref="A2:B2"/>
    <mergeCell ref="C2:G2"/>
    <mergeCell ref="H2:J2"/>
    <mergeCell ref="A3:B3"/>
    <mergeCell ref="C3:G3"/>
    <mergeCell ref="H3:I3"/>
    <mergeCell ref="K11:M11"/>
    <mergeCell ref="A4:B4"/>
    <mergeCell ref="C4:G4"/>
    <mergeCell ref="H4:I4"/>
    <mergeCell ref="A5:A6"/>
    <mergeCell ref="B5:C5"/>
    <mergeCell ref="D5:H5"/>
    <mergeCell ref="I5:J5"/>
    <mergeCell ref="K5:M6"/>
    <mergeCell ref="K7:M7"/>
    <mergeCell ref="K8:M8"/>
    <mergeCell ref="K9:M9"/>
    <mergeCell ref="K10:M10"/>
    <mergeCell ref="K35:M35"/>
    <mergeCell ref="K12:M12"/>
    <mergeCell ref="K13:M13"/>
    <mergeCell ref="K14:M14"/>
    <mergeCell ref="K15:M15"/>
    <mergeCell ref="K16:M16"/>
    <mergeCell ref="K17:M17"/>
    <mergeCell ref="K18:M18"/>
    <mergeCell ref="K19:M19"/>
    <mergeCell ref="K20:M20"/>
    <mergeCell ref="K21:M21"/>
    <mergeCell ref="K22:M22"/>
    <mergeCell ref="K59:M59"/>
    <mergeCell ref="K36:M36"/>
    <mergeCell ref="K39:M39"/>
    <mergeCell ref="K40:M40"/>
    <mergeCell ref="K43:M43"/>
    <mergeCell ref="K44:M44"/>
    <mergeCell ref="K47:M47"/>
    <mergeCell ref="K48:M48"/>
    <mergeCell ref="K51:M51"/>
    <mergeCell ref="K52:M52"/>
    <mergeCell ref="K55:M55"/>
    <mergeCell ref="K56:M56"/>
    <mergeCell ref="K83:M83"/>
    <mergeCell ref="K60:M60"/>
    <mergeCell ref="K63:M63"/>
    <mergeCell ref="K64:M64"/>
    <mergeCell ref="K67:M67"/>
    <mergeCell ref="K68:M68"/>
    <mergeCell ref="K71:M71"/>
    <mergeCell ref="K72:M72"/>
    <mergeCell ref="K75:M75"/>
    <mergeCell ref="K76:M76"/>
    <mergeCell ref="K79:M79"/>
    <mergeCell ref="K80:M80"/>
    <mergeCell ref="K96:M96"/>
    <mergeCell ref="K97:M97"/>
    <mergeCell ref="K84:M84"/>
    <mergeCell ref="K87:M87"/>
    <mergeCell ref="K88:M88"/>
    <mergeCell ref="K91:M91"/>
    <mergeCell ref="K92:M92"/>
    <mergeCell ref="K95:M95"/>
  </mergeCells>
  <phoneticPr fontId="6"/>
  <pageMargins left="0.78680555555555554" right="0.19652777777777777" top="0.59027777777777779" bottom="0.59027777777777779" header="0.51111111111111107" footer="0.39305555555555555"/>
  <pageSetup paperSize="9" scale="68" fitToHeight="0" orientation="portrait" r:id="rId1"/>
  <headerFooter scaleWithDoc="0" alignWithMargins="0">
    <oddFooter>&amp;C&amp;10&amp;P/&amp;N&amp;R&amp;10&amp;A</oddFooter>
  </headerFooter>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pageSetUpPr fitToPage="1"/>
  </sheetPr>
  <dimension ref="A1:P109"/>
  <sheetViews>
    <sheetView showGridLines="0" zoomScaleSheetLayoutView="100" workbookViewId="0">
      <pane ySplit="6" topLeftCell="A7" activePane="bottomLeft" state="frozen"/>
      <selection pane="bottomLeft"/>
    </sheetView>
  </sheetViews>
  <sheetFormatPr defaultRowHeight="12"/>
  <cols>
    <col min="1" max="1" width="3.875" style="489" customWidth="1"/>
    <col min="2" max="2" width="28.625" style="490" customWidth="1"/>
    <col min="3" max="3" width="13.375" style="490" customWidth="1"/>
    <col min="4" max="4" width="9.375" style="490" customWidth="1"/>
    <col min="5" max="6" width="4.75" style="490" bestFit="1" customWidth="1"/>
    <col min="7" max="7" width="6.125" style="490" bestFit="1" customWidth="1"/>
    <col min="8" max="8" width="4.75" style="490" bestFit="1" customWidth="1"/>
    <col min="9" max="9" width="4.75" style="490" customWidth="1"/>
    <col min="10" max="11" width="9.625" style="490" customWidth="1"/>
    <col min="12" max="13" width="10.25" style="490" customWidth="1"/>
    <col min="14" max="14" width="9" style="490"/>
    <col min="15" max="16" width="9" style="490" hidden="1" customWidth="1"/>
    <col min="17" max="16384" width="9" style="490"/>
  </cols>
  <sheetData>
    <row r="1" spans="1:16">
      <c r="B1" s="47"/>
    </row>
    <row r="2" spans="1:16">
      <c r="A2" s="1025" t="s">
        <v>1847</v>
      </c>
      <c r="B2" s="1026"/>
      <c r="C2" s="1025" t="s">
        <v>1848</v>
      </c>
      <c r="D2" s="1029"/>
      <c r="E2" s="1029"/>
      <c r="F2" s="1029"/>
      <c r="G2" s="1026"/>
      <c r="H2" s="1025"/>
      <c r="I2" s="1029"/>
      <c r="J2" s="1026"/>
      <c r="K2" s="491"/>
      <c r="L2" s="492" t="s">
        <v>1849</v>
      </c>
      <c r="M2" s="492" t="s">
        <v>1850</v>
      </c>
    </row>
    <row r="3" spans="1:16">
      <c r="A3" s="1037"/>
      <c r="B3" s="1038"/>
      <c r="C3" s="1039" t="s">
        <v>1925</v>
      </c>
      <c r="D3" s="1040"/>
      <c r="E3" s="1040"/>
      <c r="F3" s="1040"/>
      <c r="G3" s="1041"/>
      <c r="H3" s="1025" t="s">
        <v>1852</v>
      </c>
      <c r="I3" s="1026"/>
      <c r="J3" s="493">
        <f>COUNT(A7:A97)</f>
        <v>6</v>
      </c>
      <c r="K3" s="492" t="s">
        <v>1853</v>
      </c>
      <c r="L3" s="494">
        <v>44013</v>
      </c>
      <c r="M3" s="495" t="s">
        <v>1854</v>
      </c>
      <c r="O3" s="490" t="s">
        <v>1855</v>
      </c>
      <c r="P3" s="490" t="s">
        <v>1856</v>
      </c>
    </row>
    <row r="4" spans="1:16">
      <c r="A4" s="1022" t="s">
        <v>1857</v>
      </c>
      <c r="B4" s="1023"/>
      <c r="C4" s="1022" t="s">
        <v>1931</v>
      </c>
      <c r="D4" s="1024"/>
      <c r="E4" s="1024"/>
      <c r="F4" s="1024"/>
      <c r="G4" s="1023"/>
      <c r="H4" s="1025" t="s">
        <v>1858</v>
      </c>
      <c r="I4" s="1026"/>
      <c r="J4" s="493">
        <f>SUM(G7:G97)</f>
        <v>44</v>
      </c>
      <c r="K4" s="492" t="s">
        <v>1859</v>
      </c>
      <c r="L4" s="494"/>
      <c r="M4" s="496"/>
      <c r="O4" s="490" t="s">
        <v>1860</v>
      </c>
      <c r="P4" s="490" t="s">
        <v>533</v>
      </c>
    </row>
    <row r="5" spans="1:16">
      <c r="A5" s="1027" t="s">
        <v>1861</v>
      </c>
      <c r="B5" s="1025" t="s">
        <v>1862</v>
      </c>
      <c r="C5" s="1029"/>
      <c r="D5" s="1030" t="s">
        <v>1863</v>
      </c>
      <c r="E5" s="1029"/>
      <c r="F5" s="1029"/>
      <c r="G5" s="1029"/>
      <c r="H5" s="1029"/>
      <c r="I5" s="1025" t="s">
        <v>1864</v>
      </c>
      <c r="J5" s="1026"/>
      <c r="K5" s="1031" t="s">
        <v>1865</v>
      </c>
      <c r="L5" s="1032"/>
      <c r="M5" s="1033"/>
      <c r="P5" s="490" t="s">
        <v>1866</v>
      </c>
    </row>
    <row r="6" spans="1:16">
      <c r="A6" s="1028"/>
      <c r="B6" s="492" t="s">
        <v>1867</v>
      </c>
      <c r="C6" s="551" t="s">
        <v>1868</v>
      </c>
      <c r="D6" s="498" t="s">
        <v>1856</v>
      </c>
      <c r="E6" s="499" t="s">
        <v>1869</v>
      </c>
      <c r="F6" s="500" t="s">
        <v>1870</v>
      </c>
      <c r="G6" s="492" t="s">
        <v>1871</v>
      </c>
      <c r="H6" s="552" t="s">
        <v>1872</v>
      </c>
      <c r="I6" s="552" t="s">
        <v>1873</v>
      </c>
      <c r="J6" s="552" t="s">
        <v>1874</v>
      </c>
      <c r="K6" s="1034"/>
      <c r="L6" s="1035"/>
      <c r="M6" s="1036"/>
      <c r="P6" s="490" t="s">
        <v>1875</v>
      </c>
    </row>
    <row r="7" spans="1:16">
      <c r="A7" s="496">
        <f t="shared" ref="A7:A13" si="0">IF(B7=""," ",A6+1)</f>
        <v>1</v>
      </c>
      <c r="B7" s="48" t="s">
        <v>54</v>
      </c>
      <c r="C7" s="49" t="s">
        <v>246</v>
      </c>
      <c r="D7" s="78" t="s">
        <v>533</v>
      </c>
      <c r="E7" s="98">
        <v>16</v>
      </c>
      <c r="F7" s="507"/>
      <c r="G7" s="504">
        <f>IF(D7="DATE",4,IF(D7="CHAR",E7,IF(D7="SMALLINT",2,IF(D7="INTEGER",4,IF(D7="TIMESTAMP",10,IF(D7="TIME",3,0))))))</f>
        <v>16</v>
      </c>
      <c r="H7" s="505" t="s">
        <v>1860</v>
      </c>
      <c r="I7" s="505" t="s">
        <v>1860</v>
      </c>
      <c r="J7" s="506"/>
      <c r="K7" s="599"/>
      <c r="L7" s="600"/>
      <c r="M7" s="601"/>
    </row>
    <row r="8" spans="1:16" s="514" customFormat="1">
      <c r="A8" s="496">
        <f t="shared" si="0"/>
        <v>2</v>
      </c>
      <c r="B8" s="48" t="s">
        <v>1926</v>
      </c>
      <c r="C8" s="517" t="s">
        <v>1929</v>
      </c>
      <c r="D8" s="537" t="s">
        <v>533</v>
      </c>
      <c r="E8" s="98">
        <v>2</v>
      </c>
      <c r="F8" s="507"/>
      <c r="G8" s="504">
        <f>IF(D8="DATE",4,IF(D8="CHAR",E8,IF(D8="SMALLINT",2,IF(D8="INTEGER",4,IF(D8="TIMESTAMP",10,IF(D8="TIME",3,0))))))</f>
        <v>2</v>
      </c>
      <c r="H8" s="505" t="s">
        <v>1860</v>
      </c>
      <c r="I8" s="505" t="s">
        <v>1860</v>
      </c>
      <c r="J8" s="524"/>
      <c r="K8" s="1019"/>
      <c r="L8" s="1020"/>
      <c r="M8" s="1021"/>
    </row>
    <row r="9" spans="1:16">
      <c r="A9" s="496">
        <f t="shared" si="0"/>
        <v>3</v>
      </c>
      <c r="B9" s="511" t="s">
        <v>1545</v>
      </c>
      <c r="C9" s="512" t="s">
        <v>1928</v>
      </c>
      <c r="D9" s="513" t="s">
        <v>1878</v>
      </c>
      <c r="E9" s="502"/>
      <c r="F9" s="507"/>
      <c r="G9" s="504">
        <f t="shared" ref="G9:G12" si="1">IF(D9="DATE",4,IF(D9="CHAR",E9,IF(D9="SMALLINT",2,IF(D9="INTEGER",4,IF(D9="TIMESTAMP",10,IF(D9="TIME",3,0))))))</f>
        <v>4</v>
      </c>
      <c r="H9" s="505" t="s">
        <v>1860</v>
      </c>
      <c r="I9" s="496" t="s">
        <v>1860</v>
      </c>
      <c r="J9" s="508"/>
      <c r="K9" s="1016" t="s">
        <v>1892</v>
      </c>
      <c r="L9" s="1017"/>
      <c r="M9" s="1018"/>
      <c r="P9" s="490" t="s">
        <v>1882</v>
      </c>
    </row>
    <row r="10" spans="1:16">
      <c r="A10" s="496">
        <f t="shared" si="0"/>
        <v>4</v>
      </c>
      <c r="B10" s="511" t="s">
        <v>1893</v>
      </c>
      <c r="C10" s="512" t="s">
        <v>1930</v>
      </c>
      <c r="D10" s="513" t="s">
        <v>1878</v>
      </c>
      <c r="E10" s="502"/>
      <c r="F10" s="507"/>
      <c r="G10" s="504">
        <f t="shared" si="1"/>
        <v>4</v>
      </c>
      <c r="H10" s="505" t="s">
        <v>1860</v>
      </c>
      <c r="I10" s="505"/>
      <c r="J10" s="508"/>
      <c r="K10" s="1016" t="s">
        <v>1895</v>
      </c>
      <c r="L10" s="1017"/>
      <c r="M10" s="1018"/>
      <c r="P10" s="490" t="s">
        <v>1882</v>
      </c>
    </row>
    <row r="11" spans="1:16" s="514" customFormat="1">
      <c r="A11" s="496">
        <f t="shared" si="0"/>
        <v>5</v>
      </c>
      <c r="B11" s="511" t="s">
        <v>1896</v>
      </c>
      <c r="C11" s="512" t="s">
        <v>1927</v>
      </c>
      <c r="D11" s="515" t="s">
        <v>533</v>
      </c>
      <c r="E11" s="502">
        <v>8</v>
      </c>
      <c r="F11" s="507"/>
      <c r="G11" s="504">
        <f t="shared" si="1"/>
        <v>8</v>
      </c>
      <c r="H11" s="505" t="s">
        <v>1860</v>
      </c>
      <c r="I11" s="505"/>
      <c r="J11" s="508"/>
      <c r="K11" s="1016" t="s">
        <v>1898</v>
      </c>
      <c r="L11" s="1017"/>
      <c r="M11" s="1018"/>
    </row>
    <row r="12" spans="1:16" s="514" customFormat="1" ht="12" customHeight="1">
      <c r="A12" s="496">
        <f t="shared" si="0"/>
        <v>6</v>
      </c>
      <c r="B12" s="93" t="s">
        <v>1899</v>
      </c>
      <c r="C12" s="545" t="s">
        <v>1035</v>
      </c>
      <c r="D12" s="94" t="s">
        <v>1901</v>
      </c>
      <c r="E12" s="95"/>
      <c r="F12" s="90"/>
      <c r="G12" s="504">
        <f t="shared" si="1"/>
        <v>10</v>
      </c>
      <c r="H12" s="91" t="s">
        <v>1860</v>
      </c>
      <c r="I12" s="89"/>
      <c r="J12" s="92"/>
      <c r="K12" s="602"/>
      <c r="L12" s="603"/>
      <c r="M12" s="604"/>
    </row>
    <row r="13" spans="1:16" ht="12" customHeight="1">
      <c r="A13" s="496" t="str">
        <f t="shared" si="0"/>
        <v xml:space="preserve"> </v>
      </c>
      <c r="B13" s="48"/>
      <c r="C13" s="49"/>
      <c r="D13" s="78"/>
      <c r="E13" s="98"/>
      <c r="F13" s="507"/>
      <c r="G13" s="504"/>
      <c r="H13" s="505"/>
      <c r="I13" s="505"/>
      <c r="J13" s="508"/>
      <c r="K13" s="599"/>
      <c r="L13" s="600"/>
      <c r="M13" s="601"/>
    </row>
    <row r="14" spans="1:16" ht="13.5" customHeight="1">
      <c r="A14" s="496" t="str">
        <f t="shared" ref="A14:A77" si="2">IF(B14=""," ",A8+1)</f>
        <v xml:space="preserve"> </v>
      </c>
      <c r="B14" s="66"/>
      <c r="C14" s="546"/>
      <c r="D14" s="515"/>
      <c r="E14" s="509"/>
      <c r="F14" s="510"/>
      <c r="G14" s="504"/>
      <c r="H14" s="496"/>
      <c r="I14" s="496"/>
      <c r="J14" s="508"/>
      <c r="K14" s="628"/>
      <c r="L14" s="629"/>
      <c r="M14" s="630"/>
    </row>
    <row r="15" spans="1:16" ht="13.5" customHeight="1">
      <c r="A15" s="496" t="str">
        <f t="shared" si="2"/>
        <v xml:space="preserve"> </v>
      </c>
      <c r="B15" s="66"/>
      <c r="C15" s="546"/>
      <c r="D15" s="515"/>
      <c r="E15" s="509"/>
      <c r="F15" s="510"/>
      <c r="G15" s="504"/>
      <c r="H15" s="496"/>
      <c r="I15" s="496"/>
      <c r="J15" s="508"/>
      <c r="K15" s="628"/>
      <c r="L15" s="629"/>
      <c r="M15" s="630"/>
    </row>
    <row r="16" spans="1:16" ht="13.5" customHeight="1">
      <c r="A16" s="496" t="str">
        <f t="shared" si="2"/>
        <v xml:space="preserve"> </v>
      </c>
      <c r="B16" s="526"/>
      <c r="C16" s="546"/>
      <c r="D16" s="515"/>
      <c r="E16" s="509"/>
      <c r="F16" s="510"/>
      <c r="G16" s="504"/>
      <c r="H16" s="496"/>
      <c r="I16" s="496"/>
      <c r="J16" s="508"/>
      <c r="K16" s="628"/>
      <c r="L16" s="629"/>
      <c r="M16" s="630"/>
    </row>
    <row r="17" spans="1:13" ht="13.5" customHeight="1">
      <c r="A17" s="496" t="str">
        <f t="shared" si="2"/>
        <v xml:space="preserve"> </v>
      </c>
      <c r="B17" s="526"/>
      <c r="C17" s="546"/>
      <c r="D17" s="515"/>
      <c r="E17" s="509"/>
      <c r="F17" s="510"/>
      <c r="G17" s="504"/>
      <c r="H17" s="496"/>
      <c r="I17" s="496"/>
      <c r="J17" s="508"/>
      <c r="K17" s="628"/>
      <c r="L17" s="629"/>
      <c r="M17" s="630"/>
    </row>
    <row r="18" spans="1:13" ht="13.5" customHeight="1">
      <c r="A18" s="496" t="str">
        <f t="shared" si="2"/>
        <v xml:space="preserve"> </v>
      </c>
      <c r="B18" s="526"/>
      <c r="C18" s="546"/>
      <c r="D18" s="515"/>
      <c r="E18" s="509"/>
      <c r="F18" s="510"/>
      <c r="G18" s="504"/>
      <c r="H18" s="496"/>
      <c r="I18" s="496"/>
      <c r="J18" s="508"/>
      <c r="K18" s="628"/>
      <c r="L18" s="629"/>
      <c r="M18" s="630"/>
    </row>
    <row r="19" spans="1:13" ht="13.5" customHeight="1">
      <c r="A19" s="496" t="str">
        <f t="shared" si="2"/>
        <v xml:space="preserve"> </v>
      </c>
      <c r="B19" s="526"/>
      <c r="C19" s="546"/>
      <c r="D19" s="515"/>
      <c r="E19" s="509"/>
      <c r="F19" s="510"/>
      <c r="G19" s="504"/>
      <c r="H19" s="496"/>
      <c r="I19" s="496"/>
      <c r="J19" s="508"/>
      <c r="K19" s="628"/>
      <c r="L19" s="629"/>
      <c r="M19" s="630"/>
    </row>
    <row r="20" spans="1:13" ht="13.5" customHeight="1">
      <c r="A20" s="496" t="str">
        <f t="shared" si="2"/>
        <v xml:space="preserve"> </v>
      </c>
      <c r="B20" s="526"/>
      <c r="C20" s="546"/>
      <c r="D20" s="515"/>
      <c r="E20" s="509"/>
      <c r="F20" s="510"/>
      <c r="G20" s="504"/>
      <c r="H20" s="496"/>
      <c r="I20" s="496"/>
      <c r="J20" s="508"/>
      <c r="K20" s="628"/>
      <c r="L20" s="629"/>
      <c r="M20" s="630"/>
    </row>
    <row r="21" spans="1:13" ht="13.5" customHeight="1">
      <c r="A21" s="496" t="str">
        <f t="shared" si="2"/>
        <v xml:space="preserve"> </v>
      </c>
      <c r="B21" s="526"/>
      <c r="C21" s="546"/>
      <c r="D21" s="515"/>
      <c r="E21" s="509"/>
      <c r="F21" s="510"/>
      <c r="G21" s="504"/>
      <c r="H21" s="496"/>
      <c r="I21" s="496"/>
      <c r="J21" s="508"/>
      <c r="K21" s="628"/>
      <c r="L21" s="629"/>
      <c r="M21" s="630"/>
    </row>
    <row r="22" spans="1:13" ht="13.5" customHeight="1">
      <c r="A22" s="496" t="str">
        <f t="shared" si="2"/>
        <v xml:space="preserve"> </v>
      </c>
      <c r="B22" s="526"/>
      <c r="C22" s="546"/>
      <c r="D22" s="515"/>
      <c r="E22" s="509"/>
      <c r="F22" s="510"/>
      <c r="G22" s="504"/>
      <c r="H22" s="496"/>
      <c r="I22" s="496"/>
      <c r="J22" s="508"/>
      <c r="K22" s="628"/>
      <c r="L22" s="629"/>
      <c r="M22" s="630"/>
    </row>
    <row r="23" spans="1:13">
      <c r="A23" s="496" t="str">
        <f t="shared" si="2"/>
        <v xml:space="preserve"> </v>
      </c>
      <c r="B23" s="66"/>
      <c r="C23" s="527"/>
      <c r="D23" s="528"/>
      <c r="E23" s="529"/>
      <c r="F23" s="530"/>
      <c r="G23" s="504"/>
      <c r="H23" s="523"/>
      <c r="I23" s="523"/>
      <c r="J23" s="524"/>
      <c r="K23" s="527"/>
      <c r="L23" s="549"/>
      <c r="M23" s="550"/>
    </row>
    <row r="24" spans="1:13">
      <c r="A24" s="496" t="str">
        <f t="shared" si="2"/>
        <v xml:space="preserve"> </v>
      </c>
      <c r="B24" s="533"/>
      <c r="C24" s="527"/>
      <c r="D24" s="528"/>
      <c r="E24" s="529"/>
      <c r="F24" s="530"/>
      <c r="G24" s="504"/>
      <c r="H24" s="523"/>
      <c r="I24" s="523"/>
      <c r="J24" s="524"/>
      <c r="K24" s="527"/>
      <c r="L24" s="549"/>
      <c r="M24" s="550"/>
    </row>
    <row r="25" spans="1:13">
      <c r="A25" s="496" t="str">
        <f t="shared" si="2"/>
        <v xml:space="preserve"> </v>
      </c>
      <c r="B25" s="533"/>
      <c r="C25" s="527"/>
      <c r="D25" s="528"/>
      <c r="E25" s="529"/>
      <c r="F25" s="530"/>
      <c r="G25" s="504"/>
      <c r="H25" s="523"/>
      <c r="I25" s="523"/>
      <c r="J25" s="524"/>
      <c r="K25" s="527"/>
      <c r="L25" s="549"/>
      <c r="M25" s="550"/>
    </row>
    <row r="26" spans="1:13">
      <c r="A26" s="496" t="str">
        <f t="shared" si="2"/>
        <v xml:space="preserve"> </v>
      </c>
      <c r="B26" s="533"/>
      <c r="C26" s="527"/>
      <c r="D26" s="528"/>
      <c r="E26" s="529"/>
      <c r="F26" s="530"/>
      <c r="G26" s="504"/>
      <c r="H26" s="523"/>
      <c r="I26" s="523"/>
      <c r="J26" s="524"/>
      <c r="K26" s="527"/>
      <c r="L26" s="549"/>
      <c r="M26" s="550"/>
    </row>
    <row r="27" spans="1:13">
      <c r="A27" s="496" t="str">
        <f t="shared" si="2"/>
        <v xml:space="preserve"> </v>
      </c>
      <c r="B27" s="533"/>
      <c r="C27" s="527"/>
      <c r="D27" s="528"/>
      <c r="E27" s="529"/>
      <c r="F27" s="530"/>
      <c r="G27" s="504"/>
      <c r="H27" s="523"/>
      <c r="I27" s="523"/>
      <c r="J27" s="524"/>
      <c r="K27" s="527"/>
      <c r="L27" s="549"/>
      <c r="M27" s="550"/>
    </row>
    <row r="28" spans="1:13">
      <c r="A28" s="496" t="str">
        <f t="shared" si="2"/>
        <v xml:space="preserve"> </v>
      </c>
      <c r="B28" s="533"/>
      <c r="C28" s="527"/>
      <c r="D28" s="528"/>
      <c r="E28" s="529"/>
      <c r="F28" s="530"/>
      <c r="G28" s="504"/>
      <c r="H28" s="523"/>
      <c r="I28" s="523"/>
      <c r="J28" s="524"/>
      <c r="K28" s="527"/>
      <c r="L28" s="549"/>
      <c r="M28" s="550"/>
    </row>
    <row r="29" spans="1:13">
      <c r="A29" s="496" t="str">
        <f t="shared" si="2"/>
        <v xml:space="preserve"> </v>
      </c>
      <c r="B29" s="533"/>
      <c r="C29" s="527"/>
      <c r="D29" s="528"/>
      <c r="E29" s="529"/>
      <c r="F29" s="530"/>
      <c r="G29" s="521"/>
      <c r="H29" s="523"/>
      <c r="I29" s="523"/>
      <c r="J29" s="524"/>
      <c r="K29" s="527"/>
      <c r="L29" s="549"/>
      <c r="M29" s="550"/>
    </row>
    <row r="30" spans="1:13">
      <c r="A30" s="496" t="str">
        <f t="shared" si="2"/>
        <v xml:space="preserve"> </v>
      </c>
      <c r="B30" s="533"/>
      <c r="C30" s="527"/>
      <c r="D30" s="528"/>
      <c r="E30" s="529"/>
      <c r="F30" s="530"/>
      <c r="G30" s="521"/>
      <c r="H30" s="523"/>
      <c r="I30" s="523"/>
      <c r="J30" s="524"/>
      <c r="K30" s="527"/>
      <c r="L30" s="549"/>
      <c r="M30" s="550"/>
    </row>
    <row r="31" spans="1:13">
      <c r="A31" s="496" t="str">
        <f t="shared" si="2"/>
        <v xml:space="preserve"> </v>
      </c>
      <c r="B31" s="533"/>
      <c r="C31" s="527"/>
      <c r="D31" s="528"/>
      <c r="E31" s="529"/>
      <c r="F31" s="530"/>
      <c r="G31" s="521"/>
      <c r="H31" s="523"/>
      <c r="I31" s="523"/>
      <c r="J31" s="524"/>
      <c r="K31" s="527"/>
      <c r="L31" s="549"/>
      <c r="M31" s="550"/>
    </row>
    <row r="32" spans="1:13">
      <c r="A32" s="496" t="str">
        <f t="shared" si="2"/>
        <v xml:space="preserve"> </v>
      </c>
      <c r="B32" s="533"/>
      <c r="C32" s="527"/>
      <c r="D32" s="528"/>
      <c r="E32" s="529"/>
      <c r="F32" s="530"/>
      <c r="G32" s="521"/>
      <c r="H32" s="523"/>
      <c r="I32" s="523"/>
      <c r="J32" s="524"/>
      <c r="K32" s="527"/>
      <c r="L32" s="549"/>
      <c r="M32" s="550"/>
    </row>
    <row r="33" spans="1:13">
      <c r="A33" s="496" t="str">
        <f t="shared" si="2"/>
        <v xml:space="preserve"> </v>
      </c>
      <c r="B33" s="533"/>
      <c r="C33" s="527"/>
      <c r="D33" s="528"/>
      <c r="E33" s="529"/>
      <c r="F33" s="530"/>
      <c r="G33" s="521"/>
      <c r="H33" s="523"/>
      <c r="I33" s="523"/>
      <c r="J33" s="524"/>
      <c r="K33" s="527"/>
      <c r="L33" s="549"/>
      <c r="M33" s="550"/>
    </row>
    <row r="34" spans="1:13">
      <c r="A34" s="496" t="str">
        <f t="shared" si="2"/>
        <v xml:space="preserve"> </v>
      </c>
      <c r="B34" s="533"/>
      <c r="C34" s="527"/>
      <c r="D34" s="528"/>
      <c r="E34" s="529"/>
      <c r="F34" s="530"/>
      <c r="G34" s="521"/>
      <c r="H34" s="523"/>
      <c r="I34" s="523"/>
      <c r="J34" s="524"/>
      <c r="K34" s="527"/>
      <c r="L34" s="549"/>
      <c r="M34" s="550"/>
    </row>
    <row r="35" spans="1:13">
      <c r="A35" s="496" t="str">
        <f t="shared" si="2"/>
        <v xml:space="preserve"> </v>
      </c>
      <c r="B35" s="526"/>
      <c r="C35" s="546"/>
      <c r="D35" s="515"/>
      <c r="E35" s="509"/>
      <c r="F35" s="510"/>
      <c r="G35" s="504"/>
      <c r="H35" s="496"/>
      <c r="I35" s="496"/>
      <c r="J35" s="508"/>
      <c r="K35" s="1016"/>
      <c r="L35" s="1017"/>
      <c r="M35" s="1018"/>
    </row>
    <row r="36" spans="1:13">
      <c r="A36" s="496" t="str">
        <f t="shared" si="2"/>
        <v xml:space="preserve"> </v>
      </c>
      <c r="B36" s="526"/>
      <c r="C36" s="546"/>
      <c r="D36" s="515"/>
      <c r="E36" s="509"/>
      <c r="F36" s="510"/>
      <c r="G36" s="504"/>
      <c r="H36" s="496"/>
      <c r="I36" s="496"/>
      <c r="J36" s="508"/>
      <c r="K36" s="1016"/>
      <c r="L36" s="1017"/>
      <c r="M36" s="1018"/>
    </row>
    <row r="37" spans="1:13">
      <c r="A37" s="496" t="str">
        <f t="shared" si="2"/>
        <v xml:space="preserve"> </v>
      </c>
      <c r="B37" s="526"/>
      <c r="C37" s="546"/>
      <c r="D37" s="515"/>
      <c r="E37" s="509"/>
      <c r="F37" s="510"/>
      <c r="G37" s="504"/>
      <c r="H37" s="496"/>
      <c r="I37" s="496"/>
      <c r="J37" s="508"/>
      <c r="K37" s="546"/>
      <c r="L37" s="547"/>
      <c r="M37" s="548"/>
    </row>
    <row r="38" spans="1:13">
      <c r="A38" s="496" t="str">
        <f t="shared" si="2"/>
        <v xml:space="preserve"> </v>
      </c>
      <c r="B38" s="526"/>
      <c r="C38" s="546"/>
      <c r="D38" s="515"/>
      <c r="E38" s="509"/>
      <c r="F38" s="510"/>
      <c r="G38" s="504"/>
      <c r="H38" s="496"/>
      <c r="I38" s="496"/>
      <c r="J38" s="508"/>
      <c r="K38" s="546"/>
      <c r="L38" s="547"/>
      <c r="M38" s="548"/>
    </row>
    <row r="39" spans="1:13">
      <c r="A39" s="496" t="str">
        <f t="shared" si="2"/>
        <v xml:space="preserve"> </v>
      </c>
      <c r="B39" s="526"/>
      <c r="C39" s="546"/>
      <c r="D39" s="515"/>
      <c r="E39" s="509"/>
      <c r="F39" s="510"/>
      <c r="G39" s="504"/>
      <c r="H39" s="496"/>
      <c r="I39" s="496"/>
      <c r="J39" s="508"/>
      <c r="K39" s="1016"/>
      <c r="L39" s="1017"/>
      <c r="M39" s="1018"/>
    </row>
    <row r="40" spans="1:13">
      <c r="A40" s="496" t="str">
        <f t="shared" si="2"/>
        <v xml:space="preserve"> </v>
      </c>
      <c r="B40" s="526"/>
      <c r="C40" s="546"/>
      <c r="D40" s="515"/>
      <c r="E40" s="509"/>
      <c r="F40" s="510"/>
      <c r="G40" s="504"/>
      <c r="H40" s="496"/>
      <c r="I40" s="496"/>
      <c r="J40" s="508"/>
      <c r="K40" s="1016"/>
      <c r="L40" s="1017"/>
      <c r="M40" s="1018"/>
    </row>
    <row r="41" spans="1:13">
      <c r="A41" s="496" t="str">
        <f t="shared" si="2"/>
        <v xml:space="preserve"> </v>
      </c>
      <c r="B41" s="526"/>
      <c r="C41" s="546"/>
      <c r="D41" s="515"/>
      <c r="E41" s="509"/>
      <c r="F41" s="510"/>
      <c r="G41" s="504"/>
      <c r="H41" s="496"/>
      <c r="I41" s="496"/>
      <c r="J41" s="508"/>
      <c r="K41" s="546"/>
      <c r="L41" s="547"/>
      <c r="M41" s="548"/>
    </row>
    <row r="42" spans="1:13">
      <c r="A42" s="496" t="str">
        <f t="shared" si="2"/>
        <v xml:space="preserve"> </v>
      </c>
      <c r="B42" s="526"/>
      <c r="C42" s="546"/>
      <c r="D42" s="515"/>
      <c r="E42" s="509"/>
      <c r="F42" s="510"/>
      <c r="G42" s="504"/>
      <c r="H42" s="496"/>
      <c r="I42" s="496"/>
      <c r="J42" s="508"/>
      <c r="K42" s="546"/>
      <c r="L42" s="547"/>
      <c r="M42" s="548"/>
    </row>
    <row r="43" spans="1:13">
      <c r="A43" s="496" t="str">
        <f t="shared" si="2"/>
        <v xml:space="preserve"> </v>
      </c>
      <c r="B43" s="526"/>
      <c r="C43" s="546"/>
      <c r="D43" s="515"/>
      <c r="E43" s="509"/>
      <c r="F43" s="510"/>
      <c r="G43" s="504"/>
      <c r="H43" s="496"/>
      <c r="I43" s="496"/>
      <c r="J43" s="508"/>
      <c r="K43" s="1016"/>
      <c r="L43" s="1017"/>
      <c r="M43" s="1018"/>
    </row>
    <row r="44" spans="1:13">
      <c r="A44" s="496" t="str">
        <f t="shared" si="2"/>
        <v xml:space="preserve"> </v>
      </c>
      <c r="B44" s="526"/>
      <c r="C44" s="546"/>
      <c r="D44" s="515"/>
      <c r="E44" s="509"/>
      <c r="F44" s="510"/>
      <c r="G44" s="504"/>
      <c r="H44" s="496"/>
      <c r="I44" s="496"/>
      <c r="J44" s="508"/>
      <c r="K44" s="1016"/>
      <c r="L44" s="1017"/>
      <c r="M44" s="1018"/>
    </row>
    <row r="45" spans="1:13">
      <c r="A45" s="496" t="str">
        <f t="shared" si="2"/>
        <v xml:space="preserve"> </v>
      </c>
      <c r="B45" s="526"/>
      <c r="C45" s="546"/>
      <c r="D45" s="515"/>
      <c r="E45" s="509"/>
      <c r="F45" s="510"/>
      <c r="G45" s="504"/>
      <c r="H45" s="496"/>
      <c r="I45" s="496"/>
      <c r="J45" s="508"/>
      <c r="K45" s="546"/>
      <c r="L45" s="547"/>
      <c r="M45" s="548"/>
    </row>
    <row r="46" spans="1:13">
      <c r="A46" s="496" t="str">
        <f t="shared" si="2"/>
        <v xml:space="preserve"> </v>
      </c>
      <c r="B46" s="526"/>
      <c r="C46" s="546"/>
      <c r="D46" s="515"/>
      <c r="E46" s="509"/>
      <c r="F46" s="510"/>
      <c r="G46" s="504"/>
      <c r="H46" s="496"/>
      <c r="I46" s="496"/>
      <c r="J46" s="508"/>
      <c r="K46" s="546"/>
      <c r="L46" s="547"/>
      <c r="M46" s="548"/>
    </row>
    <row r="47" spans="1:13">
      <c r="A47" s="496" t="str">
        <f t="shared" si="2"/>
        <v xml:space="preserve"> </v>
      </c>
      <c r="B47" s="526"/>
      <c r="C47" s="546"/>
      <c r="D47" s="515"/>
      <c r="E47" s="509"/>
      <c r="F47" s="510"/>
      <c r="G47" s="504"/>
      <c r="H47" s="496"/>
      <c r="I47" s="496"/>
      <c r="J47" s="508"/>
      <c r="K47" s="1016"/>
      <c r="L47" s="1017"/>
      <c r="M47" s="1018"/>
    </row>
    <row r="48" spans="1:13">
      <c r="A48" s="496" t="str">
        <f t="shared" si="2"/>
        <v xml:space="preserve"> </v>
      </c>
      <c r="B48" s="526"/>
      <c r="C48" s="546"/>
      <c r="D48" s="515"/>
      <c r="E48" s="509"/>
      <c r="F48" s="510"/>
      <c r="G48" s="504"/>
      <c r="H48" s="496"/>
      <c r="I48" s="496"/>
      <c r="J48" s="508"/>
      <c r="K48" s="1016"/>
      <c r="L48" s="1017"/>
      <c r="M48" s="1018"/>
    </row>
    <row r="49" spans="1:13">
      <c r="A49" s="496" t="str">
        <f t="shared" si="2"/>
        <v xml:space="preserve"> </v>
      </c>
      <c r="B49" s="526"/>
      <c r="C49" s="546"/>
      <c r="D49" s="515"/>
      <c r="E49" s="509"/>
      <c r="F49" s="510"/>
      <c r="G49" s="504"/>
      <c r="H49" s="496"/>
      <c r="I49" s="496"/>
      <c r="J49" s="508"/>
      <c r="K49" s="546"/>
      <c r="L49" s="547"/>
      <c r="M49" s="548"/>
    </row>
    <row r="50" spans="1:13">
      <c r="A50" s="496" t="str">
        <f t="shared" si="2"/>
        <v xml:space="preserve"> </v>
      </c>
      <c r="B50" s="526"/>
      <c r="C50" s="546"/>
      <c r="D50" s="515"/>
      <c r="E50" s="509"/>
      <c r="F50" s="510"/>
      <c r="G50" s="504"/>
      <c r="H50" s="496"/>
      <c r="I50" s="496"/>
      <c r="J50" s="508"/>
      <c r="K50" s="546"/>
      <c r="L50" s="547"/>
      <c r="M50" s="548"/>
    </row>
    <row r="51" spans="1:13">
      <c r="A51" s="496" t="str">
        <f t="shared" si="2"/>
        <v xml:space="preserve"> </v>
      </c>
      <c r="B51" s="526"/>
      <c r="C51" s="546"/>
      <c r="D51" s="515"/>
      <c r="E51" s="509"/>
      <c r="F51" s="510"/>
      <c r="G51" s="504"/>
      <c r="H51" s="496"/>
      <c r="I51" s="496"/>
      <c r="J51" s="508"/>
      <c r="K51" s="1016"/>
      <c r="L51" s="1017"/>
      <c r="M51" s="1018"/>
    </row>
    <row r="52" spans="1:13">
      <c r="A52" s="496" t="str">
        <f t="shared" si="2"/>
        <v xml:space="preserve"> </v>
      </c>
      <c r="B52" s="526"/>
      <c r="C52" s="546"/>
      <c r="D52" s="515"/>
      <c r="E52" s="509"/>
      <c r="F52" s="510"/>
      <c r="G52" s="504"/>
      <c r="H52" s="496"/>
      <c r="I52" s="496"/>
      <c r="J52" s="508"/>
      <c r="K52" s="1016"/>
      <c r="L52" s="1017"/>
      <c r="M52" s="1018"/>
    </row>
    <row r="53" spans="1:13">
      <c r="A53" s="496" t="str">
        <f t="shared" si="2"/>
        <v xml:space="preserve"> </v>
      </c>
      <c r="B53" s="526"/>
      <c r="C53" s="546"/>
      <c r="D53" s="515"/>
      <c r="E53" s="509"/>
      <c r="F53" s="510"/>
      <c r="G53" s="504"/>
      <c r="H53" s="496"/>
      <c r="I53" s="496"/>
      <c r="J53" s="508"/>
      <c r="K53" s="546"/>
      <c r="L53" s="547"/>
      <c r="M53" s="548"/>
    </row>
    <row r="54" spans="1:13">
      <c r="A54" s="496" t="str">
        <f t="shared" si="2"/>
        <v xml:space="preserve"> </v>
      </c>
      <c r="B54" s="526"/>
      <c r="C54" s="546"/>
      <c r="D54" s="515"/>
      <c r="E54" s="509"/>
      <c r="F54" s="510"/>
      <c r="G54" s="504"/>
      <c r="H54" s="496"/>
      <c r="I54" s="496"/>
      <c r="J54" s="508"/>
      <c r="K54" s="546"/>
      <c r="L54" s="547"/>
      <c r="M54" s="548"/>
    </row>
    <row r="55" spans="1:13">
      <c r="A55" s="496" t="str">
        <f t="shared" si="2"/>
        <v xml:space="preserve"> </v>
      </c>
      <c r="B55" s="526"/>
      <c r="C55" s="546"/>
      <c r="D55" s="515"/>
      <c r="E55" s="509"/>
      <c r="F55" s="510"/>
      <c r="G55" s="504"/>
      <c r="H55" s="496"/>
      <c r="I55" s="496"/>
      <c r="J55" s="508"/>
      <c r="K55" s="1016"/>
      <c r="L55" s="1017"/>
      <c r="M55" s="1018"/>
    </row>
    <row r="56" spans="1:13">
      <c r="A56" s="496" t="str">
        <f t="shared" si="2"/>
        <v xml:space="preserve"> </v>
      </c>
      <c r="B56" s="526"/>
      <c r="C56" s="546"/>
      <c r="D56" s="515"/>
      <c r="E56" s="509"/>
      <c r="F56" s="510"/>
      <c r="G56" s="504"/>
      <c r="H56" s="496"/>
      <c r="I56" s="496"/>
      <c r="J56" s="508"/>
      <c r="K56" s="1016"/>
      <c r="L56" s="1017"/>
      <c r="M56" s="1018"/>
    </row>
    <row r="57" spans="1:13">
      <c r="A57" s="496" t="str">
        <f t="shared" si="2"/>
        <v xml:space="preserve"> </v>
      </c>
      <c r="B57" s="526"/>
      <c r="C57" s="546"/>
      <c r="D57" s="515"/>
      <c r="E57" s="509"/>
      <c r="F57" s="510"/>
      <c r="G57" s="504"/>
      <c r="H57" s="496"/>
      <c r="I57" s="496"/>
      <c r="J57" s="508"/>
      <c r="K57" s="546"/>
      <c r="L57" s="547"/>
      <c r="M57" s="548"/>
    </row>
    <row r="58" spans="1:13">
      <c r="A58" s="496" t="str">
        <f t="shared" si="2"/>
        <v xml:space="preserve"> </v>
      </c>
      <c r="B58" s="526"/>
      <c r="C58" s="546"/>
      <c r="D58" s="515"/>
      <c r="E58" s="509"/>
      <c r="F58" s="510"/>
      <c r="G58" s="504"/>
      <c r="H58" s="496"/>
      <c r="I58" s="496"/>
      <c r="J58" s="508"/>
      <c r="K58" s="546"/>
      <c r="L58" s="547"/>
      <c r="M58" s="548"/>
    </row>
    <row r="59" spans="1:13">
      <c r="A59" s="496" t="str">
        <f t="shared" si="2"/>
        <v xml:space="preserve"> </v>
      </c>
      <c r="B59" s="526"/>
      <c r="C59" s="546"/>
      <c r="D59" s="515"/>
      <c r="E59" s="509"/>
      <c r="F59" s="510"/>
      <c r="G59" s="504"/>
      <c r="H59" s="496"/>
      <c r="I59" s="496"/>
      <c r="J59" s="508"/>
      <c r="K59" s="1016"/>
      <c r="L59" s="1017"/>
      <c r="M59" s="1018"/>
    </row>
    <row r="60" spans="1:13">
      <c r="A60" s="496" t="str">
        <f t="shared" si="2"/>
        <v xml:space="preserve"> </v>
      </c>
      <c r="B60" s="526"/>
      <c r="C60" s="546"/>
      <c r="D60" s="515"/>
      <c r="E60" s="509"/>
      <c r="F60" s="510"/>
      <c r="G60" s="504"/>
      <c r="H60" s="496"/>
      <c r="I60" s="496"/>
      <c r="J60" s="508"/>
      <c r="K60" s="1016"/>
      <c r="L60" s="1017"/>
      <c r="M60" s="1018"/>
    </row>
    <row r="61" spans="1:13">
      <c r="A61" s="496" t="str">
        <f t="shared" si="2"/>
        <v xml:space="preserve"> </v>
      </c>
      <c r="B61" s="526"/>
      <c r="C61" s="546"/>
      <c r="D61" s="515"/>
      <c r="E61" s="509"/>
      <c r="F61" s="510"/>
      <c r="G61" s="504"/>
      <c r="H61" s="496"/>
      <c r="I61" s="496"/>
      <c r="J61" s="508"/>
      <c r="K61" s="546"/>
      <c r="L61" s="547"/>
      <c r="M61" s="548"/>
    </row>
    <row r="62" spans="1:13">
      <c r="A62" s="496" t="str">
        <f t="shared" si="2"/>
        <v xml:space="preserve"> </v>
      </c>
      <c r="B62" s="526"/>
      <c r="C62" s="546"/>
      <c r="D62" s="515"/>
      <c r="E62" s="509"/>
      <c r="F62" s="510"/>
      <c r="G62" s="504"/>
      <c r="H62" s="496"/>
      <c r="I62" s="496"/>
      <c r="J62" s="508"/>
      <c r="K62" s="546"/>
      <c r="L62" s="547"/>
      <c r="M62" s="548"/>
    </row>
    <row r="63" spans="1:13">
      <c r="A63" s="496" t="str">
        <f t="shared" si="2"/>
        <v xml:space="preserve"> </v>
      </c>
      <c r="B63" s="526"/>
      <c r="C63" s="546"/>
      <c r="D63" s="515"/>
      <c r="E63" s="509"/>
      <c r="F63" s="510"/>
      <c r="G63" s="504"/>
      <c r="H63" s="496"/>
      <c r="I63" s="496"/>
      <c r="J63" s="508"/>
      <c r="K63" s="1016"/>
      <c r="L63" s="1017"/>
      <c r="M63" s="1018"/>
    </row>
    <row r="64" spans="1:13">
      <c r="A64" s="496" t="str">
        <f t="shared" si="2"/>
        <v xml:space="preserve"> </v>
      </c>
      <c r="B64" s="526"/>
      <c r="C64" s="546"/>
      <c r="D64" s="515"/>
      <c r="E64" s="509"/>
      <c r="F64" s="510"/>
      <c r="G64" s="504"/>
      <c r="H64" s="496"/>
      <c r="I64" s="496"/>
      <c r="J64" s="508"/>
      <c r="K64" s="1016"/>
      <c r="L64" s="1017"/>
      <c r="M64" s="1018"/>
    </row>
    <row r="65" spans="1:13">
      <c r="A65" s="496" t="str">
        <f t="shared" si="2"/>
        <v xml:space="preserve"> </v>
      </c>
      <c r="B65" s="526"/>
      <c r="C65" s="546"/>
      <c r="D65" s="515"/>
      <c r="E65" s="509"/>
      <c r="F65" s="510"/>
      <c r="G65" s="504"/>
      <c r="H65" s="496"/>
      <c r="I65" s="496"/>
      <c r="J65" s="508"/>
      <c r="K65" s="546"/>
      <c r="L65" s="547"/>
      <c r="M65" s="548"/>
    </row>
    <row r="66" spans="1:13">
      <c r="A66" s="496" t="str">
        <f t="shared" si="2"/>
        <v xml:space="preserve"> </v>
      </c>
      <c r="B66" s="526"/>
      <c r="C66" s="546"/>
      <c r="D66" s="515"/>
      <c r="E66" s="509"/>
      <c r="F66" s="510"/>
      <c r="G66" s="504"/>
      <c r="H66" s="496"/>
      <c r="I66" s="496"/>
      <c r="J66" s="508"/>
      <c r="K66" s="546"/>
      <c r="L66" s="547"/>
      <c r="M66" s="548"/>
    </row>
    <row r="67" spans="1:13">
      <c r="A67" s="496" t="str">
        <f t="shared" si="2"/>
        <v xml:space="preserve"> </v>
      </c>
      <c r="B67" s="526"/>
      <c r="C67" s="546"/>
      <c r="D67" s="515"/>
      <c r="E67" s="509"/>
      <c r="F67" s="510"/>
      <c r="G67" s="504"/>
      <c r="H67" s="496"/>
      <c r="I67" s="496"/>
      <c r="J67" s="508"/>
      <c r="K67" s="1016"/>
      <c r="L67" s="1017"/>
      <c r="M67" s="1018"/>
    </row>
    <row r="68" spans="1:13">
      <c r="A68" s="496" t="str">
        <f t="shared" si="2"/>
        <v xml:space="preserve"> </v>
      </c>
      <c r="B68" s="526"/>
      <c r="C68" s="546"/>
      <c r="D68" s="515"/>
      <c r="E68" s="509"/>
      <c r="F68" s="510"/>
      <c r="G68" s="504"/>
      <c r="H68" s="496"/>
      <c r="I68" s="496"/>
      <c r="J68" s="508"/>
      <c r="K68" s="1016"/>
      <c r="L68" s="1017"/>
      <c r="M68" s="1018"/>
    </row>
    <row r="69" spans="1:13">
      <c r="A69" s="496" t="str">
        <f t="shared" si="2"/>
        <v xml:space="preserve"> </v>
      </c>
      <c r="B69" s="526"/>
      <c r="C69" s="546"/>
      <c r="D69" s="515"/>
      <c r="E69" s="509"/>
      <c r="F69" s="510"/>
      <c r="G69" s="504"/>
      <c r="H69" s="496"/>
      <c r="I69" s="496"/>
      <c r="J69" s="508"/>
      <c r="K69" s="546"/>
      <c r="L69" s="547"/>
      <c r="M69" s="548"/>
    </row>
    <row r="70" spans="1:13">
      <c r="A70" s="496" t="str">
        <f t="shared" si="2"/>
        <v xml:space="preserve"> </v>
      </c>
      <c r="B70" s="526"/>
      <c r="C70" s="546"/>
      <c r="D70" s="515"/>
      <c r="E70" s="509"/>
      <c r="F70" s="510"/>
      <c r="G70" s="504"/>
      <c r="H70" s="496"/>
      <c r="I70" s="496"/>
      <c r="J70" s="508"/>
      <c r="K70" s="546"/>
      <c r="L70" s="547"/>
      <c r="M70" s="548"/>
    </row>
    <row r="71" spans="1:13">
      <c r="A71" s="496" t="str">
        <f t="shared" si="2"/>
        <v xml:space="preserve"> </v>
      </c>
      <c r="B71" s="526"/>
      <c r="C71" s="546"/>
      <c r="D71" s="515"/>
      <c r="E71" s="509"/>
      <c r="F71" s="510"/>
      <c r="G71" s="504"/>
      <c r="H71" s="496"/>
      <c r="I71" s="496"/>
      <c r="J71" s="508"/>
      <c r="K71" s="1016"/>
      <c r="L71" s="1017"/>
      <c r="M71" s="1018"/>
    </row>
    <row r="72" spans="1:13">
      <c r="A72" s="496" t="str">
        <f t="shared" si="2"/>
        <v xml:space="preserve"> </v>
      </c>
      <c r="B72" s="526"/>
      <c r="C72" s="546"/>
      <c r="D72" s="515"/>
      <c r="E72" s="509"/>
      <c r="F72" s="510"/>
      <c r="G72" s="504"/>
      <c r="H72" s="496"/>
      <c r="I72" s="496"/>
      <c r="J72" s="508"/>
      <c r="K72" s="1016"/>
      <c r="L72" s="1017"/>
      <c r="M72" s="1018"/>
    </row>
    <row r="73" spans="1:13">
      <c r="A73" s="496" t="str">
        <f t="shared" si="2"/>
        <v xml:space="preserve"> </v>
      </c>
      <c r="B73" s="526"/>
      <c r="C73" s="546"/>
      <c r="D73" s="515"/>
      <c r="E73" s="509"/>
      <c r="F73" s="510"/>
      <c r="G73" s="504"/>
      <c r="H73" s="496"/>
      <c r="I73" s="496"/>
      <c r="J73" s="508"/>
      <c r="K73" s="546"/>
      <c r="L73" s="547"/>
      <c r="M73" s="548"/>
    </row>
    <row r="74" spans="1:13">
      <c r="A74" s="496" t="str">
        <f t="shared" si="2"/>
        <v xml:space="preserve"> </v>
      </c>
      <c r="B74" s="526"/>
      <c r="C74" s="546"/>
      <c r="D74" s="515"/>
      <c r="E74" s="509"/>
      <c r="F74" s="510"/>
      <c r="G74" s="504"/>
      <c r="H74" s="496"/>
      <c r="I74" s="496"/>
      <c r="J74" s="508"/>
      <c r="K74" s="546"/>
      <c r="L74" s="547"/>
      <c r="M74" s="548"/>
    </row>
    <row r="75" spans="1:13">
      <c r="A75" s="496" t="str">
        <f t="shared" si="2"/>
        <v xml:space="preserve"> </v>
      </c>
      <c r="B75" s="526"/>
      <c r="C75" s="546"/>
      <c r="D75" s="515"/>
      <c r="E75" s="509"/>
      <c r="F75" s="510"/>
      <c r="G75" s="504"/>
      <c r="H75" s="496"/>
      <c r="I75" s="496"/>
      <c r="J75" s="508"/>
      <c r="K75" s="1016"/>
      <c r="L75" s="1017"/>
      <c r="M75" s="1018"/>
    </row>
    <row r="76" spans="1:13">
      <c r="A76" s="496" t="str">
        <f t="shared" si="2"/>
        <v xml:space="preserve"> </v>
      </c>
      <c r="B76" s="526"/>
      <c r="C76" s="546"/>
      <c r="D76" s="515"/>
      <c r="E76" s="509"/>
      <c r="F76" s="510"/>
      <c r="G76" s="504"/>
      <c r="H76" s="496"/>
      <c r="I76" s="496"/>
      <c r="J76" s="508"/>
      <c r="K76" s="1016"/>
      <c r="L76" s="1017"/>
      <c r="M76" s="1018"/>
    </row>
    <row r="77" spans="1:13">
      <c r="A77" s="496" t="str">
        <f t="shared" si="2"/>
        <v xml:space="preserve"> </v>
      </c>
      <c r="B77" s="526"/>
      <c r="C77" s="546"/>
      <c r="D77" s="515"/>
      <c r="E77" s="509"/>
      <c r="F77" s="510"/>
      <c r="G77" s="504"/>
      <c r="H77" s="496"/>
      <c r="I77" s="496"/>
      <c r="J77" s="508"/>
      <c r="K77" s="546"/>
      <c r="L77" s="547"/>
      <c r="M77" s="548"/>
    </row>
    <row r="78" spans="1:13">
      <c r="A78" s="496" t="str">
        <f t="shared" ref="A78:A97" si="3">IF(B78=""," ",A72+1)</f>
        <v xml:space="preserve"> </v>
      </c>
      <c r="B78" s="526"/>
      <c r="C78" s="546"/>
      <c r="D78" s="515"/>
      <c r="E78" s="509"/>
      <c r="F78" s="510"/>
      <c r="G78" s="504"/>
      <c r="H78" s="496"/>
      <c r="I78" s="496"/>
      <c r="J78" s="508"/>
      <c r="K78" s="546"/>
      <c r="L78" s="547"/>
      <c r="M78" s="548"/>
    </row>
    <row r="79" spans="1:13">
      <c r="A79" s="496" t="str">
        <f t="shared" si="3"/>
        <v xml:space="preserve"> </v>
      </c>
      <c r="B79" s="526"/>
      <c r="C79" s="546"/>
      <c r="D79" s="515"/>
      <c r="E79" s="509"/>
      <c r="F79" s="510"/>
      <c r="G79" s="504"/>
      <c r="H79" s="496"/>
      <c r="I79" s="496"/>
      <c r="J79" s="508"/>
      <c r="K79" s="1016"/>
      <c r="L79" s="1017"/>
      <c r="M79" s="1018"/>
    </row>
    <row r="80" spans="1:13">
      <c r="A80" s="496" t="str">
        <f t="shared" si="3"/>
        <v xml:space="preserve"> </v>
      </c>
      <c r="B80" s="526"/>
      <c r="C80" s="546"/>
      <c r="D80" s="515"/>
      <c r="E80" s="509"/>
      <c r="F80" s="510"/>
      <c r="G80" s="504"/>
      <c r="H80" s="496"/>
      <c r="I80" s="496"/>
      <c r="J80" s="508"/>
      <c r="K80" s="1016"/>
      <c r="L80" s="1017"/>
      <c r="M80" s="1018"/>
    </row>
    <row r="81" spans="1:13">
      <c r="A81" s="496" t="str">
        <f t="shared" si="3"/>
        <v xml:space="preserve"> </v>
      </c>
      <c r="B81" s="526"/>
      <c r="C81" s="546"/>
      <c r="D81" s="515"/>
      <c r="E81" s="509"/>
      <c r="F81" s="510"/>
      <c r="G81" s="504"/>
      <c r="H81" s="496"/>
      <c r="I81" s="496"/>
      <c r="J81" s="508"/>
      <c r="K81" s="546"/>
      <c r="L81" s="547"/>
      <c r="M81" s="548"/>
    </row>
    <row r="82" spans="1:13">
      <c r="A82" s="496" t="str">
        <f t="shared" si="3"/>
        <v xml:space="preserve"> </v>
      </c>
      <c r="B82" s="526"/>
      <c r="C82" s="546"/>
      <c r="D82" s="515"/>
      <c r="E82" s="509"/>
      <c r="F82" s="510"/>
      <c r="G82" s="504"/>
      <c r="H82" s="496"/>
      <c r="I82" s="496"/>
      <c r="J82" s="508"/>
      <c r="K82" s="546"/>
      <c r="L82" s="547"/>
      <c r="M82" s="548"/>
    </row>
    <row r="83" spans="1:13">
      <c r="A83" s="496" t="str">
        <f t="shared" si="3"/>
        <v xml:space="preserve"> </v>
      </c>
      <c r="B83" s="526"/>
      <c r="C83" s="546"/>
      <c r="D83" s="515"/>
      <c r="E83" s="509"/>
      <c r="F83" s="510"/>
      <c r="G83" s="504"/>
      <c r="H83" s="496"/>
      <c r="I83" s="496"/>
      <c r="J83" s="508"/>
      <c r="K83" s="1016"/>
      <c r="L83" s="1017"/>
      <c r="M83" s="1018"/>
    </row>
    <row r="84" spans="1:13">
      <c r="A84" s="496" t="str">
        <f t="shared" si="3"/>
        <v xml:space="preserve"> </v>
      </c>
      <c r="B84" s="526"/>
      <c r="C84" s="546"/>
      <c r="D84" s="515"/>
      <c r="E84" s="509"/>
      <c r="F84" s="510"/>
      <c r="G84" s="504"/>
      <c r="H84" s="496"/>
      <c r="I84" s="496"/>
      <c r="J84" s="508"/>
      <c r="K84" s="1016"/>
      <c r="L84" s="1017"/>
      <c r="M84" s="1018"/>
    </row>
    <row r="85" spans="1:13">
      <c r="A85" s="496" t="str">
        <f t="shared" si="3"/>
        <v xml:space="preserve"> </v>
      </c>
      <c r="B85" s="526"/>
      <c r="C85" s="546"/>
      <c r="D85" s="515"/>
      <c r="E85" s="509"/>
      <c r="F85" s="510"/>
      <c r="G85" s="504"/>
      <c r="H85" s="496"/>
      <c r="I85" s="496"/>
      <c r="J85" s="508"/>
      <c r="K85" s="546"/>
      <c r="L85" s="547"/>
      <c r="M85" s="548"/>
    </row>
    <row r="86" spans="1:13">
      <c r="A86" s="496" t="str">
        <f t="shared" si="3"/>
        <v xml:space="preserve"> </v>
      </c>
      <c r="B86" s="526"/>
      <c r="C86" s="546"/>
      <c r="D86" s="515"/>
      <c r="E86" s="509"/>
      <c r="F86" s="510"/>
      <c r="G86" s="504"/>
      <c r="H86" s="496"/>
      <c r="I86" s="496"/>
      <c r="J86" s="508"/>
      <c r="K86" s="546"/>
      <c r="L86" s="547"/>
      <c r="M86" s="548"/>
    </row>
    <row r="87" spans="1:13">
      <c r="A87" s="496" t="str">
        <f t="shared" si="3"/>
        <v xml:space="preserve"> </v>
      </c>
      <c r="B87" s="526"/>
      <c r="C87" s="546"/>
      <c r="D87" s="515"/>
      <c r="E87" s="509"/>
      <c r="F87" s="510"/>
      <c r="G87" s="504"/>
      <c r="H87" s="496"/>
      <c r="I87" s="496"/>
      <c r="J87" s="508"/>
      <c r="K87" s="1016"/>
      <c r="L87" s="1017"/>
      <c r="M87" s="1018"/>
    </row>
    <row r="88" spans="1:13">
      <c r="A88" s="496" t="str">
        <f t="shared" si="3"/>
        <v xml:space="preserve"> </v>
      </c>
      <c r="B88" s="526"/>
      <c r="C88" s="546"/>
      <c r="D88" s="515"/>
      <c r="E88" s="509"/>
      <c r="F88" s="510"/>
      <c r="G88" s="504"/>
      <c r="H88" s="496"/>
      <c r="I88" s="496"/>
      <c r="J88" s="508"/>
      <c r="K88" s="1016"/>
      <c r="L88" s="1017"/>
      <c r="M88" s="1018"/>
    </row>
    <row r="89" spans="1:13">
      <c r="A89" s="496" t="str">
        <f t="shared" si="3"/>
        <v xml:space="preserve"> </v>
      </c>
      <c r="B89" s="526"/>
      <c r="C89" s="546"/>
      <c r="D89" s="515"/>
      <c r="E89" s="509"/>
      <c r="F89" s="510"/>
      <c r="G89" s="504"/>
      <c r="H89" s="496"/>
      <c r="I89" s="496"/>
      <c r="J89" s="508"/>
      <c r="K89" s="546"/>
      <c r="L89" s="547"/>
      <c r="M89" s="548"/>
    </row>
    <row r="90" spans="1:13">
      <c r="A90" s="496" t="str">
        <f t="shared" si="3"/>
        <v xml:space="preserve"> </v>
      </c>
      <c r="B90" s="526"/>
      <c r="C90" s="546"/>
      <c r="D90" s="515"/>
      <c r="E90" s="509"/>
      <c r="F90" s="510"/>
      <c r="G90" s="504"/>
      <c r="H90" s="496"/>
      <c r="I90" s="496"/>
      <c r="J90" s="508"/>
      <c r="K90" s="546"/>
      <c r="L90" s="547"/>
      <c r="M90" s="548"/>
    </row>
    <row r="91" spans="1:13">
      <c r="A91" s="496" t="str">
        <f t="shared" si="3"/>
        <v xml:space="preserve"> </v>
      </c>
      <c r="B91" s="526"/>
      <c r="C91" s="546"/>
      <c r="D91" s="515"/>
      <c r="E91" s="509"/>
      <c r="F91" s="510"/>
      <c r="G91" s="504"/>
      <c r="H91" s="496"/>
      <c r="I91" s="496"/>
      <c r="J91" s="508"/>
      <c r="K91" s="1016"/>
      <c r="L91" s="1017"/>
      <c r="M91" s="1018"/>
    </row>
    <row r="92" spans="1:13">
      <c r="A92" s="496" t="str">
        <f t="shared" si="3"/>
        <v xml:space="preserve"> </v>
      </c>
      <c r="B92" s="526"/>
      <c r="C92" s="546"/>
      <c r="D92" s="515"/>
      <c r="E92" s="509"/>
      <c r="F92" s="510"/>
      <c r="G92" s="504"/>
      <c r="H92" s="496"/>
      <c r="I92" s="496"/>
      <c r="J92" s="508"/>
      <c r="K92" s="1016"/>
      <c r="L92" s="1017"/>
      <c r="M92" s="1018"/>
    </row>
    <row r="93" spans="1:13">
      <c r="A93" s="496" t="str">
        <f t="shared" si="3"/>
        <v xml:space="preserve"> </v>
      </c>
      <c r="B93" s="526"/>
      <c r="C93" s="546"/>
      <c r="D93" s="515"/>
      <c r="E93" s="509"/>
      <c r="F93" s="510"/>
      <c r="G93" s="504"/>
      <c r="H93" s="496"/>
      <c r="I93" s="496"/>
      <c r="J93" s="508"/>
      <c r="K93" s="546"/>
      <c r="L93" s="547"/>
      <c r="M93" s="548"/>
    </row>
    <row r="94" spans="1:13">
      <c r="A94" s="496" t="str">
        <f t="shared" si="3"/>
        <v xml:space="preserve"> </v>
      </c>
      <c r="B94" s="526"/>
      <c r="C94" s="546"/>
      <c r="D94" s="515"/>
      <c r="E94" s="509"/>
      <c r="F94" s="510"/>
      <c r="G94" s="504"/>
      <c r="H94" s="496"/>
      <c r="I94" s="496"/>
      <c r="J94" s="508"/>
      <c r="K94" s="546"/>
      <c r="L94" s="547"/>
      <c r="M94" s="548"/>
    </row>
    <row r="95" spans="1:13">
      <c r="A95" s="496" t="str">
        <f t="shared" si="3"/>
        <v xml:space="preserve"> </v>
      </c>
      <c r="B95" s="526"/>
      <c r="C95" s="546"/>
      <c r="D95" s="515"/>
      <c r="E95" s="509"/>
      <c r="F95" s="510"/>
      <c r="G95" s="504"/>
      <c r="H95" s="496"/>
      <c r="I95" s="496"/>
      <c r="J95" s="508"/>
      <c r="K95" s="1016"/>
      <c r="L95" s="1017"/>
      <c r="M95" s="1018"/>
    </row>
    <row r="96" spans="1:13">
      <c r="A96" s="496" t="str">
        <f t="shared" si="3"/>
        <v xml:space="preserve"> </v>
      </c>
      <c r="B96" s="526"/>
      <c r="C96" s="546"/>
      <c r="D96" s="515"/>
      <c r="E96" s="509"/>
      <c r="F96" s="510"/>
      <c r="G96" s="504"/>
      <c r="H96" s="496"/>
      <c r="I96" s="496"/>
      <c r="J96" s="508"/>
      <c r="K96" s="1016"/>
      <c r="L96" s="1017"/>
      <c r="M96" s="1018"/>
    </row>
    <row r="97" spans="1:13">
      <c r="A97" s="496" t="str">
        <f t="shared" si="3"/>
        <v xml:space="preserve"> </v>
      </c>
      <c r="B97" s="526"/>
      <c r="C97" s="546"/>
      <c r="D97" s="515"/>
      <c r="E97" s="509"/>
      <c r="F97" s="510"/>
      <c r="G97" s="504"/>
      <c r="H97" s="496"/>
      <c r="I97" s="496"/>
      <c r="J97" s="508"/>
      <c r="K97" s="1016"/>
      <c r="L97" s="1017"/>
      <c r="M97" s="1018"/>
    </row>
    <row r="99" spans="1:13">
      <c r="B99" s="490" t="s">
        <v>1902</v>
      </c>
    </row>
    <row r="109" spans="1:13">
      <c r="B109" s="536"/>
    </row>
  </sheetData>
  <mergeCells count="63">
    <mergeCell ref="A2:B2"/>
    <mergeCell ref="C2:G2"/>
    <mergeCell ref="H2:J2"/>
    <mergeCell ref="A3:B3"/>
    <mergeCell ref="C3:G3"/>
    <mergeCell ref="H3:I3"/>
    <mergeCell ref="K11:M11"/>
    <mergeCell ref="A4:B4"/>
    <mergeCell ref="C4:G4"/>
    <mergeCell ref="H4:I4"/>
    <mergeCell ref="A5:A6"/>
    <mergeCell ref="B5:C5"/>
    <mergeCell ref="D5:H5"/>
    <mergeCell ref="I5:J5"/>
    <mergeCell ref="K5:M6"/>
    <mergeCell ref="K7:M7"/>
    <mergeCell ref="K8:M8"/>
    <mergeCell ref="K9:M9"/>
    <mergeCell ref="K10:M10"/>
    <mergeCell ref="K35:M35"/>
    <mergeCell ref="K12:M12"/>
    <mergeCell ref="K13:M13"/>
    <mergeCell ref="K14:M14"/>
    <mergeCell ref="K15:M15"/>
    <mergeCell ref="K16:M16"/>
    <mergeCell ref="K17:M17"/>
    <mergeCell ref="K18:M18"/>
    <mergeCell ref="K19:M19"/>
    <mergeCell ref="K20:M20"/>
    <mergeCell ref="K21:M21"/>
    <mergeCell ref="K22:M22"/>
    <mergeCell ref="K59:M59"/>
    <mergeCell ref="K36:M36"/>
    <mergeCell ref="K39:M39"/>
    <mergeCell ref="K40:M40"/>
    <mergeCell ref="K43:M43"/>
    <mergeCell ref="K44:M44"/>
    <mergeCell ref="K47:M47"/>
    <mergeCell ref="K48:M48"/>
    <mergeCell ref="K51:M51"/>
    <mergeCell ref="K52:M52"/>
    <mergeCell ref="K55:M55"/>
    <mergeCell ref="K56:M56"/>
    <mergeCell ref="K83:M83"/>
    <mergeCell ref="K60:M60"/>
    <mergeCell ref="K63:M63"/>
    <mergeCell ref="K64:M64"/>
    <mergeCell ref="K67:M67"/>
    <mergeCell ref="K68:M68"/>
    <mergeCell ref="K71:M71"/>
    <mergeCell ref="K72:M72"/>
    <mergeCell ref="K75:M75"/>
    <mergeCell ref="K76:M76"/>
    <mergeCell ref="K79:M79"/>
    <mergeCell ref="K80:M80"/>
    <mergeCell ref="K96:M96"/>
    <mergeCell ref="K97:M97"/>
    <mergeCell ref="K84:M84"/>
    <mergeCell ref="K87:M87"/>
    <mergeCell ref="K88:M88"/>
    <mergeCell ref="K91:M91"/>
    <mergeCell ref="K92:M92"/>
    <mergeCell ref="K95:M95"/>
  </mergeCells>
  <phoneticPr fontId="6"/>
  <pageMargins left="0.78680555555555554" right="0.19652777777777777" top="0.59027777777777779" bottom="0.59027777777777779" header="0.51111111111111107" footer="0.39305555555555555"/>
  <pageSetup paperSize="9" scale="68" fitToHeight="0" orientation="portrait" r:id="rId1"/>
  <headerFooter scaleWithDoc="0" alignWithMargins="0">
    <oddFooter>&amp;C&amp;10&amp;P/&amp;N&amp;R&amp;10&amp;A</oddFooter>
  </headerFooter>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dimension ref="A1:P110"/>
  <sheetViews>
    <sheetView showGridLines="0" view="pageBreakPreview" zoomScaleNormal="100" zoomScaleSheetLayoutView="100" workbookViewId="0">
      <pane ySplit="6" topLeftCell="A7" activePane="bottomLeft" state="frozen"/>
      <selection activeCell="B78" sqref="B78"/>
      <selection pane="bottomLeft" activeCell="B78" sqref="B78"/>
    </sheetView>
  </sheetViews>
  <sheetFormatPr defaultColWidth="9" defaultRowHeight="12"/>
  <cols>
    <col min="1" max="1" width="3.875" style="553" bestFit="1" customWidth="1"/>
    <col min="2" max="2" width="28.625" style="555" customWidth="1"/>
    <col min="3" max="3" width="13.375" style="555" customWidth="1"/>
    <col min="4" max="4" width="9.375" style="555" customWidth="1"/>
    <col min="5" max="6" width="4.75" style="555" bestFit="1" customWidth="1"/>
    <col min="7" max="7" width="6.125" style="555" bestFit="1" customWidth="1"/>
    <col min="8" max="8" width="4.75" style="555" bestFit="1" customWidth="1"/>
    <col min="9" max="9" width="4.75" style="555" customWidth="1"/>
    <col min="10" max="11" width="9.625" style="555" customWidth="1"/>
    <col min="12" max="13" width="10.25" style="555" customWidth="1"/>
    <col min="14" max="14" width="9" style="555" customWidth="1"/>
    <col min="15" max="16" width="9" style="555" hidden="1" customWidth="1"/>
    <col min="17" max="256" width="9" style="555"/>
    <col min="257" max="257" width="3.875" style="555" bestFit="1" customWidth="1"/>
    <col min="258" max="258" width="28.625" style="555" customWidth="1"/>
    <col min="259" max="259" width="13.375" style="555" customWidth="1"/>
    <col min="260" max="260" width="9.375" style="555" customWidth="1"/>
    <col min="261" max="262" width="4.75" style="555" bestFit="1" customWidth="1"/>
    <col min="263" max="263" width="6.125" style="555" bestFit="1" customWidth="1"/>
    <col min="264" max="264" width="4.75" style="555" bestFit="1" customWidth="1"/>
    <col min="265" max="265" width="4.75" style="555" customWidth="1"/>
    <col min="266" max="267" width="9.625" style="555" customWidth="1"/>
    <col min="268" max="269" width="10.25" style="555" customWidth="1"/>
    <col min="270" max="270" width="9" style="555" customWidth="1"/>
    <col min="271" max="272" width="0" style="555" hidden="1" customWidth="1"/>
    <col min="273" max="512" width="9" style="555"/>
    <col min="513" max="513" width="3.875" style="555" bestFit="1" customWidth="1"/>
    <col min="514" max="514" width="28.625" style="555" customWidth="1"/>
    <col min="515" max="515" width="13.375" style="555" customWidth="1"/>
    <col min="516" max="516" width="9.375" style="555" customWidth="1"/>
    <col min="517" max="518" width="4.75" style="555" bestFit="1" customWidth="1"/>
    <col min="519" max="519" width="6.125" style="555" bestFit="1" customWidth="1"/>
    <col min="520" max="520" width="4.75" style="555" bestFit="1" customWidth="1"/>
    <col min="521" max="521" width="4.75" style="555" customWidth="1"/>
    <col min="522" max="523" width="9.625" style="555" customWidth="1"/>
    <col min="524" max="525" width="10.25" style="555" customWidth="1"/>
    <col min="526" max="526" width="9" style="555" customWidth="1"/>
    <col min="527" max="528" width="0" style="555" hidden="1" customWidth="1"/>
    <col min="529" max="768" width="9" style="555"/>
    <col min="769" max="769" width="3.875" style="555" bestFit="1" customWidth="1"/>
    <col min="770" max="770" width="28.625" style="555" customWidth="1"/>
    <col min="771" max="771" width="13.375" style="555" customWidth="1"/>
    <col min="772" max="772" width="9.375" style="555" customWidth="1"/>
    <col min="773" max="774" width="4.75" style="555" bestFit="1" customWidth="1"/>
    <col min="775" max="775" width="6.125" style="555" bestFit="1" customWidth="1"/>
    <col min="776" max="776" width="4.75" style="555" bestFit="1" customWidth="1"/>
    <col min="777" max="777" width="4.75" style="555" customWidth="1"/>
    <col min="778" max="779" width="9.625" style="555" customWidth="1"/>
    <col min="780" max="781" width="10.25" style="555" customWidth="1"/>
    <col min="782" max="782" width="9" style="555" customWidth="1"/>
    <col min="783" max="784" width="0" style="555" hidden="1" customWidth="1"/>
    <col min="785" max="1024" width="9" style="555"/>
    <col min="1025" max="1025" width="3.875" style="555" bestFit="1" customWidth="1"/>
    <col min="1026" max="1026" width="28.625" style="555" customWidth="1"/>
    <col min="1027" max="1027" width="13.375" style="555" customWidth="1"/>
    <col min="1028" max="1028" width="9.375" style="555" customWidth="1"/>
    <col min="1029" max="1030" width="4.75" style="555" bestFit="1" customWidth="1"/>
    <col min="1031" max="1031" width="6.125" style="555" bestFit="1" customWidth="1"/>
    <col min="1032" max="1032" width="4.75" style="555" bestFit="1" customWidth="1"/>
    <col min="1033" max="1033" width="4.75" style="555" customWidth="1"/>
    <col min="1034" max="1035" width="9.625" style="555" customWidth="1"/>
    <col min="1036" max="1037" width="10.25" style="555" customWidth="1"/>
    <col min="1038" max="1038" width="9" style="555" customWidth="1"/>
    <col min="1039" max="1040" width="0" style="555" hidden="1" customWidth="1"/>
    <col min="1041" max="1280" width="9" style="555"/>
    <col min="1281" max="1281" width="3.875" style="555" bestFit="1" customWidth="1"/>
    <col min="1282" max="1282" width="28.625" style="555" customWidth="1"/>
    <col min="1283" max="1283" width="13.375" style="555" customWidth="1"/>
    <col min="1284" max="1284" width="9.375" style="555" customWidth="1"/>
    <col min="1285" max="1286" width="4.75" style="555" bestFit="1" customWidth="1"/>
    <col min="1287" max="1287" width="6.125" style="555" bestFit="1" customWidth="1"/>
    <col min="1288" max="1288" width="4.75" style="555" bestFit="1" customWidth="1"/>
    <col min="1289" max="1289" width="4.75" style="555" customWidth="1"/>
    <col min="1290" max="1291" width="9.625" style="555" customWidth="1"/>
    <col min="1292" max="1293" width="10.25" style="555" customWidth="1"/>
    <col min="1294" max="1294" width="9" style="555" customWidth="1"/>
    <col min="1295" max="1296" width="0" style="555" hidden="1" customWidth="1"/>
    <col min="1297" max="1536" width="9" style="555"/>
    <col min="1537" max="1537" width="3.875" style="555" bestFit="1" customWidth="1"/>
    <col min="1538" max="1538" width="28.625" style="555" customWidth="1"/>
    <col min="1539" max="1539" width="13.375" style="555" customWidth="1"/>
    <col min="1540" max="1540" width="9.375" style="555" customWidth="1"/>
    <col min="1541" max="1542" width="4.75" style="555" bestFit="1" customWidth="1"/>
    <col min="1543" max="1543" width="6.125" style="555" bestFit="1" customWidth="1"/>
    <col min="1544" max="1544" width="4.75" style="555" bestFit="1" customWidth="1"/>
    <col min="1545" max="1545" width="4.75" style="555" customWidth="1"/>
    <col min="1546" max="1547" width="9.625" style="555" customWidth="1"/>
    <col min="1548" max="1549" width="10.25" style="555" customWidth="1"/>
    <col min="1550" max="1550" width="9" style="555" customWidth="1"/>
    <col min="1551" max="1552" width="0" style="555" hidden="1" customWidth="1"/>
    <col min="1553" max="1792" width="9" style="555"/>
    <col min="1793" max="1793" width="3.875" style="555" bestFit="1" customWidth="1"/>
    <col min="1794" max="1794" width="28.625" style="555" customWidth="1"/>
    <col min="1795" max="1795" width="13.375" style="555" customWidth="1"/>
    <col min="1796" max="1796" width="9.375" style="555" customWidth="1"/>
    <col min="1797" max="1798" width="4.75" style="555" bestFit="1" customWidth="1"/>
    <col min="1799" max="1799" width="6.125" style="555" bestFit="1" customWidth="1"/>
    <col min="1800" max="1800" width="4.75" style="555" bestFit="1" customWidth="1"/>
    <col min="1801" max="1801" width="4.75" style="555" customWidth="1"/>
    <col min="1802" max="1803" width="9.625" style="555" customWidth="1"/>
    <col min="1804" max="1805" width="10.25" style="555" customWidth="1"/>
    <col min="1806" max="1806" width="9" style="555" customWidth="1"/>
    <col min="1807" max="1808" width="0" style="555" hidden="1" customWidth="1"/>
    <col min="1809" max="2048" width="9" style="555"/>
    <col min="2049" max="2049" width="3.875" style="555" bestFit="1" customWidth="1"/>
    <col min="2050" max="2050" width="28.625" style="555" customWidth="1"/>
    <col min="2051" max="2051" width="13.375" style="555" customWidth="1"/>
    <col min="2052" max="2052" width="9.375" style="555" customWidth="1"/>
    <col min="2053" max="2054" width="4.75" style="555" bestFit="1" customWidth="1"/>
    <col min="2055" max="2055" width="6.125" style="555" bestFit="1" customWidth="1"/>
    <col min="2056" max="2056" width="4.75" style="555" bestFit="1" customWidth="1"/>
    <col min="2057" max="2057" width="4.75" style="555" customWidth="1"/>
    <col min="2058" max="2059" width="9.625" style="555" customWidth="1"/>
    <col min="2060" max="2061" width="10.25" style="555" customWidth="1"/>
    <col min="2062" max="2062" width="9" style="555" customWidth="1"/>
    <col min="2063" max="2064" width="0" style="555" hidden="1" customWidth="1"/>
    <col min="2065" max="2304" width="9" style="555"/>
    <col min="2305" max="2305" width="3.875" style="555" bestFit="1" customWidth="1"/>
    <col min="2306" max="2306" width="28.625" style="555" customWidth="1"/>
    <col min="2307" max="2307" width="13.375" style="555" customWidth="1"/>
    <col min="2308" max="2308" width="9.375" style="555" customWidth="1"/>
    <col min="2309" max="2310" width="4.75" style="555" bestFit="1" customWidth="1"/>
    <col min="2311" max="2311" width="6.125" style="555" bestFit="1" customWidth="1"/>
    <col min="2312" max="2312" width="4.75" style="555" bestFit="1" customWidth="1"/>
    <col min="2313" max="2313" width="4.75" style="555" customWidth="1"/>
    <col min="2314" max="2315" width="9.625" style="555" customWidth="1"/>
    <col min="2316" max="2317" width="10.25" style="555" customWidth="1"/>
    <col min="2318" max="2318" width="9" style="555" customWidth="1"/>
    <col min="2319" max="2320" width="0" style="555" hidden="1" customWidth="1"/>
    <col min="2321" max="2560" width="9" style="555"/>
    <col min="2561" max="2561" width="3.875" style="555" bestFit="1" customWidth="1"/>
    <col min="2562" max="2562" width="28.625" style="555" customWidth="1"/>
    <col min="2563" max="2563" width="13.375" style="555" customWidth="1"/>
    <col min="2564" max="2564" width="9.375" style="555" customWidth="1"/>
    <col min="2565" max="2566" width="4.75" style="555" bestFit="1" customWidth="1"/>
    <col min="2567" max="2567" width="6.125" style="555" bestFit="1" customWidth="1"/>
    <col min="2568" max="2568" width="4.75" style="555" bestFit="1" customWidth="1"/>
    <col min="2569" max="2569" width="4.75" style="555" customWidth="1"/>
    <col min="2570" max="2571" width="9.625" style="555" customWidth="1"/>
    <col min="2572" max="2573" width="10.25" style="555" customWidth="1"/>
    <col min="2574" max="2574" width="9" style="555" customWidth="1"/>
    <col min="2575" max="2576" width="0" style="555" hidden="1" customWidth="1"/>
    <col min="2577" max="2816" width="9" style="555"/>
    <col min="2817" max="2817" width="3.875" style="555" bestFit="1" customWidth="1"/>
    <col min="2818" max="2818" width="28.625" style="555" customWidth="1"/>
    <col min="2819" max="2819" width="13.375" style="555" customWidth="1"/>
    <col min="2820" max="2820" width="9.375" style="555" customWidth="1"/>
    <col min="2821" max="2822" width="4.75" style="555" bestFit="1" customWidth="1"/>
    <col min="2823" max="2823" width="6.125" style="555" bestFit="1" customWidth="1"/>
    <col min="2824" max="2824" width="4.75" style="555" bestFit="1" customWidth="1"/>
    <col min="2825" max="2825" width="4.75" style="555" customWidth="1"/>
    <col min="2826" max="2827" width="9.625" style="555" customWidth="1"/>
    <col min="2828" max="2829" width="10.25" style="555" customWidth="1"/>
    <col min="2830" max="2830" width="9" style="555" customWidth="1"/>
    <col min="2831" max="2832" width="0" style="555" hidden="1" customWidth="1"/>
    <col min="2833" max="3072" width="9" style="555"/>
    <col min="3073" max="3073" width="3.875" style="555" bestFit="1" customWidth="1"/>
    <col min="3074" max="3074" width="28.625" style="555" customWidth="1"/>
    <col min="3075" max="3075" width="13.375" style="555" customWidth="1"/>
    <col min="3076" max="3076" width="9.375" style="555" customWidth="1"/>
    <col min="3077" max="3078" width="4.75" style="555" bestFit="1" customWidth="1"/>
    <col min="3079" max="3079" width="6.125" style="555" bestFit="1" customWidth="1"/>
    <col min="3080" max="3080" width="4.75" style="555" bestFit="1" customWidth="1"/>
    <col min="3081" max="3081" width="4.75" style="555" customWidth="1"/>
    <col min="3082" max="3083" width="9.625" style="555" customWidth="1"/>
    <col min="3084" max="3085" width="10.25" style="555" customWidth="1"/>
    <col min="3086" max="3086" width="9" style="555" customWidth="1"/>
    <col min="3087" max="3088" width="0" style="555" hidden="1" customWidth="1"/>
    <col min="3089" max="3328" width="9" style="555"/>
    <col min="3329" max="3329" width="3.875" style="555" bestFit="1" customWidth="1"/>
    <col min="3330" max="3330" width="28.625" style="555" customWidth="1"/>
    <col min="3331" max="3331" width="13.375" style="555" customWidth="1"/>
    <col min="3332" max="3332" width="9.375" style="555" customWidth="1"/>
    <col min="3333" max="3334" width="4.75" style="555" bestFit="1" customWidth="1"/>
    <col min="3335" max="3335" width="6.125" style="555" bestFit="1" customWidth="1"/>
    <col min="3336" max="3336" width="4.75" style="555" bestFit="1" customWidth="1"/>
    <col min="3337" max="3337" width="4.75" style="555" customWidth="1"/>
    <col min="3338" max="3339" width="9.625" style="555" customWidth="1"/>
    <col min="3340" max="3341" width="10.25" style="555" customWidth="1"/>
    <col min="3342" max="3342" width="9" style="555" customWidth="1"/>
    <col min="3343" max="3344" width="0" style="555" hidden="1" customWidth="1"/>
    <col min="3345" max="3584" width="9" style="555"/>
    <col min="3585" max="3585" width="3.875" style="555" bestFit="1" customWidth="1"/>
    <col min="3586" max="3586" width="28.625" style="555" customWidth="1"/>
    <col min="3587" max="3587" width="13.375" style="555" customWidth="1"/>
    <col min="3588" max="3588" width="9.375" style="555" customWidth="1"/>
    <col min="3589" max="3590" width="4.75" style="555" bestFit="1" customWidth="1"/>
    <col min="3591" max="3591" width="6.125" style="555" bestFit="1" customWidth="1"/>
    <col min="3592" max="3592" width="4.75" style="555" bestFit="1" customWidth="1"/>
    <col min="3593" max="3593" width="4.75" style="555" customWidth="1"/>
    <col min="3594" max="3595" width="9.625" style="555" customWidth="1"/>
    <col min="3596" max="3597" width="10.25" style="555" customWidth="1"/>
    <col min="3598" max="3598" width="9" style="555" customWidth="1"/>
    <col min="3599" max="3600" width="0" style="555" hidden="1" customWidth="1"/>
    <col min="3601" max="3840" width="9" style="555"/>
    <col min="3841" max="3841" width="3.875" style="555" bestFit="1" customWidth="1"/>
    <col min="3842" max="3842" width="28.625" style="555" customWidth="1"/>
    <col min="3843" max="3843" width="13.375" style="555" customWidth="1"/>
    <col min="3844" max="3844" width="9.375" style="555" customWidth="1"/>
    <col min="3845" max="3846" width="4.75" style="555" bestFit="1" customWidth="1"/>
    <col min="3847" max="3847" width="6.125" style="555" bestFit="1" customWidth="1"/>
    <col min="3848" max="3848" width="4.75" style="555" bestFit="1" customWidth="1"/>
    <col min="3849" max="3849" width="4.75" style="555" customWidth="1"/>
    <col min="3850" max="3851" width="9.625" style="555" customWidth="1"/>
    <col min="3852" max="3853" width="10.25" style="555" customWidth="1"/>
    <col min="3854" max="3854" width="9" style="555" customWidth="1"/>
    <col min="3855" max="3856" width="0" style="555" hidden="1" customWidth="1"/>
    <col min="3857" max="4096" width="9" style="555"/>
    <col min="4097" max="4097" width="3.875" style="555" bestFit="1" customWidth="1"/>
    <col min="4098" max="4098" width="28.625" style="555" customWidth="1"/>
    <col min="4099" max="4099" width="13.375" style="555" customWidth="1"/>
    <col min="4100" max="4100" width="9.375" style="555" customWidth="1"/>
    <col min="4101" max="4102" width="4.75" style="555" bestFit="1" customWidth="1"/>
    <col min="4103" max="4103" width="6.125" style="555" bestFit="1" customWidth="1"/>
    <col min="4104" max="4104" width="4.75" style="555" bestFit="1" customWidth="1"/>
    <col min="4105" max="4105" width="4.75" style="555" customWidth="1"/>
    <col min="4106" max="4107" width="9.625" style="555" customWidth="1"/>
    <col min="4108" max="4109" width="10.25" style="555" customWidth="1"/>
    <col min="4110" max="4110" width="9" style="555" customWidth="1"/>
    <col min="4111" max="4112" width="0" style="555" hidden="1" customWidth="1"/>
    <col min="4113" max="4352" width="9" style="555"/>
    <col min="4353" max="4353" width="3.875" style="555" bestFit="1" customWidth="1"/>
    <col min="4354" max="4354" width="28.625" style="555" customWidth="1"/>
    <col min="4355" max="4355" width="13.375" style="555" customWidth="1"/>
    <col min="4356" max="4356" width="9.375" style="555" customWidth="1"/>
    <col min="4357" max="4358" width="4.75" style="555" bestFit="1" customWidth="1"/>
    <col min="4359" max="4359" width="6.125" style="555" bestFit="1" customWidth="1"/>
    <col min="4360" max="4360" width="4.75" style="555" bestFit="1" customWidth="1"/>
    <col min="4361" max="4361" width="4.75" style="555" customWidth="1"/>
    <col min="4362" max="4363" width="9.625" style="555" customWidth="1"/>
    <col min="4364" max="4365" width="10.25" style="555" customWidth="1"/>
    <col min="4366" max="4366" width="9" style="555" customWidth="1"/>
    <col min="4367" max="4368" width="0" style="555" hidden="1" customWidth="1"/>
    <col min="4369" max="4608" width="9" style="555"/>
    <col min="4609" max="4609" width="3.875" style="555" bestFit="1" customWidth="1"/>
    <col min="4610" max="4610" width="28.625" style="555" customWidth="1"/>
    <col min="4611" max="4611" width="13.375" style="555" customWidth="1"/>
    <col min="4612" max="4612" width="9.375" style="555" customWidth="1"/>
    <col min="4613" max="4614" width="4.75" style="555" bestFit="1" customWidth="1"/>
    <col min="4615" max="4615" width="6.125" style="555" bestFit="1" customWidth="1"/>
    <col min="4616" max="4616" width="4.75" style="555" bestFit="1" customWidth="1"/>
    <col min="4617" max="4617" width="4.75" style="555" customWidth="1"/>
    <col min="4618" max="4619" width="9.625" style="555" customWidth="1"/>
    <col min="4620" max="4621" width="10.25" style="555" customWidth="1"/>
    <col min="4622" max="4622" width="9" style="555" customWidth="1"/>
    <col min="4623" max="4624" width="0" style="555" hidden="1" customWidth="1"/>
    <col min="4625" max="4864" width="9" style="555"/>
    <col min="4865" max="4865" width="3.875" style="555" bestFit="1" customWidth="1"/>
    <col min="4866" max="4866" width="28.625" style="555" customWidth="1"/>
    <col min="4867" max="4867" width="13.375" style="555" customWidth="1"/>
    <col min="4868" max="4868" width="9.375" style="555" customWidth="1"/>
    <col min="4869" max="4870" width="4.75" style="555" bestFit="1" customWidth="1"/>
    <col min="4871" max="4871" width="6.125" style="555" bestFit="1" customWidth="1"/>
    <col min="4872" max="4872" width="4.75" style="555" bestFit="1" customWidth="1"/>
    <col min="4873" max="4873" width="4.75" style="555" customWidth="1"/>
    <col min="4874" max="4875" width="9.625" style="555" customWidth="1"/>
    <col min="4876" max="4877" width="10.25" style="555" customWidth="1"/>
    <col min="4878" max="4878" width="9" style="555" customWidth="1"/>
    <col min="4879" max="4880" width="0" style="555" hidden="1" customWidth="1"/>
    <col min="4881" max="5120" width="9" style="555"/>
    <col min="5121" max="5121" width="3.875" style="555" bestFit="1" customWidth="1"/>
    <col min="5122" max="5122" width="28.625" style="555" customWidth="1"/>
    <col min="5123" max="5123" width="13.375" style="555" customWidth="1"/>
    <col min="5124" max="5124" width="9.375" style="555" customWidth="1"/>
    <col min="5125" max="5126" width="4.75" style="555" bestFit="1" customWidth="1"/>
    <col min="5127" max="5127" width="6.125" style="555" bestFit="1" customWidth="1"/>
    <col min="5128" max="5128" width="4.75" style="555" bestFit="1" customWidth="1"/>
    <col min="5129" max="5129" width="4.75" style="555" customWidth="1"/>
    <col min="5130" max="5131" width="9.625" style="555" customWidth="1"/>
    <col min="5132" max="5133" width="10.25" style="555" customWidth="1"/>
    <col min="5134" max="5134" width="9" style="555" customWidth="1"/>
    <col min="5135" max="5136" width="0" style="555" hidden="1" customWidth="1"/>
    <col min="5137" max="5376" width="9" style="555"/>
    <col min="5377" max="5377" width="3.875" style="555" bestFit="1" customWidth="1"/>
    <col min="5378" max="5378" width="28.625" style="555" customWidth="1"/>
    <col min="5379" max="5379" width="13.375" style="555" customWidth="1"/>
    <col min="5380" max="5380" width="9.375" style="555" customWidth="1"/>
    <col min="5381" max="5382" width="4.75" style="555" bestFit="1" customWidth="1"/>
    <col min="5383" max="5383" width="6.125" style="555" bestFit="1" customWidth="1"/>
    <col min="5384" max="5384" width="4.75" style="555" bestFit="1" customWidth="1"/>
    <col min="5385" max="5385" width="4.75" style="555" customWidth="1"/>
    <col min="5386" max="5387" width="9.625" style="555" customWidth="1"/>
    <col min="5388" max="5389" width="10.25" style="555" customWidth="1"/>
    <col min="5390" max="5390" width="9" style="555" customWidth="1"/>
    <col min="5391" max="5392" width="0" style="555" hidden="1" customWidth="1"/>
    <col min="5393" max="5632" width="9" style="555"/>
    <col min="5633" max="5633" width="3.875" style="555" bestFit="1" customWidth="1"/>
    <col min="5634" max="5634" width="28.625" style="555" customWidth="1"/>
    <col min="5635" max="5635" width="13.375" style="555" customWidth="1"/>
    <col min="5636" max="5636" width="9.375" style="555" customWidth="1"/>
    <col min="5637" max="5638" width="4.75" style="555" bestFit="1" customWidth="1"/>
    <col min="5639" max="5639" width="6.125" style="555" bestFit="1" customWidth="1"/>
    <col min="5640" max="5640" width="4.75" style="555" bestFit="1" customWidth="1"/>
    <col min="5641" max="5641" width="4.75" style="555" customWidth="1"/>
    <col min="5642" max="5643" width="9.625" style="555" customWidth="1"/>
    <col min="5644" max="5645" width="10.25" style="555" customWidth="1"/>
    <col min="5646" max="5646" width="9" style="555" customWidth="1"/>
    <col min="5647" max="5648" width="0" style="555" hidden="1" customWidth="1"/>
    <col min="5649" max="5888" width="9" style="555"/>
    <col min="5889" max="5889" width="3.875" style="555" bestFit="1" customWidth="1"/>
    <col min="5890" max="5890" width="28.625" style="555" customWidth="1"/>
    <col min="5891" max="5891" width="13.375" style="555" customWidth="1"/>
    <col min="5892" max="5892" width="9.375" style="555" customWidth="1"/>
    <col min="5893" max="5894" width="4.75" style="555" bestFit="1" customWidth="1"/>
    <col min="5895" max="5895" width="6.125" style="555" bestFit="1" customWidth="1"/>
    <col min="5896" max="5896" width="4.75" style="555" bestFit="1" customWidth="1"/>
    <col min="5897" max="5897" width="4.75" style="555" customWidth="1"/>
    <col min="5898" max="5899" width="9.625" style="555" customWidth="1"/>
    <col min="5900" max="5901" width="10.25" style="555" customWidth="1"/>
    <col min="5902" max="5902" width="9" style="555" customWidth="1"/>
    <col min="5903" max="5904" width="0" style="555" hidden="1" customWidth="1"/>
    <col min="5905" max="6144" width="9" style="555"/>
    <col min="6145" max="6145" width="3.875" style="555" bestFit="1" customWidth="1"/>
    <col min="6146" max="6146" width="28.625" style="555" customWidth="1"/>
    <col min="6147" max="6147" width="13.375" style="555" customWidth="1"/>
    <col min="6148" max="6148" width="9.375" style="555" customWidth="1"/>
    <col min="6149" max="6150" width="4.75" style="555" bestFit="1" customWidth="1"/>
    <col min="6151" max="6151" width="6.125" style="555" bestFit="1" customWidth="1"/>
    <col min="6152" max="6152" width="4.75" style="555" bestFit="1" customWidth="1"/>
    <col min="6153" max="6153" width="4.75" style="555" customWidth="1"/>
    <col min="6154" max="6155" width="9.625" style="555" customWidth="1"/>
    <col min="6156" max="6157" width="10.25" style="555" customWidth="1"/>
    <col min="6158" max="6158" width="9" style="555" customWidth="1"/>
    <col min="6159" max="6160" width="0" style="555" hidden="1" customWidth="1"/>
    <col min="6161" max="6400" width="9" style="555"/>
    <col min="6401" max="6401" width="3.875" style="555" bestFit="1" customWidth="1"/>
    <col min="6402" max="6402" width="28.625" style="555" customWidth="1"/>
    <col min="6403" max="6403" width="13.375" style="555" customWidth="1"/>
    <col min="6404" max="6404" width="9.375" style="555" customWidth="1"/>
    <col min="6405" max="6406" width="4.75" style="555" bestFit="1" customWidth="1"/>
    <col min="6407" max="6407" width="6.125" style="555" bestFit="1" customWidth="1"/>
    <col min="6408" max="6408" width="4.75" style="555" bestFit="1" customWidth="1"/>
    <col min="6409" max="6409" width="4.75" style="555" customWidth="1"/>
    <col min="6410" max="6411" width="9.625" style="555" customWidth="1"/>
    <col min="6412" max="6413" width="10.25" style="555" customWidth="1"/>
    <col min="6414" max="6414" width="9" style="555" customWidth="1"/>
    <col min="6415" max="6416" width="0" style="555" hidden="1" customWidth="1"/>
    <col min="6417" max="6656" width="9" style="555"/>
    <col min="6657" max="6657" width="3.875" style="555" bestFit="1" customWidth="1"/>
    <col min="6658" max="6658" width="28.625" style="555" customWidth="1"/>
    <col min="6659" max="6659" width="13.375" style="555" customWidth="1"/>
    <col min="6660" max="6660" width="9.375" style="555" customWidth="1"/>
    <col min="6661" max="6662" width="4.75" style="555" bestFit="1" customWidth="1"/>
    <col min="6663" max="6663" width="6.125" style="555" bestFit="1" customWidth="1"/>
    <col min="6664" max="6664" width="4.75" style="555" bestFit="1" customWidth="1"/>
    <col min="6665" max="6665" width="4.75" style="555" customWidth="1"/>
    <col min="6666" max="6667" width="9.625" style="555" customWidth="1"/>
    <col min="6668" max="6669" width="10.25" style="555" customWidth="1"/>
    <col min="6670" max="6670" width="9" style="555" customWidth="1"/>
    <col min="6671" max="6672" width="0" style="555" hidden="1" customWidth="1"/>
    <col min="6673" max="6912" width="9" style="555"/>
    <col min="6913" max="6913" width="3.875" style="555" bestFit="1" customWidth="1"/>
    <col min="6914" max="6914" width="28.625" style="555" customWidth="1"/>
    <col min="6915" max="6915" width="13.375" style="555" customWidth="1"/>
    <col min="6916" max="6916" width="9.375" style="555" customWidth="1"/>
    <col min="6917" max="6918" width="4.75" style="555" bestFit="1" customWidth="1"/>
    <col min="6919" max="6919" width="6.125" style="555" bestFit="1" customWidth="1"/>
    <col min="6920" max="6920" width="4.75" style="555" bestFit="1" customWidth="1"/>
    <col min="6921" max="6921" width="4.75" style="555" customWidth="1"/>
    <col min="6922" max="6923" width="9.625" style="555" customWidth="1"/>
    <col min="6924" max="6925" width="10.25" style="555" customWidth="1"/>
    <col min="6926" max="6926" width="9" style="555" customWidth="1"/>
    <col min="6927" max="6928" width="0" style="555" hidden="1" customWidth="1"/>
    <col min="6929" max="7168" width="9" style="555"/>
    <col min="7169" max="7169" width="3.875" style="555" bestFit="1" customWidth="1"/>
    <col min="7170" max="7170" width="28.625" style="555" customWidth="1"/>
    <col min="7171" max="7171" width="13.375" style="555" customWidth="1"/>
    <col min="7172" max="7172" width="9.375" style="555" customWidth="1"/>
    <col min="7173" max="7174" width="4.75" style="555" bestFit="1" customWidth="1"/>
    <col min="7175" max="7175" width="6.125" style="555" bestFit="1" customWidth="1"/>
    <col min="7176" max="7176" width="4.75" style="555" bestFit="1" customWidth="1"/>
    <col min="7177" max="7177" width="4.75" style="555" customWidth="1"/>
    <col min="7178" max="7179" width="9.625" style="555" customWidth="1"/>
    <col min="7180" max="7181" width="10.25" style="555" customWidth="1"/>
    <col min="7182" max="7182" width="9" style="555" customWidth="1"/>
    <col min="7183" max="7184" width="0" style="555" hidden="1" customWidth="1"/>
    <col min="7185" max="7424" width="9" style="555"/>
    <col min="7425" max="7425" width="3.875" style="555" bestFit="1" customWidth="1"/>
    <col min="7426" max="7426" width="28.625" style="555" customWidth="1"/>
    <col min="7427" max="7427" width="13.375" style="555" customWidth="1"/>
    <col min="7428" max="7428" width="9.375" style="555" customWidth="1"/>
    <col min="7429" max="7430" width="4.75" style="555" bestFit="1" customWidth="1"/>
    <col min="7431" max="7431" width="6.125" style="555" bestFit="1" customWidth="1"/>
    <col min="7432" max="7432" width="4.75" style="555" bestFit="1" customWidth="1"/>
    <col min="7433" max="7433" width="4.75" style="555" customWidth="1"/>
    <col min="7434" max="7435" width="9.625" style="555" customWidth="1"/>
    <col min="7436" max="7437" width="10.25" style="555" customWidth="1"/>
    <col min="7438" max="7438" width="9" style="555" customWidth="1"/>
    <col min="7439" max="7440" width="0" style="555" hidden="1" customWidth="1"/>
    <col min="7441" max="7680" width="9" style="555"/>
    <col min="7681" max="7681" width="3.875" style="555" bestFit="1" customWidth="1"/>
    <col min="7682" max="7682" width="28.625" style="555" customWidth="1"/>
    <col min="7683" max="7683" width="13.375" style="555" customWidth="1"/>
    <col min="7684" max="7684" width="9.375" style="555" customWidth="1"/>
    <col min="7685" max="7686" width="4.75" style="555" bestFit="1" customWidth="1"/>
    <col min="7687" max="7687" width="6.125" style="555" bestFit="1" customWidth="1"/>
    <col min="7688" max="7688" width="4.75" style="555" bestFit="1" customWidth="1"/>
    <col min="7689" max="7689" width="4.75" style="555" customWidth="1"/>
    <col min="7690" max="7691" width="9.625" style="555" customWidth="1"/>
    <col min="7692" max="7693" width="10.25" style="555" customWidth="1"/>
    <col min="7694" max="7694" width="9" style="555" customWidth="1"/>
    <col min="7695" max="7696" width="0" style="555" hidden="1" customWidth="1"/>
    <col min="7697" max="7936" width="9" style="555"/>
    <col min="7937" max="7937" width="3.875" style="555" bestFit="1" customWidth="1"/>
    <col min="7938" max="7938" width="28.625" style="555" customWidth="1"/>
    <col min="7939" max="7939" width="13.375" style="555" customWidth="1"/>
    <col min="7940" max="7940" width="9.375" style="555" customWidth="1"/>
    <col min="7941" max="7942" width="4.75" style="555" bestFit="1" customWidth="1"/>
    <col min="7943" max="7943" width="6.125" style="555" bestFit="1" customWidth="1"/>
    <col min="7944" max="7944" width="4.75" style="555" bestFit="1" customWidth="1"/>
    <col min="7945" max="7945" width="4.75" style="555" customWidth="1"/>
    <col min="7946" max="7947" width="9.625" style="555" customWidth="1"/>
    <col min="7948" max="7949" width="10.25" style="555" customWidth="1"/>
    <col min="7950" max="7950" width="9" style="555" customWidth="1"/>
    <col min="7951" max="7952" width="0" style="555" hidden="1" customWidth="1"/>
    <col min="7953" max="8192" width="9" style="555"/>
    <col min="8193" max="8193" width="3.875" style="555" bestFit="1" customWidth="1"/>
    <col min="8194" max="8194" width="28.625" style="555" customWidth="1"/>
    <col min="8195" max="8195" width="13.375" style="555" customWidth="1"/>
    <col min="8196" max="8196" width="9.375" style="555" customWidth="1"/>
    <col min="8197" max="8198" width="4.75" style="555" bestFit="1" customWidth="1"/>
    <col min="8199" max="8199" width="6.125" style="555" bestFit="1" customWidth="1"/>
    <col min="8200" max="8200" width="4.75" style="555" bestFit="1" customWidth="1"/>
    <col min="8201" max="8201" width="4.75" style="555" customWidth="1"/>
    <col min="8202" max="8203" width="9.625" style="555" customWidth="1"/>
    <col min="8204" max="8205" width="10.25" style="555" customWidth="1"/>
    <col min="8206" max="8206" width="9" style="555" customWidth="1"/>
    <col min="8207" max="8208" width="0" style="555" hidden="1" customWidth="1"/>
    <col min="8209" max="8448" width="9" style="555"/>
    <col min="8449" max="8449" width="3.875" style="555" bestFit="1" customWidth="1"/>
    <col min="8450" max="8450" width="28.625" style="555" customWidth="1"/>
    <col min="8451" max="8451" width="13.375" style="555" customWidth="1"/>
    <col min="8452" max="8452" width="9.375" style="555" customWidth="1"/>
    <col min="8453" max="8454" width="4.75" style="555" bestFit="1" customWidth="1"/>
    <col min="8455" max="8455" width="6.125" style="555" bestFit="1" customWidth="1"/>
    <col min="8456" max="8456" width="4.75" style="555" bestFit="1" customWidth="1"/>
    <col min="8457" max="8457" width="4.75" style="555" customWidth="1"/>
    <col min="8458" max="8459" width="9.625" style="555" customWidth="1"/>
    <col min="8460" max="8461" width="10.25" style="555" customWidth="1"/>
    <col min="8462" max="8462" width="9" style="555" customWidth="1"/>
    <col min="8463" max="8464" width="0" style="555" hidden="1" customWidth="1"/>
    <col min="8465" max="8704" width="9" style="555"/>
    <col min="8705" max="8705" width="3.875" style="555" bestFit="1" customWidth="1"/>
    <col min="8706" max="8706" width="28.625" style="555" customWidth="1"/>
    <col min="8707" max="8707" width="13.375" style="555" customWidth="1"/>
    <col min="8708" max="8708" width="9.375" style="555" customWidth="1"/>
    <col min="8709" max="8710" width="4.75" style="555" bestFit="1" customWidth="1"/>
    <col min="8711" max="8711" width="6.125" style="555" bestFit="1" customWidth="1"/>
    <col min="8712" max="8712" width="4.75" style="555" bestFit="1" customWidth="1"/>
    <col min="8713" max="8713" width="4.75" style="555" customWidth="1"/>
    <col min="8714" max="8715" width="9.625" style="555" customWidth="1"/>
    <col min="8716" max="8717" width="10.25" style="555" customWidth="1"/>
    <col min="8718" max="8718" width="9" style="555" customWidth="1"/>
    <col min="8719" max="8720" width="0" style="555" hidden="1" customWidth="1"/>
    <col min="8721" max="8960" width="9" style="555"/>
    <col min="8961" max="8961" width="3.875" style="555" bestFit="1" customWidth="1"/>
    <col min="8962" max="8962" width="28.625" style="555" customWidth="1"/>
    <col min="8963" max="8963" width="13.375" style="555" customWidth="1"/>
    <col min="8964" max="8964" width="9.375" style="555" customWidth="1"/>
    <col min="8965" max="8966" width="4.75" style="555" bestFit="1" customWidth="1"/>
    <col min="8967" max="8967" width="6.125" style="555" bestFit="1" customWidth="1"/>
    <col min="8968" max="8968" width="4.75" style="555" bestFit="1" customWidth="1"/>
    <col min="8969" max="8969" width="4.75" style="555" customWidth="1"/>
    <col min="8970" max="8971" width="9.625" style="555" customWidth="1"/>
    <col min="8972" max="8973" width="10.25" style="555" customWidth="1"/>
    <col min="8974" max="8974" width="9" style="555" customWidth="1"/>
    <col min="8975" max="8976" width="0" style="555" hidden="1" customWidth="1"/>
    <col min="8977" max="9216" width="9" style="555"/>
    <col min="9217" max="9217" width="3.875" style="555" bestFit="1" customWidth="1"/>
    <col min="9218" max="9218" width="28.625" style="555" customWidth="1"/>
    <col min="9219" max="9219" width="13.375" style="555" customWidth="1"/>
    <col min="9220" max="9220" width="9.375" style="555" customWidth="1"/>
    <col min="9221" max="9222" width="4.75" style="555" bestFit="1" customWidth="1"/>
    <col min="9223" max="9223" width="6.125" style="555" bestFit="1" customWidth="1"/>
    <col min="9224" max="9224" width="4.75" style="555" bestFit="1" customWidth="1"/>
    <col min="9225" max="9225" width="4.75" style="555" customWidth="1"/>
    <col min="9226" max="9227" width="9.625" style="555" customWidth="1"/>
    <col min="9228" max="9229" width="10.25" style="555" customWidth="1"/>
    <col min="9230" max="9230" width="9" style="555" customWidth="1"/>
    <col min="9231" max="9232" width="0" style="555" hidden="1" customWidth="1"/>
    <col min="9233" max="9472" width="9" style="555"/>
    <col min="9473" max="9473" width="3.875" style="555" bestFit="1" customWidth="1"/>
    <col min="9474" max="9474" width="28.625" style="555" customWidth="1"/>
    <col min="9475" max="9475" width="13.375" style="555" customWidth="1"/>
    <col min="9476" max="9476" width="9.375" style="555" customWidth="1"/>
    <col min="9477" max="9478" width="4.75" style="555" bestFit="1" customWidth="1"/>
    <col min="9479" max="9479" width="6.125" style="555" bestFit="1" customWidth="1"/>
    <col min="9480" max="9480" width="4.75" style="555" bestFit="1" customWidth="1"/>
    <col min="9481" max="9481" width="4.75" style="555" customWidth="1"/>
    <col min="9482" max="9483" width="9.625" style="555" customWidth="1"/>
    <col min="9484" max="9485" width="10.25" style="555" customWidth="1"/>
    <col min="9486" max="9486" width="9" style="555" customWidth="1"/>
    <col min="9487" max="9488" width="0" style="555" hidden="1" customWidth="1"/>
    <col min="9489" max="9728" width="9" style="555"/>
    <col min="9729" max="9729" width="3.875" style="555" bestFit="1" customWidth="1"/>
    <col min="9730" max="9730" width="28.625" style="555" customWidth="1"/>
    <col min="9731" max="9731" width="13.375" style="555" customWidth="1"/>
    <col min="9732" max="9732" width="9.375" style="555" customWidth="1"/>
    <col min="9733" max="9734" width="4.75" style="555" bestFit="1" customWidth="1"/>
    <col min="9735" max="9735" width="6.125" style="555" bestFit="1" customWidth="1"/>
    <col min="9736" max="9736" width="4.75" style="555" bestFit="1" customWidth="1"/>
    <col min="9737" max="9737" width="4.75" style="555" customWidth="1"/>
    <col min="9738" max="9739" width="9.625" style="555" customWidth="1"/>
    <col min="9740" max="9741" width="10.25" style="555" customWidth="1"/>
    <col min="9742" max="9742" width="9" style="555" customWidth="1"/>
    <col min="9743" max="9744" width="0" style="555" hidden="1" customWidth="1"/>
    <col min="9745" max="9984" width="9" style="555"/>
    <col min="9985" max="9985" width="3.875" style="555" bestFit="1" customWidth="1"/>
    <col min="9986" max="9986" width="28.625" style="555" customWidth="1"/>
    <col min="9987" max="9987" width="13.375" style="555" customWidth="1"/>
    <col min="9988" max="9988" width="9.375" style="555" customWidth="1"/>
    <col min="9989" max="9990" width="4.75" style="555" bestFit="1" customWidth="1"/>
    <col min="9991" max="9991" width="6.125" style="555" bestFit="1" customWidth="1"/>
    <col min="9992" max="9992" width="4.75" style="555" bestFit="1" customWidth="1"/>
    <col min="9993" max="9993" width="4.75" style="555" customWidth="1"/>
    <col min="9994" max="9995" width="9.625" style="555" customWidth="1"/>
    <col min="9996" max="9997" width="10.25" style="555" customWidth="1"/>
    <col min="9998" max="9998" width="9" style="555" customWidth="1"/>
    <col min="9999" max="10000" width="0" style="555" hidden="1" customWidth="1"/>
    <col min="10001" max="10240" width="9" style="555"/>
    <col min="10241" max="10241" width="3.875" style="555" bestFit="1" customWidth="1"/>
    <col min="10242" max="10242" width="28.625" style="555" customWidth="1"/>
    <col min="10243" max="10243" width="13.375" style="555" customWidth="1"/>
    <col min="10244" max="10244" width="9.375" style="555" customWidth="1"/>
    <col min="10245" max="10246" width="4.75" style="555" bestFit="1" customWidth="1"/>
    <col min="10247" max="10247" width="6.125" style="555" bestFit="1" customWidth="1"/>
    <col min="10248" max="10248" width="4.75" style="555" bestFit="1" customWidth="1"/>
    <col min="10249" max="10249" width="4.75" style="555" customWidth="1"/>
    <col min="10250" max="10251" width="9.625" style="555" customWidth="1"/>
    <col min="10252" max="10253" width="10.25" style="555" customWidth="1"/>
    <col min="10254" max="10254" width="9" style="555" customWidth="1"/>
    <col min="10255" max="10256" width="0" style="555" hidden="1" customWidth="1"/>
    <col min="10257" max="10496" width="9" style="555"/>
    <col min="10497" max="10497" width="3.875" style="555" bestFit="1" customWidth="1"/>
    <col min="10498" max="10498" width="28.625" style="555" customWidth="1"/>
    <col min="10499" max="10499" width="13.375" style="555" customWidth="1"/>
    <col min="10500" max="10500" width="9.375" style="555" customWidth="1"/>
    <col min="10501" max="10502" width="4.75" style="555" bestFit="1" customWidth="1"/>
    <col min="10503" max="10503" width="6.125" style="555" bestFit="1" customWidth="1"/>
    <col min="10504" max="10504" width="4.75" style="555" bestFit="1" customWidth="1"/>
    <col min="10505" max="10505" width="4.75" style="555" customWidth="1"/>
    <col min="10506" max="10507" width="9.625" style="555" customWidth="1"/>
    <col min="10508" max="10509" width="10.25" style="555" customWidth="1"/>
    <col min="10510" max="10510" width="9" style="555" customWidth="1"/>
    <col min="10511" max="10512" width="0" style="555" hidden="1" customWidth="1"/>
    <col min="10513" max="10752" width="9" style="555"/>
    <col min="10753" max="10753" width="3.875" style="555" bestFit="1" customWidth="1"/>
    <col min="10754" max="10754" width="28.625" style="555" customWidth="1"/>
    <col min="10755" max="10755" width="13.375" style="555" customWidth="1"/>
    <col min="10756" max="10756" width="9.375" style="555" customWidth="1"/>
    <col min="10757" max="10758" width="4.75" style="555" bestFit="1" customWidth="1"/>
    <col min="10759" max="10759" width="6.125" style="555" bestFit="1" customWidth="1"/>
    <col min="10760" max="10760" width="4.75" style="555" bestFit="1" customWidth="1"/>
    <col min="10761" max="10761" width="4.75" style="555" customWidth="1"/>
    <col min="10762" max="10763" width="9.625" style="555" customWidth="1"/>
    <col min="10764" max="10765" width="10.25" style="555" customWidth="1"/>
    <col min="10766" max="10766" width="9" style="555" customWidth="1"/>
    <col min="10767" max="10768" width="0" style="555" hidden="1" customWidth="1"/>
    <col min="10769" max="11008" width="9" style="555"/>
    <col min="11009" max="11009" width="3.875" style="555" bestFit="1" customWidth="1"/>
    <col min="11010" max="11010" width="28.625" style="555" customWidth="1"/>
    <col min="11011" max="11011" width="13.375" style="555" customWidth="1"/>
    <col min="11012" max="11012" width="9.375" style="555" customWidth="1"/>
    <col min="11013" max="11014" width="4.75" style="555" bestFit="1" customWidth="1"/>
    <col min="11015" max="11015" width="6.125" style="555" bestFit="1" customWidth="1"/>
    <col min="11016" max="11016" width="4.75" style="555" bestFit="1" customWidth="1"/>
    <col min="11017" max="11017" width="4.75" style="555" customWidth="1"/>
    <col min="11018" max="11019" width="9.625" style="555" customWidth="1"/>
    <col min="11020" max="11021" width="10.25" style="555" customWidth="1"/>
    <col min="11022" max="11022" width="9" style="555" customWidth="1"/>
    <col min="11023" max="11024" width="0" style="555" hidden="1" customWidth="1"/>
    <col min="11025" max="11264" width="9" style="555"/>
    <col min="11265" max="11265" width="3.875" style="555" bestFit="1" customWidth="1"/>
    <col min="11266" max="11266" width="28.625" style="555" customWidth="1"/>
    <col min="11267" max="11267" width="13.375" style="555" customWidth="1"/>
    <col min="11268" max="11268" width="9.375" style="555" customWidth="1"/>
    <col min="11269" max="11270" width="4.75" style="555" bestFit="1" customWidth="1"/>
    <col min="11271" max="11271" width="6.125" style="555" bestFit="1" customWidth="1"/>
    <col min="11272" max="11272" width="4.75" style="555" bestFit="1" customWidth="1"/>
    <col min="11273" max="11273" width="4.75" style="555" customWidth="1"/>
    <col min="11274" max="11275" width="9.625" style="555" customWidth="1"/>
    <col min="11276" max="11277" width="10.25" style="555" customWidth="1"/>
    <col min="11278" max="11278" width="9" style="555" customWidth="1"/>
    <col min="11279" max="11280" width="0" style="555" hidden="1" customWidth="1"/>
    <col min="11281" max="11520" width="9" style="555"/>
    <col min="11521" max="11521" width="3.875" style="555" bestFit="1" customWidth="1"/>
    <col min="11522" max="11522" width="28.625" style="555" customWidth="1"/>
    <col min="11523" max="11523" width="13.375" style="555" customWidth="1"/>
    <col min="11524" max="11524" width="9.375" style="555" customWidth="1"/>
    <col min="11525" max="11526" width="4.75" style="555" bestFit="1" customWidth="1"/>
    <col min="11527" max="11527" width="6.125" style="555" bestFit="1" customWidth="1"/>
    <col min="11528" max="11528" width="4.75" style="555" bestFit="1" customWidth="1"/>
    <col min="11529" max="11529" width="4.75" style="555" customWidth="1"/>
    <col min="11530" max="11531" width="9.625" style="555" customWidth="1"/>
    <col min="11532" max="11533" width="10.25" style="555" customWidth="1"/>
    <col min="11534" max="11534" width="9" style="555" customWidth="1"/>
    <col min="11535" max="11536" width="0" style="555" hidden="1" customWidth="1"/>
    <col min="11537" max="11776" width="9" style="555"/>
    <col min="11777" max="11777" width="3.875" style="555" bestFit="1" customWidth="1"/>
    <col min="11778" max="11778" width="28.625" style="555" customWidth="1"/>
    <col min="11779" max="11779" width="13.375" style="555" customWidth="1"/>
    <col min="11780" max="11780" width="9.375" style="555" customWidth="1"/>
    <col min="11781" max="11782" width="4.75" style="555" bestFit="1" customWidth="1"/>
    <col min="11783" max="11783" width="6.125" style="555" bestFit="1" customWidth="1"/>
    <col min="11784" max="11784" width="4.75" style="555" bestFit="1" customWidth="1"/>
    <col min="11785" max="11785" width="4.75" style="555" customWidth="1"/>
    <col min="11786" max="11787" width="9.625" style="555" customWidth="1"/>
    <col min="11788" max="11789" width="10.25" style="555" customWidth="1"/>
    <col min="11790" max="11790" width="9" style="555" customWidth="1"/>
    <col min="11791" max="11792" width="0" style="555" hidden="1" customWidth="1"/>
    <col min="11793" max="12032" width="9" style="555"/>
    <col min="12033" max="12033" width="3.875" style="555" bestFit="1" customWidth="1"/>
    <col min="12034" max="12034" width="28.625" style="555" customWidth="1"/>
    <col min="12035" max="12035" width="13.375" style="555" customWidth="1"/>
    <col min="12036" max="12036" width="9.375" style="555" customWidth="1"/>
    <col min="12037" max="12038" width="4.75" style="555" bestFit="1" customWidth="1"/>
    <col min="12039" max="12039" width="6.125" style="555" bestFit="1" customWidth="1"/>
    <col min="12040" max="12040" width="4.75" style="555" bestFit="1" customWidth="1"/>
    <col min="12041" max="12041" width="4.75" style="555" customWidth="1"/>
    <col min="12042" max="12043" width="9.625" style="555" customWidth="1"/>
    <col min="12044" max="12045" width="10.25" style="555" customWidth="1"/>
    <col min="12046" max="12046" width="9" style="555" customWidth="1"/>
    <col min="12047" max="12048" width="0" style="555" hidden="1" customWidth="1"/>
    <col min="12049" max="12288" width="9" style="555"/>
    <col min="12289" max="12289" width="3.875" style="555" bestFit="1" customWidth="1"/>
    <col min="12290" max="12290" width="28.625" style="555" customWidth="1"/>
    <col min="12291" max="12291" width="13.375" style="555" customWidth="1"/>
    <col min="12292" max="12292" width="9.375" style="555" customWidth="1"/>
    <col min="12293" max="12294" width="4.75" style="555" bestFit="1" customWidth="1"/>
    <col min="12295" max="12295" width="6.125" style="555" bestFit="1" customWidth="1"/>
    <col min="12296" max="12296" width="4.75" style="555" bestFit="1" customWidth="1"/>
    <col min="12297" max="12297" width="4.75" style="555" customWidth="1"/>
    <col min="12298" max="12299" width="9.625" style="555" customWidth="1"/>
    <col min="12300" max="12301" width="10.25" style="555" customWidth="1"/>
    <col min="12302" max="12302" width="9" style="555" customWidth="1"/>
    <col min="12303" max="12304" width="0" style="555" hidden="1" customWidth="1"/>
    <col min="12305" max="12544" width="9" style="555"/>
    <col min="12545" max="12545" width="3.875" style="555" bestFit="1" customWidth="1"/>
    <col min="12546" max="12546" width="28.625" style="555" customWidth="1"/>
    <col min="12547" max="12547" width="13.375" style="555" customWidth="1"/>
    <col min="12548" max="12548" width="9.375" style="555" customWidth="1"/>
    <col min="12549" max="12550" width="4.75" style="555" bestFit="1" customWidth="1"/>
    <col min="12551" max="12551" width="6.125" style="555" bestFit="1" customWidth="1"/>
    <col min="12552" max="12552" width="4.75" style="555" bestFit="1" customWidth="1"/>
    <col min="12553" max="12553" width="4.75" style="555" customWidth="1"/>
    <col min="12554" max="12555" width="9.625" style="555" customWidth="1"/>
    <col min="12556" max="12557" width="10.25" style="555" customWidth="1"/>
    <col min="12558" max="12558" width="9" style="555" customWidth="1"/>
    <col min="12559" max="12560" width="0" style="555" hidden="1" customWidth="1"/>
    <col min="12561" max="12800" width="9" style="555"/>
    <col min="12801" max="12801" width="3.875" style="555" bestFit="1" customWidth="1"/>
    <col min="12802" max="12802" width="28.625" style="555" customWidth="1"/>
    <col min="12803" max="12803" width="13.375" style="555" customWidth="1"/>
    <col min="12804" max="12804" width="9.375" style="555" customWidth="1"/>
    <col min="12805" max="12806" width="4.75" style="555" bestFit="1" customWidth="1"/>
    <col min="12807" max="12807" width="6.125" style="555" bestFit="1" customWidth="1"/>
    <col min="12808" max="12808" width="4.75" style="555" bestFit="1" customWidth="1"/>
    <col min="12809" max="12809" width="4.75" style="555" customWidth="1"/>
    <col min="12810" max="12811" width="9.625" style="555" customWidth="1"/>
    <col min="12812" max="12813" width="10.25" style="555" customWidth="1"/>
    <col min="12814" max="12814" width="9" style="555" customWidth="1"/>
    <col min="12815" max="12816" width="0" style="555" hidden="1" customWidth="1"/>
    <col min="12817" max="13056" width="9" style="555"/>
    <col min="13057" max="13057" width="3.875" style="555" bestFit="1" customWidth="1"/>
    <col min="13058" max="13058" width="28.625" style="555" customWidth="1"/>
    <col min="13059" max="13059" width="13.375" style="555" customWidth="1"/>
    <col min="13060" max="13060" width="9.375" style="555" customWidth="1"/>
    <col min="13061" max="13062" width="4.75" style="555" bestFit="1" customWidth="1"/>
    <col min="13063" max="13063" width="6.125" style="555" bestFit="1" customWidth="1"/>
    <col min="13064" max="13064" width="4.75" style="555" bestFit="1" customWidth="1"/>
    <col min="13065" max="13065" width="4.75" style="555" customWidth="1"/>
    <col min="13066" max="13067" width="9.625" style="555" customWidth="1"/>
    <col min="13068" max="13069" width="10.25" style="555" customWidth="1"/>
    <col min="13070" max="13070" width="9" style="555" customWidth="1"/>
    <col min="13071" max="13072" width="0" style="555" hidden="1" customWidth="1"/>
    <col min="13073" max="13312" width="9" style="555"/>
    <col min="13313" max="13313" width="3.875" style="555" bestFit="1" customWidth="1"/>
    <col min="13314" max="13314" width="28.625" style="555" customWidth="1"/>
    <col min="13315" max="13315" width="13.375" style="555" customWidth="1"/>
    <col min="13316" max="13316" width="9.375" style="555" customWidth="1"/>
    <col min="13317" max="13318" width="4.75" style="555" bestFit="1" customWidth="1"/>
    <col min="13319" max="13319" width="6.125" style="555" bestFit="1" customWidth="1"/>
    <col min="13320" max="13320" width="4.75" style="555" bestFit="1" customWidth="1"/>
    <col min="13321" max="13321" width="4.75" style="555" customWidth="1"/>
    <col min="13322" max="13323" width="9.625" style="555" customWidth="1"/>
    <col min="13324" max="13325" width="10.25" style="555" customWidth="1"/>
    <col min="13326" max="13326" width="9" style="555" customWidth="1"/>
    <col min="13327" max="13328" width="0" style="555" hidden="1" customWidth="1"/>
    <col min="13329" max="13568" width="9" style="555"/>
    <col min="13569" max="13569" width="3.875" style="555" bestFit="1" customWidth="1"/>
    <col min="13570" max="13570" width="28.625" style="555" customWidth="1"/>
    <col min="13571" max="13571" width="13.375" style="555" customWidth="1"/>
    <col min="13572" max="13572" width="9.375" style="555" customWidth="1"/>
    <col min="13573" max="13574" width="4.75" style="555" bestFit="1" customWidth="1"/>
    <col min="13575" max="13575" width="6.125" style="555" bestFit="1" customWidth="1"/>
    <col min="13576" max="13576" width="4.75" style="555" bestFit="1" customWidth="1"/>
    <col min="13577" max="13577" width="4.75" style="555" customWidth="1"/>
    <col min="13578" max="13579" width="9.625" style="555" customWidth="1"/>
    <col min="13580" max="13581" width="10.25" style="555" customWidth="1"/>
    <col min="13582" max="13582" width="9" style="555" customWidth="1"/>
    <col min="13583" max="13584" width="0" style="555" hidden="1" customWidth="1"/>
    <col min="13585" max="13824" width="9" style="555"/>
    <col min="13825" max="13825" width="3.875" style="555" bestFit="1" customWidth="1"/>
    <col min="13826" max="13826" width="28.625" style="555" customWidth="1"/>
    <col min="13827" max="13827" width="13.375" style="555" customWidth="1"/>
    <col min="13828" max="13828" width="9.375" style="555" customWidth="1"/>
    <col min="13829" max="13830" width="4.75" style="555" bestFit="1" customWidth="1"/>
    <col min="13831" max="13831" width="6.125" style="555" bestFit="1" customWidth="1"/>
    <col min="13832" max="13832" width="4.75" style="555" bestFit="1" customWidth="1"/>
    <col min="13833" max="13833" width="4.75" style="555" customWidth="1"/>
    <col min="13834" max="13835" width="9.625" style="555" customWidth="1"/>
    <col min="13836" max="13837" width="10.25" style="555" customWidth="1"/>
    <col min="13838" max="13838" width="9" style="555" customWidth="1"/>
    <col min="13839" max="13840" width="0" style="555" hidden="1" customWidth="1"/>
    <col min="13841" max="14080" width="9" style="555"/>
    <col min="14081" max="14081" width="3.875" style="555" bestFit="1" customWidth="1"/>
    <col min="14082" max="14082" width="28.625" style="555" customWidth="1"/>
    <col min="14083" max="14083" width="13.375" style="555" customWidth="1"/>
    <col min="14084" max="14084" width="9.375" style="555" customWidth="1"/>
    <col min="14085" max="14086" width="4.75" style="555" bestFit="1" customWidth="1"/>
    <col min="14087" max="14087" width="6.125" style="555" bestFit="1" customWidth="1"/>
    <col min="14088" max="14088" width="4.75" style="555" bestFit="1" customWidth="1"/>
    <col min="14089" max="14089" width="4.75" style="555" customWidth="1"/>
    <col min="14090" max="14091" width="9.625" style="555" customWidth="1"/>
    <col min="14092" max="14093" width="10.25" style="555" customWidth="1"/>
    <col min="14094" max="14094" width="9" style="555" customWidth="1"/>
    <col min="14095" max="14096" width="0" style="555" hidden="1" customWidth="1"/>
    <col min="14097" max="14336" width="9" style="555"/>
    <col min="14337" max="14337" width="3.875" style="555" bestFit="1" customWidth="1"/>
    <col min="14338" max="14338" width="28.625" style="555" customWidth="1"/>
    <col min="14339" max="14339" width="13.375" style="555" customWidth="1"/>
    <col min="14340" max="14340" width="9.375" style="555" customWidth="1"/>
    <col min="14341" max="14342" width="4.75" style="555" bestFit="1" customWidth="1"/>
    <col min="14343" max="14343" width="6.125" style="555" bestFit="1" customWidth="1"/>
    <col min="14344" max="14344" width="4.75" style="555" bestFit="1" customWidth="1"/>
    <col min="14345" max="14345" width="4.75" style="555" customWidth="1"/>
    <col min="14346" max="14347" width="9.625" style="555" customWidth="1"/>
    <col min="14348" max="14349" width="10.25" style="555" customWidth="1"/>
    <col min="14350" max="14350" width="9" style="555" customWidth="1"/>
    <col min="14351" max="14352" width="0" style="555" hidden="1" customWidth="1"/>
    <col min="14353" max="14592" width="9" style="555"/>
    <col min="14593" max="14593" width="3.875" style="555" bestFit="1" customWidth="1"/>
    <col min="14594" max="14594" width="28.625" style="555" customWidth="1"/>
    <col min="14595" max="14595" width="13.375" style="555" customWidth="1"/>
    <col min="14596" max="14596" width="9.375" style="555" customWidth="1"/>
    <col min="14597" max="14598" width="4.75" style="555" bestFit="1" customWidth="1"/>
    <col min="14599" max="14599" width="6.125" style="555" bestFit="1" customWidth="1"/>
    <col min="14600" max="14600" width="4.75" style="555" bestFit="1" customWidth="1"/>
    <col min="14601" max="14601" width="4.75" style="555" customWidth="1"/>
    <col min="14602" max="14603" width="9.625" style="555" customWidth="1"/>
    <col min="14604" max="14605" width="10.25" style="555" customWidth="1"/>
    <col min="14606" max="14606" width="9" style="555" customWidth="1"/>
    <col min="14607" max="14608" width="0" style="555" hidden="1" customWidth="1"/>
    <col min="14609" max="14848" width="9" style="555"/>
    <col min="14849" max="14849" width="3.875" style="555" bestFit="1" customWidth="1"/>
    <col min="14850" max="14850" width="28.625" style="555" customWidth="1"/>
    <col min="14851" max="14851" width="13.375" style="555" customWidth="1"/>
    <col min="14852" max="14852" width="9.375" style="555" customWidth="1"/>
    <col min="14853" max="14854" width="4.75" style="555" bestFit="1" customWidth="1"/>
    <col min="14855" max="14855" width="6.125" style="555" bestFit="1" customWidth="1"/>
    <col min="14856" max="14856" width="4.75" style="555" bestFit="1" customWidth="1"/>
    <col min="14857" max="14857" width="4.75" style="555" customWidth="1"/>
    <col min="14858" max="14859" width="9.625" style="555" customWidth="1"/>
    <col min="14860" max="14861" width="10.25" style="555" customWidth="1"/>
    <col min="14862" max="14862" width="9" style="555" customWidth="1"/>
    <col min="14863" max="14864" width="0" style="555" hidden="1" customWidth="1"/>
    <col min="14865" max="15104" width="9" style="555"/>
    <col min="15105" max="15105" width="3.875" style="555" bestFit="1" customWidth="1"/>
    <col min="15106" max="15106" width="28.625" style="555" customWidth="1"/>
    <col min="15107" max="15107" width="13.375" style="555" customWidth="1"/>
    <col min="15108" max="15108" width="9.375" style="555" customWidth="1"/>
    <col min="15109" max="15110" width="4.75" style="555" bestFit="1" customWidth="1"/>
    <col min="15111" max="15111" width="6.125" style="555" bestFit="1" customWidth="1"/>
    <col min="15112" max="15112" width="4.75" style="555" bestFit="1" customWidth="1"/>
    <col min="15113" max="15113" width="4.75" style="555" customWidth="1"/>
    <col min="15114" max="15115" width="9.625" style="555" customWidth="1"/>
    <col min="15116" max="15117" width="10.25" style="555" customWidth="1"/>
    <col min="15118" max="15118" width="9" style="555" customWidth="1"/>
    <col min="15119" max="15120" width="0" style="555" hidden="1" customWidth="1"/>
    <col min="15121" max="15360" width="9" style="555"/>
    <col min="15361" max="15361" width="3.875" style="555" bestFit="1" customWidth="1"/>
    <col min="15362" max="15362" width="28.625" style="555" customWidth="1"/>
    <col min="15363" max="15363" width="13.375" style="555" customWidth="1"/>
    <col min="15364" max="15364" width="9.375" style="555" customWidth="1"/>
    <col min="15365" max="15366" width="4.75" style="555" bestFit="1" customWidth="1"/>
    <col min="15367" max="15367" width="6.125" style="555" bestFit="1" customWidth="1"/>
    <col min="15368" max="15368" width="4.75" style="555" bestFit="1" customWidth="1"/>
    <col min="15369" max="15369" width="4.75" style="555" customWidth="1"/>
    <col min="15370" max="15371" width="9.625" style="555" customWidth="1"/>
    <col min="15372" max="15373" width="10.25" style="555" customWidth="1"/>
    <col min="15374" max="15374" width="9" style="555" customWidth="1"/>
    <col min="15375" max="15376" width="0" style="555" hidden="1" customWidth="1"/>
    <col min="15377" max="15616" width="9" style="555"/>
    <col min="15617" max="15617" width="3.875" style="555" bestFit="1" customWidth="1"/>
    <col min="15618" max="15618" width="28.625" style="555" customWidth="1"/>
    <col min="15619" max="15619" width="13.375" style="555" customWidth="1"/>
    <col min="15620" max="15620" width="9.375" style="555" customWidth="1"/>
    <col min="15621" max="15622" width="4.75" style="555" bestFit="1" customWidth="1"/>
    <col min="15623" max="15623" width="6.125" style="555" bestFit="1" customWidth="1"/>
    <col min="15624" max="15624" width="4.75" style="555" bestFit="1" customWidth="1"/>
    <col min="15625" max="15625" width="4.75" style="555" customWidth="1"/>
    <col min="15626" max="15627" width="9.625" style="555" customWidth="1"/>
    <col min="15628" max="15629" width="10.25" style="555" customWidth="1"/>
    <col min="15630" max="15630" width="9" style="555" customWidth="1"/>
    <col min="15631" max="15632" width="0" style="555" hidden="1" customWidth="1"/>
    <col min="15633" max="15872" width="9" style="555"/>
    <col min="15873" max="15873" width="3.875" style="555" bestFit="1" customWidth="1"/>
    <col min="15874" max="15874" width="28.625" style="555" customWidth="1"/>
    <col min="15875" max="15875" width="13.375" style="555" customWidth="1"/>
    <col min="15876" max="15876" width="9.375" style="555" customWidth="1"/>
    <col min="15877" max="15878" width="4.75" style="555" bestFit="1" customWidth="1"/>
    <col min="15879" max="15879" width="6.125" style="555" bestFit="1" customWidth="1"/>
    <col min="15880" max="15880" width="4.75" style="555" bestFit="1" customWidth="1"/>
    <col min="15881" max="15881" width="4.75" style="555" customWidth="1"/>
    <col min="15882" max="15883" width="9.625" style="555" customWidth="1"/>
    <col min="15884" max="15885" width="10.25" style="555" customWidth="1"/>
    <col min="15886" max="15886" width="9" style="555" customWidth="1"/>
    <col min="15887" max="15888" width="0" style="555" hidden="1" customWidth="1"/>
    <col min="15889" max="16128" width="9" style="555"/>
    <col min="16129" max="16129" width="3.875" style="555" bestFit="1" customWidth="1"/>
    <col min="16130" max="16130" width="28.625" style="555" customWidth="1"/>
    <col min="16131" max="16131" width="13.375" style="555" customWidth="1"/>
    <col min="16132" max="16132" width="9.375" style="555" customWidth="1"/>
    <col min="16133" max="16134" width="4.75" style="555" bestFit="1" customWidth="1"/>
    <col min="16135" max="16135" width="6.125" style="555" bestFit="1" customWidth="1"/>
    <col min="16136" max="16136" width="4.75" style="555" bestFit="1" customWidth="1"/>
    <col min="16137" max="16137" width="4.75" style="555" customWidth="1"/>
    <col min="16138" max="16139" width="9.625" style="555" customWidth="1"/>
    <col min="16140" max="16141" width="10.25" style="555" customWidth="1"/>
    <col min="16142" max="16142" width="9" style="555" customWidth="1"/>
    <col min="16143" max="16144" width="0" style="555" hidden="1" customWidth="1"/>
    <col min="16145" max="16384" width="9" style="555"/>
  </cols>
  <sheetData>
    <row r="1" spans="1:16">
      <c r="B1" s="554"/>
      <c r="M1" s="556" t="s">
        <v>1932</v>
      </c>
    </row>
    <row r="2" spans="1:16">
      <c r="A2" s="1057" t="s">
        <v>602</v>
      </c>
      <c r="B2" s="1058"/>
      <c r="C2" s="1057" t="s">
        <v>36</v>
      </c>
      <c r="D2" s="1061"/>
      <c r="E2" s="1061"/>
      <c r="F2" s="1061"/>
      <c r="G2" s="1058"/>
      <c r="H2" s="1057"/>
      <c r="I2" s="1061"/>
      <c r="J2" s="1058"/>
      <c r="K2" s="557"/>
      <c r="L2" s="558" t="s">
        <v>37</v>
      </c>
      <c r="M2" s="558" t="s">
        <v>38</v>
      </c>
    </row>
    <row r="3" spans="1:16">
      <c r="A3" s="1063"/>
      <c r="B3" s="1064"/>
      <c r="C3" s="1065" t="s">
        <v>1937</v>
      </c>
      <c r="D3" s="1066"/>
      <c r="E3" s="1066"/>
      <c r="F3" s="1066"/>
      <c r="G3" s="1067"/>
      <c r="H3" s="1057" t="s">
        <v>39</v>
      </c>
      <c r="I3" s="1058"/>
      <c r="J3" s="559">
        <f>COUNT(A7:A98)</f>
        <v>5</v>
      </c>
      <c r="K3" s="558" t="s">
        <v>40</v>
      </c>
      <c r="L3" s="560">
        <v>41711</v>
      </c>
      <c r="M3" s="561" t="s">
        <v>1933</v>
      </c>
      <c r="O3" s="555" t="s">
        <v>41</v>
      </c>
      <c r="P3" s="555" t="s">
        <v>42</v>
      </c>
    </row>
    <row r="4" spans="1:16">
      <c r="A4" s="1054" t="s">
        <v>43</v>
      </c>
      <c r="B4" s="1055"/>
      <c r="C4" s="1054" t="s">
        <v>1938</v>
      </c>
      <c r="D4" s="1056"/>
      <c r="E4" s="1056"/>
      <c r="F4" s="1056"/>
      <c r="G4" s="1055"/>
      <c r="H4" s="1057" t="s">
        <v>44</v>
      </c>
      <c r="I4" s="1058"/>
      <c r="J4" s="559">
        <f>SUM(G7:G98)</f>
        <v>24</v>
      </c>
      <c r="K4" s="558" t="s">
        <v>45</v>
      </c>
      <c r="L4" s="40"/>
      <c r="M4" s="42"/>
      <c r="O4" s="555" t="s">
        <v>288</v>
      </c>
      <c r="P4" s="555" t="s">
        <v>287</v>
      </c>
    </row>
    <row r="5" spans="1:16">
      <c r="A5" s="1059" t="s">
        <v>33</v>
      </c>
      <c r="B5" s="1057" t="s">
        <v>46</v>
      </c>
      <c r="C5" s="1061"/>
      <c r="D5" s="1062" t="s">
        <v>47</v>
      </c>
      <c r="E5" s="1061"/>
      <c r="F5" s="1061"/>
      <c r="G5" s="1061"/>
      <c r="H5" s="1061"/>
      <c r="I5" s="1057" t="s">
        <v>604</v>
      </c>
      <c r="J5" s="1058"/>
      <c r="K5" s="1042" t="s">
        <v>48</v>
      </c>
      <c r="L5" s="1043"/>
      <c r="M5" s="1044"/>
      <c r="P5" s="555" t="s">
        <v>1934</v>
      </c>
    </row>
    <row r="6" spans="1:16">
      <c r="A6" s="1060"/>
      <c r="B6" s="558" t="s">
        <v>49</v>
      </c>
      <c r="C6" s="562" t="s">
        <v>50</v>
      </c>
      <c r="D6" s="563" t="s">
        <v>42</v>
      </c>
      <c r="E6" s="564" t="s">
        <v>51</v>
      </c>
      <c r="F6" s="565" t="s">
        <v>52</v>
      </c>
      <c r="G6" s="558" t="s">
        <v>1935</v>
      </c>
      <c r="H6" s="566" t="s">
        <v>53</v>
      </c>
      <c r="I6" s="566" t="s">
        <v>1936</v>
      </c>
      <c r="J6" s="566" t="s">
        <v>1939</v>
      </c>
      <c r="K6" s="1045"/>
      <c r="L6" s="1046"/>
      <c r="M6" s="1047"/>
      <c r="P6" s="555" t="s">
        <v>1940</v>
      </c>
    </row>
    <row r="7" spans="1:16">
      <c r="A7" s="567">
        <v>1</v>
      </c>
      <c r="B7" s="569" t="s">
        <v>535</v>
      </c>
      <c r="C7" s="570" t="s">
        <v>1941</v>
      </c>
      <c r="D7" s="571" t="s">
        <v>1942</v>
      </c>
      <c r="E7" s="572">
        <v>3</v>
      </c>
      <c r="F7" s="573"/>
      <c r="G7" s="20">
        <f>IF(D7="DATE",4,IF(D7="CHAR",E7,IF(D7="SMALLINT",2,IF(D7="INTEGER",4,IF(D7="TIMESTAMP",10,IF(D7="TIME",3,0))))))</f>
        <v>3</v>
      </c>
      <c r="H7" s="567" t="s">
        <v>1943</v>
      </c>
      <c r="I7" s="567" t="s">
        <v>1943</v>
      </c>
      <c r="J7" s="575" t="s">
        <v>1944</v>
      </c>
      <c r="K7" s="1048"/>
      <c r="L7" s="1049"/>
      <c r="M7" s="1050"/>
      <c r="P7" s="555" t="s">
        <v>1945</v>
      </c>
    </row>
    <row r="8" spans="1:16">
      <c r="A8" s="42">
        <f t="shared" ref="A8:A14" si="0">IF(B8=""," ",A7+1)</f>
        <v>2</v>
      </c>
      <c r="B8" s="576" t="s">
        <v>1143</v>
      </c>
      <c r="C8" s="577" t="s">
        <v>1946</v>
      </c>
      <c r="D8" s="568" t="s">
        <v>1942</v>
      </c>
      <c r="E8" s="572">
        <v>2</v>
      </c>
      <c r="F8" s="573"/>
      <c r="G8" s="20">
        <f>IF(D8="DATE",4,IF(D8="CHAR",E8,IF(D8="SMALLINT",2,IF(D8="INTEGER",4,IF(D8="TIMESTAMP",10,IF(D8="TIME",3,0))))))</f>
        <v>2</v>
      </c>
      <c r="H8" s="567" t="s">
        <v>1943</v>
      </c>
      <c r="I8" s="567" t="s">
        <v>1943</v>
      </c>
      <c r="J8" s="575" t="s">
        <v>1944</v>
      </c>
      <c r="K8" s="1051"/>
      <c r="L8" s="1052"/>
      <c r="M8" s="1053"/>
      <c r="P8" s="555" t="s">
        <v>1947</v>
      </c>
    </row>
    <row r="9" spans="1:16" ht="12" customHeight="1">
      <c r="A9" s="42">
        <f t="shared" si="0"/>
        <v>3</v>
      </c>
      <c r="B9" s="576" t="s">
        <v>1144</v>
      </c>
      <c r="C9" s="577" t="s">
        <v>1948</v>
      </c>
      <c r="D9" s="568" t="s">
        <v>1949</v>
      </c>
      <c r="E9" s="572">
        <v>2</v>
      </c>
      <c r="F9" s="573"/>
      <c r="G9" s="20">
        <f>IF(D9="DATE",4,IF(D9="CHAR",E9,IF(D9="SMALLINT",2,IF(D9="INTEGER",4,IF(D9="TIMESTAMP",10,IF(D9="TIME",3,0))))))</f>
        <v>2</v>
      </c>
      <c r="H9" s="567" t="s">
        <v>1950</v>
      </c>
      <c r="I9" s="567"/>
      <c r="J9" s="575" t="s">
        <v>1951</v>
      </c>
      <c r="K9" s="1051"/>
      <c r="L9" s="1052"/>
      <c r="M9" s="1053"/>
      <c r="P9" s="555" t="s">
        <v>1952</v>
      </c>
    </row>
    <row r="10" spans="1:16">
      <c r="A10" s="42">
        <f t="shared" si="0"/>
        <v>4</v>
      </c>
      <c r="B10" s="569" t="s">
        <v>525</v>
      </c>
      <c r="C10" s="570" t="s">
        <v>1953</v>
      </c>
      <c r="D10" s="571" t="s">
        <v>1949</v>
      </c>
      <c r="E10" s="572">
        <v>7</v>
      </c>
      <c r="F10" s="573"/>
      <c r="G10" s="20">
        <f>IF(D10="DATE",4,IF(D10="CHAR",E10,IF(D10="SMALLINT",2,IF(D10="INTEGER",4,IF(D10="TIMESTAMP",10,IF(D10="TIME",3,0))))))</f>
        <v>7</v>
      </c>
      <c r="H10" s="567" t="s">
        <v>1950</v>
      </c>
      <c r="I10" s="567" t="s">
        <v>1950</v>
      </c>
      <c r="J10" s="567">
        <v>1</v>
      </c>
      <c r="K10" s="1048" t="s">
        <v>1954</v>
      </c>
      <c r="L10" s="1049"/>
      <c r="M10" s="1050"/>
      <c r="P10" s="555" t="s">
        <v>1955</v>
      </c>
    </row>
    <row r="11" spans="1:16">
      <c r="A11" s="42">
        <f t="shared" si="0"/>
        <v>5</v>
      </c>
      <c r="B11" s="64" t="s">
        <v>1724</v>
      </c>
      <c r="C11" s="544" t="s">
        <v>1956</v>
      </c>
      <c r="D11" s="65" t="s">
        <v>1957</v>
      </c>
      <c r="E11" s="51"/>
      <c r="F11" s="58"/>
      <c r="G11" s="20">
        <f>IF(D11="DATE",4,IF(D11="CHAR",E11,IF(D11="SMALLINT",2,IF(D11="INTEGER",4,IF(D11="TIMESTAMP",10,IF(D11="TIME",3,0))))))</f>
        <v>10</v>
      </c>
      <c r="H11" s="53" t="s">
        <v>1958</v>
      </c>
      <c r="I11" s="42"/>
      <c r="J11" s="59"/>
      <c r="K11" s="609"/>
      <c r="L11" s="610"/>
      <c r="M11" s="611"/>
    </row>
    <row r="12" spans="1:16">
      <c r="A12" s="42" t="str">
        <f t="shared" si="0"/>
        <v xml:space="preserve"> </v>
      </c>
      <c r="B12" s="64"/>
      <c r="C12" s="544"/>
      <c r="D12" s="72"/>
      <c r="E12" s="73"/>
      <c r="F12" s="74"/>
      <c r="G12" s="20"/>
      <c r="H12" s="567"/>
      <c r="I12" s="42"/>
      <c r="J12" s="59"/>
      <c r="K12" s="609"/>
      <c r="L12" s="610"/>
      <c r="M12" s="611"/>
      <c r="P12" s="555" t="s">
        <v>1959</v>
      </c>
    </row>
    <row r="13" spans="1:16">
      <c r="A13" s="42" t="str">
        <f t="shared" si="0"/>
        <v xml:space="preserve"> </v>
      </c>
      <c r="B13" s="64"/>
      <c r="C13" s="544"/>
      <c r="D13" s="72"/>
      <c r="E13" s="51"/>
      <c r="F13" s="58"/>
      <c r="G13" s="20"/>
      <c r="H13" s="53"/>
      <c r="I13" s="53"/>
      <c r="J13" s="59"/>
      <c r="K13" s="609"/>
      <c r="L13" s="610"/>
      <c r="M13" s="611"/>
      <c r="P13" s="555" t="s">
        <v>1955</v>
      </c>
    </row>
    <row r="14" spans="1:16">
      <c r="A14" s="42" t="str">
        <f t="shared" si="0"/>
        <v xml:space="preserve"> </v>
      </c>
      <c r="B14" s="64"/>
      <c r="C14" s="544"/>
      <c r="D14" s="65"/>
      <c r="E14" s="51"/>
      <c r="F14" s="58"/>
      <c r="G14" s="20"/>
      <c r="H14" s="53"/>
      <c r="I14" s="42"/>
      <c r="J14" s="59"/>
      <c r="K14" s="749"/>
      <c r="L14" s="610"/>
      <c r="M14" s="611"/>
    </row>
    <row r="15" spans="1:16">
      <c r="A15" s="567" t="str">
        <f>IF(B15=""," ",#REF!+1)</f>
        <v xml:space="preserve"> </v>
      </c>
      <c r="B15" s="578"/>
      <c r="C15" s="579"/>
      <c r="D15" s="580"/>
      <c r="E15" s="572"/>
      <c r="F15" s="573"/>
      <c r="G15" s="20"/>
      <c r="H15" s="567"/>
      <c r="I15" s="567"/>
      <c r="J15" s="575"/>
      <c r="K15" s="579"/>
      <c r="L15" s="581"/>
      <c r="M15" s="582"/>
    </row>
    <row r="16" spans="1:16">
      <c r="A16" s="567"/>
      <c r="B16" s="578"/>
      <c r="C16" s="579"/>
      <c r="D16" s="580"/>
      <c r="E16" s="572"/>
      <c r="F16" s="573"/>
      <c r="G16" s="20"/>
      <c r="H16" s="567"/>
      <c r="I16" s="567"/>
      <c r="J16" s="575"/>
      <c r="K16" s="579"/>
      <c r="L16" s="581"/>
      <c r="M16" s="582"/>
    </row>
    <row r="17" spans="1:13">
      <c r="A17" s="567" t="str">
        <f>IF(B17=""," ",A15+1)</f>
        <v xml:space="preserve"> </v>
      </c>
      <c r="B17" s="578"/>
      <c r="C17" s="579"/>
      <c r="D17" s="580"/>
      <c r="E17" s="572"/>
      <c r="F17" s="573"/>
      <c r="G17" s="20"/>
      <c r="H17" s="567"/>
      <c r="I17" s="567"/>
      <c r="J17" s="575"/>
      <c r="K17" s="579"/>
      <c r="L17" s="581"/>
      <c r="M17" s="582"/>
    </row>
    <row r="18" spans="1:13">
      <c r="A18" s="567" t="str">
        <f>IF(B18=""," ",A17+1)</f>
        <v xml:space="preserve"> </v>
      </c>
      <c r="B18" s="578"/>
      <c r="C18" s="579"/>
      <c r="D18" s="580"/>
      <c r="E18" s="572"/>
      <c r="F18" s="573"/>
      <c r="G18" s="20"/>
      <c r="H18" s="567"/>
      <c r="I18" s="567"/>
      <c r="J18" s="575"/>
      <c r="K18" s="579"/>
      <c r="L18" s="581"/>
      <c r="M18" s="582"/>
    </row>
    <row r="19" spans="1:13">
      <c r="A19" s="567" t="str">
        <f>IF(B19=""," ",A18+1)</f>
        <v xml:space="preserve"> </v>
      </c>
      <c r="B19" s="578"/>
      <c r="C19" s="579"/>
      <c r="D19" s="580"/>
      <c r="E19" s="572"/>
      <c r="F19" s="573"/>
      <c r="G19" s="20"/>
      <c r="H19" s="567"/>
      <c r="I19" s="567"/>
      <c r="J19" s="575"/>
      <c r="K19" s="579"/>
      <c r="L19" s="581"/>
      <c r="M19" s="582"/>
    </row>
    <row r="20" spans="1:13">
      <c r="A20" s="567" t="str">
        <f>IF(B20=""," ",A19+1)</f>
        <v xml:space="preserve"> </v>
      </c>
      <c r="B20" s="578"/>
      <c r="C20" s="579"/>
      <c r="D20" s="580"/>
      <c r="E20" s="572"/>
      <c r="F20" s="573"/>
      <c r="G20" s="20"/>
      <c r="H20" s="567"/>
      <c r="I20" s="567"/>
      <c r="J20" s="575"/>
      <c r="K20" s="579"/>
      <c r="L20" s="581"/>
      <c r="M20" s="582"/>
    </row>
    <row r="21" spans="1:13">
      <c r="A21" s="42" t="str">
        <f>IF(B21=""," ",#REF!+1)</f>
        <v xml:space="preserve"> </v>
      </c>
      <c r="B21" s="71"/>
      <c r="C21" s="541"/>
      <c r="D21" s="72"/>
      <c r="E21" s="73"/>
      <c r="F21" s="74"/>
      <c r="G21" s="20"/>
      <c r="H21" s="42"/>
      <c r="I21" s="42"/>
      <c r="J21" s="59"/>
      <c r="K21" s="541"/>
      <c r="L21" s="542"/>
      <c r="M21" s="543"/>
    </row>
    <row r="22" spans="1:13">
      <c r="A22" s="42" t="str">
        <f>IF(B22=""," ",A21+1)</f>
        <v xml:space="preserve"> </v>
      </c>
      <c r="B22" s="71"/>
      <c r="C22" s="541"/>
      <c r="D22" s="72"/>
      <c r="E22" s="73"/>
      <c r="F22" s="74"/>
      <c r="G22" s="20"/>
      <c r="H22" s="42"/>
      <c r="I22" s="42"/>
      <c r="J22" s="59"/>
      <c r="K22" s="609"/>
      <c r="L22" s="610"/>
      <c r="M22" s="611"/>
    </row>
    <row r="23" spans="1:13">
      <c r="A23" s="42" t="str">
        <f>IF(B23=""," ",#REF!+1)</f>
        <v xml:space="preserve"> </v>
      </c>
      <c r="B23" s="71"/>
      <c r="C23" s="541"/>
      <c r="D23" s="72"/>
      <c r="E23" s="73"/>
      <c r="F23" s="74"/>
      <c r="G23" s="20"/>
      <c r="H23" s="42"/>
      <c r="I23" s="42"/>
      <c r="J23" s="59"/>
      <c r="K23" s="609"/>
      <c r="L23" s="610"/>
      <c r="M23" s="611"/>
    </row>
    <row r="24" spans="1:13">
      <c r="A24" s="42" t="str">
        <f>IF(B24=""," ",#REF!+1)</f>
        <v xml:space="preserve"> </v>
      </c>
      <c r="B24" s="71"/>
      <c r="C24" s="541"/>
      <c r="D24" s="72"/>
      <c r="E24" s="73"/>
      <c r="F24" s="74"/>
      <c r="G24" s="20"/>
      <c r="H24" s="42"/>
      <c r="I24" s="42"/>
      <c r="J24" s="59"/>
      <c r="K24" s="541"/>
      <c r="L24" s="542"/>
      <c r="M24" s="543"/>
    </row>
    <row r="25" spans="1:13">
      <c r="A25" s="42" t="str">
        <f>IF(B25=""," ",A24+1)</f>
        <v xml:space="preserve"> </v>
      </c>
      <c r="B25" s="71"/>
      <c r="C25" s="541"/>
      <c r="D25" s="72"/>
      <c r="E25" s="73"/>
      <c r="F25" s="74"/>
      <c r="G25" s="20"/>
      <c r="H25" s="42"/>
      <c r="I25" s="42"/>
      <c r="J25" s="59"/>
      <c r="K25" s="541"/>
      <c r="L25" s="542"/>
      <c r="M25" s="543"/>
    </row>
    <row r="26" spans="1:13">
      <c r="A26" s="42" t="str">
        <f>IF(B26=""," ",A25+1)</f>
        <v xml:space="preserve"> </v>
      </c>
      <c r="B26" s="71"/>
      <c r="C26" s="541"/>
      <c r="D26" s="72"/>
      <c r="E26" s="73"/>
      <c r="F26" s="74"/>
      <c r="G26" s="20"/>
      <c r="H26" s="42"/>
      <c r="I26" s="42"/>
      <c r="J26" s="59"/>
      <c r="K26" s="609"/>
      <c r="L26" s="610"/>
      <c r="M26" s="611"/>
    </row>
    <row r="27" spans="1:13">
      <c r="A27" s="42" t="str">
        <f>IF(B27=""," ",#REF!+1)</f>
        <v xml:space="preserve"> </v>
      </c>
      <c r="B27" s="71"/>
      <c r="C27" s="541"/>
      <c r="D27" s="72"/>
      <c r="E27" s="73"/>
      <c r="F27" s="74"/>
      <c r="G27" s="20"/>
      <c r="H27" s="42"/>
      <c r="I27" s="42"/>
      <c r="J27" s="59"/>
      <c r="K27" s="609"/>
      <c r="L27" s="610"/>
      <c r="M27" s="611"/>
    </row>
    <row r="28" spans="1:13">
      <c r="A28" s="42" t="str">
        <f>IF(B28=""," ",#REF!+1)</f>
        <v xml:space="preserve"> </v>
      </c>
      <c r="B28" s="71"/>
      <c r="C28" s="541"/>
      <c r="D28" s="72"/>
      <c r="E28" s="73"/>
      <c r="F28" s="74"/>
      <c r="G28" s="20"/>
      <c r="H28" s="42"/>
      <c r="I28" s="42"/>
      <c r="J28" s="59"/>
      <c r="K28" s="541"/>
      <c r="L28" s="542"/>
      <c r="M28" s="543"/>
    </row>
    <row r="29" spans="1:13">
      <c r="A29" s="42" t="str">
        <f>IF(B29=""," ",A28+1)</f>
        <v xml:space="preserve"> </v>
      </c>
      <c r="B29" s="71"/>
      <c r="C29" s="541"/>
      <c r="D29" s="72"/>
      <c r="E29" s="73"/>
      <c r="F29" s="74"/>
      <c r="G29" s="20"/>
      <c r="H29" s="42"/>
      <c r="I29" s="42"/>
      <c r="J29" s="59"/>
      <c r="K29" s="541"/>
      <c r="L29" s="542"/>
      <c r="M29" s="543"/>
    </row>
    <row r="30" spans="1:13">
      <c r="A30" s="42" t="str">
        <f>IF(B30=""," ",A29+1)</f>
        <v xml:space="preserve"> </v>
      </c>
      <c r="B30" s="71"/>
      <c r="C30" s="541"/>
      <c r="D30" s="72"/>
      <c r="E30" s="73"/>
      <c r="F30" s="74"/>
      <c r="G30" s="20"/>
      <c r="H30" s="42"/>
      <c r="I30" s="42"/>
      <c r="J30" s="59"/>
      <c r="K30" s="609"/>
      <c r="L30" s="610"/>
      <c r="M30" s="611"/>
    </row>
    <row r="31" spans="1:13">
      <c r="A31" s="42" t="str">
        <f>IF(B31=""," ",#REF!+1)</f>
        <v xml:space="preserve"> </v>
      </c>
      <c r="B31" s="71"/>
      <c r="C31" s="541"/>
      <c r="D31" s="72"/>
      <c r="E31" s="73"/>
      <c r="F31" s="74"/>
      <c r="G31" s="20"/>
      <c r="H31" s="42"/>
      <c r="I31" s="42"/>
      <c r="J31" s="59"/>
      <c r="K31" s="609"/>
      <c r="L31" s="610"/>
      <c r="M31" s="611"/>
    </row>
    <row r="32" spans="1:13">
      <c r="A32" s="42" t="str">
        <f>IF(B32=""," ",#REF!+1)</f>
        <v xml:space="preserve"> </v>
      </c>
      <c r="B32" s="71"/>
      <c r="C32" s="541"/>
      <c r="D32" s="72"/>
      <c r="E32" s="73"/>
      <c r="F32" s="74"/>
      <c r="G32" s="20"/>
      <c r="H32" s="42"/>
      <c r="I32" s="42"/>
      <c r="J32" s="59"/>
      <c r="K32" s="541"/>
      <c r="L32" s="542"/>
      <c r="M32" s="543"/>
    </row>
    <row r="33" spans="1:13">
      <c r="A33" s="42" t="str">
        <f>IF(B33=""," ",A32+1)</f>
        <v xml:space="preserve"> </v>
      </c>
      <c r="B33" s="71"/>
      <c r="C33" s="541"/>
      <c r="D33" s="72"/>
      <c r="E33" s="73"/>
      <c r="F33" s="74"/>
      <c r="G33" s="20"/>
      <c r="H33" s="42"/>
      <c r="I33" s="42"/>
      <c r="J33" s="59"/>
      <c r="K33" s="541"/>
      <c r="L33" s="542"/>
      <c r="M33" s="543"/>
    </row>
    <row r="34" spans="1:13">
      <c r="A34" s="42" t="str">
        <f>IF(B34=""," ",A33+1)</f>
        <v xml:space="preserve"> </v>
      </c>
      <c r="B34" s="71"/>
      <c r="C34" s="541"/>
      <c r="D34" s="72"/>
      <c r="E34" s="73"/>
      <c r="F34" s="74"/>
      <c r="G34" s="20"/>
      <c r="H34" s="42"/>
      <c r="I34" s="42"/>
      <c r="J34" s="59"/>
      <c r="K34" s="609"/>
      <c r="L34" s="610"/>
      <c r="M34" s="611"/>
    </row>
    <row r="35" spans="1:13">
      <c r="A35" s="42" t="str">
        <f>IF(B35=""," ",#REF!+1)</f>
        <v xml:space="preserve"> </v>
      </c>
      <c r="B35" s="71"/>
      <c r="C35" s="541"/>
      <c r="D35" s="72"/>
      <c r="E35" s="73"/>
      <c r="F35" s="74"/>
      <c r="G35" s="20"/>
      <c r="H35" s="42"/>
      <c r="I35" s="42"/>
      <c r="J35" s="59"/>
      <c r="K35" s="609"/>
      <c r="L35" s="610"/>
      <c r="M35" s="611"/>
    </row>
    <row r="36" spans="1:13">
      <c r="A36" s="42" t="str">
        <f>IF(B36=""," ",#REF!+1)</f>
        <v xml:space="preserve"> </v>
      </c>
      <c r="B36" s="71"/>
      <c r="C36" s="541"/>
      <c r="D36" s="72"/>
      <c r="E36" s="73"/>
      <c r="F36" s="74"/>
      <c r="G36" s="20"/>
      <c r="H36" s="42"/>
      <c r="I36" s="42"/>
      <c r="J36" s="59"/>
      <c r="K36" s="609"/>
      <c r="L36" s="610"/>
      <c r="M36" s="611"/>
    </row>
    <row r="37" spans="1:13">
      <c r="A37" s="42" t="str">
        <f>IF(B37=""," ",#REF!+1)</f>
        <v xml:space="preserve"> </v>
      </c>
      <c r="B37" s="71"/>
      <c r="C37" s="541"/>
      <c r="D37" s="72"/>
      <c r="E37" s="73"/>
      <c r="F37" s="74"/>
      <c r="G37" s="20"/>
      <c r="H37" s="42"/>
      <c r="I37" s="42"/>
      <c r="J37" s="59"/>
      <c r="K37" s="541"/>
      <c r="L37" s="542"/>
      <c r="M37" s="543"/>
    </row>
    <row r="38" spans="1:13">
      <c r="A38" s="42" t="str">
        <f>IF(B38=""," ",A37+1)</f>
        <v xml:space="preserve"> </v>
      </c>
      <c r="B38" s="71"/>
      <c r="C38" s="541"/>
      <c r="D38" s="72"/>
      <c r="E38" s="73"/>
      <c r="F38" s="74"/>
      <c r="G38" s="20"/>
      <c r="H38" s="42"/>
      <c r="I38" s="42"/>
      <c r="J38" s="59"/>
      <c r="K38" s="541"/>
      <c r="L38" s="542"/>
      <c r="M38" s="543"/>
    </row>
    <row r="39" spans="1:13">
      <c r="A39" s="42" t="str">
        <f>IF(B39=""," ",A38+1)</f>
        <v xml:space="preserve"> </v>
      </c>
      <c r="B39" s="71"/>
      <c r="C39" s="541"/>
      <c r="D39" s="72"/>
      <c r="E39" s="73"/>
      <c r="F39" s="74"/>
      <c r="G39" s="20"/>
      <c r="H39" s="42"/>
      <c r="I39" s="42"/>
      <c r="J39" s="59"/>
      <c r="K39" s="609"/>
      <c r="L39" s="610"/>
      <c r="M39" s="611"/>
    </row>
    <row r="40" spans="1:13">
      <c r="A40" s="42" t="str">
        <f>IF(B40=""," ",#REF!+1)</f>
        <v xml:space="preserve"> </v>
      </c>
      <c r="B40" s="71"/>
      <c r="C40" s="541"/>
      <c r="D40" s="72"/>
      <c r="E40" s="73"/>
      <c r="F40" s="74"/>
      <c r="G40" s="20"/>
      <c r="H40" s="42"/>
      <c r="I40" s="42"/>
      <c r="J40" s="59"/>
      <c r="K40" s="609"/>
      <c r="L40" s="610"/>
      <c r="M40" s="611"/>
    </row>
    <row r="41" spans="1:13">
      <c r="A41" s="42" t="str">
        <f>IF(B41=""," ",#REF!+1)</f>
        <v xml:space="preserve"> </v>
      </c>
      <c r="B41" s="71"/>
      <c r="C41" s="541"/>
      <c r="D41" s="72"/>
      <c r="E41" s="73"/>
      <c r="F41" s="74"/>
      <c r="G41" s="20"/>
      <c r="H41" s="42"/>
      <c r="I41" s="42"/>
      <c r="J41" s="59"/>
      <c r="K41" s="541"/>
      <c r="L41" s="542"/>
      <c r="M41" s="543"/>
    </row>
    <row r="42" spans="1:13">
      <c r="A42" s="42" t="str">
        <f>IF(B42=""," ",A41+1)</f>
        <v xml:space="preserve"> </v>
      </c>
      <c r="B42" s="71"/>
      <c r="C42" s="541"/>
      <c r="D42" s="72"/>
      <c r="E42" s="73"/>
      <c r="F42" s="74"/>
      <c r="G42" s="20"/>
      <c r="H42" s="42"/>
      <c r="I42" s="42"/>
      <c r="J42" s="59"/>
      <c r="K42" s="541"/>
      <c r="L42" s="542"/>
      <c r="M42" s="543"/>
    </row>
    <row r="43" spans="1:13">
      <c r="A43" s="42" t="str">
        <f>IF(B43=""," ",A42+1)</f>
        <v xml:space="preserve"> </v>
      </c>
      <c r="B43" s="71"/>
      <c r="C43" s="541"/>
      <c r="D43" s="72"/>
      <c r="E43" s="73"/>
      <c r="F43" s="74"/>
      <c r="G43" s="20"/>
      <c r="H43" s="42"/>
      <c r="I43" s="42"/>
      <c r="J43" s="59"/>
      <c r="K43" s="609"/>
      <c r="L43" s="610"/>
      <c r="M43" s="611"/>
    </row>
    <row r="44" spans="1:13">
      <c r="A44" s="42" t="str">
        <f>IF(B44=""," ",#REF!+1)</f>
        <v xml:space="preserve"> </v>
      </c>
      <c r="B44" s="71"/>
      <c r="C44" s="541"/>
      <c r="D44" s="72"/>
      <c r="E44" s="73"/>
      <c r="F44" s="74"/>
      <c r="G44" s="20"/>
      <c r="H44" s="42"/>
      <c r="I44" s="42"/>
      <c r="J44" s="59"/>
      <c r="K44" s="609"/>
      <c r="L44" s="610"/>
      <c r="M44" s="611"/>
    </row>
    <row r="45" spans="1:13">
      <c r="A45" s="42" t="str">
        <f>IF(B45=""," ",#REF!+1)</f>
        <v xml:space="preserve"> </v>
      </c>
      <c r="B45" s="71"/>
      <c r="C45" s="541"/>
      <c r="D45" s="72"/>
      <c r="E45" s="73"/>
      <c r="F45" s="74"/>
      <c r="G45" s="20"/>
      <c r="H45" s="42"/>
      <c r="I45" s="42"/>
      <c r="J45" s="59"/>
      <c r="K45" s="541"/>
      <c r="L45" s="542"/>
      <c r="M45" s="543"/>
    </row>
    <row r="46" spans="1:13">
      <c r="A46" s="42" t="str">
        <f>IF(B46=""," ",A45+1)</f>
        <v xml:space="preserve"> </v>
      </c>
      <c r="B46" s="71"/>
      <c r="C46" s="541"/>
      <c r="D46" s="72"/>
      <c r="E46" s="73"/>
      <c r="F46" s="74"/>
      <c r="G46" s="20"/>
      <c r="H46" s="42"/>
      <c r="I46" s="42"/>
      <c r="J46" s="59"/>
      <c r="K46" s="541"/>
      <c r="L46" s="542"/>
      <c r="M46" s="543"/>
    </row>
    <row r="47" spans="1:13">
      <c r="A47" s="42" t="str">
        <f>IF(B47=""," ",A46+1)</f>
        <v xml:space="preserve"> </v>
      </c>
      <c r="B47" s="71"/>
      <c r="C47" s="541"/>
      <c r="D47" s="72"/>
      <c r="E47" s="73"/>
      <c r="F47" s="74"/>
      <c r="G47" s="20"/>
      <c r="H47" s="42"/>
      <c r="I47" s="42"/>
      <c r="J47" s="59"/>
      <c r="K47" s="609"/>
      <c r="L47" s="610"/>
      <c r="M47" s="611"/>
    </row>
    <row r="48" spans="1:13">
      <c r="A48" s="42" t="str">
        <f>IF(B48=""," ",#REF!+1)</f>
        <v xml:space="preserve"> </v>
      </c>
      <c r="B48" s="71"/>
      <c r="C48" s="541"/>
      <c r="D48" s="72"/>
      <c r="E48" s="73"/>
      <c r="F48" s="74"/>
      <c r="G48" s="20"/>
      <c r="H48" s="42"/>
      <c r="I48" s="42"/>
      <c r="J48" s="59"/>
      <c r="K48" s="609"/>
      <c r="L48" s="610"/>
      <c r="M48" s="611"/>
    </row>
    <row r="49" spans="1:13">
      <c r="A49" s="42" t="str">
        <f>IF(B49=""," ",#REF!+1)</f>
        <v xml:space="preserve"> </v>
      </c>
      <c r="B49" s="71"/>
      <c r="C49" s="541"/>
      <c r="D49" s="72"/>
      <c r="E49" s="73"/>
      <c r="F49" s="74"/>
      <c r="G49" s="20"/>
      <c r="H49" s="42"/>
      <c r="I49" s="42"/>
      <c r="J49" s="59"/>
      <c r="K49" s="609"/>
      <c r="L49" s="610"/>
      <c r="M49" s="611"/>
    </row>
    <row r="50" spans="1:13">
      <c r="A50" s="42" t="str">
        <f>IF(B50=""," ",#REF!+1)</f>
        <v xml:space="preserve"> </v>
      </c>
      <c r="B50" s="71"/>
      <c r="C50" s="541"/>
      <c r="D50" s="72"/>
      <c r="E50" s="73"/>
      <c r="F50" s="74"/>
      <c r="G50" s="20"/>
      <c r="H50" s="42"/>
      <c r="I50" s="42"/>
      <c r="J50" s="59"/>
      <c r="K50" s="541"/>
      <c r="L50" s="542"/>
      <c r="M50" s="543"/>
    </row>
    <row r="51" spans="1:13">
      <c r="A51" s="42" t="str">
        <f>IF(B51=""," ",A50+1)</f>
        <v xml:space="preserve"> </v>
      </c>
      <c r="B51" s="71"/>
      <c r="C51" s="541"/>
      <c r="D51" s="72"/>
      <c r="E51" s="73"/>
      <c r="F51" s="74"/>
      <c r="G51" s="20"/>
      <c r="H51" s="42"/>
      <c r="I51" s="42"/>
      <c r="J51" s="59"/>
      <c r="K51" s="541"/>
      <c r="L51" s="542"/>
      <c r="M51" s="543"/>
    </row>
    <row r="52" spans="1:13">
      <c r="A52" s="42" t="str">
        <f>IF(B52=""," ",A51+1)</f>
        <v xml:space="preserve"> </v>
      </c>
      <c r="B52" s="71"/>
      <c r="C52" s="541"/>
      <c r="D52" s="72"/>
      <c r="E52" s="73"/>
      <c r="F52" s="74"/>
      <c r="G52" s="20"/>
      <c r="H52" s="42"/>
      <c r="I52" s="42"/>
      <c r="J52" s="59"/>
      <c r="K52" s="609"/>
      <c r="L52" s="610"/>
      <c r="M52" s="611"/>
    </row>
    <row r="53" spans="1:13">
      <c r="A53" s="42" t="str">
        <f>IF(B53=""," ",#REF!+1)</f>
        <v xml:space="preserve"> </v>
      </c>
      <c r="B53" s="71"/>
      <c r="C53" s="541"/>
      <c r="D53" s="72"/>
      <c r="E53" s="73"/>
      <c r="F53" s="74"/>
      <c r="G53" s="20"/>
      <c r="H53" s="42"/>
      <c r="I53" s="42"/>
      <c r="J53" s="59"/>
      <c r="K53" s="609"/>
      <c r="L53" s="610"/>
      <c r="M53" s="611"/>
    </row>
    <row r="54" spans="1:13">
      <c r="A54" s="42" t="str">
        <f>IF(B54=""," ",#REF!+1)</f>
        <v xml:space="preserve"> </v>
      </c>
      <c r="B54" s="71"/>
      <c r="C54" s="541"/>
      <c r="D54" s="72"/>
      <c r="E54" s="73"/>
      <c r="F54" s="74"/>
      <c r="G54" s="20"/>
      <c r="H54" s="42"/>
      <c r="I54" s="42"/>
      <c r="J54" s="59"/>
      <c r="K54" s="541"/>
      <c r="L54" s="542"/>
      <c r="M54" s="543"/>
    </row>
    <row r="55" spans="1:13">
      <c r="A55" s="42" t="str">
        <f>IF(B55=""," ",A54+1)</f>
        <v xml:space="preserve"> </v>
      </c>
      <c r="B55" s="71"/>
      <c r="C55" s="541"/>
      <c r="D55" s="72"/>
      <c r="E55" s="73"/>
      <c r="F55" s="74"/>
      <c r="G55" s="20"/>
      <c r="H55" s="42"/>
      <c r="I55" s="42"/>
      <c r="J55" s="59"/>
      <c r="K55" s="541"/>
      <c r="L55" s="542"/>
      <c r="M55" s="543"/>
    </row>
    <row r="56" spans="1:13">
      <c r="A56" s="42" t="str">
        <f>IF(B56=""," ",A55+1)</f>
        <v xml:space="preserve"> </v>
      </c>
      <c r="B56" s="71"/>
      <c r="C56" s="541"/>
      <c r="D56" s="72"/>
      <c r="E56" s="73"/>
      <c r="F56" s="74"/>
      <c r="G56" s="20"/>
      <c r="H56" s="42"/>
      <c r="I56" s="42"/>
      <c r="J56" s="59"/>
      <c r="K56" s="609"/>
      <c r="L56" s="610"/>
      <c r="M56" s="611"/>
    </row>
    <row r="57" spans="1:13">
      <c r="A57" s="42" t="str">
        <f>IF(B57=""," ",#REF!+1)</f>
        <v xml:space="preserve"> </v>
      </c>
      <c r="B57" s="71"/>
      <c r="C57" s="541"/>
      <c r="D57" s="72"/>
      <c r="E57" s="73"/>
      <c r="F57" s="74"/>
      <c r="G57" s="20"/>
      <c r="H57" s="42"/>
      <c r="I57" s="42"/>
      <c r="J57" s="59"/>
      <c r="K57" s="609"/>
      <c r="L57" s="610"/>
      <c r="M57" s="611"/>
    </row>
    <row r="58" spans="1:13">
      <c r="A58" s="42" t="str">
        <f>IF(B58=""," ",#REF!+1)</f>
        <v xml:space="preserve"> </v>
      </c>
      <c r="B58" s="71"/>
      <c r="C58" s="541"/>
      <c r="D58" s="72"/>
      <c r="E58" s="73"/>
      <c r="F58" s="74"/>
      <c r="G58" s="20"/>
      <c r="H58" s="42"/>
      <c r="I58" s="42"/>
      <c r="J58" s="59"/>
      <c r="K58" s="541"/>
      <c r="L58" s="542"/>
      <c r="M58" s="543"/>
    </row>
    <row r="59" spans="1:13">
      <c r="A59" s="42" t="str">
        <f>IF(B59=""," ",A58+1)</f>
        <v xml:space="preserve"> </v>
      </c>
      <c r="B59" s="71"/>
      <c r="C59" s="541"/>
      <c r="D59" s="72"/>
      <c r="E59" s="73"/>
      <c r="F59" s="74"/>
      <c r="G59" s="20"/>
      <c r="H59" s="42"/>
      <c r="I59" s="42"/>
      <c r="J59" s="59"/>
      <c r="K59" s="541"/>
      <c r="L59" s="542"/>
      <c r="M59" s="543"/>
    </row>
    <row r="60" spans="1:13">
      <c r="A60" s="42" t="str">
        <f>IF(B60=""," ",A59+1)</f>
        <v xml:space="preserve"> </v>
      </c>
      <c r="B60" s="71"/>
      <c r="C60" s="541"/>
      <c r="D60" s="72"/>
      <c r="E60" s="73"/>
      <c r="F60" s="74"/>
      <c r="G60" s="20"/>
      <c r="H60" s="42"/>
      <c r="I60" s="42"/>
      <c r="J60" s="59"/>
      <c r="K60" s="609"/>
      <c r="L60" s="610"/>
      <c r="M60" s="611"/>
    </row>
    <row r="61" spans="1:13">
      <c r="A61" s="42" t="str">
        <f>IF(B61=""," ",#REF!+1)</f>
        <v xml:space="preserve"> </v>
      </c>
      <c r="B61" s="71"/>
      <c r="C61" s="541"/>
      <c r="D61" s="72"/>
      <c r="E61" s="73"/>
      <c r="F61" s="74"/>
      <c r="G61" s="20"/>
      <c r="H61" s="42"/>
      <c r="I61" s="42"/>
      <c r="J61" s="59"/>
      <c r="K61" s="609"/>
      <c r="L61" s="610"/>
      <c r="M61" s="611"/>
    </row>
    <row r="62" spans="1:13">
      <c r="A62" s="42" t="str">
        <f>IF(B62=""," ",#REF!+1)</f>
        <v xml:space="preserve"> </v>
      </c>
      <c r="B62" s="71"/>
      <c r="C62" s="541"/>
      <c r="D62" s="72"/>
      <c r="E62" s="73"/>
      <c r="F62" s="74"/>
      <c r="G62" s="20"/>
      <c r="H62" s="42"/>
      <c r="I62" s="42"/>
      <c r="J62" s="59"/>
      <c r="K62" s="609"/>
      <c r="L62" s="610"/>
      <c r="M62" s="611"/>
    </row>
    <row r="63" spans="1:13">
      <c r="A63" s="42" t="str">
        <f>IF(B63=""," ",#REF!+1)</f>
        <v xml:space="preserve"> </v>
      </c>
      <c r="B63" s="71"/>
      <c r="C63" s="541"/>
      <c r="D63" s="72"/>
      <c r="E63" s="73"/>
      <c r="F63" s="74"/>
      <c r="G63" s="20"/>
      <c r="H63" s="42"/>
      <c r="I63" s="42"/>
      <c r="J63" s="59"/>
      <c r="K63" s="541"/>
      <c r="L63" s="542"/>
      <c r="M63" s="543"/>
    </row>
    <row r="64" spans="1:13">
      <c r="A64" s="42" t="str">
        <f>IF(B64=""," ",A63+1)</f>
        <v xml:space="preserve"> </v>
      </c>
      <c r="B64" s="71"/>
      <c r="C64" s="541"/>
      <c r="D64" s="72"/>
      <c r="E64" s="73"/>
      <c r="F64" s="74"/>
      <c r="G64" s="20"/>
      <c r="H64" s="42"/>
      <c r="I64" s="42"/>
      <c r="J64" s="59"/>
      <c r="K64" s="541"/>
      <c r="L64" s="542"/>
      <c r="M64" s="543"/>
    </row>
    <row r="65" spans="1:13">
      <c r="A65" s="42" t="str">
        <f>IF(B65=""," ",A64+1)</f>
        <v xml:space="preserve"> </v>
      </c>
      <c r="B65" s="71"/>
      <c r="C65" s="541"/>
      <c r="D65" s="72"/>
      <c r="E65" s="73"/>
      <c r="F65" s="74"/>
      <c r="G65" s="20"/>
      <c r="H65" s="42"/>
      <c r="I65" s="42"/>
      <c r="J65" s="59"/>
      <c r="K65" s="609"/>
      <c r="L65" s="610"/>
      <c r="M65" s="611"/>
    </row>
    <row r="66" spans="1:13">
      <c r="A66" s="42" t="str">
        <f>IF(B66=""," ",#REF!+1)</f>
        <v xml:space="preserve"> </v>
      </c>
      <c r="B66" s="71"/>
      <c r="C66" s="541"/>
      <c r="D66" s="72"/>
      <c r="E66" s="73"/>
      <c r="F66" s="74"/>
      <c r="G66" s="20"/>
      <c r="H66" s="42"/>
      <c r="I66" s="42"/>
      <c r="J66" s="59"/>
      <c r="K66" s="609"/>
      <c r="L66" s="610"/>
      <c r="M66" s="611"/>
    </row>
    <row r="67" spans="1:13">
      <c r="A67" s="42" t="str">
        <f>IF(B67=""," ",#REF!+1)</f>
        <v xml:space="preserve"> </v>
      </c>
      <c r="B67" s="71"/>
      <c r="C67" s="541"/>
      <c r="D67" s="72"/>
      <c r="E67" s="73"/>
      <c r="F67" s="74"/>
      <c r="G67" s="20"/>
      <c r="H67" s="42"/>
      <c r="I67" s="42"/>
      <c r="J67" s="59"/>
      <c r="K67" s="541"/>
      <c r="L67" s="542"/>
      <c r="M67" s="543"/>
    </row>
    <row r="68" spans="1:13">
      <c r="A68" s="42" t="str">
        <f>IF(B68=""," ",A67+1)</f>
        <v xml:space="preserve"> </v>
      </c>
      <c r="B68" s="71"/>
      <c r="C68" s="541"/>
      <c r="D68" s="72"/>
      <c r="E68" s="73"/>
      <c r="F68" s="74"/>
      <c r="G68" s="20"/>
      <c r="H68" s="42"/>
      <c r="I68" s="42"/>
      <c r="J68" s="59"/>
      <c r="K68" s="541"/>
      <c r="L68" s="542"/>
      <c r="M68" s="543"/>
    </row>
    <row r="69" spans="1:13">
      <c r="A69" s="42" t="str">
        <f>IF(B69=""," ",A68+1)</f>
        <v xml:space="preserve"> </v>
      </c>
      <c r="B69" s="71"/>
      <c r="C69" s="541"/>
      <c r="D69" s="72"/>
      <c r="E69" s="73"/>
      <c r="F69" s="74"/>
      <c r="G69" s="20"/>
      <c r="H69" s="42"/>
      <c r="I69" s="42"/>
      <c r="J69" s="59"/>
      <c r="K69" s="609"/>
      <c r="L69" s="610"/>
      <c r="M69" s="611"/>
    </row>
    <row r="70" spans="1:13">
      <c r="A70" s="42" t="str">
        <f>IF(B70=""," ",#REF!+1)</f>
        <v xml:space="preserve"> </v>
      </c>
      <c r="B70" s="71"/>
      <c r="C70" s="541"/>
      <c r="D70" s="72"/>
      <c r="E70" s="73"/>
      <c r="F70" s="74"/>
      <c r="G70" s="20"/>
      <c r="H70" s="42"/>
      <c r="I70" s="42"/>
      <c r="J70" s="59"/>
      <c r="K70" s="609"/>
      <c r="L70" s="610"/>
      <c r="M70" s="611"/>
    </row>
    <row r="71" spans="1:13">
      <c r="A71" s="42" t="str">
        <f>IF(B71=""," ",#REF!+1)</f>
        <v xml:space="preserve"> </v>
      </c>
      <c r="B71" s="71"/>
      <c r="C71" s="541"/>
      <c r="D71" s="72"/>
      <c r="E71" s="73"/>
      <c r="F71" s="74"/>
      <c r="G71" s="20"/>
      <c r="H71" s="42"/>
      <c r="I71" s="42"/>
      <c r="J71" s="59"/>
      <c r="K71" s="541"/>
      <c r="L71" s="542"/>
      <c r="M71" s="543"/>
    </row>
    <row r="72" spans="1:13">
      <c r="A72" s="42" t="str">
        <f>IF(B72=""," ",A71+1)</f>
        <v xml:space="preserve"> </v>
      </c>
      <c r="B72" s="71"/>
      <c r="C72" s="541"/>
      <c r="D72" s="72"/>
      <c r="E72" s="73"/>
      <c r="F72" s="74"/>
      <c r="G72" s="20"/>
      <c r="H72" s="42"/>
      <c r="I72" s="42"/>
      <c r="J72" s="59"/>
      <c r="K72" s="541"/>
      <c r="L72" s="542"/>
      <c r="M72" s="543"/>
    </row>
    <row r="73" spans="1:13">
      <c r="A73" s="42" t="str">
        <f>IF(B73=""," ",A72+1)</f>
        <v xml:space="preserve"> </v>
      </c>
      <c r="B73" s="71"/>
      <c r="C73" s="541"/>
      <c r="D73" s="72"/>
      <c r="E73" s="73"/>
      <c r="F73" s="74"/>
      <c r="G73" s="20"/>
      <c r="H73" s="42"/>
      <c r="I73" s="42"/>
      <c r="J73" s="59"/>
      <c r="K73" s="609"/>
      <c r="L73" s="610"/>
      <c r="M73" s="611"/>
    </row>
    <row r="74" spans="1:13">
      <c r="A74" s="42" t="str">
        <f>IF(B74=""," ",#REF!+1)</f>
        <v xml:space="preserve"> </v>
      </c>
      <c r="B74" s="71"/>
      <c r="C74" s="541"/>
      <c r="D74" s="72"/>
      <c r="E74" s="73"/>
      <c r="F74" s="74"/>
      <c r="G74" s="20"/>
      <c r="H74" s="42"/>
      <c r="I74" s="42"/>
      <c r="J74" s="59"/>
      <c r="K74" s="609"/>
      <c r="L74" s="610"/>
      <c r="M74" s="611"/>
    </row>
    <row r="75" spans="1:13">
      <c r="A75" s="42" t="str">
        <f>IF(B75=""," ",#REF!+1)</f>
        <v xml:space="preserve"> </v>
      </c>
      <c r="B75" s="71"/>
      <c r="C75" s="541"/>
      <c r="D75" s="72"/>
      <c r="E75" s="73"/>
      <c r="F75" s="74"/>
      <c r="G75" s="20"/>
      <c r="H75" s="42"/>
      <c r="I75" s="42"/>
      <c r="J75" s="59"/>
      <c r="K75" s="609"/>
      <c r="L75" s="610"/>
      <c r="M75" s="611"/>
    </row>
    <row r="76" spans="1:13">
      <c r="A76" s="42" t="str">
        <f>IF(B76=""," ",#REF!+1)</f>
        <v xml:space="preserve"> </v>
      </c>
      <c r="B76" s="71"/>
      <c r="C76" s="541"/>
      <c r="D76" s="72"/>
      <c r="E76" s="73"/>
      <c r="F76" s="74"/>
      <c r="G76" s="20"/>
      <c r="H76" s="42"/>
      <c r="I76" s="42"/>
      <c r="J76" s="59"/>
      <c r="K76" s="541"/>
      <c r="L76" s="542"/>
      <c r="M76" s="543"/>
    </row>
    <row r="77" spans="1:13">
      <c r="A77" s="42" t="str">
        <f>IF(B77=""," ",A76+1)</f>
        <v xml:space="preserve"> </v>
      </c>
      <c r="B77" s="71"/>
      <c r="C77" s="541"/>
      <c r="D77" s="72"/>
      <c r="E77" s="73"/>
      <c r="F77" s="74"/>
      <c r="G77" s="20"/>
      <c r="H77" s="42"/>
      <c r="I77" s="42"/>
      <c r="J77" s="59"/>
      <c r="K77" s="541"/>
      <c r="L77" s="542"/>
      <c r="M77" s="543"/>
    </row>
    <row r="78" spans="1:13">
      <c r="A78" s="42" t="str">
        <f>IF(B78=""," ",A77+1)</f>
        <v xml:space="preserve"> </v>
      </c>
      <c r="B78" s="71"/>
      <c r="C78" s="541"/>
      <c r="D78" s="72"/>
      <c r="E78" s="73"/>
      <c r="F78" s="74"/>
      <c r="G78" s="20"/>
      <c r="H78" s="42"/>
      <c r="I78" s="42"/>
      <c r="J78" s="59"/>
      <c r="K78" s="609"/>
      <c r="L78" s="610"/>
      <c r="M78" s="611"/>
    </row>
    <row r="79" spans="1:13">
      <c r="A79" s="42" t="str">
        <f>IF(B79=""," ",#REF!+1)</f>
        <v xml:space="preserve"> </v>
      </c>
      <c r="B79" s="71"/>
      <c r="C79" s="541"/>
      <c r="D79" s="72"/>
      <c r="E79" s="73"/>
      <c r="F79" s="74"/>
      <c r="G79" s="20"/>
      <c r="H79" s="42"/>
      <c r="I79" s="42"/>
      <c r="J79" s="59"/>
      <c r="K79" s="609"/>
      <c r="L79" s="610"/>
      <c r="M79" s="611"/>
    </row>
    <row r="80" spans="1:13">
      <c r="A80" s="42" t="str">
        <f>IF(B80=""," ",#REF!+1)</f>
        <v xml:space="preserve"> </v>
      </c>
      <c r="B80" s="71"/>
      <c r="C80" s="541"/>
      <c r="D80" s="72"/>
      <c r="E80" s="73"/>
      <c r="F80" s="74"/>
      <c r="G80" s="20"/>
      <c r="H80" s="42"/>
      <c r="I80" s="42"/>
      <c r="J80" s="59"/>
      <c r="K80" s="541"/>
      <c r="L80" s="542"/>
      <c r="M80" s="543"/>
    </row>
    <row r="81" spans="1:13">
      <c r="A81" s="42" t="str">
        <f>IF(B81=""," ",A80+1)</f>
        <v xml:space="preserve"> </v>
      </c>
      <c r="B81" s="71"/>
      <c r="C81" s="541"/>
      <c r="D81" s="72"/>
      <c r="E81" s="73"/>
      <c r="F81" s="74"/>
      <c r="G81" s="20"/>
      <c r="H81" s="42"/>
      <c r="I81" s="42"/>
      <c r="J81" s="59"/>
      <c r="K81" s="541"/>
      <c r="L81" s="542"/>
      <c r="M81" s="543"/>
    </row>
    <row r="82" spans="1:13">
      <c r="A82" s="42" t="str">
        <f>IF(B82=""," ",A81+1)</f>
        <v xml:space="preserve"> </v>
      </c>
      <c r="B82" s="71"/>
      <c r="C82" s="541"/>
      <c r="D82" s="72"/>
      <c r="E82" s="73"/>
      <c r="F82" s="74"/>
      <c r="G82" s="20"/>
      <c r="H82" s="42"/>
      <c r="I82" s="42"/>
      <c r="J82" s="59"/>
      <c r="K82" s="609"/>
      <c r="L82" s="610"/>
      <c r="M82" s="611"/>
    </row>
    <row r="83" spans="1:13">
      <c r="A83" s="42" t="str">
        <f>IF(B83=""," ",#REF!+1)</f>
        <v xml:space="preserve"> </v>
      </c>
      <c r="B83" s="71"/>
      <c r="C83" s="541"/>
      <c r="D83" s="72"/>
      <c r="E83" s="73"/>
      <c r="F83" s="74"/>
      <c r="G83" s="20"/>
      <c r="H83" s="42"/>
      <c r="I83" s="42"/>
      <c r="J83" s="59"/>
      <c r="K83" s="609"/>
      <c r="L83" s="610"/>
      <c r="M83" s="611"/>
    </row>
    <row r="84" spans="1:13">
      <c r="A84" s="42" t="str">
        <f>IF(B84=""," ",#REF!+1)</f>
        <v xml:space="preserve"> </v>
      </c>
      <c r="B84" s="71"/>
      <c r="C84" s="541"/>
      <c r="D84" s="72"/>
      <c r="E84" s="73"/>
      <c r="F84" s="74"/>
      <c r="G84" s="20"/>
      <c r="H84" s="42"/>
      <c r="I84" s="42"/>
      <c r="J84" s="59"/>
      <c r="K84" s="541"/>
      <c r="L84" s="542"/>
      <c r="M84" s="543"/>
    </row>
    <row r="85" spans="1:13">
      <c r="A85" s="42" t="str">
        <f>IF(B85=""," ",A84+1)</f>
        <v xml:space="preserve"> </v>
      </c>
      <c r="B85" s="71"/>
      <c r="C85" s="541"/>
      <c r="D85" s="72"/>
      <c r="E85" s="73"/>
      <c r="F85" s="74"/>
      <c r="G85" s="20"/>
      <c r="H85" s="42"/>
      <c r="I85" s="42"/>
      <c r="J85" s="59"/>
      <c r="K85" s="541"/>
      <c r="L85" s="542"/>
      <c r="M85" s="543"/>
    </row>
    <row r="86" spans="1:13">
      <c r="A86" s="42" t="str">
        <f>IF(B86=""," ",A85+1)</f>
        <v xml:space="preserve"> </v>
      </c>
      <c r="B86" s="71"/>
      <c r="C86" s="541"/>
      <c r="D86" s="72"/>
      <c r="E86" s="73"/>
      <c r="F86" s="74"/>
      <c r="G86" s="20"/>
      <c r="H86" s="42"/>
      <c r="I86" s="42"/>
      <c r="J86" s="59"/>
      <c r="K86" s="609"/>
      <c r="L86" s="610"/>
      <c r="M86" s="611"/>
    </row>
    <row r="87" spans="1:13">
      <c r="A87" s="42" t="str">
        <f>IF(B87=""," ",#REF!+1)</f>
        <v xml:space="preserve"> </v>
      </c>
      <c r="B87" s="71"/>
      <c r="C87" s="541"/>
      <c r="D87" s="72"/>
      <c r="E87" s="73"/>
      <c r="F87" s="74"/>
      <c r="G87" s="20"/>
      <c r="H87" s="42"/>
      <c r="I87" s="42"/>
      <c r="J87" s="59"/>
      <c r="K87" s="609"/>
      <c r="L87" s="610"/>
      <c r="M87" s="611"/>
    </row>
    <row r="88" spans="1:13">
      <c r="A88" s="42" t="str">
        <f>IF(B88=""," ",#REF!+1)</f>
        <v xml:space="preserve"> </v>
      </c>
      <c r="B88" s="71"/>
      <c r="C88" s="541"/>
      <c r="D88" s="72"/>
      <c r="E88" s="73"/>
      <c r="F88" s="74"/>
      <c r="G88" s="20"/>
      <c r="H88" s="42"/>
      <c r="I88" s="42"/>
      <c r="J88" s="59"/>
      <c r="K88" s="609"/>
      <c r="L88" s="610"/>
      <c r="M88" s="611"/>
    </row>
    <row r="89" spans="1:13">
      <c r="A89" s="42" t="str">
        <f>IF(B89=""," ",#REF!+1)</f>
        <v xml:space="preserve"> </v>
      </c>
      <c r="B89" s="71"/>
      <c r="C89" s="541"/>
      <c r="D89" s="72"/>
      <c r="E89" s="73"/>
      <c r="F89" s="74"/>
      <c r="G89" s="20"/>
      <c r="H89" s="42"/>
      <c r="I89" s="42"/>
      <c r="J89" s="59"/>
      <c r="K89" s="609"/>
      <c r="L89" s="610"/>
      <c r="M89" s="611"/>
    </row>
    <row r="90" spans="1:13">
      <c r="A90" s="42" t="str">
        <f>IF(B90=""," ",#REF!+1)</f>
        <v xml:space="preserve"> </v>
      </c>
      <c r="B90" s="71"/>
      <c r="C90" s="541"/>
      <c r="D90" s="72"/>
      <c r="E90" s="73"/>
      <c r="F90" s="74"/>
      <c r="G90" s="20"/>
      <c r="H90" s="42"/>
      <c r="I90" s="42"/>
      <c r="J90" s="59"/>
      <c r="K90" s="609"/>
      <c r="L90" s="610"/>
      <c r="M90" s="611"/>
    </row>
    <row r="91" spans="1:13">
      <c r="A91" s="42" t="str">
        <f>IF(B91=""," ",#REF!+1)</f>
        <v xml:space="preserve"> </v>
      </c>
      <c r="B91" s="71"/>
      <c r="C91" s="541"/>
      <c r="D91" s="72"/>
      <c r="E91" s="73"/>
      <c r="F91" s="74"/>
      <c r="G91" s="20"/>
      <c r="H91" s="42"/>
      <c r="I91" s="42"/>
      <c r="J91" s="59"/>
      <c r="K91" s="609"/>
      <c r="L91" s="610"/>
      <c r="M91" s="611"/>
    </row>
    <row r="92" spans="1:13">
      <c r="A92" s="42" t="str">
        <f>IF(B92=""," ",#REF!+1)</f>
        <v xml:space="preserve"> </v>
      </c>
      <c r="B92" s="71"/>
      <c r="C92" s="541"/>
      <c r="D92" s="72"/>
      <c r="E92" s="73"/>
      <c r="F92" s="74"/>
      <c r="G92" s="20"/>
      <c r="H92" s="42"/>
      <c r="I92" s="42"/>
      <c r="J92" s="59"/>
      <c r="K92" s="541"/>
      <c r="L92" s="542"/>
      <c r="M92" s="543"/>
    </row>
    <row r="93" spans="1:13">
      <c r="A93" s="42" t="str">
        <f>IF(B93=""," ",A92+1)</f>
        <v xml:space="preserve"> </v>
      </c>
      <c r="B93" s="71"/>
      <c r="C93" s="541"/>
      <c r="D93" s="72"/>
      <c r="E93" s="73"/>
      <c r="F93" s="74"/>
      <c r="G93" s="20"/>
      <c r="H93" s="42"/>
      <c r="I93" s="42"/>
      <c r="J93" s="59"/>
      <c r="K93" s="609"/>
      <c r="L93" s="610"/>
      <c r="M93" s="611"/>
    </row>
    <row r="94" spans="1:13">
      <c r="A94" s="42" t="str">
        <f>IF(B94=""," ",#REF!+1)</f>
        <v xml:space="preserve"> </v>
      </c>
      <c r="B94" s="71"/>
      <c r="C94" s="541"/>
      <c r="D94" s="72"/>
      <c r="E94" s="73"/>
      <c r="F94" s="74"/>
      <c r="G94" s="20"/>
      <c r="H94" s="42"/>
      <c r="I94" s="42"/>
      <c r="J94" s="59"/>
      <c r="K94" s="609"/>
      <c r="L94" s="610"/>
      <c r="M94" s="611"/>
    </row>
    <row r="95" spans="1:13">
      <c r="A95" s="42" t="str">
        <f>IF(B95=""," ",#REF!+1)</f>
        <v xml:space="preserve"> </v>
      </c>
      <c r="B95" s="71"/>
      <c r="C95" s="541"/>
      <c r="D95" s="72"/>
      <c r="E95" s="73"/>
      <c r="F95" s="74"/>
      <c r="G95" s="20"/>
      <c r="H95" s="42"/>
      <c r="I95" s="42"/>
      <c r="J95" s="59"/>
      <c r="K95" s="541"/>
      <c r="L95" s="542"/>
      <c r="M95" s="543"/>
    </row>
    <row r="96" spans="1:13">
      <c r="A96" s="42" t="str">
        <f>IF(B96=""," ",A95+1)</f>
        <v xml:space="preserve"> </v>
      </c>
      <c r="B96" s="71"/>
      <c r="C96" s="541"/>
      <c r="D96" s="72"/>
      <c r="E96" s="73"/>
      <c r="F96" s="74"/>
      <c r="G96" s="20"/>
      <c r="H96" s="42"/>
      <c r="I96" s="42"/>
      <c r="J96" s="59"/>
      <c r="K96" s="541"/>
      <c r="L96" s="542"/>
      <c r="M96" s="543"/>
    </row>
    <row r="97" spans="1:13">
      <c r="A97" s="42" t="str">
        <f>IF(B97=""," ",A96+1)</f>
        <v xml:space="preserve"> </v>
      </c>
      <c r="B97" s="71"/>
      <c r="C97" s="541"/>
      <c r="D97" s="72"/>
      <c r="E97" s="73"/>
      <c r="F97" s="74"/>
      <c r="G97" s="20"/>
      <c r="H97" s="42"/>
      <c r="I97" s="42"/>
      <c r="J97" s="59"/>
      <c r="K97" s="609"/>
      <c r="L97" s="610"/>
      <c r="M97" s="611"/>
    </row>
    <row r="98" spans="1:13">
      <c r="A98" s="42" t="str">
        <f>IF(B98=""," ",#REF!+1)</f>
        <v xml:space="preserve"> </v>
      </c>
      <c r="B98" s="71"/>
      <c r="C98" s="541"/>
      <c r="D98" s="72"/>
      <c r="E98" s="73"/>
      <c r="F98" s="74"/>
      <c r="G98" s="20"/>
      <c r="H98" s="42"/>
      <c r="I98" s="42"/>
      <c r="J98" s="59"/>
      <c r="K98" s="609"/>
      <c r="L98" s="610"/>
      <c r="M98" s="611"/>
    </row>
    <row r="100" spans="1:13">
      <c r="B100" s="16" t="s">
        <v>1691</v>
      </c>
      <c r="C100" s="16"/>
      <c r="D100" s="16"/>
      <c r="E100" s="16"/>
      <c r="F100" s="16"/>
      <c r="G100" s="16"/>
      <c r="H100" s="16"/>
      <c r="I100" s="16"/>
      <c r="J100" s="16"/>
      <c r="K100" s="16"/>
    </row>
    <row r="101" spans="1:13">
      <c r="B101" s="16"/>
      <c r="C101" s="16"/>
      <c r="D101" s="16"/>
      <c r="E101" s="16"/>
      <c r="F101" s="16"/>
      <c r="G101" s="16"/>
      <c r="H101" s="16"/>
      <c r="I101" s="16"/>
      <c r="J101" s="16"/>
      <c r="K101" s="16"/>
    </row>
    <row r="102" spans="1:13">
      <c r="B102" s="16"/>
      <c r="C102" s="16"/>
      <c r="D102" s="16"/>
      <c r="E102" s="16"/>
      <c r="F102" s="16"/>
      <c r="G102" s="16"/>
      <c r="H102" s="16"/>
      <c r="I102" s="16"/>
      <c r="J102" s="16"/>
      <c r="K102" s="16"/>
    </row>
    <row r="103" spans="1:13">
      <c r="B103" s="16"/>
      <c r="C103" s="16"/>
      <c r="D103" s="16"/>
      <c r="E103" s="16"/>
      <c r="F103" s="16"/>
      <c r="G103" s="16"/>
      <c r="H103" s="16"/>
      <c r="I103" s="16"/>
      <c r="J103" s="16"/>
      <c r="K103" s="16"/>
    </row>
    <row r="104" spans="1:13">
      <c r="C104" s="16"/>
      <c r="D104" s="16"/>
    </row>
    <row r="105" spans="1:13">
      <c r="C105" s="16"/>
      <c r="D105" s="16"/>
    </row>
    <row r="106" spans="1:13">
      <c r="C106" s="16"/>
      <c r="D106" s="16"/>
    </row>
    <row r="110" spans="1:13" s="16" customFormat="1">
      <c r="A110" s="46"/>
      <c r="B110" s="75"/>
    </row>
  </sheetData>
  <mergeCells count="66">
    <mergeCell ref="A2:B2"/>
    <mergeCell ref="C2:G2"/>
    <mergeCell ref="H2:J2"/>
    <mergeCell ref="A3:B3"/>
    <mergeCell ref="C3:G3"/>
    <mergeCell ref="H3:I3"/>
    <mergeCell ref="A4:B4"/>
    <mergeCell ref="C4:G4"/>
    <mergeCell ref="H4:I4"/>
    <mergeCell ref="A5:A6"/>
    <mergeCell ref="B5:C5"/>
    <mergeCell ref="D5:H5"/>
    <mergeCell ref="I5:J5"/>
    <mergeCell ref="K26:M26"/>
    <mergeCell ref="K5:M6"/>
    <mergeCell ref="K7:M7"/>
    <mergeCell ref="K8:M8"/>
    <mergeCell ref="K9:M9"/>
    <mergeCell ref="K10:M10"/>
    <mergeCell ref="K11:M11"/>
    <mergeCell ref="K12:M12"/>
    <mergeCell ref="K13:M13"/>
    <mergeCell ref="K14:M14"/>
    <mergeCell ref="K22:M22"/>
    <mergeCell ref="K23:M23"/>
    <mergeCell ref="K48:M48"/>
    <mergeCell ref="K27:M27"/>
    <mergeCell ref="K30:M30"/>
    <mergeCell ref="K31:M31"/>
    <mergeCell ref="K34:M34"/>
    <mergeCell ref="K35:M35"/>
    <mergeCell ref="K36:M36"/>
    <mergeCell ref="K39:M39"/>
    <mergeCell ref="K40:M40"/>
    <mergeCell ref="K43:M43"/>
    <mergeCell ref="K44:M44"/>
    <mergeCell ref="K47:M47"/>
    <mergeCell ref="K70:M70"/>
    <mergeCell ref="K49:M49"/>
    <mergeCell ref="K52:M52"/>
    <mergeCell ref="K53:M53"/>
    <mergeCell ref="K56:M56"/>
    <mergeCell ref="K57:M57"/>
    <mergeCell ref="K60:M60"/>
    <mergeCell ref="K61:M61"/>
    <mergeCell ref="K62:M62"/>
    <mergeCell ref="K65:M65"/>
    <mergeCell ref="K66:M66"/>
    <mergeCell ref="K69:M69"/>
    <mergeCell ref="K90:M90"/>
    <mergeCell ref="K73:M73"/>
    <mergeCell ref="K74:M74"/>
    <mergeCell ref="K75:M75"/>
    <mergeCell ref="K78:M78"/>
    <mergeCell ref="K79:M79"/>
    <mergeCell ref="K82:M82"/>
    <mergeCell ref="K83:M83"/>
    <mergeCell ref="K86:M86"/>
    <mergeCell ref="K87:M87"/>
    <mergeCell ref="K88:M88"/>
    <mergeCell ref="K89:M89"/>
    <mergeCell ref="K91:M91"/>
    <mergeCell ref="K93:M93"/>
    <mergeCell ref="K94:M94"/>
    <mergeCell ref="K97:M97"/>
    <mergeCell ref="K98:M98"/>
  </mergeCells>
  <phoneticPr fontId="6"/>
  <pageMargins left="0.78740157480314965" right="0.19685039370078741" top="0.59055118110236227" bottom="0.59055118110236227" header="0.51181102362204722" footer="0.39370078740157483"/>
  <pageSetup paperSize="9" scale="71" fitToHeight="0" orientation="portrait" r:id="rId1"/>
  <headerFooter alignWithMargins="0">
    <oddFooter>&amp;C&amp;10&amp;P/&amp;N&amp;R&amp;10&amp;A</oddFooter>
  </headerFooter>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dimension ref="A1:P109"/>
  <sheetViews>
    <sheetView showGridLines="0" view="pageBreakPreview" zoomScaleNormal="100" zoomScaleSheetLayoutView="100" workbookViewId="0">
      <pane ySplit="6" topLeftCell="A7" activePane="bottomLeft" state="frozen"/>
      <selection activeCell="B78" sqref="B78"/>
      <selection pane="bottomLeft" activeCell="B78" sqref="B78"/>
    </sheetView>
  </sheetViews>
  <sheetFormatPr defaultColWidth="9" defaultRowHeight="12"/>
  <cols>
    <col min="1" max="1" width="3.875" style="553" bestFit="1" customWidth="1"/>
    <col min="2" max="2" width="28.625" style="555" customWidth="1"/>
    <col min="3" max="3" width="13.375" style="555" customWidth="1"/>
    <col min="4" max="4" width="9.375" style="555" customWidth="1"/>
    <col min="5" max="6" width="4.75" style="555" bestFit="1" customWidth="1"/>
    <col min="7" max="7" width="6.125" style="555" bestFit="1" customWidth="1"/>
    <col min="8" max="8" width="4.75" style="555" bestFit="1" customWidth="1"/>
    <col min="9" max="9" width="4.75" style="555" customWidth="1"/>
    <col min="10" max="11" width="9.625" style="555" customWidth="1"/>
    <col min="12" max="13" width="10.25" style="555" customWidth="1"/>
    <col min="14" max="14" width="9" style="555" customWidth="1"/>
    <col min="15" max="16" width="9" style="555" hidden="1" customWidth="1"/>
    <col min="17" max="256" width="9" style="555"/>
    <col min="257" max="257" width="3.875" style="555" bestFit="1" customWidth="1"/>
    <col min="258" max="258" width="28.625" style="555" customWidth="1"/>
    <col min="259" max="259" width="13.375" style="555" customWidth="1"/>
    <col min="260" max="260" width="9.375" style="555" customWidth="1"/>
    <col min="261" max="262" width="4.75" style="555" bestFit="1" customWidth="1"/>
    <col min="263" max="263" width="6.125" style="555" bestFit="1" customWidth="1"/>
    <col min="264" max="264" width="4.75" style="555" bestFit="1" customWidth="1"/>
    <col min="265" max="265" width="4.75" style="555" customWidth="1"/>
    <col min="266" max="267" width="9.625" style="555" customWidth="1"/>
    <col min="268" max="269" width="10.25" style="555" customWidth="1"/>
    <col min="270" max="270" width="9" style="555" customWidth="1"/>
    <col min="271" max="272" width="0" style="555" hidden="1" customWidth="1"/>
    <col min="273" max="512" width="9" style="555"/>
    <col min="513" max="513" width="3.875" style="555" bestFit="1" customWidth="1"/>
    <col min="514" max="514" width="28.625" style="555" customWidth="1"/>
    <col min="515" max="515" width="13.375" style="555" customWidth="1"/>
    <col min="516" max="516" width="9.375" style="555" customWidth="1"/>
    <col min="517" max="518" width="4.75" style="555" bestFit="1" customWidth="1"/>
    <col min="519" max="519" width="6.125" style="555" bestFit="1" customWidth="1"/>
    <col min="520" max="520" width="4.75" style="555" bestFit="1" customWidth="1"/>
    <col min="521" max="521" width="4.75" style="555" customWidth="1"/>
    <col min="522" max="523" width="9.625" style="555" customWidth="1"/>
    <col min="524" max="525" width="10.25" style="555" customWidth="1"/>
    <col min="526" max="526" width="9" style="555" customWidth="1"/>
    <col min="527" max="528" width="0" style="555" hidden="1" customWidth="1"/>
    <col min="529" max="768" width="9" style="555"/>
    <col min="769" max="769" width="3.875" style="555" bestFit="1" customWidth="1"/>
    <col min="770" max="770" width="28.625" style="555" customWidth="1"/>
    <col min="771" max="771" width="13.375" style="555" customWidth="1"/>
    <col min="772" max="772" width="9.375" style="555" customWidth="1"/>
    <col min="773" max="774" width="4.75" style="555" bestFit="1" customWidth="1"/>
    <col min="775" max="775" width="6.125" style="555" bestFit="1" customWidth="1"/>
    <col min="776" max="776" width="4.75" style="555" bestFit="1" customWidth="1"/>
    <col min="777" max="777" width="4.75" style="555" customWidth="1"/>
    <col min="778" max="779" width="9.625" style="555" customWidth="1"/>
    <col min="780" max="781" width="10.25" style="555" customWidth="1"/>
    <col min="782" max="782" width="9" style="555" customWidth="1"/>
    <col min="783" max="784" width="0" style="555" hidden="1" customWidth="1"/>
    <col min="785" max="1024" width="9" style="555"/>
    <col min="1025" max="1025" width="3.875" style="555" bestFit="1" customWidth="1"/>
    <col min="1026" max="1026" width="28.625" style="555" customWidth="1"/>
    <col min="1027" max="1027" width="13.375" style="555" customWidth="1"/>
    <col min="1028" max="1028" width="9.375" style="555" customWidth="1"/>
    <col min="1029" max="1030" width="4.75" style="555" bestFit="1" customWidth="1"/>
    <col min="1031" max="1031" width="6.125" style="555" bestFit="1" customWidth="1"/>
    <col min="1032" max="1032" width="4.75" style="555" bestFit="1" customWidth="1"/>
    <col min="1033" max="1033" width="4.75" style="555" customWidth="1"/>
    <col min="1034" max="1035" width="9.625" style="555" customWidth="1"/>
    <col min="1036" max="1037" width="10.25" style="555" customWidth="1"/>
    <col min="1038" max="1038" width="9" style="555" customWidth="1"/>
    <col min="1039" max="1040" width="0" style="555" hidden="1" customWidth="1"/>
    <col min="1041" max="1280" width="9" style="555"/>
    <col min="1281" max="1281" width="3.875" style="555" bestFit="1" customWidth="1"/>
    <col min="1282" max="1282" width="28.625" style="555" customWidth="1"/>
    <col min="1283" max="1283" width="13.375" style="555" customWidth="1"/>
    <col min="1284" max="1284" width="9.375" style="555" customWidth="1"/>
    <col min="1285" max="1286" width="4.75" style="555" bestFit="1" customWidth="1"/>
    <col min="1287" max="1287" width="6.125" style="555" bestFit="1" customWidth="1"/>
    <col min="1288" max="1288" width="4.75" style="555" bestFit="1" customWidth="1"/>
    <col min="1289" max="1289" width="4.75" style="555" customWidth="1"/>
    <col min="1290" max="1291" width="9.625" style="555" customWidth="1"/>
    <col min="1292" max="1293" width="10.25" style="555" customWidth="1"/>
    <col min="1294" max="1294" width="9" style="555" customWidth="1"/>
    <col min="1295" max="1296" width="0" style="555" hidden="1" customWidth="1"/>
    <col min="1297" max="1536" width="9" style="555"/>
    <col min="1537" max="1537" width="3.875" style="555" bestFit="1" customWidth="1"/>
    <col min="1538" max="1538" width="28.625" style="555" customWidth="1"/>
    <col min="1539" max="1539" width="13.375" style="555" customWidth="1"/>
    <col min="1540" max="1540" width="9.375" style="555" customWidth="1"/>
    <col min="1541" max="1542" width="4.75" style="555" bestFit="1" customWidth="1"/>
    <col min="1543" max="1543" width="6.125" style="555" bestFit="1" customWidth="1"/>
    <col min="1544" max="1544" width="4.75" style="555" bestFit="1" customWidth="1"/>
    <col min="1545" max="1545" width="4.75" style="555" customWidth="1"/>
    <col min="1546" max="1547" width="9.625" style="555" customWidth="1"/>
    <col min="1548" max="1549" width="10.25" style="555" customWidth="1"/>
    <col min="1550" max="1550" width="9" style="555" customWidth="1"/>
    <col min="1551" max="1552" width="0" style="555" hidden="1" customWidth="1"/>
    <col min="1553" max="1792" width="9" style="555"/>
    <col min="1793" max="1793" width="3.875" style="555" bestFit="1" customWidth="1"/>
    <col min="1794" max="1794" width="28.625" style="555" customWidth="1"/>
    <col min="1795" max="1795" width="13.375" style="555" customWidth="1"/>
    <col min="1796" max="1796" width="9.375" style="555" customWidth="1"/>
    <col min="1797" max="1798" width="4.75" style="555" bestFit="1" customWidth="1"/>
    <col min="1799" max="1799" width="6.125" style="555" bestFit="1" customWidth="1"/>
    <col min="1800" max="1800" width="4.75" style="555" bestFit="1" customWidth="1"/>
    <col min="1801" max="1801" width="4.75" style="555" customWidth="1"/>
    <col min="1802" max="1803" width="9.625" style="555" customWidth="1"/>
    <col min="1804" max="1805" width="10.25" style="555" customWidth="1"/>
    <col min="1806" max="1806" width="9" style="555" customWidth="1"/>
    <col min="1807" max="1808" width="0" style="555" hidden="1" customWidth="1"/>
    <col min="1809" max="2048" width="9" style="555"/>
    <col min="2049" max="2049" width="3.875" style="555" bestFit="1" customWidth="1"/>
    <col min="2050" max="2050" width="28.625" style="555" customWidth="1"/>
    <col min="2051" max="2051" width="13.375" style="555" customWidth="1"/>
    <col min="2052" max="2052" width="9.375" style="555" customWidth="1"/>
    <col min="2053" max="2054" width="4.75" style="555" bestFit="1" customWidth="1"/>
    <col min="2055" max="2055" width="6.125" style="555" bestFit="1" customWidth="1"/>
    <col min="2056" max="2056" width="4.75" style="555" bestFit="1" customWidth="1"/>
    <col min="2057" max="2057" width="4.75" style="555" customWidth="1"/>
    <col min="2058" max="2059" width="9.625" style="555" customWidth="1"/>
    <col min="2060" max="2061" width="10.25" style="555" customWidth="1"/>
    <col min="2062" max="2062" width="9" style="555" customWidth="1"/>
    <col min="2063" max="2064" width="0" style="555" hidden="1" customWidth="1"/>
    <col min="2065" max="2304" width="9" style="555"/>
    <col min="2305" max="2305" width="3.875" style="555" bestFit="1" customWidth="1"/>
    <col min="2306" max="2306" width="28.625" style="555" customWidth="1"/>
    <col min="2307" max="2307" width="13.375" style="555" customWidth="1"/>
    <col min="2308" max="2308" width="9.375" style="555" customWidth="1"/>
    <col min="2309" max="2310" width="4.75" style="555" bestFit="1" customWidth="1"/>
    <col min="2311" max="2311" width="6.125" style="555" bestFit="1" customWidth="1"/>
    <col min="2312" max="2312" width="4.75" style="555" bestFit="1" customWidth="1"/>
    <col min="2313" max="2313" width="4.75" style="555" customWidth="1"/>
    <col min="2314" max="2315" width="9.625" style="555" customWidth="1"/>
    <col min="2316" max="2317" width="10.25" style="555" customWidth="1"/>
    <col min="2318" max="2318" width="9" style="555" customWidth="1"/>
    <col min="2319" max="2320" width="0" style="555" hidden="1" customWidth="1"/>
    <col min="2321" max="2560" width="9" style="555"/>
    <col min="2561" max="2561" width="3.875" style="555" bestFit="1" customWidth="1"/>
    <col min="2562" max="2562" width="28.625" style="555" customWidth="1"/>
    <col min="2563" max="2563" width="13.375" style="555" customWidth="1"/>
    <col min="2564" max="2564" width="9.375" style="555" customWidth="1"/>
    <col min="2565" max="2566" width="4.75" style="555" bestFit="1" customWidth="1"/>
    <col min="2567" max="2567" width="6.125" style="555" bestFit="1" customWidth="1"/>
    <col min="2568" max="2568" width="4.75" style="555" bestFit="1" customWidth="1"/>
    <col min="2569" max="2569" width="4.75" style="555" customWidth="1"/>
    <col min="2570" max="2571" width="9.625" style="555" customWidth="1"/>
    <col min="2572" max="2573" width="10.25" style="555" customWidth="1"/>
    <col min="2574" max="2574" width="9" style="555" customWidth="1"/>
    <col min="2575" max="2576" width="0" style="555" hidden="1" customWidth="1"/>
    <col min="2577" max="2816" width="9" style="555"/>
    <col min="2817" max="2817" width="3.875" style="555" bestFit="1" customWidth="1"/>
    <col min="2818" max="2818" width="28.625" style="555" customWidth="1"/>
    <col min="2819" max="2819" width="13.375" style="555" customWidth="1"/>
    <col min="2820" max="2820" width="9.375" style="555" customWidth="1"/>
    <col min="2821" max="2822" width="4.75" style="555" bestFit="1" customWidth="1"/>
    <col min="2823" max="2823" width="6.125" style="555" bestFit="1" customWidth="1"/>
    <col min="2824" max="2824" width="4.75" style="555" bestFit="1" customWidth="1"/>
    <col min="2825" max="2825" width="4.75" style="555" customWidth="1"/>
    <col min="2826" max="2827" width="9.625" style="555" customWidth="1"/>
    <col min="2828" max="2829" width="10.25" style="555" customWidth="1"/>
    <col min="2830" max="2830" width="9" style="555" customWidth="1"/>
    <col min="2831" max="2832" width="0" style="555" hidden="1" customWidth="1"/>
    <col min="2833" max="3072" width="9" style="555"/>
    <col min="3073" max="3073" width="3.875" style="555" bestFit="1" customWidth="1"/>
    <col min="3074" max="3074" width="28.625" style="555" customWidth="1"/>
    <col min="3075" max="3075" width="13.375" style="555" customWidth="1"/>
    <col min="3076" max="3076" width="9.375" style="555" customWidth="1"/>
    <col min="3077" max="3078" width="4.75" style="555" bestFit="1" customWidth="1"/>
    <col min="3079" max="3079" width="6.125" style="555" bestFit="1" customWidth="1"/>
    <col min="3080" max="3080" width="4.75" style="555" bestFit="1" customWidth="1"/>
    <col min="3081" max="3081" width="4.75" style="555" customWidth="1"/>
    <col min="3082" max="3083" width="9.625" style="555" customWidth="1"/>
    <col min="3084" max="3085" width="10.25" style="555" customWidth="1"/>
    <col min="3086" max="3086" width="9" style="555" customWidth="1"/>
    <col min="3087" max="3088" width="0" style="555" hidden="1" customWidth="1"/>
    <col min="3089" max="3328" width="9" style="555"/>
    <col min="3329" max="3329" width="3.875" style="555" bestFit="1" customWidth="1"/>
    <col min="3330" max="3330" width="28.625" style="555" customWidth="1"/>
    <col min="3331" max="3331" width="13.375" style="555" customWidth="1"/>
    <col min="3332" max="3332" width="9.375" style="555" customWidth="1"/>
    <col min="3333" max="3334" width="4.75" style="555" bestFit="1" customWidth="1"/>
    <col min="3335" max="3335" width="6.125" style="555" bestFit="1" customWidth="1"/>
    <col min="3336" max="3336" width="4.75" style="555" bestFit="1" customWidth="1"/>
    <col min="3337" max="3337" width="4.75" style="555" customWidth="1"/>
    <col min="3338" max="3339" width="9.625" style="555" customWidth="1"/>
    <col min="3340" max="3341" width="10.25" style="555" customWidth="1"/>
    <col min="3342" max="3342" width="9" style="555" customWidth="1"/>
    <col min="3343" max="3344" width="0" style="555" hidden="1" customWidth="1"/>
    <col min="3345" max="3584" width="9" style="555"/>
    <col min="3585" max="3585" width="3.875" style="555" bestFit="1" customWidth="1"/>
    <col min="3586" max="3586" width="28.625" style="555" customWidth="1"/>
    <col min="3587" max="3587" width="13.375" style="555" customWidth="1"/>
    <col min="3588" max="3588" width="9.375" style="555" customWidth="1"/>
    <col min="3589" max="3590" width="4.75" style="555" bestFit="1" customWidth="1"/>
    <col min="3591" max="3591" width="6.125" style="555" bestFit="1" customWidth="1"/>
    <col min="3592" max="3592" width="4.75" style="555" bestFit="1" customWidth="1"/>
    <col min="3593" max="3593" width="4.75" style="555" customWidth="1"/>
    <col min="3594" max="3595" width="9.625" style="555" customWidth="1"/>
    <col min="3596" max="3597" width="10.25" style="555" customWidth="1"/>
    <col min="3598" max="3598" width="9" style="555" customWidth="1"/>
    <col min="3599" max="3600" width="0" style="555" hidden="1" customWidth="1"/>
    <col min="3601" max="3840" width="9" style="555"/>
    <col min="3841" max="3841" width="3.875" style="555" bestFit="1" customWidth="1"/>
    <col min="3842" max="3842" width="28.625" style="555" customWidth="1"/>
    <col min="3843" max="3843" width="13.375" style="555" customWidth="1"/>
    <col min="3844" max="3844" width="9.375" style="555" customWidth="1"/>
    <col min="3845" max="3846" width="4.75" style="555" bestFit="1" customWidth="1"/>
    <col min="3847" max="3847" width="6.125" style="555" bestFit="1" customWidth="1"/>
    <col min="3848" max="3848" width="4.75" style="555" bestFit="1" customWidth="1"/>
    <col min="3849" max="3849" width="4.75" style="555" customWidth="1"/>
    <col min="3850" max="3851" width="9.625" style="555" customWidth="1"/>
    <col min="3852" max="3853" width="10.25" style="555" customWidth="1"/>
    <col min="3854" max="3854" width="9" style="555" customWidth="1"/>
    <col min="3855" max="3856" width="0" style="555" hidden="1" customWidth="1"/>
    <col min="3857" max="4096" width="9" style="555"/>
    <col min="4097" max="4097" width="3.875" style="555" bestFit="1" customWidth="1"/>
    <col min="4098" max="4098" width="28.625" style="555" customWidth="1"/>
    <col min="4099" max="4099" width="13.375" style="555" customWidth="1"/>
    <col min="4100" max="4100" width="9.375" style="555" customWidth="1"/>
    <col min="4101" max="4102" width="4.75" style="555" bestFit="1" customWidth="1"/>
    <col min="4103" max="4103" width="6.125" style="555" bestFit="1" customWidth="1"/>
    <col min="4104" max="4104" width="4.75" style="555" bestFit="1" customWidth="1"/>
    <col min="4105" max="4105" width="4.75" style="555" customWidth="1"/>
    <col min="4106" max="4107" width="9.625" style="555" customWidth="1"/>
    <col min="4108" max="4109" width="10.25" style="555" customWidth="1"/>
    <col min="4110" max="4110" width="9" style="555" customWidth="1"/>
    <col min="4111" max="4112" width="0" style="555" hidden="1" customWidth="1"/>
    <col min="4113" max="4352" width="9" style="555"/>
    <col min="4353" max="4353" width="3.875" style="555" bestFit="1" customWidth="1"/>
    <col min="4354" max="4354" width="28.625" style="555" customWidth="1"/>
    <col min="4355" max="4355" width="13.375" style="555" customWidth="1"/>
    <col min="4356" max="4356" width="9.375" style="555" customWidth="1"/>
    <col min="4357" max="4358" width="4.75" style="555" bestFit="1" customWidth="1"/>
    <col min="4359" max="4359" width="6.125" style="555" bestFit="1" customWidth="1"/>
    <col min="4360" max="4360" width="4.75" style="555" bestFit="1" customWidth="1"/>
    <col min="4361" max="4361" width="4.75" style="555" customWidth="1"/>
    <col min="4362" max="4363" width="9.625" style="555" customWidth="1"/>
    <col min="4364" max="4365" width="10.25" style="555" customWidth="1"/>
    <col min="4366" max="4366" width="9" style="555" customWidth="1"/>
    <col min="4367" max="4368" width="0" style="555" hidden="1" customWidth="1"/>
    <col min="4369" max="4608" width="9" style="555"/>
    <col min="4609" max="4609" width="3.875" style="555" bestFit="1" customWidth="1"/>
    <col min="4610" max="4610" width="28.625" style="555" customWidth="1"/>
    <col min="4611" max="4611" width="13.375" style="555" customWidth="1"/>
    <col min="4612" max="4612" width="9.375" style="555" customWidth="1"/>
    <col min="4613" max="4614" width="4.75" style="555" bestFit="1" customWidth="1"/>
    <col min="4615" max="4615" width="6.125" style="555" bestFit="1" customWidth="1"/>
    <col min="4616" max="4616" width="4.75" style="555" bestFit="1" customWidth="1"/>
    <col min="4617" max="4617" width="4.75" style="555" customWidth="1"/>
    <col min="4618" max="4619" width="9.625" style="555" customWidth="1"/>
    <col min="4620" max="4621" width="10.25" style="555" customWidth="1"/>
    <col min="4622" max="4622" width="9" style="555" customWidth="1"/>
    <col min="4623" max="4624" width="0" style="555" hidden="1" customWidth="1"/>
    <col min="4625" max="4864" width="9" style="555"/>
    <col min="4865" max="4865" width="3.875" style="555" bestFit="1" customWidth="1"/>
    <col min="4866" max="4866" width="28.625" style="555" customWidth="1"/>
    <col min="4867" max="4867" width="13.375" style="555" customWidth="1"/>
    <col min="4868" max="4868" width="9.375" style="555" customWidth="1"/>
    <col min="4869" max="4870" width="4.75" style="555" bestFit="1" customWidth="1"/>
    <col min="4871" max="4871" width="6.125" style="555" bestFit="1" customWidth="1"/>
    <col min="4872" max="4872" width="4.75" style="555" bestFit="1" customWidth="1"/>
    <col min="4873" max="4873" width="4.75" style="555" customWidth="1"/>
    <col min="4874" max="4875" width="9.625" style="555" customWidth="1"/>
    <col min="4876" max="4877" width="10.25" style="555" customWidth="1"/>
    <col min="4878" max="4878" width="9" style="555" customWidth="1"/>
    <col min="4879" max="4880" width="0" style="555" hidden="1" customWidth="1"/>
    <col min="4881" max="5120" width="9" style="555"/>
    <col min="5121" max="5121" width="3.875" style="555" bestFit="1" customWidth="1"/>
    <col min="5122" max="5122" width="28.625" style="555" customWidth="1"/>
    <col min="5123" max="5123" width="13.375" style="555" customWidth="1"/>
    <col min="5124" max="5124" width="9.375" style="555" customWidth="1"/>
    <col min="5125" max="5126" width="4.75" style="555" bestFit="1" customWidth="1"/>
    <col min="5127" max="5127" width="6.125" style="555" bestFit="1" customWidth="1"/>
    <col min="5128" max="5128" width="4.75" style="555" bestFit="1" customWidth="1"/>
    <col min="5129" max="5129" width="4.75" style="555" customWidth="1"/>
    <col min="5130" max="5131" width="9.625" style="555" customWidth="1"/>
    <col min="5132" max="5133" width="10.25" style="555" customWidth="1"/>
    <col min="5134" max="5134" width="9" style="555" customWidth="1"/>
    <col min="5135" max="5136" width="0" style="555" hidden="1" customWidth="1"/>
    <col min="5137" max="5376" width="9" style="555"/>
    <col min="5377" max="5377" width="3.875" style="555" bestFit="1" customWidth="1"/>
    <col min="5378" max="5378" width="28.625" style="555" customWidth="1"/>
    <col min="5379" max="5379" width="13.375" style="555" customWidth="1"/>
    <col min="5380" max="5380" width="9.375" style="555" customWidth="1"/>
    <col min="5381" max="5382" width="4.75" style="555" bestFit="1" customWidth="1"/>
    <col min="5383" max="5383" width="6.125" style="555" bestFit="1" customWidth="1"/>
    <col min="5384" max="5384" width="4.75" style="555" bestFit="1" customWidth="1"/>
    <col min="5385" max="5385" width="4.75" style="555" customWidth="1"/>
    <col min="5386" max="5387" width="9.625" style="555" customWidth="1"/>
    <col min="5388" max="5389" width="10.25" style="555" customWidth="1"/>
    <col min="5390" max="5390" width="9" style="555" customWidth="1"/>
    <col min="5391" max="5392" width="0" style="555" hidden="1" customWidth="1"/>
    <col min="5393" max="5632" width="9" style="555"/>
    <col min="5633" max="5633" width="3.875" style="555" bestFit="1" customWidth="1"/>
    <col min="5634" max="5634" width="28.625" style="555" customWidth="1"/>
    <col min="5635" max="5635" width="13.375" style="555" customWidth="1"/>
    <col min="5636" max="5636" width="9.375" style="555" customWidth="1"/>
    <col min="5637" max="5638" width="4.75" style="555" bestFit="1" customWidth="1"/>
    <col min="5639" max="5639" width="6.125" style="555" bestFit="1" customWidth="1"/>
    <col min="5640" max="5640" width="4.75" style="555" bestFit="1" customWidth="1"/>
    <col min="5641" max="5641" width="4.75" style="555" customWidth="1"/>
    <col min="5642" max="5643" width="9.625" style="555" customWidth="1"/>
    <col min="5644" max="5645" width="10.25" style="555" customWidth="1"/>
    <col min="5646" max="5646" width="9" style="555" customWidth="1"/>
    <col min="5647" max="5648" width="0" style="555" hidden="1" customWidth="1"/>
    <col min="5649" max="5888" width="9" style="555"/>
    <col min="5889" max="5889" width="3.875" style="555" bestFit="1" customWidth="1"/>
    <col min="5890" max="5890" width="28.625" style="555" customWidth="1"/>
    <col min="5891" max="5891" width="13.375" style="555" customWidth="1"/>
    <col min="5892" max="5892" width="9.375" style="555" customWidth="1"/>
    <col min="5893" max="5894" width="4.75" style="555" bestFit="1" customWidth="1"/>
    <col min="5895" max="5895" width="6.125" style="555" bestFit="1" customWidth="1"/>
    <col min="5896" max="5896" width="4.75" style="555" bestFit="1" customWidth="1"/>
    <col min="5897" max="5897" width="4.75" style="555" customWidth="1"/>
    <col min="5898" max="5899" width="9.625" style="555" customWidth="1"/>
    <col min="5900" max="5901" width="10.25" style="555" customWidth="1"/>
    <col min="5902" max="5902" width="9" style="555" customWidth="1"/>
    <col min="5903" max="5904" width="0" style="555" hidden="1" customWidth="1"/>
    <col min="5905" max="6144" width="9" style="555"/>
    <col min="6145" max="6145" width="3.875" style="555" bestFit="1" customWidth="1"/>
    <col min="6146" max="6146" width="28.625" style="555" customWidth="1"/>
    <col min="6147" max="6147" width="13.375" style="555" customWidth="1"/>
    <col min="6148" max="6148" width="9.375" style="555" customWidth="1"/>
    <col min="6149" max="6150" width="4.75" style="555" bestFit="1" customWidth="1"/>
    <col min="6151" max="6151" width="6.125" style="555" bestFit="1" customWidth="1"/>
    <col min="6152" max="6152" width="4.75" style="555" bestFit="1" customWidth="1"/>
    <col min="6153" max="6153" width="4.75" style="555" customWidth="1"/>
    <col min="6154" max="6155" width="9.625" style="555" customWidth="1"/>
    <col min="6156" max="6157" width="10.25" style="555" customWidth="1"/>
    <col min="6158" max="6158" width="9" style="555" customWidth="1"/>
    <col min="6159" max="6160" width="0" style="555" hidden="1" customWidth="1"/>
    <col min="6161" max="6400" width="9" style="555"/>
    <col min="6401" max="6401" width="3.875" style="555" bestFit="1" customWidth="1"/>
    <col min="6402" max="6402" width="28.625" style="555" customWidth="1"/>
    <col min="6403" max="6403" width="13.375" style="555" customWidth="1"/>
    <col min="6404" max="6404" width="9.375" style="555" customWidth="1"/>
    <col min="6405" max="6406" width="4.75" style="555" bestFit="1" customWidth="1"/>
    <col min="6407" max="6407" width="6.125" style="555" bestFit="1" customWidth="1"/>
    <col min="6408" max="6408" width="4.75" style="555" bestFit="1" customWidth="1"/>
    <col min="6409" max="6409" width="4.75" style="555" customWidth="1"/>
    <col min="6410" max="6411" width="9.625" style="555" customWidth="1"/>
    <col min="6412" max="6413" width="10.25" style="555" customWidth="1"/>
    <col min="6414" max="6414" width="9" style="555" customWidth="1"/>
    <col min="6415" max="6416" width="0" style="555" hidden="1" customWidth="1"/>
    <col min="6417" max="6656" width="9" style="555"/>
    <col min="6657" max="6657" width="3.875" style="555" bestFit="1" customWidth="1"/>
    <col min="6658" max="6658" width="28.625" style="555" customWidth="1"/>
    <col min="6659" max="6659" width="13.375" style="555" customWidth="1"/>
    <col min="6660" max="6660" width="9.375" style="555" customWidth="1"/>
    <col min="6661" max="6662" width="4.75" style="555" bestFit="1" customWidth="1"/>
    <col min="6663" max="6663" width="6.125" style="555" bestFit="1" customWidth="1"/>
    <col min="6664" max="6664" width="4.75" style="555" bestFit="1" customWidth="1"/>
    <col min="6665" max="6665" width="4.75" style="555" customWidth="1"/>
    <col min="6666" max="6667" width="9.625" style="555" customWidth="1"/>
    <col min="6668" max="6669" width="10.25" style="555" customWidth="1"/>
    <col min="6670" max="6670" width="9" style="555" customWidth="1"/>
    <col min="6671" max="6672" width="0" style="555" hidden="1" customWidth="1"/>
    <col min="6673" max="6912" width="9" style="555"/>
    <col min="6913" max="6913" width="3.875" style="555" bestFit="1" customWidth="1"/>
    <col min="6914" max="6914" width="28.625" style="555" customWidth="1"/>
    <col min="6915" max="6915" width="13.375" style="555" customWidth="1"/>
    <col min="6916" max="6916" width="9.375" style="555" customWidth="1"/>
    <col min="6917" max="6918" width="4.75" style="555" bestFit="1" customWidth="1"/>
    <col min="6919" max="6919" width="6.125" style="555" bestFit="1" customWidth="1"/>
    <col min="6920" max="6920" width="4.75" style="555" bestFit="1" customWidth="1"/>
    <col min="6921" max="6921" width="4.75" style="555" customWidth="1"/>
    <col min="6922" max="6923" width="9.625" style="555" customWidth="1"/>
    <col min="6924" max="6925" width="10.25" style="555" customWidth="1"/>
    <col min="6926" max="6926" width="9" style="555" customWidth="1"/>
    <col min="6927" max="6928" width="0" style="555" hidden="1" customWidth="1"/>
    <col min="6929" max="7168" width="9" style="555"/>
    <col min="7169" max="7169" width="3.875" style="555" bestFit="1" customWidth="1"/>
    <col min="7170" max="7170" width="28.625" style="555" customWidth="1"/>
    <col min="7171" max="7171" width="13.375" style="555" customWidth="1"/>
    <col min="7172" max="7172" width="9.375" style="555" customWidth="1"/>
    <col min="7173" max="7174" width="4.75" style="555" bestFit="1" customWidth="1"/>
    <col min="7175" max="7175" width="6.125" style="555" bestFit="1" customWidth="1"/>
    <col min="7176" max="7176" width="4.75" style="555" bestFit="1" customWidth="1"/>
    <col min="7177" max="7177" width="4.75" style="555" customWidth="1"/>
    <col min="7178" max="7179" width="9.625" style="555" customWidth="1"/>
    <col min="7180" max="7181" width="10.25" style="555" customWidth="1"/>
    <col min="7182" max="7182" width="9" style="555" customWidth="1"/>
    <col min="7183" max="7184" width="0" style="555" hidden="1" customWidth="1"/>
    <col min="7185" max="7424" width="9" style="555"/>
    <col min="7425" max="7425" width="3.875" style="555" bestFit="1" customWidth="1"/>
    <col min="7426" max="7426" width="28.625" style="555" customWidth="1"/>
    <col min="7427" max="7427" width="13.375" style="555" customWidth="1"/>
    <col min="7428" max="7428" width="9.375" style="555" customWidth="1"/>
    <col min="7429" max="7430" width="4.75" style="555" bestFit="1" customWidth="1"/>
    <col min="7431" max="7431" width="6.125" style="555" bestFit="1" customWidth="1"/>
    <col min="7432" max="7432" width="4.75" style="555" bestFit="1" customWidth="1"/>
    <col min="7433" max="7433" width="4.75" style="555" customWidth="1"/>
    <col min="7434" max="7435" width="9.625" style="555" customWidth="1"/>
    <col min="7436" max="7437" width="10.25" style="555" customWidth="1"/>
    <col min="7438" max="7438" width="9" style="555" customWidth="1"/>
    <col min="7439" max="7440" width="0" style="555" hidden="1" customWidth="1"/>
    <col min="7441" max="7680" width="9" style="555"/>
    <col min="7681" max="7681" width="3.875" style="555" bestFit="1" customWidth="1"/>
    <col min="7682" max="7682" width="28.625" style="555" customWidth="1"/>
    <col min="7683" max="7683" width="13.375" style="555" customWidth="1"/>
    <col min="7684" max="7684" width="9.375" style="555" customWidth="1"/>
    <col min="7685" max="7686" width="4.75" style="555" bestFit="1" customWidth="1"/>
    <col min="7687" max="7687" width="6.125" style="555" bestFit="1" customWidth="1"/>
    <col min="7688" max="7688" width="4.75" style="555" bestFit="1" customWidth="1"/>
    <col min="7689" max="7689" width="4.75" style="555" customWidth="1"/>
    <col min="7690" max="7691" width="9.625" style="555" customWidth="1"/>
    <col min="7692" max="7693" width="10.25" style="555" customWidth="1"/>
    <col min="7694" max="7694" width="9" style="555" customWidth="1"/>
    <col min="7695" max="7696" width="0" style="555" hidden="1" customWidth="1"/>
    <col min="7697" max="7936" width="9" style="555"/>
    <col min="7937" max="7937" width="3.875" style="555" bestFit="1" customWidth="1"/>
    <col min="7938" max="7938" width="28.625" style="555" customWidth="1"/>
    <col min="7939" max="7939" width="13.375" style="555" customWidth="1"/>
    <col min="7940" max="7940" width="9.375" style="555" customWidth="1"/>
    <col min="7941" max="7942" width="4.75" style="555" bestFit="1" customWidth="1"/>
    <col min="7943" max="7943" width="6.125" style="555" bestFit="1" customWidth="1"/>
    <col min="7944" max="7944" width="4.75" style="555" bestFit="1" customWidth="1"/>
    <col min="7945" max="7945" width="4.75" style="555" customWidth="1"/>
    <col min="7946" max="7947" width="9.625" style="555" customWidth="1"/>
    <col min="7948" max="7949" width="10.25" style="555" customWidth="1"/>
    <col min="7950" max="7950" width="9" style="555" customWidth="1"/>
    <col min="7951" max="7952" width="0" style="555" hidden="1" customWidth="1"/>
    <col min="7953" max="8192" width="9" style="555"/>
    <col min="8193" max="8193" width="3.875" style="555" bestFit="1" customWidth="1"/>
    <col min="8194" max="8194" width="28.625" style="555" customWidth="1"/>
    <col min="8195" max="8195" width="13.375" style="555" customWidth="1"/>
    <col min="8196" max="8196" width="9.375" style="555" customWidth="1"/>
    <col min="8197" max="8198" width="4.75" style="555" bestFit="1" customWidth="1"/>
    <col min="8199" max="8199" width="6.125" style="555" bestFit="1" customWidth="1"/>
    <col min="8200" max="8200" width="4.75" style="555" bestFit="1" customWidth="1"/>
    <col min="8201" max="8201" width="4.75" style="555" customWidth="1"/>
    <col min="8202" max="8203" width="9.625" style="555" customWidth="1"/>
    <col min="8204" max="8205" width="10.25" style="555" customWidth="1"/>
    <col min="8206" max="8206" width="9" style="555" customWidth="1"/>
    <col min="8207" max="8208" width="0" style="555" hidden="1" customWidth="1"/>
    <col min="8209" max="8448" width="9" style="555"/>
    <col min="8449" max="8449" width="3.875" style="555" bestFit="1" customWidth="1"/>
    <col min="8450" max="8450" width="28.625" style="555" customWidth="1"/>
    <col min="8451" max="8451" width="13.375" style="555" customWidth="1"/>
    <col min="8452" max="8452" width="9.375" style="555" customWidth="1"/>
    <col min="8453" max="8454" width="4.75" style="555" bestFit="1" customWidth="1"/>
    <col min="8455" max="8455" width="6.125" style="555" bestFit="1" customWidth="1"/>
    <col min="8456" max="8456" width="4.75" style="555" bestFit="1" customWidth="1"/>
    <col min="8457" max="8457" width="4.75" style="555" customWidth="1"/>
    <col min="8458" max="8459" width="9.625" style="555" customWidth="1"/>
    <col min="8460" max="8461" width="10.25" style="555" customWidth="1"/>
    <col min="8462" max="8462" width="9" style="555" customWidth="1"/>
    <col min="8463" max="8464" width="0" style="555" hidden="1" customWidth="1"/>
    <col min="8465" max="8704" width="9" style="555"/>
    <col min="8705" max="8705" width="3.875" style="555" bestFit="1" customWidth="1"/>
    <col min="8706" max="8706" width="28.625" style="555" customWidth="1"/>
    <col min="8707" max="8707" width="13.375" style="555" customWidth="1"/>
    <col min="8708" max="8708" width="9.375" style="555" customWidth="1"/>
    <col min="8709" max="8710" width="4.75" style="555" bestFit="1" customWidth="1"/>
    <col min="8711" max="8711" width="6.125" style="555" bestFit="1" customWidth="1"/>
    <col min="8712" max="8712" width="4.75" style="555" bestFit="1" customWidth="1"/>
    <col min="8713" max="8713" width="4.75" style="555" customWidth="1"/>
    <col min="8714" max="8715" width="9.625" style="555" customWidth="1"/>
    <col min="8716" max="8717" width="10.25" style="555" customWidth="1"/>
    <col min="8718" max="8718" width="9" style="555" customWidth="1"/>
    <col min="8719" max="8720" width="0" style="555" hidden="1" customWidth="1"/>
    <col min="8721" max="8960" width="9" style="555"/>
    <col min="8961" max="8961" width="3.875" style="555" bestFit="1" customWidth="1"/>
    <col min="8962" max="8962" width="28.625" style="555" customWidth="1"/>
    <col min="8963" max="8963" width="13.375" style="555" customWidth="1"/>
    <col min="8964" max="8964" width="9.375" style="555" customWidth="1"/>
    <col min="8965" max="8966" width="4.75" style="555" bestFit="1" customWidth="1"/>
    <col min="8967" max="8967" width="6.125" style="555" bestFit="1" customWidth="1"/>
    <col min="8968" max="8968" width="4.75" style="555" bestFit="1" customWidth="1"/>
    <col min="8969" max="8969" width="4.75" style="555" customWidth="1"/>
    <col min="8970" max="8971" width="9.625" style="555" customWidth="1"/>
    <col min="8972" max="8973" width="10.25" style="555" customWidth="1"/>
    <col min="8974" max="8974" width="9" style="555" customWidth="1"/>
    <col min="8975" max="8976" width="0" style="555" hidden="1" customWidth="1"/>
    <col min="8977" max="9216" width="9" style="555"/>
    <col min="9217" max="9217" width="3.875" style="555" bestFit="1" customWidth="1"/>
    <col min="9218" max="9218" width="28.625" style="555" customWidth="1"/>
    <col min="9219" max="9219" width="13.375" style="555" customWidth="1"/>
    <col min="9220" max="9220" width="9.375" style="555" customWidth="1"/>
    <col min="9221" max="9222" width="4.75" style="555" bestFit="1" customWidth="1"/>
    <col min="9223" max="9223" width="6.125" style="555" bestFit="1" customWidth="1"/>
    <col min="9224" max="9224" width="4.75" style="555" bestFit="1" customWidth="1"/>
    <col min="9225" max="9225" width="4.75" style="555" customWidth="1"/>
    <col min="9226" max="9227" width="9.625" style="555" customWidth="1"/>
    <col min="9228" max="9229" width="10.25" style="555" customWidth="1"/>
    <col min="9230" max="9230" width="9" style="555" customWidth="1"/>
    <col min="9231" max="9232" width="0" style="555" hidden="1" customWidth="1"/>
    <col min="9233" max="9472" width="9" style="555"/>
    <col min="9473" max="9473" width="3.875" style="555" bestFit="1" customWidth="1"/>
    <col min="9474" max="9474" width="28.625" style="555" customWidth="1"/>
    <col min="9475" max="9475" width="13.375" style="555" customWidth="1"/>
    <col min="9476" max="9476" width="9.375" style="555" customWidth="1"/>
    <col min="9477" max="9478" width="4.75" style="555" bestFit="1" customWidth="1"/>
    <col min="9479" max="9479" width="6.125" style="555" bestFit="1" customWidth="1"/>
    <col min="9480" max="9480" width="4.75" style="555" bestFit="1" customWidth="1"/>
    <col min="9481" max="9481" width="4.75" style="555" customWidth="1"/>
    <col min="9482" max="9483" width="9.625" style="555" customWidth="1"/>
    <col min="9484" max="9485" width="10.25" style="555" customWidth="1"/>
    <col min="9486" max="9486" width="9" style="555" customWidth="1"/>
    <col min="9487" max="9488" width="0" style="555" hidden="1" customWidth="1"/>
    <col min="9489" max="9728" width="9" style="555"/>
    <col min="9729" max="9729" width="3.875" style="555" bestFit="1" customWidth="1"/>
    <col min="9730" max="9730" width="28.625" style="555" customWidth="1"/>
    <col min="9731" max="9731" width="13.375" style="555" customWidth="1"/>
    <col min="9732" max="9732" width="9.375" style="555" customWidth="1"/>
    <col min="9733" max="9734" width="4.75" style="555" bestFit="1" customWidth="1"/>
    <col min="9735" max="9735" width="6.125" style="555" bestFit="1" customWidth="1"/>
    <col min="9736" max="9736" width="4.75" style="555" bestFit="1" customWidth="1"/>
    <col min="9737" max="9737" width="4.75" style="555" customWidth="1"/>
    <col min="9738" max="9739" width="9.625" style="555" customWidth="1"/>
    <col min="9740" max="9741" width="10.25" style="555" customWidth="1"/>
    <col min="9742" max="9742" width="9" style="555" customWidth="1"/>
    <col min="9743" max="9744" width="0" style="555" hidden="1" customWidth="1"/>
    <col min="9745" max="9984" width="9" style="555"/>
    <col min="9985" max="9985" width="3.875" style="555" bestFit="1" customWidth="1"/>
    <col min="9986" max="9986" width="28.625" style="555" customWidth="1"/>
    <col min="9987" max="9987" width="13.375" style="555" customWidth="1"/>
    <col min="9988" max="9988" width="9.375" style="555" customWidth="1"/>
    <col min="9989" max="9990" width="4.75" style="555" bestFit="1" customWidth="1"/>
    <col min="9991" max="9991" width="6.125" style="555" bestFit="1" customWidth="1"/>
    <col min="9992" max="9992" width="4.75" style="555" bestFit="1" customWidth="1"/>
    <col min="9993" max="9993" width="4.75" style="555" customWidth="1"/>
    <col min="9994" max="9995" width="9.625" style="555" customWidth="1"/>
    <col min="9996" max="9997" width="10.25" style="555" customWidth="1"/>
    <col min="9998" max="9998" width="9" style="555" customWidth="1"/>
    <col min="9999" max="10000" width="0" style="555" hidden="1" customWidth="1"/>
    <col min="10001" max="10240" width="9" style="555"/>
    <col min="10241" max="10241" width="3.875" style="555" bestFit="1" customWidth="1"/>
    <col min="10242" max="10242" width="28.625" style="555" customWidth="1"/>
    <col min="10243" max="10243" width="13.375" style="555" customWidth="1"/>
    <col min="10244" max="10244" width="9.375" style="555" customWidth="1"/>
    <col min="10245" max="10246" width="4.75" style="555" bestFit="1" customWidth="1"/>
    <col min="10247" max="10247" width="6.125" style="555" bestFit="1" customWidth="1"/>
    <col min="10248" max="10248" width="4.75" style="555" bestFit="1" customWidth="1"/>
    <col min="10249" max="10249" width="4.75" style="555" customWidth="1"/>
    <col min="10250" max="10251" width="9.625" style="555" customWidth="1"/>
    <col min="10252" max="10253" width="10.25" style="555" customWidth="1"/>
    <col min="10254" max="10254" width="9" style="555" customWidth="1"/>
    <col min="10255" max="10256" width="0" style="555" hidden="1" customWidth="1"/>
    <col min="10257" max="10496" width="9" style="555"/>
    <col min="10497" max="10497" width="3.875" style="555" bestFit="1" customWidth="1"/>
    <col min="10498" max="10498" width="28.625" style="555" customWidth="1"/>
    <col min="10499" max="10499" width="13.375" style="555" customWidth="1"/>
    <col min="10500" max="10500" width="9.375" style="555" customWidth="1"/>
    <col min="10501" max="10502" width="4.75" style="555" bestFit="1" customWidth="1"/>
    <col min="10503" max="10503" width="6.125" style="555" bestFit="1" customWidth="1"/>
    <col min="10504" max="10504" width="4.75" style="555" bestFit="1" customWidth="1"/>
    <col min="10505" max="10505" width="4.75" style="555" customWidth="1"/>
    <col min="10506" max="10507" width="9.625" style="555" customWidth="1"/>
    <col min="10508" max="10509" width="10.25" style="555" customWidth="1"/>
    <col min="10510" max="10510" width="9" style="555" customWidth="1"/>
    <col min="10511" max="10512" width="0" style="555" hidden="1" customWidth="1"/>
    <col min="10513" max="10752" width="9" style="555"/>
    <col min="10753" max="10753" width="3.875" style="555" bestFit="1" customWidth="1"/>
    <col min="10754" max="10754" width="28.625" style="555" customWidth="1"/>
    <col min="10755" max="10755" width="13.375" style="555" customWidth="1"/>
    <col min="10756" max="10756" width="9.375" style="555" customWidth="1"/>
    <col min="10757" max="10758" width="4.75" style="555" bestFit="1" customWidth="1"/>
    <col min="10759" max="10759" width="6.125" style="555" bestFit="1" customWidth="1"/>
    <col min="10760" max="10760" width="4.75" style="555" bestFit="1" customWidth="1"/>
    <col min="10761" max="10761" width="4.75" style="555" customWidth="1"/>
    <col min="10762" max="10763" width="9.625" style="555" customWidth="1"/>
    <col min="10764" max="10765" width="10.25" style="555" customWidth="1"/>
    <col min="10766" max="10766" width="9" style="555" customWidth="1"/>
    <col min="10767" max="10768" width="0" style="555" hidden="1" customWidth="1"/>
    <col min="10769" max="11008" width="9" style="555"/>
    <col min="11009" max="11009" width="3.875" style="555" bestFit="1" customWidth="1"/>
    <col min="11010" max="11010" width="28.625" style="555" customWidth="1"/>
    <col min="11011" max="11011" width="13.375" style="555" customWidth="1"/>
    <col min="11012" max="11012" width="9.375" style="555" customWidth="1"/>
    <col min="11013" max="11014" width="4.75" style="555" bestFit="1" customWidth="1"/>
    <col min="11015" max="11015" width="6.125" style="555" bestFit="1" customWidth="1"/>
    <col min="11016" max="11016" width="4.75" style="555" bestFit="1" customWidth="1"/>
    <col min="11017" max="11017" width="4.75" style="555" customWidth="1"/>
    <col min="11018" max="11019" width="9.625" style="555" customWidth="1"/>
    <col min="11020" max="11021" width="10.25" style="555" customWidth="1"/>
    <col min="11022" max="11022" width="9" style="555" customWidth="1"/>
    <col min="11023" max="11024" width="0" style="555" hidden="1" customWidth="1"/>
    <col min="11025" max="11264" width="9" style="555"/>
    <col min="11265" max="11265" width="3.875" style="555" bestFit="1" customWidth="1"/>
    <col min="11266" max="11266" width="28.625" style="555" customWidth="1"/>
    <col min="11267" max="11267" width="13.375" style="555" customWidth="1"/>
    <col min="11268" max="11268" width="9.375" style="555" customWidth="1"/>
    <col min="11269" max="11270" width="4.75" style="555" bestFit="1" customWidth="1"/>
    <col min="11271" max="11271" width="6.125" style="555" bestFit="1" customWidth="1"/>
    <col min="11272" max="11272" width="4.75" style="555" bestFit="1" customWidth="1"/>
    <col min="11273" max="11273" width="4.75" style="555" customWidth="1"/>
    <col min="11274" max="11275" width="9.625" style="555" customWidth="1"/>
    <col min="11276" max="11277" width="10.25" style="555" customWidth="1"/>
    <col min="11278" max="11278" width="9" style="555" customWidth="1"/>
    <col min="11279" max="11280" width="0" style="555" hidden="1" customWidth="1"/>
    <col min="11281" max="11520" width="9" style="555"/>
    <col min="11521" max="11521" width="3.875" style="555" bestFit="1" customWidth="1"/>
    <col min="11522" max="11522" width="28.625" style="555" customWidth="1"/>
    <col min="11523" max="11523" width="13.375" style="555" customWidth="1"/>
    <col min="11524" max="11524" width="9.375" style="555" customWidth="1"/>
    <col min="11525" max="11526" width="4.75" style="555" bestFit="1" customWidth="1"/>
    <col min="11527" max="11527" width="6.125" style="555" bestFit="1" customWidth="1"/>
    <col min="11528" max="11528" width="4.75" style="555" bestFit="1" customWidth="1"/>
    <col min="11529" max="11529" width="4.75" style="555" customWidth="1"/>
    <col min="11530" max="11531" width="9.625" style="555" customWidth="1"/>
    <col min="11532" max="11533" width="10.25" style="555" customWidth="1"/>
    <col min="11534" max="11534" width="9" style="555" customWidth="1"/>
    <col min="11535" max="11536" width="0" style="555" hidden="1" customWidth="1"/>
    <col min="11537" max="11776" width="9" style="555"/>
    <col min="11777" max="11777" width="3.875" style="555" bestFit="1" customWidth="1"/>
    <col min="11778" max="11778" width="28.625" style="555" customWidth="1"/>
    <col min="11779" max="11779" width="13.375" style="555" customWidth="1"/>
    <col min="11780" max="11780" width="9.375" style="555" customWidth="1"/>
    <col min="11781" max="11782" width="4.75" style="555" bestFit="1" customWidth="1"/>
    <col min="11783" max="11783" width="6.125" style="555" bestFit="1" customWidth="1"/>
    <col min="11784" max="11784" width="4.75" style="555" bestFit="1" customWidth="1"/>
    <col min="11785" max="11785" width="4.75" style="555" customWidth="1"/>
    <col min="11786" max="11787" width="9.625" style="555" customWidth="1"/>
    <col min="11788" max="11789" width="10.25" style="555" customWidth="1"/>
    <col min="11790" max="11790" width="9" style="555" customWidth="1"/>
    <col min="11791" max="11792" width="0" style="555" hidden="1" customWidth="1"/>
    <col min="11793" max="12032" width="9" style="555"/>
    <col min="12033" max="12033" width="3.875" style="555" bestFit="1" customWidth="1"/>
    <col min="12034" max="12034" width="28.625" style="555" customWidth="1"/>
    <col min="12035" max="12035" width="13.375" style="555" customWidth="1"/>
    <col min="12036" max="12036" width="9.375" style="555" customWidth="1"/>
    <col min="12037" max="12038" width="4.75" style="555" bestFit="1" customWidth="1"/>
    <col min="12039" max="12039" width="6.125" style="555" bestFit="1" customWidth="1"/>
    <col min="12040" max="12040" width="4.75" style="555" bestFit="1" customWidth="1"/>
    <col min="12041" max="12041" width="4.75" style="555" customWidth="1"/>
    <col min="12042" max="12043" width="9.625" style="555" customWidth="1"/>
    <col min="12044" max="12045" width="10.25" style="555" customWidth="1"/>
    <col min="12046" max="12046" width="9" style="555" customWidth="1"/>
    <col min="12047" max="12048" width="0" style="555" hidden="1" customWidth="1"/>
    <col min="12049" max="12288" width="9" style="555"/>
    <col min="12289" max="12289" width="3.875" style="555" bestFit="1" customWidth="1"/>
    <col min="12290" max="12290" width="28.625" style="555" customWidth="1"/>
    <col min="12291" max="12291" width="13.375" style="555" customWidth="1"/>
    <col min="12292" max="12292" width="9.375" style="555" customWidth="1"/>
    <col min="12293" max="12294" width="4.75" style="555" bestFit="1" customWidth="1"/>
    <col min="12295" max="12295" width="6.125" style="555" bestFit="1" customWidth="1"/>
    <col min="12296" max="12296" width="4.75" style="555" bestFit="1" customWidth="1"/>
    <col min="12297" max="12297" width="4.75" style="555" customWidth="1"/>
    <col min="12298" max="12299" width="9.625" style="555" customWidth="1"/>
    <col min="12300" max="12301" width="10.25" style="555" customWidth="1"/>
    <col min="12302" max="12302" width="9" style="555" customWidth="1"/>
    <col min="12303" max="12304" width="0" style="555" hidden="1" customWidth="1"/>
    <col min="12305" max="12544" width="9" style="555"/>
    <col min="12545" max="12545" width="3.875" style="555" bestFit="1" customWidth="1"/>
    <col min="12546" max="12546" width="28.625" style="555" customWidth="1"/>
    <col min="12547" max="12547" width="13.375" style="555" customWidth="1"/>
    <col min="12548" max="12548" width="9.375" style="555" customWidth="1"/>
    <col min="12549" max="12550" width="4.75" style="555" bestFit="1" customWidth="1"/>
    <col min="12551" max="12551" width="6.125" style="555" bestFit="1" customWidth="1"/>
    <col min="12552" max="12552" width="4.75" style="555" bestFit="1" customWidth="1"/>
    <col min="12553" max="12553" width="4.75" style="555" customWidth="1"/>
    <col min="12554" max="12555" width="9.625" style="555" customWidth="1"/>
    <col min="12556" max="12557" width="10.25" style="555" customWidth="1"/>
    <col min="12558" max="12558" width="9" style="555" customWidth="1"/>
    <col min="12559" max="12560" width="0" style="555" hidden="1" customWidth="1"/>
    <col min="12561" max="12800" width="9" style="555"/>
    <col min="12801" max="12801" width="3.875" style="555" bestFit="1" customWidth="1"/>
    <col min="12802" max="12802" width="28.625" style="555" customWidth="1"/>
    <col min="12803" max="12803" width="13.375" style="555" customWidth="1"/>
    <col min="12804" max="12804" width="9.375" style="555" customWidth="1"/>
    <col min="12805" max="12806" width="4.75" style="555" bestFit="1" customWidth="1"/>
    <col min="12807" max="12807" width="6.125" style="555" bestFit="1" customWidth="1"/>
    <col min="12808" max="12808" width="4.75" style="555" bestFit="1" customWidth="1"/>
    <col min="12809" max="12809" width="4.75" style="555" customWidth="1"/>
    <col min="12810" max="12811" width="9.625" style="555" customWidth="1"/>
    <col min="12812" max="12813" width="10.25" style="555" customWidth="1"/>
    <col min="12814" max="12814" width="9" style="555" customWidth="1"/>
    <col min="12815" max="12816" width="0" style="555" hidden="1" customWidth="1"/>
    <col min="12817" max="13056" width="9" style="555"/>
    <col min="13057" max="13057" width="3.875" style="555" bestFit="1" customWidth="1"/>
    <col min="13058" max="13058" width="28.625" style="555" customWidth="1"/>
    <col min="13059" max="13059" width="13.375" style="555" customWidth="1"/>
    <col min="13060" max="13060" width="9.375" style="555" customWidth="1"/>
    <col min="13061" max="13062" width="4.75" style="555" bestFit="1" customWidth="1"/>
    <col min="13063" max="13063" width="6.125" style="555" bestFit="1" customWidth="1"/>
    <col min="13064" max="13064" width="4.75" style="555" bestFit="1" customWidth="1"/>
    <col min="13065" max="13065" width="4.75" style="555" customWidth="1"/>
    <col min="13066" max="13067" width="9.625" style="555" customWidth="1"/>
    <col min="13068" max="13069" width="10.25" style="555" customWidth="1"/>
    <col min="13070" max="13070" width="9" style="555" customWidth="1"/>
    <col min="13071" max="13072" width="0" style="555" hidden="1" customWidth="1"/>
    <col min="13073" max="13312" width="9" style="555"/>
    <col min="13313" max="13313" width="3.875" style="555" bestFit="1" customWidth="1"/>
    <col min="13314" max="13314" width="28.625" style="555" customWidth="1"/>
    <col min="13315" max="13315" width="13.375" style="555" customWidth="1"/>
    <col min="13316" max="13316" width="9.375" style="555" customWidth="1"/>
    <col min="13317" max="13318" width="4.75" style="555" bestFit="1" customWidth="1"/>
    <col min="13319" max="13319" width="6.125" style="555" bestFit="1" customWidth="1"/>
    <col min="13320" max="13320" width="4.75" style="555" bestFit="1" customWidth="1"/>
    <col min="13321" max="13321" width="4.75" style="555" customWidth="1"/>
    <col min="13322" max="13323" width="9.625" style="555" customWidth="1"/>
    <col min="13324" max="13325" width="10.25" style="555" customWidth="1"/>
    <col min="13326" max="13326" width="9" style="555" customWidth="1"/>
    <col min="13327" max="13328" width="0" style="555" hidden="1" customWidth="1"/>
    <col min="13329" max="13568" width="9" style="555"/>
    <col min="13569" max="13569" width="3.875" style="555" bestFit="1" customWidth="1"/>
    <col min="13570" max="13570" width="28.625" style="555" customWidth="1"/>
    <col min="13571" max="13571" width="13.375" style="555" customWidth="1"/>
    <col min="13572" max="13572" width="9.375" style="555" customWidth="1"/>
    <col min="13573" max="13574" width="4.75" style="555" bestFit="1" customWidth="1"/>
    <col min="13575" max="13575" width="6.125" style="555" bestFit="1" customWidth="1"/>
    <col min="13576" max="13576" width="4.75" style="555" bestFit="1" customWidth="1"/>
    <col min="13577" max="13577" width="4.75" style="555" customWidth="1"/>
    <col min="13578" max="13579" width="9.625" style="555" customWidth="1"/>
    <col min="13580" max="13581" width="10.25" style="555" customWidth="1"/>
    <col min="13582" max="13582" width="9" style="555" customWidth="1"/>
    <col min="13583" max="13584" width="0" style="555" hidden="1" customWidth="1"/>
    <col min="13585" max="13824" width="9" style="555"/>
    <col min="13825" max="13825" width="3.875" style="555" bestFit="1" customWidth="1"/>
    <col min="13826" max="13826" width="28.625" style="555" customWidth="1"/>
    <col min="13827" max="13827" width="13.375" style="555" customWidth="1"/>
    <col min="13828" max="13828" width="9.375" style="555" customWidth="1"/>
    <col min="13829" max="13830" width="4.75" style="555" bestFit="1" customWidth="1"/>
    <col min="13831" max="13831" width="6.125" style="555" bestFit="1" customWidth="1"/>
    <col min="13832" max="13832" width="4.75" style="555" bestFit="1" customWidth="1"/>
    <col min="13833" max="13833" width="4.75" style="555" customWidth="1"/>
    <col min="13834" max="13835" width="9.625" style="555" customWidth="1"/>
    <col min="13836" max="13837" width="10.25" style="555" customWidth="1"/>
    <col min="13838" max="13838" width="9" style="555" customWidth="1"/>
    <col min="13839" max="13840" width="0" style="555" hidden="1" customWidth="1"/>
    <col min="13841" max="14080" width="9" style="555"/>
    <col min="14081" max="14081" width="3.875" style="555" bestFit="1" customWidth="1"/>
    <col min="14082" max="14082" width="28.625" style="555" customWidth="1"/>
    <col min="14083" max="14083" width="13.375" style="555" customWidth="1"/>
    <col min="14084" max="14084" width="9.375" style="555" customWidth="1"/>
    <col min="14085" max="14086" width="4.75" style="555" bestFit="1" customWidth="1"/>
    <col min="14087" max="14087" width="6.125" style="555" bestFit="1" customWidth="1"/>
    <col min="14088" max="14088" width="4.75" style="555" bestFit="1" customWidth="1"/>
    <col min="14089" max="14089" width="4.75" style="555" customWidth="1"/>
    <col min="14090" max="14091" width="9.625" style="555" customWidth="1"/>
    <col min="14092" max="14093" width="10.25" style="555" customWidth="1"/>
    <col min="14094" max="14094" width="9" style="555" customWidth="1"/>
    <col min="14095" max="14096" width="0" style="555" hidden="1" customWidth="1"/>
    <col min="14097" max="14336" width="9" style="555"/>
    <col min="14337" max="14337" width="3.875" style="555" bestFit="1" customWidth="1"/>
    <col min="14338" max="14338" width="28.625" style="555" customWidth="1"/>
    <col min="14339" max="14339" width="13.375" style="555" customWidth="1"/>
    <col min="14340" max="14340" width="9.375" style="555" customWidth="1"/>
    <col min="14341" max="14342" width="4.75" style="555" bestFit="1" customWidth="1"/>
    <col min="14343" max="14343" width="6.125" style="555" bestFit="1" customWidth="1"/>
    <col min="14344" max="14344" width="4.75" style="555" bestFit="1" customWidth="1"/>
    <col min="14345" max="14345" width="4.75" style="555" customWidth="1"/>
    <col min="14346" max="14347" width="9.625" style="555" customWidth="1"/>
    <col min="14348" max="14349" width="10.25" style="555" customWidth="1"/>
    <col min="14350" max="14350" width="9" style="555" customWidth="1"/>
    <col min="14351" max="14352" width="0" style="555" hidden="1" customWidth="1"/>
    <col min="14353" max="14592" width="9" style="555"/>
    <col min="14593" max="14593" width="3.875" style="555" bestFit="1" customWidth="1"/>
    <col min="14594" max="14594" width="28.625" style="555" customWidth="1"/>
    <col min="14595" max="14595" width="13.375" style="555" customWidth="1"/>
    <col min="14596" max="14596" width="9.375" style="555" customWidth="1"/>
    <col min="14597" max="14598" width="4.75" style="555" bestFit="1" customWidth="1"/>
    <col min="14599" max="14599" width="6.125" style="555" bestFit="1" customWidth="1"/>
    <col min="14600" max="14600" width="4.75" style="555" bestFit="1" customWidth="1"/>
    <col min="14601" max="14601" width="4.75" style="555" customWidth="1"/>
    <col min="14602" max="14603" width="9.625" style="555" customWidth="1"/>
    <col min="14604" max="14605" width="10.25" style="555" customWidth="1"/>
    <col min="14606" max="14606" width="9" style="555" customWidth="1"/>
    <col min="14607" max="14608" width="0" style="555" hidden="1" customWidth="1"/>
    <col min="14609" max="14848" width="9" style="555"/>
    <col min="14849" max="14849" width="3.875" style="555" bestFit="1" customWidth="1"/>
    <col min="14850" max="14850" width="28.625" style="555" customWidth="1"/>
    <col min="14851" max="14851" width="13.375" style="555" customWidth="1"/>
    <col min="14852" max="14852" width="9.375" style="555" customWidth="1"/>
    <col min="14853" max="14854" width="4.75" style="555" bestFit="1" customWidth="1"/>
    <col min="14855" max="14855" width="6.125" style="555" bestFit="1" customWidth="1"/>
    <col min="14856" max="14856" width="4.75" style="555" bestFit="1" customWidth="1"/>
    <col min="14857" max="14857" width="4.75" style="555" customWidth="1"/>
    <col min="14858" max="14859" width="9.625" style="555" customWidth="1"/>
    <col min="14860" max="14861" width="10.25" style="555" customWidth="1"/>
    <col min="14862" max="14862" width="9" style="555" customWidth="1"/>
    <col min="14863" max="14864" width="0" style="555" hidden="1" customWidth="1"/>
    <col min="14865" max="15104" width="9" style="555"/>
    <col min="15105" max="15105" width="3.875" style="555" bestFit="1" customWidth="1"/>
    <col min="15106" max="15106" width="28.625" style="555" customWidth="1"/>
    <col min="15107" max="15107" width="13.375" style="555" customWidth="1"/>
    <col min="15108" max="15108" width="9.375" style="555" customWidth="1"/>
    <col min="15109" max="15110" width="4.75" style="555" bestFit="1" customWidth="1"/>
    <col min="15111" max="15111" width="6.125" style="555" bestFit="1" customWidth="1"/>
    <col min="15112" max="15112" width="4.75" style="555" bestFit="1" customWidth="1"/>
    <col min="15113" max="15113" width="4.75" style="555" customWidth="1"/>
    <col min="15114" max="15115" width="9.625" style="555" customWidth="1"/>
    <col min="15116" max="15117" width="10.25" style="555" customWidth="1"/>
    <col min="15118" max="15118" width="9" style="555" customWidth="1"/>
    <col min="15119" max="15120" width="0" style="555" hidden="1" customWidth="1"/>
    <col min="15121" max="15360" width="9" style="555"/>
    <col min="15361" max="15361" width="3.875" style="555" bestFit="1" customWidth="1"/>
    <col min="15362" max="15362" width="28.625" style="555" customWidth="1"/>
    <col min="15363" max="15363" width="13.375" style="555" customWidth="1"/>
    <col min="15364" max="15364" width="9.375" style="555" customWidth="1"/>
    <col min="15365" max="15366" width="4.75" style="555" bestFit="1" customWidth="1"/>
    <col min="15367" max="15367" width="6.125" style="555" bestFit="1" customWidth="1"/>
    <col min="15368" max="15368" width="4.75" style="555" bestFit="1" customWidth="1"/>
    <col min="15369" max="15369" width="4.75" style="555" customWidth="1"/>
    <col min="15370" max="15371" width="9.625" style="555" customWidth="1"/>
    <col min="15372" max="15373" width="10.25" style="555" customWidth="1"/>
    <col min="15374" max="15374" width="9" style="555" customWidth="1"/>
    <col min="15375" max="15376" width="0" style="555" hidden="1" customWidth="1"/>
    <col min="15377" max="15616" width="9" style="555"/>
    <col min="15617" max="15617" width="3.875" style="555" bestFit="1" customWidth="1"/>
    <col min="15618" max="15618" width="28.625" style="555" customWidth="1"/>
    <col min="15619" max="15619" width="13.375" style="555" customWidth="1"/>
    <col min="15620" max="15620" width="9.375" style="555" customWidth="1"/>
    <col min="15621" max="15622" width="4.75" style="555" bestFit="1" customWidth="1"/>
    <col min="15623" max="15623" width="6.125" style="555" bestFit="1" customWidth="1"/>
    <col min="15624" max="15624" width="4.75" style="555" bestFit="1" customWidth="1"/>
    <col min="15625" max="15625" width="4.75" style="555" customWidth="1"/>
    <col min="15626" max="15627" width="9.625" style="555" customWidth="1"/>
    <col min="15628" max="15629" width="10.25" style="555" customWidth="1"/>
    <col min="15630" max="15630" width="9" style="555" customWidth="1"/>
    <col min="15631" max="15632" width="0" style="555" hidden="1" customWidth="1"/>
    <col min="15633" max="15872" width="9" style="555"/>
    <col min="15873" max="15873" width="3.875" style="555" bestFit="1" customWidth="1"/>
    <col min="15874" max="15874" width="28.625" style="555" customWidth="1"/>
    <col min="15875" max="15875" width="13.375" style="555" customWidth="1"/>
    <col min="15876" max="15876" width="9.375" style="555" customWidth="1"/>
    <col min="15877" max="15878" width="4.75" style="555" bestFit="1" customWidth="1"/>
    <col min="15879" max="15879" width="6.125" style="555" bestFit="1" customWidth="1"/>
    <col min="15880" max="15880" width="4.75" style="555" bestFit="1" customWidth="1"/>
    <col min="15881" max="15881" width="4.75" style="555" customWidth="1"/>
    <col min="15882" max="15883" width="9.625" style="555" customWidth="1"/>
    <col min="15884" max="15885" width="10.25" style="555" customWidth="1"/>
    <col min="15886" max="15886" width="9" style="555" customWidth="1"/>
    <col min="15887" max="15888" width="0" style="555" hidden="1" customWidth="1"/>
    <col min="15889" max="16128" width="9" style="555"/>
    <col min="16129" max="16129" width="3.875" style="555" bestFit="1" customWidth="1"/>
    <col min="16130" max="16130" width="28.625" style="555" customWidth="1"/>
    <col min="16131" max="16131" width="13.375" style="555" customWidth="1"/>
    <col min="16132" max="16132" width="9.375" style="555" customWidth="1"/>
    <col min="16133" max="16134" width="4.75" style="555" bestFit="1" customWidth="1"/>
    <col min="16135" max="16135" width="6.125" style="555" bestFit="1" customWidth="1"/>
    <col min="16136" max="16136" width="4.75" style="555" bestFit="1" customWidth="1"/>
    <col min="16137" max="16137" width="4.75" style="555" customWidth="1"/>
    <col min="16138" max="16139" width="9.625" style="555" customWidth="1"/>
    <col min="16140" max="16141" width="10.25" style="555" customWidth="1"/>
    <col min="16142" max="16142" width="9" style="555" customWidth="1"/>
    <col min="16143" max="16144" width="0" style="555" hidden="1" customWidth="1"/>
    <col min="16145" max="16384" width="9" style="555"/>
  </cols>
  <sheetData>
    <row r="1" spans="1:16">
      <c r="B1" s="554"/>
      <c r="M1" s="556" t="s">
        <v>1932</v>
      </c>
    </row>
    <row r="2" spans="1:16">
      <c r="A2" s="1057" t="s">
        <v>602</v>
      </c>
      <c r="B2" s="1058"/>
      <c r="C2" s="1057" t="s">
        <v>36</v>
      </c>
      <c r="D2" s="1061"/>
      <c r="E2" s="1061"/>
      <c r="F2" s="1061"/>
      <c r="G2" s="1058"/>
      <c r="H2" s="1057"/>
      <c r="I2" s="1061"/>
      <c r="J2" s="1058"/>
      <c r="K2" s="557"/>
      <c r="L2" s="558" t="s">
        <v>37</v>
      </c>
      <c r="M2" s="558" t="s">
        <v>38</v>
      </c>
    </row>
    <row r="3" spans="1:16">
      <c r="A3" s="1063"/>
      <c r="B3" s="1064"/>
      <c r="C3" s="1065" t="s">
        <v>1960</v>
      </c>
      <c r="D3" s="1066"/>
      <c r="E3" s="1066"/>
      <c r="F3" s="1066"/>
      <c r="G3" s="1067"/>
      <c r="H3" s="1057" t="s">
        <v>39</v>
      </c>
      <c r="I3" s="1058"/>
      <c r="J3" s="559">
        <f>COUNT(A7:A97)</f>
        <v>2</v>
      </c>
      <c r="K3" s="558" t="s">
        <v>40</v>
      </c>
      <c r="L3" s="560">
        <v>41711</v>
      </c>
      <c r="M3" s="561" t="s">
        <v>1933</v>
      </c>
      <c r="O3" s="555" t="s">
        <v>41</v>
      </c>
      <c r="P3" s="555" t="s">
        <v>42</v>
      </c>
    </row>
    <row r="4" spans="1:16">
      <c r="A4" s="1054" t="s">
        <v>43</v>
      </c>
      <c r="B4" s="1055"/>
      <c r="C4" s="1054" t="s">
        <v>1961</v>
      </c>
      <c r="D4" s="1056"/>
      <c r="E4" s="1056"/>
      <c r="F4" s="1056"/>
      <c r="G4" s="1055"/>
      <c r="H4" s="1057" t="s">
        <v>44</v>
      </c>
      <c r="I4" s="1058"/>
      <c r="J4" s="559">
        <f>SUM(G7:G97)</f>
        <v>17</v>
      </c>
      <c r="K4" s="558" t="s">
        <v>45</v>
      </c>
      <c r="L4" s="40"/>
      <c r="M4" s="42"/>
      <c r="O4" s="555" t="s">
        <v>1962</v>
      </c>
      <c r="P4" s="555" t="s">
        <v>1963</v>
      </c>
    </row>
    <row r="5" spans="1:16">
      <c r="A5" s="1059" t="s">
        <v>1964</v>
      </c>
      <c r="B5" s="1057" t="s">
        <v>46</v>
      </c>
      <c r="C5" s="1061"/>
      <c r="D5" s="1062" t="s">
        <v>47</v>
      </c>
      <c r="E5" s="1061"/>
      <c r="F5" s="1061"/>
      <c r="G5" s="1061"/>
      <c r="H5" s="1061"/>
      <c r="I5" s="1057" t="s">
        <v>1965</v>
      </c>
      <c r="J5" s="1058"/>
      <c r="K5" s="1042" t="s">
        <v>48</v>
      </c>
      <c r="L5" s="1043"/>
      <c r="M5" s="1044"/>
      <c r="P5" s="555" t="s">
        <v>1934</v>
      </c>
    </row>
    <row r="6" spans="1:16">
      <c r="A6" s="1060"/>
      <c r="B6" s="558" t="s">
        <v>49</v>
      </c>
      <c r="C6" s="562" t="s">
        <v>50</v>
      </c>
      <c r="D6" s="563" t="s">
        <v>42</v>
      </c>
      <c r="E6" s="564" t="s">
        <v>51</v>
      </c>
      <c r="F6" s="565" t="s">
        <v>52</v>
      </c>
      <c r="G6" s="558" t="s">
        <v>1935</v>
      </c>
      <c r="H6" s="566" t="s">
        <v>53</v>
      </c>
      <c r="I6" s="566" t="s">
        <v>1936</v>
      </c>
      <c r="J6" s="566" t="s">
        <v>1939</v>
      </c>
      <c r="K6" s="1045"/>
      <c r="L6" s="1046"/>
      <c r="M6" s="1047"/>
      <c r="P6" s="555" t="s">
        <v>1940</v>
      </c>
    </row>
    <row r="7" spans="1:16">
      <c r="A7" s="567">
        <v>1</v>
      </c>
      <c r="B7" s="569" t="s">
        <v>680</v>
      </c>
      <c r="C7" s="570" t="s">
        <v>1966</v>
      </c>
      <c r="D7" s="571" t="s">
        <v>533</v>
      </c>
      <c r="E7" s="572">
        <v>7</v>
      </c>
      <c r="F7" s="573"/>
      <c r="G7" s="574">
        <f>IF(D7="DATE",4,IF(D7="CHAR",E7,IF(D7="SMALLINT",2,IF(D7="INTEGER",4,IF(D7="TIMESTAMP",10,IF(D7="TIME",3,0))))))</f>
        <v>7</v>
      </c>
      <c r="H7" s="567" t="s">
        <v>1943</v>
      </c>
      <c r="I7" s="567" t="s">
        <v>1943</v>
      </c>
      <c r="J7" s="567" t="s">
        <v>1943</v>
      </c>
      <c r="K7" s="1048"/>
      <c r="L7" s="1049"/>
      <c r="M7" s="1050"/>
      <c r="P7" s="555" t="s">
        <v>1945</v>
      </c>
    </row>
    <row r="8" spans="1:16">
      <c r="A8" s="42">
        <f t="shared" ref="A8:A14" si="0">IF(B8=""," ",A7+1)</f>
        <v>2</v>
      </c>
      <c r="B8" s="64" t="s">
        <v>1724</v>
      </c>
      <c r="C8" s="544" t="s">
        <v>1967</v>
      </c>
      <c r="D8" s="65" t="s">
        <v>1968</v>
      </c>
      <c r="E8" s="51"/>
      <c r="F8" s="58"/>
      <c r="G8" s="20">
        <f>IF(D8="DATE",4,IF(D8="CHAR",E8,IF(D8="SMALLINT",2,IF(D8="INTEGER",4,IF(D8="TIMESTAMP",10,IF(D8="TIME",3,0))))))</f>
        <v>10</v>
      </c>
      <c r="H8" s="53" t="s">
        <v>1943</v>
      </c>
      <c r="I8" s="42"/>
      <c r="J8" s="59"/>
      <c r="K8" s="609"/>
      <c r="L8" s="610"/>
      <c r="M8" s="611"/>
      <c r="P8" s="555" t="s">
        <v>1947</v>
      </c>
    </row>
    <row r="9" spans="1:16" ht="12" customHeight="1">
      <c r="A9" s="42" t="str">
        <f t="shared" si="0"/>
        <v xml:space="preserve"> </v>
      </c>
      <c r="B9" s="64"/>
      <c r="C9" s="544"/>
      <c r="D9" s="72"/>
      <c r="E9" s="73"/>
      <c r="F9" s="74"/>
      <c r="G9" s="20"/>
      <c r="H9" s="567"/>
      <c r="I9" s="42"/>
      <c r="J9" s="59"/>
      <c r="K9" s="609"/>
      <c r="L9" s="610"/>
      <c r="M9" s="611"/>
      <c r="P9" s="555" t="s">
        <v>1947</v>
      </c>
    </row>
    <row r="10" spans="1:16">
      <c r="A10" s="42" t="str">
        <f t="shared" si="0"/>
        <v xml:space="preserve"> </v>
      </c>
      <c r="B10" s="64"/>
      <c r="C10" s="544"/>
      <c r="D10" s="72"/>
      <c r="E10" s="51"/>
      <c r="F10" s="58"/>
      <c r="G10" s="20"/>
      <c r="H10" s="53"/>
      <c r="I10" s="53"/>
      <c r="J10" s="59"/>
      <c r="K10" s="609"/>
      <c r="L10" s="610"/>
      <c r="M10" s="611"/>
      <c r="P10" s="555" t="s">
        <v>1969</v>
      </c>
    </row>
    <row r="11" spans="1:16">
      <c r="A11" s="42" t="str">
        <f t="shared" si="0"/>
        <v xml:space="preserve"> </v>
      </c>
      <c r="B11" s="64"/>
      <c r="C11" s="544"/>
      <c r="D11" s="65"/>
      <c r="E11" s="51"/>
      <c r="F11" s="58"/>
      <c r="G11" s="20"/>
      <c r="H11" s="53"/>
      <c r="I11" s="42"/>
      <c r="J11" s="59"/>
      <c r="K11" s="609"/>
      <c r="L11" s="610"/>
      <c r="M11" s="611"/>
    </row>
    <row r="12" spans="1:16">
      <c r="A12" s="42" t="str">
        <f t="shared" si="0"/>
        <v xml:space="preserve"> </v>
      </c>
      <c r="B12" s="64"/>
      <c r="C12" s="544"/>
      <c r="D12" s="72"/>
      <c r="E12" s="73"/>
      <c r="F12" s="74"/>
      <c r="G12" s="20"/>
      <c r="H12" s="567"/>
      <c r="I12" s="42"/>
      <c r="J12" s="59"/>
      <c r="K12" s="609"/>
      <c r="L12" s="610"/>
      <c r="M12" s="611"/>
      <c r="P12" s="555" t="s">
        <v>1947</v>
      </c>
    </row>
    <row r="13" spans="1:16">
      <c r="A13" s="42" t="str">
        <f t="shared" si="0"/>
        <v xml:space="preserve"> </v>
      </c>
      <c r="B13" s="64"/>
      <c r="C13" s="544"/>
      <c r="D13" s="72"/>
      <c r="E13" s="51"/>
      <c r="F13" s="58"/>
      <c r="G13" s="20"/>
      <c r="H13" s="53"/>
      <c r="I13" s="53"/>
      <c r="J13" s="59"/>
      <c r="K13" s="609"/>
      <c r="L13" s="610"/>
      <c r="M13" s="611"/>
      <c r="P13" s="555" t="s">
        <v>1969</v>
      </c>
    </row>
    <row r="14" spans="1:16">
      <c r="A14" s="42" t="str">
        <f t="shared" si="0"/>
        <v xml:space="preserve"> </v>
      </c>
      <c r="B14" s="64"/>
      <c r="C14" s="544"/>
      <c r="D14" s="65"/>
      <c r="E14" s="51"/>
      <c r="F14" s="58"/>
      <c r="G14" s="20"/>
      <c r="H14" s="53"/>
      <c r="I14" s="42"/>
      <c r="J14" s="59"/>
      <c r="K14" s="749"/>
      <c r="L14" s="610"/>
      <c r="M14" s="611"/>
    </row>
    <row r="15" spans="1:16">
      <c r="A15" s="567" t="str">
        <f>IF(B15=""," ",#REF!+1)</f>
        <v xml:space="preserve"> </v>
      </c>
      <c r="B15" s="578"/>
      <c r="C15" s="579"/>
      <c r="D15" s="580"/>
      <c r="E15" s="572"/>
      <c r="F15" s="573"/>
      <c r="G15" s="20"/>
      <c r="H15" s="567"/>
      <c r="I15" s="567"/>
      <c r="J15" s="575"/>
      <c r="K15" s="579"/>
      <c r="L15" s="581"/>
      <c r="M15" s="582"/>
    </row>
    <row r="16" spans="1:16">
      <c r="A16" s="567" t="str">
        <f>IF(B16=""," ",A15+1)</f>
        <v xml:space="preserve"> </v>
      </c>
      <c r="B16" s="578"/>
      <c r="C16" s="579"/>
      <c r="D16" s="580"/>
      <c r="E16" s="572"/>
      <c r="F16" s="573"/>
      <c r="G16" s="20"/>
      <c r="H16" s="567"/>
      <c r="I16" s="567"/>
      <c r="J16" s="575"/>
      <c r="K16" s="579"/>
      <c r="L16" s="581"/>
      <c r="M16" s="582"/>
    </row>
    <row r="17" spans="1:13">
      <c r="A17" s="567" t="str">
        <f>IF(B17=""," ",A16+1)</f>
        <v xml:space="preserve"> </v>
      </c>
      <c r="B17" s="578"/>
      <c r="C17" s="579"/>
      <c r="D17" s="580"/>
      <c r="E17" s="572"/>
      <c r="F17" s="573"/>
      <c r="G17" s="20"/>
      <c r="H17" s="567"/>
      <c r="I17" s="567"/>
      <c r="J17" s="575"/>
      <c r="K17" s="579"/>
      <c r="L17" s="581"/>
      <c r="M17" s="582"/>
    </row>
    <row r="18" spans="1:13">
      <c r="A18" s="567" t="str">
        <f>IF(B18=""," ",A17+1)</f>
        <v xml:space="preserve"> </v>
      </c>
      <c r="B18" s="578"/>
      <c r="C18" s="579"/>
      <c r="D18" s="580"/>
      <c r="E18" s="572"/>
      <c r="F18" s="573"/>
      <c r="G18" s="20"/>
      <c r="H18" s="567"/>
      <c r="I18" s="567"/>
      <c r="J18" s="575"/>
      <c r="K18" s="579"/>
      <c r="L18" s="581"/>
      <c r="M18" s="582"/>
    </row>
    <row r="19" spans="1:13">
      <c r="A19" s="567" t="str">
        <f>IF(B19=""," ",A18+1)</f>
        <v xml:space="preserve"> </v>
      </c>
      <c r="B19" s="578"/>
      <c r="C19" s="579"/>
      <c r="D19" s="580"/>
      <c r="E19" s="572"/>
      <c r="F19" s="573"/>
      <c r="G19" s="20"/>
      <c r="H19" s="567"/>
      <c r="I19" s="567"/>
      <c r="J19" s="575"/>
      <c r="K19" s="579"/>
      <c r="L19" s="581"/>
      <c r="M19" s="582"/>
    </row>
    <row r="20" spans="1:13">
      <c r="A20" s="42" t="str">
        <f>IF(B20=""," ",#REF!+1)</f>
        <v xml:space="preserve"> </v>
      </c>
      <c r="B20" s="71"/>
      <c r="C20" s="541"/>
      <c r="D20" s="72"/>
      <c r="E20" s="73"/>
      <c r="F20" s="74"/>
      <c r="G20" s="20"/>
      <c r="H20" s="42"/>
      <c r="I20" s="42"/>
      <c r="J20" s="59"/>
      <c r="K20" s="541"/>
      <c r="L20" s="542"/>
      <c r="M20" s="543"/>
    </row>
    <row r="21" spans="1:13">
      <c r="A21" s="42" t="str">
        <f>IF(B21=""," ",A20+1)</f>
        <v xml:space="preserve"> </v>
      </c>
      <c r="B21" s="71"/>
      <c r="C21" s="541"/>
      <c r="D21" s="72"/>
      <c r="E21" s="73"/>
      <c r="F21" s="74"/>
      <c r="G21" s="20"/>
      <c r="H21" s="42"/>
      <c r="I21" s="42"/>
      <c r="J21" s="59"/>
      <c r="K21" s="609"/>
      <c r="L21" s="610"/>
      <c r="M21" s="611"/>
    </row>
    <row r="22" spans="1:13">
      <c r="A22" s="42" t="str">
        <f>IF(B22=""," ",#REF!+1)</f>
        <v xml:space="preserve"> </v>
      </c>
      <c r="B22" s="71"/>
      <c r="C22" s="541"/>
      <c r="D22" s="72"/>
      <c r="E22" s="73"/>
      <c r="F22" s="74"/>
      <c r="G22" s="20"/>
      <c r="H22" s="42"/>
      <c r="I22" s="42"/>
      <c r="J22" s="59"/>
      <c r="K22" s="609"/>
      <c r="L22" s="610"/>
      <c r="M22" s="611"/>
    </row>
    <row r="23" spans="1:13">
      <c r="A23" s="42" t="str">
        <f>IF(B23=""," ",#REF!+1)</f>
        <v xml:space="preserve"> </v>
      </c>
      <c r="B23" s="71"/>
      <c r="C23" s="541"/>
      <c r="D23" s="72"/>
      <c r="E23" s="73"/>
      <c r="F23" s="74"/>
      <c r="G23" s="20"/>
      <c r="H23" s="42"/>
      <c r="I23" s="42"/>
      <c r="J23" s="59"/>
      <c r="K23" s="541"/>
      <c r="L23" s="542"/>
      <c r="M23" s="543"/>
    </row>
    <row r="24" spans="1:13">
      <c r="A24" s="42" t="str">
        <f>IF(B24=""," ",A23+1)</f>
        <v xml:space="preserve"> </v>
      </c>
      <c r="B24" s="71"/>
      <c r="C24" s="541"/>
      <c r="D24" s="72"/>
      <c r="E24" s="73"/>
      <c r="F24" s="74"/>
      <c r="G24" s="20"/>
      <c r="H24" s="42"/>
      <c r="I24" s="42"/>
      <c r="J24" s="59"/>
      <c r="K24" s="541"/>
      <c r="L24" s="542"/>
      <c r="M24" s="543"/>
    </row>
    <row r="25" spans="1:13">
      <c r="A25" s="42" t="str">
        <f>IF(B25=""," ",A24+1)</f>
        <v xml:space="preserve"> </v>
      </c>
      <c r="B25" s="71"/>
      <c r="C25" s="541"/>
      <c r="D25" s="72"/>
      <c r="E25" s="73"/>
      <c r="F25" s="74"/>
      <c r="G25" s="20"/>
      <c r="H25" s="42"/>
      <c r="I25" s="42"/>
      <c r="J25" s="59"/>
      <c r="K25" s="609"/>
      <c r="L25" s="610"/>
      <c r="M25" s="611"/>
    </row>
    <row r="26" spans="1:13">
      <c r="A26" s="42" t="str">
        <f>IF(B26=""," ",#REF!+1)</f>
        <v xml:space="preserve"> </v>
      </c>
      <c r="B26" s="71"/>
      <c r="C26" s="541"/>
      <c r="D26" s="72"/>
      <c r="E26" s="73"/>
      <c r="F26" s="74"/>
      <c r="G26" s="20"/>
      <c r="H26" s="42"/>
      <c r="I26" s="42"/>
      <c r="J26" s="59"/>
      <c r="K26" s="609"/>
      <c r="L26" s="610"/>
      <c r="M26" s="611"/>
    </row>
    <row r="27" spans="1:13">
      <c r="A27" s="42" t="str">
        <f>IF(B27=""," ",#REF!+1)</f>
        <v xml:space="preserve"> </v>
      </c>
      <c r="B27" s="71"/>
      <c r="C27" s="541"/>
      <c r="D27" s="72"/>
      <c r="E27" s="73"/>
      <c r="F27" s="74"/>
      <c r="G27" s="20"/>
      <c r="H27" s="42"/>
      <c r="I27" s="42"/>
      <c r="J27" s="59"/>
      <c r="K27" s="541"/>
      <c r="L27" s="542"/>
      <c r="M27" s="543"/>
    </row>
    <row r="28" spans="1:13">
      <c r="A28" s="42" t="str">
        <f>IF(B28=""," ",A27+1)</f>
        <v xml:space="preserve"> </v>
      </c>
      <c r="B28" s="71"/>
      <c r="C28" s="541"/>
      <c r="D28" s="72"/>
      <c r="E28" s="73"/>
      <c r="F28" s="74"/>
      <c r="G28" s="20"/>
      <c r="H28" s="42"/>
      <c r="I28" s="42"/>
      <c r="J28" s="59"/>
      <c r="K28" s="541"/>
      <c r="L28" s="542"/>
      <c r="M28" s="543"/>
    </row>
    <row r="29" spans="1:13">
      <c r="A29" s="42" t="str">
        <f>IF(B29=""," ",A28+1)</f>
        <v xml:space="preserve"> </v>
      </c>
      <c r="B29" s="71"/>
      <c r="C29" s="541"/>
      <c r="D29" s="72"/>
      <c r="E29" s="73"/>
      <c r="F29" s="74"/>
      <c r="G29" s="20"/>
      <c r="H29" s="42"/>
      <c r="I29" s="42"/>
      <c r="J29" s="59"/>
      <c r="K29" s="609"/>
      <c r="L29" s="610"/>
      <c r="M29" s="611"/>
    </row>
    <row r="30" spans="1:13">
      <c r="A30" s="42" t="str">
        <f>IF(B30=""," ",#REF!+1)</f>
        <v xml:space="preserve"> </v>
      </c>
      <c r="B30" s="71"/>
      <c r="C30" s="541"/>
      <c r="D30" s="72"/>
      <c r="E30" s="73"/>
      <c r="F30" s="74"/>
      <c r="G30" s="20"/>
      <c r="H30" s="42"/>
      <c r="I30" s="42"/>
      <c r="J30" s="59"/>
      <c r="K30" s="609"/>
      <c r="L30" s="610"/>
      <c r="M30" s="611"/>
    </row>
    <row r="31" spans="1:13">
      <c r="A31" s="42" t="str">
        <f>IF(B31=""," ",#REF!+1)</f>
        <v xml:space="preserve"> </v>
      </c>
      <c r="B31" s="71"/>
      <c r="C31" s="541"/>
      <c r="D31" s="72"/>
      <c r="E31" s="73"/>
      <c r="F31" s="74"/>
      <c r="G31" s="20"/>
      <c r="H31" s="42"/>
      <c r="I31" s="42"/>
      <c r="J31" s="59"/>
      <c r="K31" s="541"/>
      <c r="L31" s="542"/>
      <c r="M31" s="543"/>
    </row>
    <row r="32" spans="1:13">
      <c r="A32" s="42" t="str">
        <f>IF(B32=""," ",A31+1)</f>
        <v xml:space="preserve"> </v>
      </c>
      <c r="B32" s="71"/>
      <c r="C32" s="541"/>
      <c r="D32" s="72"/>
      <c r="E32" s="73"/>
      <c r="F32" s="74"/>
      <c r="G32" s="20"/>
      <c r="H32" s="42"/>
      <c r="I32" s="42"/>
      <c r="J32" s="59"/>
      <c r="K32" s="541"/>
      <c r="L32" s="542"/>
      <c r="M32" s="543"/>
    </row>
    <row r="33" spans="1:13">
      <c r="A33" s="42" t="str">
        <f>IF(B33=""," ",A32+1)</f>
        <v xml:space="preserve"> </v>
      </c>
      <c r="B33" s="71"/>
      <c r="C33" s="541"/>
      <c r="D33" s="72"/>
      <c r="E33" s="73"/>
      <c r="F33" s="74"/>
      <c r="G33" s="20"/>
      <c r="H33" s="42"/>
      <c r="I33" s="42"/>
      <c r="J33" s="59"/>
      <c r="K33" s="609"/>
      <c r="L33" s="610"/>
      <c r="M33" s="611"/>
    </row>
    <row r="34" spans="1:13">
      <c r="A34" s="42" t="str">
        <f>IF(B34=""," ",#REF!+1)</f>
        <v xml:space="preserve"> </v>
      </c>
      <c r="B34" s="71"/>
      <c r="C34" s="541"/>
      <c r="D34" s="72"/>
      <c r="E34" s="73"/>
      <c r="F34" s="74"/>
      <c r="G34" s="20"/>
      <c r="H34" s="42"/>
      <c r="I34" s="42"/>
      <c r="J34" s="59"/>
      <c r="K34" s="609"/>
      <c r="L34" s="610"/>
      <c r="M34" s="611"/>
    </row>
    <row r="35" spans="1:13">
      <c r="A35" s="42" t="str">
        <f>IF(B35=""," ",#REF!+1)</f>
        <v xml:space="preserve"> </v>
      </c>
      <c r="B35" s="71"/>
      <c r="C35" s="541"/>
      <c r="D35" s="72"/>
      <c r="E35" s="73"/>
      <c r="F35" s="74"/>
      <c r="G35" s="20"/>
      <c r="H35" s="42"/>
      <c r="I35" s="42"/>
      <c r="J35" s="59"/>
      <c r="K35" s="609"/>
      <c r="L35" s="610"/>
      <c r="M35" s="611"/>
    </row>
    <row r="36" spans="1:13">
      <c r="A36" s="42" t="str">
        <f>IF(B36=""," ",#REF!+1)</f>
        <v xml:space="preserve"> </v>
      </c>
      <c r="B36" s="71"/>
      <c r="C36" s="541"/>
      <c r="D36" s="72"/>
      <c r="E36" s="73"/>
      <c r="F36" s="74"/>
      <c r="G36" s="20"/>
      <c r="H36" s="42"/>
      <c r="I36" s="42"/>
      <c r="J36" s="59"/>
      <c r="K36" s="541"/>
      <c r="L36" s="542"/>
      <c r="M36" s="543"/>
    </row>
    <row r="37" spans="1:13">
      <c r="A37" s="42" t="str">
        <f>IF(B37=""," ",A36+1)</f>
        <v xml:space="preserve"> </v>
      </c>
      <c r="B37" s="71"/>
      <c r="C37" s="541"/>
      <c r="D37" s="72"/>
      <c r="E37" s="73"/>
      <c r="F37" s="74"/>
      <c r="G37" s="20"/>
      <c r="H37" s="42"/>
      <c r="I37" s="42"/>
      <c r="J37" s="59"/>
      <c r="K37" s="541"/>
      <c r="L37" s="542"/>
      <c r="M37" s="543"/>
    </row>
    <row r="38" spans="1:13">
      <c r="A38" s="42" t="str">
        <f>IF(B38=""," ",A37+1)</f>
        <v xml:space="preserve"> </v>
      </c>
      <c r="B38" s="71"/>
      <c r="C38" s="541"/>
      <c r="D38" s="72"/>
      <c r="E38" s="73"/>
      <c r="F38" s="74"/>
      <c r="G38" s="20"/>
      <c r="H38" s="42"/>
      <c r="I38" s="42"/>
      <c r="J38" s="59"/>
      <c r="K38" s="609"/>
      <c r="L38" s="610"/>
      <c r="M38" s="611"/>
    </row>
    <row r="39" spans="1:13">
      <c r="A39" s="42" t="str">
        <f>IF(B39=""," ",#REF!+1)</f>
        <v xml:space="preserve"> </v>
      </c>
      <c r="B39" s="71"/>
      <c r="C39" s="541"/>
      <c r="D39" s="72"/>
      <c r="E39" s="73"/>
      <c r="F39" s="74"/>
      <c r="G39" s="20"/>
      <c r="H39" s="42"/>
      <c r="I39" s="42"/>
      <c r="J39" s="59"/>
      <c r="K39" s="609"/>
      <c r="L39" s="610"/>
      <c r="M39" s="611"/>
    </row>
    <row r="40" spans="1:13">
      <c r="A40" s="42" t="str">
        <f>IF(B40=""," ",#REF!+1)</f>
        <v xml:space="preserve"> </v>
      </c>
      <c r="B40" s="71"/>
      <c r="C40" s="541"/>
      <c r="D40" s="72"/>
      <c r="E40" s="73"/>
      <c r="F40" s="74"/>
      <c r="G40" s="20"/>
      <c r="H40" s="42"/>
      <c r="I40" s="42"/>
      <c r="J40" s="59"/>
      <c r="K40" s="541"/>
      <c r="L40" s="542"/>
      <c r="M40" s="543"/>
    </row>
    <row r="41" spans="1:13">
      <c r="A41" s="42" t="str">
        <f>IF(B41=""," ",A40+1)</f>
        <v xml:space="preserve"> </v>
      </c>
      <c r="B41" s="71"/>
      <c r="C41" s="541"/>
      <c r="D41" s="72"/>
      <c r="E41" s="73"/>
      <c r="F41" s="74"/>
      <c r="G41" s="20"/>
      <c r="H41" s="42"/>
      <c r="I41" s="42"/>
      <c r="J41" s="59"/>
      <c r="K41" s="541"/>
      <c r="L41" s="542"/>
      <c r="M41" s="543"/>
    </row>
    <row r="42" spans="1:13">
      <c r="A42" s="42" t="str">
        <f>IF(B42=""," ",A41+1)</f>
        <v xml:space="preserve"> </v>
      </c>
      <c r="B42" s="71"/>
      <c r="C42" s="541"/>
      <c r="D42" s="72"/>
      <c r="E42" s="73"/>
      <c r="F42" s="74"/>
      <c r="G42" s="20"/>
      <c r="H42" s="42"/>
      <c r="I42" s="42"/>
      <c r="J42" s="59"/>
      <c r="K42" s="609"/>
      <c r="L42" s="610"/>
      <c r="M42" s="611"/>
    </row>
    <row r="43" spans="1:13">
      <c r="A43" s="42" t="str">
        <f>IF(B43=""," ",#REF!+1)</f>
        <v xml:space="preserve"> </v>
      </c>
      <c r="B43" s="71"/>
      <c r="C43" s="541"/>
      <c r="D43" s="72"/>
      <c r="E43" s="73"/>
      <c r="F43" s="74"/>
      <c r="G43" s="20"/>
      <c r="H43" s="42"/>
      <c r="I43" s="42"/>
      <c r="J43" s="59"/>
      <c r="K43" s="609"/>
      <c r="L43" s="610"/>
      <c r="M43" s="611"/>
    </row>
    <row r="44" spans="1:13">
      <c r="A44" s="42" t="str">
        <f>IF(B44=""," ",#REF!+1)</f>
        <v xml:space="preserve"> </v>
      </c>
      <c r="B44" s="71"/>
      <c r="C44" s="541"/>
      <c r="D44" s="72"/>
      <c r="E44" s="73"/>
      <c r="F44" s="74"/>
      <c r="G44" s="20"/>
      <c r="H44" s="42"/>
      <c r="I44" s="42"/>
      <c r="J44" s="59"/>
      <c r="K44" s="541"/>
      <c r="L44" s="542"/>
      <c r="M44" s="543"/>
    </row>
    <row r="45" spans="1:13">
      <c r="A45" s="42" t="str">
        <f>IF(B45=""," ",A44+1)</f>
        <v xml:space="preserve"> </v>
      </c>
      <c r="B45" s="71"/>
      <c r="C45" s="541"/>
      <c r="D45" s="72"/>
      <c r="E45" s="73"/>
      <c r="F45" s="74"/>
      <c r="G45" s="20"/>
      <c r="H45" s="42"/>
      <c r="I45" s="42"/>
      <c r="J45" s="59"/>
      <c r="K45" s="541"/>
      <c r="L45" s="542"/>
      <c r="M45" s="543"/>
    </row>
    <row r="46" spans="1:13">
      <c r="A46" s="42" t="str">
        <f>IF(B46=""," ",A45+1)</f>
        <v xml:space="preserve"> </v>
      </c>
      <c r="B46" s="71"/>
      <c r="C46" s="541"/>
      <c r="D46" s="72"/>
      <c r="E46" s="73"/>
      <c r="F46" s="74"/>
      <c r="G46" s="20"/>
      <c r="H46" s="42"/>
      <c r="I46" s="42"/>
      <c r="J46" s="59"/>
      <c r="K46" s="609"/>
      <c r="L46" s="610"/>
      <c r="M46" s="611"/>
    </row>
    <row r="47" spans="1:13">
      <c r="A47" s="42" t="str">
        <f>IF(B47=""," ",#REF!+1)</f>
        <v xml:space="preserve"> </v>
      </c>
      <c r="B47" s="71"/>
      <c r="C47" s="541"/>
      <c r="D47" s="72"/>
      <c r="E47" s="73"/>
      <c r="F47" s="74"/>
      <c r="G47" s="20"/>
      <c r="H47" s="42"/>
      <c r="I47" s="42"/>
      <c r="J47" s="59"/>
      <c r="K47" s="609"/>
      <c r="L47" s="610"/>
      <c r="M47" s="611"/>
    </row>
    <row r="48" spans="1:13">
      <c r="A48" s="42" t="str">
        <f>IF(B48=""," ",#REF!+1)</f>
        <v xml:space="preserve"> </v>
      </c>
      <c r="B48" s="71"/>
      <c r="C48" s="541"/>
      <c r="D48" s="72"/>
      <c r="E48" s="73"/>
      <c r="F48" s="74"/>
      <c r="G48" s="20"/>
      <c r="H48" s="42"/>
      <c r="I48" s="42"/>
      <c r="J48" s="59"/>
      <c r="K48" s="609"/>
      <c r="L48" s="610"/>
      <c r="M48" s="611"/>
    </row>
    <row r="49" spans="1:13">
      <c r="A49" s="42" t="str">
        <f>IF(B49=""," ",#REF!+1)</f>
        <v xml:space="preserve"> </v>
      </c>
      <c r="B49" s="71"/>
      <c r="C49" s="541"/>
      <c r="D49" s="72"/>
      <c r="E49" s="73"/>
      <c r="F49" s="74"/>
      <c r="G49" s="20"/>
      <c r="H49" s="42"/>
      <c r="I49" s="42"/>
      <c r="J49" s="59"/>
      <c r="K49" s="541"/>
      <c r="L49" s="542"/>
      <c r="M49" s="543"/>
    </row>
    <row r="50" spans="1:13">
      <c r="A50" s="42" t="str">
        <f>IF(B50=""," ",A49+1)</f>
        <v xml:space="preserve"> </v>
      </c>
      <c r="B50" s="71"/>
      <c r="C50" s="541"/>
      <c r="D50" s="72"/>
      <c r="E50" s="73"/>
      <c r="F50" s="74"/>
      <c r="G50" s="20"/>
      <c r="H50" s="42"/>
      <c r="I50" s="42"/>
      <c r="J50" s="59"/>
      <c r="K50" s="541"/>
      <c r="L50" s="542"/>
      <c r="M50" s="543"/>
    </row>
    <row r="51" spans="1:13">
      <c r="A51" s="42" t="str">
        <f>IF(B51=""," ",A50+1)</f>
        <v xml:space="preserve"> </v>
      </c>
      <c r="B51" s="71"/>
      <c r="C51" s="541"/>
      <c r="D51" s="72"/>
      <c r="E51" s="73"/>
      <c r="F51" s="74"/>
      <c r="G51" s="20"/>
      <c r="H51" s="42"/>
      <c r="I51" s="42"/>
      <c r="J51" s="59"/>
      <c r="K51" s="609"/>
      <c r="L51" s="610"/>
      <c r="M51" s="611"/>
    </row>
    <row r="52" spans="1:13">
      <c r="A52" s="42" t="str">
        <f>IF(B52=""," ",#REF!+1)</f>
        <v xml:space="preserve"> </v>
      </c>
      <c r="B52" s="71"/>
      <c r="C52" s="541"/>
      <c r="D52" s="72"/>
      <c r="E52" s="73"/>
      <c r="F52" s="74"/>
      <c r="G52" s="20"/>
      <c r="H52" s="42"/>
      <c r="I52" s="42"/>
      <c r="J52" s="59"/>
      <c r="K52" s="609"/>
      <c r="L52" s="610"/>
      <c r="M52" s="611"/>
    </row>
    <row r="53" spans="1:13">
      <c r="A53" s="42" t="str">
        <f>IF(B53=""," ",#REF!+1)</f>
        <v xml:space="preserve"> </v>
      </c>
      <c r="B53" s="71"/>
      <c r="C53" s="541"/>
      <c r="D53" s="72"/>
      <c r="E53" s="73"/>
      <c r="F53" s="74"/>
      <c r="G53" s="20"/>
      <c r="H53" s="42"/>
      <c r="I53" s="42"/>
      <c r="J53" s="59"/>
      <c r="K53" s="541"/>
      <c r="L53" s="542"/>
      <c r="M53" s="543"/>
    </row>
    <row r="54" spans="1:13">
      <c r="A54" s="42" t="str">
        <f>IF(B54=""," ",A53+1)</f>
        <v xml:space="preserve"> </v>
      </c>
      <c r="B54" s="71"/>
      <c r="C54" s="541"/>
      <c r="D54" s="72"/>
      <c r="E54" s="73"/>
      <c r="F54" s="74"/>
      <c r="G54" s="20"/>
      <c r="H54" s="42"/>
      <c r="I54" s="42"/>
      <c r="J54" s="59"/>
      <c r="K54" s="541"/>
      <c r="L54" s="542"/>
      <c r="M54" s="543"/>
    </row>
    <row r="55" spans="1:13">
      <c r="A55" s="42" t="str">
        <f>IF(B55=""," ",A54+1)</f>
        <v xml:space="preserve"> </v>
      </c>
      <c r="B55" s="71"/>
      <c r="C55" s="541"/>
      <c r="D55" s="72"/>
      <c r="E55" s="73"/>
      <c r="F55" s="74"/>
      <c r="G55" s="20"/>
      <c r="H55" s="42"/>
      <c r="I55" s="42"/>
      <c r="J55" s="59"/>
      <c r="K55" s="609"/>
      <c r="L55" s="610"/>
      <c r="M55" s="611"/>
    </row>
    <row r="56" spans="1:13">
      <c r="A56" s="42" t="str">
        <f>IF(B56=""," ",#REF!+1)</f>
        <v xml:space="preserve"> </v>
      </c>
      <c r="B56" s="71"/>
      <c r="C56" s="541"/>
      <c r="D56" s="72"/>
      <c r="E56" s="73"/>
      <c r="F56" s="74"/>
      <c r="G56" s="20"/>
      <c r="H56" s="42"/>
      <c r="I56" s="42"/>
      <c r="J56" s="59"/>
      <c r="K56" s="609"/>
      <c r="L56" s="610"/>
      <c r="M56" s="611"/>
    </row>
    <row r="57" spans="1:13">
      <c r="A57" s="42" t="str">
        <f>IF(B57=""," ",#REF!+1)</f>
        <v xml:space="preserve"> </v>
      </c>
      <c r="B57" s="71"/>
      <c r="C57" s="541"/>
      <c r="D57" s="72"/>
      <c r="E57" s="73"/>
      <c r="F57" s="74"/>
      <c r="G57" s="20"/>
      <c r="H57" s="42"/>
      <c r="I57" s="42"/>
      <c r="J57" s="59"/>
      <c r="K57" s="541"/>
      <c r="L57" s="542"/>
      <c r="M57" s="543"/>
    </row>
    <row r="58" spans="1:13">
      <c r="A58" s="42" t="str">
        <f>IF(B58=""," ",A57+1)</f>
        <v xml:space="preserve"> </v>
      </c>
      <c r="B58" s="71"/>
      <c r="C58" s="541"/>
      <c r="D58" s="72"/>
      <c r="E58" s="73"/>
      <c r="F58" s="74"/>
      <c r="G58" s="20"/>
      <c r="H58" s="42"/>
      <c r="I58" s="42"/>
      <c r="J58" s="59"/>
      <c r="K58" s="541"/>
      <c r="L58" s="542"/>
      <c r="M58" s="543"/>
    </row>
    <row r="59" spans="1:13">
      <c r="A59" s="42" t="str">
        <f>IF(B59=""," ",A58+1)</f>
        <v xml:space="preserve"> </v>
      </c>
      <c r="B59" s="71"/>
      <c r="C59" s="541"/>
      <c r="D59" s="72"/>
      <c r="E59" s="73"/>
      <c r="F59" s="74"/>
      <c r="G59" s="20"/>
      <c r="H59" s="42"/>
      <c r="I59" s="42"/>
      <c r="J59" s="59"/>
      <c r="K59" s="609"/>
      <c r="L59" s="610"/>
      <c r="M59" s="611"/>
    </row>
    <row r="60" spans="1:13">
      <c r="A60" s="42" t="str">
        <f>IF(B60=""," ",#REF!+1)</f>
        <v xml:space="preserve"> </v>
      </c>
      <c r="B60" s="71"/>
      <c r="C60" s="541"/>
      <c r="D60" s="72"/>
      <c r="E60" s="73"/>
      <c r="F60" s="74"/>
      <c r="G60" s="20"/>
      <c r="H60" s="42"/>
      <c r="I60" s="42"/>
      <c r="J60" s="59"/>
      <c r="K60" s="609"/>
      <c r="L60" s="610"/>
      <c r="M60" s="611"/>
    </row>
    <row r="61" spans="1:13">
      <c r="A61" s="42" t="str">
        <f>IF(B61=""," ",#REF!+1)</f>
        <v xml:space="preserve"> </v>
      </c>
      <c r="B61" s="71"/>
      <c r="C61" s="541"/>
      <c r="D61" s="72"/>
      <c r="E61" s="73"/>
      <c r="F61" s="74"/>
      <c r="G61" s="20"/>
      <c r="H61" s="42"/>
      <c r="I61" s="42"/>
      <c r="J61" s="59"/>
      <c r="K61" s="609"/>
      <c r="L61" s="610"/>
      <c r="M61" s="611"/>
    </row>
    <row r="62" spans="1:13">
      <c r="A62" s="42" t="str">
        <f>IF(B62=""," ",#REF!+1)</f>
        <v xml:space="preserve"> </v>
      </c>
      <c r="B62" s="71"/>
      <c r="C62" s="541"/>
      <c r="D62" s="72"/>
      <c r="E62" s="73"/>
      <c r="F62" s="74"/>
      <c r="G62" s="20"/>
      <c r="H62" s="42"/>
      <c r="I62" s="42"/>
      <c r="J62" s="59"/>
      <c r="K62" s="541"/>
      <c r="L62" s="542"/>
      <c r="M62" s="543"/>
    </row>
    <row r="63" spans="1:13">
      <c r="A63" s="42" t="str">
        <f>IF(B63=""," ",A62+1)</f>
        <v xml:space="preserve"> </v>
      </c>
      <c r="B63" s="71"/>
      <c r="C63" s="541"/>
      <c r="D63" s="72"/>
      <c r="E63" s="73"/>
      <c r="F63" s="74"/>
      <c r="G63" s="20"/>
      <c r="H63" s="42"/>
      <c r="I63" s="42"/>
      <c r="J63" s="59"/>
      <c r="K63" s="541"/>
      <c r="L63" s="542"/>
      <c r="M63" s="543"/>
    </row>
    <row r="64" spans="1:13">
      <c r="A64" s="42" t="str">
        <f>IF(B64=""," ",A63+1)</f>
        <v xml:space="preserve"> </v>
      </c>
      <c r="B64" s="71"/>
      <c r="C64" s="541"/>
      <c r="D64" s="72"/>
      <c r="E64" s="73"/>
      <c r="F64" s="74"/>
      <c r="G64" s="20"/>
      <c r="H64" s="42"/>
      <c r="I64" s="42"/>
      <c r="J64" s="59"/>
      <c r="K64" s="609"/>
      <c r="L64" s="610"/>
      <c r="M64" s="611"/>
    </row>
    <row r="65" spans="1:13">
      <c r="A65" s="42" t="str">
        <f>IF(B65=""," ",#REF!+1)</f>
        <v xml:space="preserve"> </v>
      </c>
      <c r="B65" s="71"/>
      <c r="C65" s="541"/>
      <c r="D65" s="72"/>
      <c r="E65" s="73"/>
      <c r="F65" s="74"/>
      <c r="G65" s="20"/>
      <c r="H65" s="42"/>
      <c r="I65" s="42"/>
      <c r="J65" s="59"/>
      <c r="K65" s="609"/>
      <c r="L65" s="610"/>
      <c r="M65" s="611"/>
    </row>
    <row r="66" spans="1:13">
      <c r="A66" s="42" t="str">
        <f>IF(B66=""," ",#REF!+1)</f>
        <v xml:space="preserve"> </v>
      </c>
      <c r="B66" s="71"/>
      <c r="C66" s="541"/>
      <c r="D66" s="72"/>
      <c r="E66" s="73"/>
      <c r="F66" s="74"/>
      <c r="G66" s="20"/>
      <c r="H66" s="42"/>
      <c r="I66" s="42"/>
      <c r="J66" s="59"/>
      <c r="K66" s="541"/>
      <c r="L66" s="542"/>
      <c r="M66" s="543"/>
    </row>
    <row r="67" spans="1:13">
      <c r="A67" s="42" t="str">
        <f>IF(B67=""," ",A66+1)</f>
        <v xml:space="preserve"> </v>
      </c>
      <c r="B67" s="71"/>
      <c r="C67" s="541"/>
      <c r="D67" s="72"/>
      <c r="E67" s="73"/>
      <c r="F67" s="74"/>
      <c r="G67" s="20"/>
      <c r="H67" s="42"/>
      <c r="I67" s="42"/>
      <c r="J67" s="59"/>
      <c r="K67" s="541"/>
      <c r="L67" s="542"/>
      <c r="M67" s="543"/>
    </row>
    <row r="68" spans="1:13">
      <c r="A68" s="42" t="str">
        <f>IF(B68=""," ",A67+1)</f>
        <v xml:space="preserve"> </v>
      </c>
      <c r="B68" s="71"/>
      <c r="C68" s="541"/>
      <c r="D68" s="72"/>
      <c r="E68" s="73"/>
      <c r="F68" s="74"/>
      <c r="G68" s="20"/>
      <c r="H68" s="42"/>
      <c r="I68" s="42"/>
      <c r="J68" s="59"/>
      <c r="K68" s="609"/>
      <c r="L68" s="610"/>
      <c r="M68" s="611"/>
    </row>
    <row r="69" spans="1:13">
      <c r="A69" s="42" t="str">
        <f>IF(B69=""," ",#REF!+1)</f>
        <v xml:space="preserve"> </v>
      </c>
      <c r="B69" s="71"/>
      <c r="C69" s="541"/>
      <c r="D69" s="72"/>
      <c r="E69" s="73"/>
      <c r="F69" s="74"/>
      <c r="G69" s="20"/>
      <c r="H69" s="42"/>
      <c r="I69" s="42"/>
      <c r="J69" s="59"/>
      <c r="K69" s="609"/>
      <c r="L69" s="610"/>
      <c r="M69" s="611"/>
    </row>
    <row r="70" spans="1:13">
      <c r="A70" s="42" t="str">
        <f>IF(B70=""," ",#REF!+1)</f>
        <v xml:space="preserve"> </v>
      </c>
      <c r="B70" s="71"/>
      <c r="C70" s="541"/>
      <c r="D70" s="72"/>
      <c r="E70" s="73"/>
      <c r="F70" s="74"/>
      <c r="G70" s="20"/>
      <c r="H70" s="42"/>
      <c r="I70" s="42"/>
      <c r="J70" s="59"/>
      <c r="K70" s="541"/>
      <c r="L70" s="542"/>
      <c r="M70" s="543"/>
    </row>
    <row r="71" spans="1:13">
      <c r="A71" s="42" t="str">
        <f>IF(B71=""," ",A70+1)</f>
        <v xml:space="preserve"> </v>
      </c>
      <c r="B71" s="71"/>
      <c r="C71" s="541"/>
      <c r="D71" s="72"/>
      <c r="E71" s="73"/>
      <c r="F71" s="74"/>
      <c r="G71" s="20"/>
      <c r="H71" s="42"/>
      <c r="I71" s="42"/>
      <c r="J71" s="59"/>
      <c r="K71" s="541"/>
      <c r="L71" s="542"/>
      <c r="M71" s="543"/>
    </row>
    <row r="72" spans="1:13">
      <c r="A72" s="42" t="str">
        <f>IF(B72=""," ",A71+1)</f>
        <v xml:space="preserve"> </v>
      </c>
      <c r="B72" s="71"/>
      <c r="C72" s="541"/>
      <c r="D72" s="72"/>
      <c r="E72" s="73"/>
      <c r="F72" s="74"/>
      <c r="G72" s="20"/>
      <c r="H72" s="42"/>
      <c r="I72" s="42"/>
      <c r="J72" s="59"/>
      <c r="K72" s="609"/>
      <c r="L72" s="610"/>
      <c r="M72" s="611"/>
    </row>
    <row r="73" spans="1:13">
      <c r="A73" s="42" t="str">
        <f>IF(B73=""," ",#REF!+1)</f>
        <v xml:space="preserve"> </v>
      </c>
      <c r="B73" s="71"/>
      <c r="C73" s="541"/>
      <c r="D73" s="72"/>
      <c r="E73" s="73"/>
      <c r="F73" s="74"/>
      <c r="G73" s="20"/>
      <c r="H73" s="42"/>
      <c r="I73" s="42"/>
      <c r="J73" s="59"/>
      <c r="K73" s="609"/>
      <c r="L73" s="610"/>
      <c r="M73" s="611"/>
    </row>
    <row r="74" spans="1:13">
      <c r="A74" s="42" t="str">
        <f>IF(B74=""," ",#REF!+1)</f>
        <v xml:space="preserve"> </v>
      </c>
      <c r="B74" s="71"/>
      <c r="C74" s="541"/>
      <c r="D74" s="72"/>
      <c r="E74" s="73"/>
      <c r="F74" s="74"/>
      <c r="G74" s="20"/>
      <c r="H74" s="42"/>
      <c r="I74" s="42"/>
      <c r="J74" s="59"/>
      <c r="K74" s="609"/>
      <c r="L74" s="610"/>
      <c r="M74" s="611"/>
    </row>
    <row r="75" spans="1:13">
      <c r="A75" s="42" t="str">
        <f>IF(B75=""," ",#REF!+1)</f>
        <v xml:space="preserve"> </v>
      </c>
      <c r="B75" s="71"/>
      <c r="C75" s="541"/>
      <c r="D75" s="72"/>
      <c r="E75" s="73"/>
      <c r="F75" s="74"/>
      <c r="G75" s="20"/>
      <c r="H75" s="42"/>
      <c r="I75" s="42"/>
      <c r="J75" s="59"/>
      <c r="K75" s="541"/>
      <c r="L75" s="542"/>
      <c r="M75" s="543"/>
    </row>
    <row r="76" spans="1:13">
      <c r="A76" s="42" t="str">
        <f>IF(B76=""," ",A75+1)</f>
        <v xml:space="preserve"> </v>
      </c>
      <c r="B76" s="71"/>
      <c r="C76" s="541"/>
      <c r="D76" s="72"/>
      <c r="E76" s="73"/>
      <c r="F76" s="74"/>
      <c r="G76" s="20"/>
      <c r="H76" s="42"/>
      <c r="I76" s="42"/>
      <c r="J76" s="59"/>
      <c r="K76" s="541"/>
      <c r="L76" s="542"/>
      <c r="M76" s="543"/>
    </row>
    <row r="77" spans="1:13">
      <c r="A77" s="42" t="str">
        <f>IF(B77=""," ",A76+1)</f>
        <v xml:space="preserve"> </v>
      </c>
      <c r="B77" s="71"/>
      <c r="C77" s="541"/>
      <c r="D77" s="72"/>
      <c r="E77" s="73"/>
      <c r="F77" s="74"/>
      <c r="G77" s="20"/>
      <c r="H77" s="42"/>
      <c r="I77" s="42"/>
      <c r="J77" s="59"/>
      <c r="K77" s="609"/>
      <c r="L77" s="610"/>
      <c r="M77" s="611"/>
    </row>
    <row r="78" spans="1:13">
      <c r="A78" s="42" t="str">
        <f>IF(B78=""," ",#REF!+1)</f>
        <v xml:space="preserve"> </v>
      </c>
      <c r="B78" s="71"/>
      <c r="C78" s="541"/>
      <c r="D78" s="72"/>
      <c r="E78" s="73"/>
      <c r="F78" s="74"/>
      <c r="G78" s="20"/>
      <c r="H78" s="42"/>
      <c r="I78" s="42"/>
      <c r="J78" s="59"/>
      <c r="K78" s="609"/>
      <c r="L78" s="610"/>
      <c r="M78" s="611"/>
    </row>
    <row r="79" spans="1:13">
      <c r="A79" s="42" t="str">
        <f>IF(B79=""," ",#REF!+1)</f>
        <v xml:space="preserve"> </v>
      </c>
      <c r="B79" s="71"/>
      <c r="C79" s="541"/>
      <c r="D79" s="72"/>
      <c r="E79" s="73"/>
      <c r="F79" s="74"/>
      <c r="G79" s="20"/>
      <c r="H79" s="42"/>
      <c r="I79" s="42"/>
      <c r="J79" s="59"/>
      <c r="K79" s="541"/>
      <c r="L79" s="542"/>
      <c r="M79" s="543"/>
    </row>
    <row r="80" spans="1:13">
      <c r="A80" s="42" t="str">
        <f>IF(B80=""," ",A79+1)</f>
        <v xml:space="preserve"> </v>
      </c>
      <c r="B80" s="71"/>
      <c r="C80" s="541"/>
      <c r="D80" s="72"/>
      <c r="E80" s="73"/>
      <c r="F80" s="74"/>
      <c r="G80" s="20"/>
      <c r="H80" s="42"/>
      <c r="I80" s="42"/>
      <c r="J80" s="59"/>
      <c r="K80" s="541"/>
      <c r="L80" s="542"/>
      <c r="M80" s="543"/>
    </row>
    <row r="81" spans="1:13">
      <c r="A81" s="42" t="str">
        <f>IF(B81=""," ",A80+1)</f>
        <v xml:space="preserve"> </v>
      </c>
      <c r="B81" s="71"/>
      <c r="C81" s="541"/>
      <c r="D81" s="72"/>
      <c r="E81" s="73"/>
      <c r="F81" s="74"/>
      <c r="G81" s="20"/>
      <c r="H81" s="42"/>
      <c r="I81" s="42"/>
      <c r="J81" s="59"/>
      <c r="K81" s="609"/>
      <c r="L81" s="610"/>
      <c r="M81" s="611"/>
    </row>
    <row r="82" spans="1:13">
      <c r="A82" s="42" t="str">
        <f>IF(B82=""," ",#REF!+1)</f>
        <v xml:space="preserve"> </v>
      </c>
      <c r="B82" s="71"/>
      <c r="C82" s="541"/>
      <c r="D82" s="72"/>
      <c r="E82" s="73"/>
      <c r="F82" s="74"/>
      <c r="G82" s="20"/>
      <c r="H82" s="42"/>
      <c r="I82" s="42"/>
      <c r="J82" s="59"/>
      <c r="K82" s="609"/>
      <c r="L82" s="610"/>
      <c r="M82" s="611"/>
    </row>
    <row r="83" spans="1:13">
      <c r="A83" s="42" t="str">
        <f>IF(B83=""," ",#REF!+1)</f>
        <v xml:space="preserve"> </v>
      </c>
      <c r="B83" s="71"/>
      <c r="C83" s="541"/>
      <c r="D83" s="72"/>
      <c r="E83" s="73"/>
      <c r="F83" s="74"/>
      <c r="G83" s="20"/>
      <c r="H83" s="42"/>
      <c r="I83" s="42"/>
      <c r="J83" s="59"/>
      <c r="K83" s="541"/>
      <c r="L83" s="542"/>
      <c r="M83" s="543"/>
    </row>
    <row r="84" spans="1:13">
      <c r="A84" s="42" t="str">
        <f>IF(B84=""," ",A83+1)</f>
        <v xml:space="preserve"> </v>
      </c>
      <c r="B84" s="71"/>
      <c r="C84" s="541"/>
      <c r="D84" s="72"/>
      <c r="E84" s="73"/>
      <c r="F84" s="74"/>
      <c r="G84" s="20"/>
      <c r="H84" s="42"/>
      <c r="I84" s="42"/>
      <c r="J84" s="59"/>
      <c r="K84" s="541"/>
      <c r="L84" s="542"/>
      <c r="M84" s="543"/>
    </row>
    <row r="85" spans="1:13">
      <c r="A85" s="42" t="str">
        <f>IF(B85=""," ",A84+1)</f>
        <v xml:space="preserve"> </v>
      </c>
      <c r="B85" s="71"/>
      <c r="C85" s="541"/>
      <c r="D85" s="72"/>
      <c r="E85" s="73"/>
      <c r="F85" s="74"/>
      <c r="G85" s="20"/>
      <c r="H85" s="42"/>
      <c r="I85" s="42"/>
      <c r="J85" s="59"/>
      <c r="K85" s="609"/>
      <c r="L85" s="610"/>
      <c r="M85" s="611"/>
    </row>
    <row r="86" spans="1:13">
      <c r="A86" s="42" t="str">
        <f>IF(B86=""," ",#REF!+1)</f>
        <v xml:space="preserve"> </v>
      </c>
      <c r="B86" s="71"/>
      <c r="C86" s="541"/>
      <c r="D86" s="72"/>
      <c r="E86" s="73"/>
      <c r="F86" s="74"/>
      <c r="G86" s="20"/>
      <c r="H86" s="42"/>
      <c r="I86" s="42"/>
      <c r="J86" s="59"/>
      <c r="K86" s="609"/>
      <c r="L86" s="610"/>
      <c r="M86" s="611"/>
    </row>
    <row r="87" spans="1:13">
      <c r="A87" s="42" t="str">
        <f>IF(B87=""," ",#REF!+1)</f>
        <v xml:space="preserve"> </v>
      </c>
      <c r="B87" s="71"/>
      <c r="C87" s="541"/>
      <c r="D87" s="72"/>
      <c r="E87" s="73"/>
      <c r="F87" s="74"/>
      <c r="G87" s="20"/>
      <c r="H87" s="42"/>
      <c r="I87" s="42"/>
      <c r="J87" s="59"/>
      <c r="K87" s="609"/>
      <c r="L87" s="610"/>
      <c r="M87" s="611"/>
    </row>
    <row r="88" spans="1:13">
      <c r="A88" s="42" t="str">
        <f>IF(B88=""," ",#REF!+1)</f>
        <v xml:space="preserve"> </v>
      </c>
      <c r="B88" s="71"/>
      <c r="C88" s="541"/>
      <c r="D88" s="72"/>
      <c r="E88" s="73"/>
      <c r="F88" s="74"/>
      <c r="G88" s="20"/>
      <c r="H88" s="42"/>
      <c r="I88" s="42"/>
      <c r="J88" s="59"/>
      <c r="K88" s="609"/>
      <c r="L88" s="610"/>
      <c r="M88" s="611"/>
    </row>
    <row r="89" spans="1:13">
      <c r="A89" s="42" t="str">
        <f>IF(B89=""," ",#REF!+1)</f>
        <v xml:space="preserve"> </v>
      </c>
      <c r="B89" s="71"/>
      <c r="C89" s="541"/>
      <c r="D89" s="72"/>
      <c r="E89" s="73"/>
      <c r="F89" s="74"/>
      <c r="G89" s="20"/>
      <c r="H89" s="42"/>
      <c r="I89" s="42"/>
      <c r="J89" s="59"/>
      <c r="K89" s="609"/>
      <c r="L89" s="610"/>
      <c r="M89" s="611"/>
    </row>
    <row r="90" spans="1:13">
      <c r="A90" s="42" t="str">
        <f>IF(B90=""," ",#REF!+1)</f>
        <v xml:space="preserve"> </v>
      </c>
      <c r="B90" s="71"/>
      <c r="C90" s="541"/>
      <c r="D90" s="72"/>
      <c r="E90" s="73"/>
      <c r="F90" s="74"/>
      <c r="G90" s="20"/>
      <c r="H90" s="42"/>
      <c r="I90" s="42"/>
      <c r="J90" s="59"/>
      <c r="K90" s="609"/>
      <c r="L90" s="610"/>
      <c r="M90" s="611"/>
    </row>
    <row r="91" spans="1:13">
      <c r="A91" s="42" t="str">
        <f>IF(B91=""," ",#REF!+1)</f>
        <v xml:space="preserve"> </v>
      </c>
      <c r="B91" s="71"/>
      <c r="C91" s="541"/>
      <c r="D91" s="72"/>
      <c r="E91" s="73"/>
      <c r="F91" s="74"/>
      <c r="G91" s="20"/>
      <c r="H91" s="42"/>
      <c r="I91" s="42"/>
      <c r="J91" s="59"/>
      <c r="K91" s="541"/>
      <c r="L91" s="542"/>
      <c r="M91" s="543"/>
    </row>
    <row r="92" spans="1:13">
      <c r="A92" s="42" t="str">
        <f>IF(B92=""," ",A91+1)</f>
        <v xml:space="preserve"> </v>
      </c>
      <c r="B92" s="71"/>
      <c r="C92" s="541"/>
      <c r="D92" s="72"/>
      <c r="E92" s="73"/>
      <c r="F92" s="74"/>
      <c r="G92" s="20"/>
      <c r="H92" s="42"/>
      <c r="I92" s="42"/>
      <c r="J92" s="59"/>
      <c r="K92" s="609"/>
      <c r="L92" s="610"/>
      <c r="M92" s="611"/>
    </row>
    <row r="93" spans="1:13">
      <c r="A93" s="42" t="str">
        <f>IF(B93=""," ",#REF!+1)</f>
        <v xml:space="preserve"> </v>
      </c>
      <c r="B93" s="71"/>
      <c r="C93" s="541"/>
      <c r="D93" s="72"/>
      <c r="E93" s="73"/>
      <c r="F93" s="74"/>
      <c r="G93" s="20"/>
      <c r="H93" s="42"/>
      <c r="I93" s="42"/>
      <c r="J93" s="59"/>
      <c r="K93" s="609"/>
      <c r="L93" s="610"/>
      <c r="M93" s="611"/>
    </row>
    <row r="94" spans="1:13">
      <c r="A94" s="42" t="str">
        <f>IF(B94=""," ",#REF!+1)</f>
        <v xml:space="preserve"> </v>
      </c>
      <c r="B94" s="71"/>
      <c r="C94" s="541"/>
      <c r="D94" s="72"/>
      <c r="E94" s="73"/>
      <c r="F94" s="74"/>
      <c r="G94" s="20"/>
      <c r="H94" s="42"/>
      <c r="I94" s="42"/>
      <c r="J94" s="59"/>
      <c r="K94" s="541"/>
      <c r="L94" s="542"/>
      <c r="M94" s="543"/>
    </row>
    <row r="95" spans="1:13">
      <c r="A95" s="42" t="str">
        <f>IF(B95=""," ",A94+1)</f>
        <v xml:space="preserve"> </v>
      </c>
      <c r="B95" s="71"/>
      <c r="C95" s="541"/>
      <c r="D95" s="72"/>
      <c r="E95" s="73"/>
      <c r="F95" s="74"/>
      <c r="G95" s="20"/>
      <c r="H95" s="42"/>
      <c r="I95" s="42"/>
      <c r="J95" s="59"/>
      <c r="K95" s="541"/>
      <c r="L95" s="542"/>
      <c r="M95" s="543"/>
    </row>
    <row r="96" spans="1:13">
      <c r="A96" s="42" t="str">
        <f>IF(B96=""," ",A95+1)</f>
        <v xml:space="preserve"> </v>
      </c>
      <c r="B96" s="71"/>
      <c r="C96" s="541"/>
      <c r="D96" s="72"/>
      <c r="E96" s="73"/>
      <c r="F96" s="74"/>
      <c r="G96" s="20"/>
      <c r="H96" s="42"/>
      <c r="I96" s="42"/>
      <c r="J96" s="59"/>
      <c r="K96" s="609"/>
      <c r="L96" s="610"/>
      <c r="M96" s="611"/>
    </row>
    <row r="97" spans="1:13">
      <c r="A97" s="42" t="str">
        <f>IF(B97=""," ",#REF!+1)</f>
        <v xml:space="preserve"> </v>
      </c>
      <c r="B97" s="71"/>
      <c r="C97" s="541"/>
      <c r="D97" s="72"/>
      <c r="E97" s="73"/>
      <c r="F97" s="74"/>
      <c r="G97" s="20"/>
      <c r="H97" s="42"/>
      <c r="I97" s="42"/>
      <c r="J97" s="59"/>
      <c r="K97" s="609"/>
      <c r="L97" s="610"/>
      <c r="M97" s="611"/>
    </row>
    <row r="99" spans="1:13">
      <c r="B99" s="16" t="s">
        <v>1691</v>
      </c>
      <c r="C99" s="16"/>
      <c r="D99" s="16"/>
      <c r="E99" s="16"/>
      <c r="F99" s="16"/>
      <c r="G99" s="16"/>
      <c r="H99" s="16"/>
      <c r="I99" s="16"/>
      <c r="J99" s="16"/>
      <c r="K99" s="16"/>
    </row>
    <row r="100" spans="1:13">
      <c r="B100" s="16"/>
      <c r="C100" s="16"/>
      <c r="D100" s="16"/>
      <c r="E100" s="16"/>
      <c r="F100" s="16"/>
      <c r="G100" s="16"/>
      <c r="H100" s="16"/>
      <c r="I100" s="16"/>
      <c r="J100" s="16"/>
      <c r="K100" s="16"/>
    </row>
    <row r="101" spans="1:13">
      <c r="B101" s="16"/>
      <c r="C101" s="16"/>
      <c r="D101" s="16"/>
      <c r="E101" s="16"/>
      <c r="F101" s="16"/>
      <c r="G101" s="16"/>
      <c r="H101" s="16"/>
      <c r="I101" s="16"/>
      <c r="J101" s="16"/>
      <c r="K101" s="16"/>
    </row>
    <row r="102" spans="1:13">
      <c r="B102" s="16"/>
      <c r="C102" s="16"/>
      <c r="D102" s="16"/>
      <c r="E102" s="16"/>
      <c r="F102" s="16"/>
      <c r="G102" s="16"/>
      <c r="H102" s="16"/>
      <c r="I102" s="16"/>
      <c r="J102" s="16"/>
      <c r="K102" s="16"/>
    </row>
    <row r="103" spans="1:13">
      <c r="C103" s="16"/>
      <c r="D103" s="16"/>
    </row>
    <row r="104" spans="1:13">
      <c r="C104" s="16"/>
      <c r="D104" s="16"/>
    </row>
    <row r="105" spans="1:13">
      <c r="C105" s="16"/>
      <c r="D105" s="16"/>
    </row>
    <row r="109" spans="1:13" s="16" customFormat="1">
      <c r="A109" s="46"/>
      <c r="B109" s="75"/>
    </row>
  </sheetData>
  <mergeCells count="66">
    <mergeCell ref="A2:B2"/>
    <mergeCell ref="C2:G2"/>
    <mergeCell ref="H2:J2"/>
    <mergeCell ref="A3:B3"/>
    <mergeCell ref="C3:G3"/>
    <mergeCell ref="H3:I3"/>
    <mergeCell ref="A4:B4"/>
    <mergeCell ref="C4:G4"/>
    <mergeCell ref="H4:I4"/>
    <mergeCell ref="A5:A6"/>
    <mergeCell ref="B5:C5"/>
    <mergeCell ref="D5:H5"/>
    <mergeCell ref="I5:J5"/>
    <mergeCell ref="K25:M25"/>
    <mergeCell ref="K5:M6"/>
    <mergeCell ref="K7:M7"/>
    <mergeCell ref="K8:M8"/>
    <mergeCell ref="K9:M9"/>
    <mergeCell ref="K10:M10"/>
    <mergeCell ref="K11:M11"/>
    <mergeCell ref="K12:M12"/>
    <mergeCell ref="K13:M13"/>
    <mergeCell ref="K14:M14"/>
    <mergeCell ref="K21:M21"/>
    <mergeCell ref="K22:M22"/>
    <mergeCell ref="K47:M47"/>
    <mergeCell ref="K26:M26"/>
    <mergeCell ref="K29:M29"/>
    <mergeCell ref="K30:M30"/>
    <mergeCell ref="K33:M33"/>
    <mergeCell ref="K34:M34"/>
    <mergeCell ref="K35:M35"/>
    <mergeCell ref="K38:M38"/>
    <mergeCell ref="K39:M39"/>
    <mergeCell ref="K42:M42"/>
    <mergeCell ref="K43:M43"/>
    <mergeCell ref="K46:M46"/>
    <mergeCell ref="K69:M69"/>
    <mergeCell ref="K48:M48"/>
    <mergeCell ref="K51:M51"/>
    <mergeCell ref="K52:M52"/>
    <mergeCell ref="K55:M55"/>
    <mergeCell ref="K56:M56"/>
    <mergeCell ref="K59:M59"/>
    <mergeCell ref="K60:M60"/>
    <mergeCell ref="K61:M61"/>
    <mergeCell ref="K64:M64"/>
    <mergeCell ref="K65:M65"/>
    <mergeCell ref="K68:M68"/>
    <mergeCell ref="K89:M89"/>
    <mergeCell ref="K72:M72"/>
    <mergeCell ref="K73:M73"/>
    <mergeCell ref="K74:M74"/>
    <mergeCell ref="K77:M77"/>
    <mergeCell ref="K78:M78"/>
    <mergeCell ref="K81:M81"/>
    <mergeCell ref="K82:M82"/>
    <mergeCell ref="K85:M85"/>
    <mergeCell ref="K86:M86"/>
    <mergeCell ref="K87:M87"/>
    <mergeCell ref="K88:M88"/>
    <mergeCell ref="K90:M90"/>
    <mergeCell ref="K92:M92"/>
    <mergeCell ref="K93:M93"/>
    <mergeCell ref="K96:M96"/>
    <mergeCell ref="K97:M97"/>
  </mergeCells>
  <phoneticPr fontId="6"/>
  <pageMargins left="0.78740157480314965" right="0.19685039370078741" top="0.59055118110236227" bottom="0.59055118110236227" header="0.51181102362204722" footer="0.39370078740157483"/>
  <pageSetup paperSize="9" scale="71" fitToHeight="0" orientation="portrait" r:id="rId1"/>
  <headerFooter alignWithMargins="0">
    <oddFooter>&amp;C&amp;10&amp;P/&amp;N&amp;R&amp;10&amp;A</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55</vt:i4>
      </vt:variant>
      <vt:variant>
        <vt:lpstr>名前付き一覧</vt:lpstr>
      </vt:variant>
      <vt:variant>
        <vt:i4>59</vt:i4>
      </vt:variant>
    </vt:vector>
  </HeadingPairs>
  <TitlesOfParts>
    <vt:vector size="114" baseType="lpstr">
      <vt:lpstr>テーブル一覧</vt:lpstr>
      <vt:lpstr>アッセイスケジュール</vt:lpstr>
      <vt:lpstr>分注量マスタ</vt:lpstr>
      <vt:lpstr>別紙コメントマスタ</vt:lpstr>
      <vt:lpstr>計算項目マスタ</vt:lpstr>
      <vt:lpstr>100％チェックマスタ</vt:lpstr>
      <vt:lpstr>チェック種別マスタ</vt:lpstr>
      <vt:lpstr>コメントマスタ</vt:lpstr>
      <vt:lpstr>コントロール異常判定マスタ</vt:lpstr>
      <vt:lpstr>コントロールマスタ</vt:lpstr>
      <vt:lpstr>コントロール種別マスタ</vt:lpstr>
      <vt:lpstr>デフォルトプリンタ</vt:lpstr>
      <vt:lpstr>営業所マスタ</vt:lpstr>
      <vt:lpstr>負荷パターンチェック</vt:lpstr>
      <vt:lpstr>グループ分類マスタ</vt:lpstr>
      <vt:lpstr>自動発生項目</vt:lpstr>
      <vt:lpstr>休業日マスタ</vt:lpstr>
      <vt:lpstr>緊急項目マスタ</vt:lpstr>
      <vt:lpstr>基準値マスタ</vt:lpstr>
      <vt:lpstr>結果フィルターマスタ</vt:lpstr>
      <vt:lpstr>結果補足マスタ</vt:lpstr>
      <vt:lpstr>項目グループマスタ</vt:lpstr>
      <vt:lpstr>項目マスタ</vt:lpstr>
      <vt:lpstr>機能権限マスタ</vt:lpstr>
      <vt:lpstr>検査グループマスタ</vt:lpstr>
      <vt:lpstr>関連項目マスタ</vt:lpstr>
      <vt:lpstr>希釈倍率マスタ</vt:lpstr>
      <vt:lpstr>分析機チャネルマスタ</vt:lpstr>
      <vt:lpstr>分析機ラインマスタ</vt:lpstr>
      <vt:lpstr>分析機マスタ</vt:lpstr>
      <vt:lpstr>メッセージマスタ</vt:lpstr>
      <vt:lpstr>通信管理</vt:lpstr>
      <vt:lpstr>プロセス管理</vt:lpstr>
      <vt:lpstr>ラック管理マスタ</vt:lpstr>
      <vt:lpstr>レンジチェックマスタ</vt:lpstr>
      <vt:lpstr>履歴チェックマスタ</vt:lpstr>
      <vt:lpstr>セクションマスタ</vt:lpstr>
      <vt:lpstr>相関チェック</vt:lpstr>
      <vt:lpstr>再検理由マスタ</vt:lpstr>
      <vt:lpstr>施設別基準値マスタ</vt:lpstr>
      <vt:lpstr>施設別処理マスタ</vt:lpstr>
      <vt:lpstr>スタンダードマスタ</vt:lpstr>
      <vt:lpstr>システム管理</vt:lpstr>
      <vt:lpstr>トレー管理マスタ</vt:lpstr>
      <vt:lpstr>透析前後チェック</vt:lpstr>
      <vt:lpstr>ユーザーマスタ</vt:lpstr>
      <vt:lpstr>XbarMチェックマスタ</vt:lpstr>
      <vt:lpstr>XEエラー</vt:lpstr>
      <vt:lpstr>材料マスタ</vt:lpstr>
      <vt:lpstr>システム間計算マスタ</vt:lpstr>
      <vt:lpstr>属性チェックマスタ</vt:lpstr>
      <vt:lpstr>システム間結果要求マスタ</vt:lpstr>
      <vt:lpstr>ZSライン制御マスタ</vt:lpstr>
      <vt:lpstr>LT不可施設マスタ</vt:lpstr>
      <vt:lpstr>LT不可項目マスタ</vt:lpstr>
      <vt:lpstr>'100％チェックマスタ'!Print_Area</vt:lpstr>
      <vt:lpstr>LT不可項目マスタ!Print_Area</vt:lpstr>
      <vt:lpstr>LT不可施設マスタ!Print_Area</vt:lpstr>
      <vt:lpstr>XbarMチェックマスタ!Print_Area</vt:lpstr>
      <vt:lpstr>XEエラー!Print_Area</vt:lpstr>
      <vt:lpstr>ZSライン制御マスタ!Print_Area</vt:lpstr>
      <vt:lpstr>アッセイスケジュール!Print_Area</vt:lpstr>
      <vt:lpstr>グループ分類マスタ!Print_Area</vt:lpstr>
      <vt:lpstr>コメントマスタ!Print_Area</vt:lpstr>
      <vt:lpstr>コントロールマスタ!Print_Area</vt:lpstr>
      <vt:lpstr>コントロール異常判定マスタ!Print_Area</vt:lpstr>
      <vt:lpstr>コントロール種別マスタ!Print_Area</vt:lpstr>
      <vt:lpstr>システム管理!Print_Area</vt:lpstr>
      <vt:lpstr>システム間計算マスタ!Print_Area</vt:lpstr>
      <vt:lpstr>システム間結果要求マスタ!Print_Area</vt:lpstr>
      <vt:lpstr>スタンダードマスタ!Print_Area</vt:lpstr>
      <vt:lpstr>セクションマスタ!Print_Area</vt:lpstr>
      <vt:lpstr>チェック種別マスタ!Print_Area</vt:lpstr>
      <vt:lpstr>テーブル一覧!Print_Area</vt:lpstr>
      <vt:lpstr>デフォルトプリンタ!Print_Area</vt:lpstr>
      <vt:lpstr>トレー管理マスタ!Print_Area</vt:lpstr>
      <vt:lpstr>プロセス管理!Print_Area</vt:lpstr>
      <vt:lpstr>メッセージマスタ!Print_Area</vt:lpstr>
      <vt:lpstr>ユーザーマスタ!Print_Area</vt:lpstr>
      <vt:lpstr>ラック管理マスタ!Print_Area</vt:lpstr>
      <vt:lpstr>レンジチェックマスタ!Print_Area</vt:lpstr>
      <vt:lpstr>営業所マスタ!Print_Area</vt:lpstr>
      <vt:lpstr>関連項目マスタ!Print_Area</vt:lpstr>
      <vt:lpstr>基準値マスタ!Print_Area</vt:lpstr>
      <vt:lpstr>希釈倍率マスタ!Print_Area</vt:lpstr>
      <vt:lpstr>機能権限マスタ!Print_Area</vt:lpstr>
      <vt:lpstr>休業日マスタ!Print_Area</vt:lpstr>
      <vt:lpstr>緊急項目マスタ!Print_Area</vt:lpstr>
      <vt:lpstr>計算項目マスタ!Print_Area</vt:lpstr>
      <vt:lpstr>結果フィルターマスタ!Print_Area</vt:lpstr>
      <vt:lpstr>結果補足マスタ!Print_Area</vt:lpstr>
      <vt:lpstr>検査グループマスタ!Print_Area</vt:lpstr>
      <vt:lpstr>項目グループマスタ!Print_Area</vt:lpstr>
      <vt:lpstr>項目マスタ!Print_Area</vt:lpstr>
      <vt:lpstr>再検理由マスタ!Print_Area</vt:lpstr>
      <vt:lpstr>材料マスタ!Print_Area</vt:lpstr>
      <vt:lpstr>施設別基準値マスタ!Print_Area</vt:lpstr>
      <vt:lpstr>施設別処理マスタ!Print_Area</vt:lpstr>
      <vt:lpstr>自動発生項目!Print_Area</vt:lpstr>
      <vt:lpstr>相関チェック!Print_Area</vt:lpstr>
      <vt:lpstr>属性チェックマスタ!Print_Area</vt:lpstr>
      <vt:lpstr>通信管理!Print_Area</vt:lpstr>
      <vt:lpstr>透析前後チェック!Print_Area</vt:lpstr>
      <vt:lpstr>負荷パターンチェック!Print_Area</vt:lpstr>
      <vt:lpstr>分析機チャネルマスタ!Print_Area</vt:lpstr>
      <vt:lpstr>分析機マスタ!Print_Area</vt:lpstr>
      <vt:lpstr>分析機ラインマスタ!Print_Area</vt:lpstr>
      <vt:lpstr>分注量マスタ!Print_Area</vt:lpstr>
      <vt:lpstr>別紙コメントマスタ!Print_Area</vt:lpstr>
      <vt:lpstr>履歴チェックマスタ!Print_Area</vt:lpstr>
      <vt:lpstr>グループ分類マスタ!Print_Titles</vt:lpstr>
      <vt:lpstr>テーブル一覧!Print_Titles</vt:lpstr>
      <vt:lpstr>検査グループマスタ!Print_Titles</vt:lpstr>
      <vt:lpstr>分注量マスタ!Print_Titles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osada</dc:creator>
  <cp:lastModifiedBy>Administrator</cp:lastModifiedBy>
  <cp:lastPrinted>2008-03-27T03:20:23Z</cp:lastPrinted>
  <dcterms:created xsi:type="dcterms:W3CDTF">2005-10-04T02:19:35Z</dcterms:created>
  <dcterms:modified xsi:type="dcterms:W3CDTF">2021-06-27T21:16:58Z</dcterms:modified>
</cp:coreProperties>
</file>