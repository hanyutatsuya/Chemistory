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drawings/drawing1.xml" ContentType="application/vnd.openxmlformats-officedocument.drawing+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workbookPr codeName="ThisWorkbook"/>
  <mc:AlternateContent xmlns:mc="http://schemas.openxmlformats.org/markup-compatibility/2006">
    <mc:Choice Requires="x15">
      <x15ac:absPath xmlns:x15ac="http://schemas.microsoft.com/office/spreadsheetml/2010/11/ac" url="C:\Users\hanyu\Desktop\サテライト\Chemistory\doc\DB定義\"/>
    </mc:Choice>
  </mc:AlternateContent>
  <xr:revisionPtr revIDLastSave="0" documentId="13_ncr:1_{454E9B61-6946-4BC8-BC5D-CC56ACCFD072}" xr6:coauthVersionLast="47" xr6:coauthVersionMax="47" xr10:uidLastSave="{00000000-0000-0000-0000-000000000000}"/>
  <bookViews>
    <workbookView xWindow="28680" yWindow="-120" windowWidth="29040" windowHeight="15720" tabRatio="906" firstSheet="23" activeTab="25" xr2:uid="{00000000-000D-0000-FFFF-FFFF00000000}"/>
  </bookViews>
  <sheets>
    <sheet name="テーブル一覧" sheetId="40" r:id="rId1"/>
    <sheet name="治験拡張属性" sheetId="1" r:id="rId2"/>
    <sheet name="患者情報" sheetId="2" r:id="rId3"/>
    <sheet name="検体属性情報" sheetId="3" r:id="rId4"/>
    <sheet name="検体項目紐付け情報" sheetId="4" r:id="rId5"/>
    <sheet name="依頼情報" sheetId="5" r:id="rId6"/>
    <sheet name="分注結果情報" sheetId="6" r:id="rId7"/>
    <sheet name="検体認識情報" sheetId="7" r:id="rId8"/>
    <sheet name="検査オーダー情報" sheetId="8" r:id="rId9"/>
    <sheet name="即時チェック情報" sheetId="9" r:id="rId10"/>
    <sheet name="検査結果情報" sheetId="10" r:id="rId11"/>
    <sheet name="検査結果詳細情報" sheetId="11" r:id="rId12"/>
    <sheet name="相関情報" sheetId="12" r:id="rId13"/>
    <sheet name="履歴情報" sheetId="41" r:id="rId14"/>
    <sheet name="異常者データ情報" sheetId="15" r:id="rId15"/>
    <sheet name="Ｘ－Ｍ情報" sheetId="17" r:id="rId16"/>
    <sheet name="コントロール管理情報" sheetId="19" r:id="rId17"/>
    <sheet name="コントロール結果情報" sheetId="20" r:id="rId18"/>
    <sheet name="スタンダード情報" sheetId="21" r:id="rId19"/>
    <sheet name="バッチ管理情報" sheetId="22" r:id="rId20"/>
    <sheet name="トレー管理情報" sheetId="23" r:id="rId21"/>
    <sheet name="アッセイラック管理情報" sheetId="24" r:id="rId22"/>
    <sheet name="検体ポジション情報" sheetId="25" r:id="rId23"/>
    <sheet name="ワークシートＳＥＱ管理情報" sheetId="26" r:id="rId24"/>
    <sheet name="検査SEQ採番管理情報" sheetId="27" r:id="rId25"/>
    <sheet name="報告管理情報" sheetId="28" r:id="rId26"/>
    <sheet name="スライド情報" sheetId="29" r:id="rId27"/>
    <sheet name="ＸＥ分析機フラグ情報" sheetId="30" r:id="rId28"/>
    <sheet name="検体ID不明結果情報" sheetId="31" r:id="rId29"/>
    <sheet name="トレーラック紐付け情報" sheetId="32" r:id="rId30"/>
    <sheet name="ログ情報" sheetId="33" r:id="rId31"/>
    <sheet name="別紙属性情報" sheetId="34" r:id="rId32"/>
    <sheet name="別紙結果情報" sheetId="35" r:id="rId33"/>
    <sheet name="表示項目情報" sheetId="36" r:id="rId34"/>
    <sheet name="緊急ロット情報" sheetId="37" r:id="rId35"/>
    <sheet name="項目別テスト数集計" sheetId="38" r:id="rId36"/>
    <sheet name="検査進行状況集計" sheetId="39" r:id="rId37"/>
    <sheet name="保留依頼情報" sheetId="42" r:id="rId38"/>
    <sheet name="他サテライト検査結果情報" sheetId="43" r:id="rId39"/>
    <sheet name="結果変換管理情報" sheetId="49" r:id="rId40"/>
    <sheet name="LT報告不可情報" sheetId="44" r:id="rId41"/>
    <sheet name="翌日通常切り分け情報" sheetId="46" r:id="rId42"/>
    <sheet name="分析機問合せラック情報" sheetId="47" r:id="rId43"/>
    <sheet name="未報告検体情報" sheetId="48" r:id="rId44"/>
  </sheets>
  <externalReferences>
    <externalReference r:id="rId45"/>
    <externalReference r:id="rId46"/>
    <externalReference r:id="rId47"/>
  </externalReferences>
  <definedNames>
    <definedName name="_Regression_X" localSheetId="40" hidden="1">#REF!</definedName>
    <definedName name="_Regression_X" localSheetId="38" hidden="1">#REF!</definedName>
    <definedName name="_Regression_X" localSheetId="37" hidden="1">#REF!</definedName>
    <definedName name="_Regression_X" hidden="1">#REF!</definedName>
    <definedName name="_xlnm.Database" localSheetId="40">[1]PR!#REF!</definedName>
    <definedName name="_xlnm.Database" localSheetId="38" hidden="1">[1]PR!#REF!</definedName>
    <definedName name="_xlnm.Database" localSheetId="37" hidden="1">[1]PR!#REF!</definedName>
    <definedName name="_xlnm.Database">[1]PR!#REF!</definedName>
    <definedName name="GKJ98010_0" localSheetId="27">#REF!</definedName>
    <definedName name="GKJ98010_0" localSheetId="15">#REF!</definedName>
    <definedName name="GKJ98010_0" localSheetId="21">#REF!</definedName>
    <definedName name="GKJ98010_0" localSheetId="16">#REF!</definedName>
    <definedName name="GKJ98010_0" localSheetId="17">#REF!</definedName>
    <definedName name="GKJ98010_0" localSheetId="18">#REF!</definedName>
    <definedName name="GKJ98010_0" localSheetId="26">#REF!</definedName>
    <definedName name="GKJ98010_0" localSheetId="29">#REF!</definedName>
    <definedName name="GKJ98010_0" localSheetId="20">#REF!</definedName>
    <definedName name="GKJ98010_0" localSheetId="19">#REF!</definedName>
    <definedName name="GKJ98010_0" localSheetId="30">#REF!</definedName>
    <definedName name="GKJ98010_0" localSheetId="23">#REF!</definedName>
    <definedName name="GKJ98010_0" localSheetId="5">#REF!</definedName>
    <definedName name="GKJ98010_0" localSheetId="14">#REF!</definedName>
    <definedName name="GKJ98010_0" localSheetId="2">#REF!</definedName>
    <definedName name="GKJ98010_0" localSheetId="34">#REF!</definedName>
    <definedName name="GKJ98010_0" localSheetId="24">#REF!</definedName>
    <definedName name="GKJ98010_0" localSheetId="8">#REF!</definedName>
    <definedName name="GKJ98010_0" localSheetId="11">#REF!</definedName>
    <definedName name="GKJ98010_0" localSheetId="10">#REF!</definedName>
    <definedName name="GKJ98010_0" localSheetId="36">#REF!</definedName>
    <definedName name="GKJ98010_0" localSheetId="28">#REF!</definedName>
    <definedName name="GKJ98010_0" localSheetId="22">#REF!</definedName>
    <definedName name="GKJ98010_0" localSheetId="4">#REF!</definedName>
    <definedName name="GKJ98010_0" localSheetId="3">#REF!</definedName>
    <definedName name="GKJ98010_0" localSheetId="7">#REF!</definedName>
    <definedName name="GKJ98010_0" localSheetId="35">#REF!</definedName>
    <definedName name="GKJ98010_0" localSheetId="1">#REF!</definedName>
    <definedName name="GKJ98010_0" localSheetId="12">#REF!</definedName>
    <definedName name="GKJ98010_0" localSheetId="9">#REF!</definedName>
    <definedName name="GKJ98010_0" localSheetId="38">#REF!</definedName>
    <definedName name="GKJ98010_0" localSheetId="33">#REF!</definedName>
    <definedName name="GKJ98010_0" localSheetId="6">#REF!</definedName>
    <definedName name="GKJ98010_0" localSheetId="32">#REF!</definedName>
    <definedName name="GKJ98010_0" localSheetId="31">#REF!</definedName>
    <definedName name="GKJ98010_0" localSheetId="37">#REF!</definedName>
    <definedName name="GKJ98010_0" localSheetId="25">#REF!</definedName>
    <definedName name="GKJ98010_0" localSheetId="13">#REF!</definedName>
    <definedName name="GKJ98010_0">#REF!</definedName>
    <definedName name="GKJ98010_1" localSheetId="27">#REF!</definedName>
    <definedName name="GKJ98010_1" localSheetId="15">#REF!</definedName>
    <definedName name="GKJ98010_1" localSheetId="21">#REF!</definedName>
    <definedName name="GKJ98010_1" localSheetId="16">#REF!</definedName>
    <definedName name="GKJ98010_1" localSheetId="17">#REF!</definedName>
    <definedName name="GKJ98010_1" localSheetId="18">#REF!</definedName>
    <definedName name="GKJ98010_1" localSheetId="26">#REF!</definedName>
    <definedName name="GKJ98010_1" localSheetId="29">#REF!</definedName>
    <definedName name="GKJ98010_1" localSheetId="20">#REF!</definedName>
    <definedName name="GKJ98010_1" localSheetId="19">#REF!</definedName>
    <definedName name="GKJ98010_1" localSheetId="30">#REF!</definedName>
    <definedName name="GKJ98010_1" localSheetId="23">#REF!</definedName>
    <definedName name="GKJ98010_1" localSheetId="5">#REF!</definedName>
    <definedName name="GKJ98010_1" localSheetId="14">#REF!</definedName>
    <definedName name="GKJ98010_1" localSheetId="2">#REF!</definedName>
    <definedName name="GKJ98010_1" localSheetId="34">#REF!</definedName>
    <definedName name="GKJ98010_1" localSheetId="24">#REF!</definedName>
    <definedName name="GKJ98010_1" localSheetId="8">#REF!</definedName>
    <definedName name="GKJ98010_1" localSheetId="11">#REF!</definedName>
    <definedName name="GKJ98010_1" localSheetId="10">#REF!</definedName>
    <definedName name="GKJ98010_1" localSheetId="36">#REF!</definedName>
    <definedName name="GKJ98010_1" localSheetId="28">#REF!</definedName>
    <definedName name="GKJ98010_1" localSheetId="22">#REF!</definedName>
    <definedName name="GKJ98010_1" localSheetId="4">#REF!</definedName>
    <definedName name="GKJ98010_1" localSheetId="3">#REF!</definedName>
    <definedName name="GKJ98010_1" localSheetId="7">#REF!</definedName>
    <definedName name="GKJ98010_1" localSheetId="35">#REF!</definedName>
    <definedName name="GKJ98010_1" localSheetId="1">#REF!</definedName>
    <definedName name="GKJ98010_1" localSheetId="12">#REF!</definedName>
    <definedName name="GKJ98010_1" localSheetId="9">#REF!</definedName>
    <definedName name="GKJ98010_1" localSheetId="38">#REF!</definedName>
    <definedName name="GKJ98010_1" localSheetId="33">#REF!</definedName>
    <definedName name="GKJ98010_1" localSheetId="6">#REF!</definedName>
    <definedName name="GKJ98010_1" localSheetId="32">#REF!</definedName>
    <definedName name="GKJ98010_1" localSheetId="31">#REF!</definedName>
    <definedName name="GKJ98010_1" localSheetId="37">#REF!</definedName>
    <definedName name="GKJ98010_1" localSheetId="25">#REF!</definedName>
    <definedName name="GKJ98010_1" localSheetId="13">#REF!</definedName>
    <definedName name="GKJ98010_1">#REF!</definedName>
    <definedName name="GKJ98020_0" localSheetId="27">#REF!</definedName>
    <definedName name="GKJ98020_0" localSheetId="15">#REF!</definedName>
    <definedName name="GKJ98020_0" localSheetId="21">#REF!</definedName>
    <definedName name="GKJ98020_0" localSheetId="16">#REF!</definedName>
    <definedName name="GKJ98020_0" localSheetId="17">#REF!</definedName>
    <definedName name="GKJ98020_0" localSheetId="18">#REF!</definedName>
    <definedName name="GKJ98020_0" localSheetId="26">#REF!</definedName>
    <definedName name="GKJ98020_0" localSheetId="29">#REF!</definedName>
    <definedName name="GKJ98020_0" localSheetId="20">#REF!</definedName>
    <definedName name="GKJ98020_0" localSheetId="19">#REF!</definedName>
    <definedName name="GKJ98020_0" localSheetId="30">#REF!</definedName>
    <definedName name="GKJ98020_0" localSheetId="23">#REF!</definedName>
    <definedName name="GKJ98020_0" localSheetId="5">#REF!</definedName>
    <definedName name="GKJ98020_0" localSheetId="14">#REF!</definedName>
    <definedName name="GKJ98020_0" localSheetId="2">#REF!</definedName>
    <definedName name="GKJ98020_0" localSheetId="34">#REF!</definedName>
    <definedName name="GKJ98020_0" localSheetId="24">#REF!</definedName>
    <definedName name="GKJ98020_0" localSheetId="8">#REF!</definedName>
    <definedName name="GKJ98020_0" localSheetId="11">#REF!</definedName>
    <definedName name="GKJ98020_0" localSheetId="10">#REF!</definedName>
    <definedName name="GKJ98020_0" localSheetId="36">#REF!</definedName>
    <definedName name="GKJ98020_0" localSheetId="28">#REF!</definedName>
    <definedName name="GKJ98020_0" localSheetId="22">#REF!</definedName>
    <definedName name="GKJ98020_0" localSheetId="4">#REF!</definedName>
    <definedName name="GKJ98020_0" localSheetId="3">#REF!</definedName>
    <definedName name="GKJ98020_0" localSheetId="7">#REF!</definedName>
    <definedName name="GKJ98020_0" localSheetId="35">#REF!</definedName>
    <definedName name="GKJ98020_0" localSheetId="1">#REF!</definedName>
    <definedName name="GKJ98020_0" localSheetId="12">#REF!</definedName>
    <definedName name="GKJ98020_0" localSheetId="9">#REF!</definedName>
    <definedName name="GKJ98020_0" localSheetId="38">#REF!</definedName>
    <definedName name="GKJ98020_0" localSheetId="33">#REF!</definedName>
    <definedName name="GKJ98020_0" localSheetId="6">#REF!</definedName>
    <definedName name="GKJ98020_0" localSheetId="32">#REF!</definedName>
    <definedName name="GKJ98020_0" localSheetId="31">#REF!</definedName>
    <definedName name="GKJ98020_0" localSheetId="37">#REF!</definedName>
    <definedName name="GKJ98020_0" localSheetId="25">#REF!</definedName>
    <definedName name="GKJ98020_0" localSheetId="13">#REF!</definedName>
    <definedName name="GKJ98020_0">#REF!</definedName>
    <definedName name="GKJ98020_00" localSheetId="27">[2]機能仕様関連!$D$11</definedName>
    <definedName name="GKJ98020_00" localSheetId="15">[2]機能仕様関連!$D$11</definedName>
    <definedName name="GKJ98020_00" localSheetId="21">[2]機能仕様関連!$D$11</definedName>
    <definedName name="GKJ98020_00" localSheetId="16">[2]機能仕様関連!$D$11</definedName>
    <definedName name="GKJ98020_00" localSheetId="17">[2]機能仕様関連!$D$11</definedName>
    <definedName name="GKJ98020_00" localSheetId="18">[2]機能仕様関連!$D$11</definedName>
    <definedName name="GKJ98020_00" localSheetId="26">[2]機能仕様関連!$D$11</definedName>
    <definedName name="GKJ98020_00" localSheetId="29">[2]機能仕様関連!$D$11</definedName>
    <definedName name="GKJ98020_00" localSheetId="20">[2]機能仕様関連!$D$11</definedName>
    <definedName name="GKJ98020_00" localSheetId="19">[2]機能仕様関連!$D$11</definedName>
    <definedName name="GKJ98020_00" localSheetId="30">[2]機能仕様関連!$D$11</definedName>
    <definedName name="GKJ98020_00" localSheetId="23">[2]機能仕様関連!$D$11</definedName>
    <definedName name="GKJ98020_00" localSheetId="5">[2]機能仕様関連!$D$11</definedName>
    <definedName name="GKJ98020_00" localSheetId="14">[2]機能仕様関連!$D$11</definedName>
    <definedName name="GKJ98020_00" localSheetId="2">[2]機能仕様関連!$D$11</definedName>
    <definedName name="GKJ98020_00" localSheetId="34">[2]機能仕様関連!$D$11</definedName>
    <definedName name="GKJ98020_00" localSheetId="24">[2]機能仕様関連!$D$11</definedName>
    <definedName name="GKJ98020_00" localSheetId="8">[2]機能仕様関連!$D$11</definedName>
    <definedName name="GKJ98020_00" localSheetId="11">[2]機能仕様関連!$D$11</definedName>
    <definedName name="GKJ98020_00" localSheetId="10">[2]機能仕様関連!$D$11</definedName>
    <definedName name="GKJ98020_00" localSheetId="36">[2]機能仕様関連!$D$11</definedName>
    <definedName name="GKJ98020_00" localSheetId="28">[2]機能仕様関連!$D$11</definedName>
    <definedName name="GKJ98020_00" localSheetId="22">[2]機能仕様関連!$D$11</definedName>
    <definedName name="GKJ98020_00" localSheetId="4">[2]機能仕様関連!$D$11</definedName>
    <definedName name="GKJ98020_00" localSheetId="3">[2]機能仕様関連!$D$11</definedName>
    <definedName name="GKJ98020_00" localSheetId="7">[2]機能仕様関連!$D$11</definedName>
    <definedName name="GKJ98020_00" localSheetId="35">[2]機能仕様関連!$D$11</definedName>
    <definedName name="GKJ98020_00" localSheetId="1">[2]機能仕様関連!$D$11</definedName>
    <definedName name="GKJ98020_00" localSheetId="12">[2]機能仕様関連!$D$11</definedName>
    <definedName name="GKJ98020_00" localSheetId="9">[2]機能仕様関連!$D$11</definedName>
    <definedName name="GKJ98020_00" localSheetId="38">[2]機能仕様関連!$D$11</definedName>
    <definedName name="GKJ98020_00" localSheetId="33">[2]機能仕様関連!$D$11</definedName>
    <definedName name="GKJ98020_00" localSheetId="6">[2]機能仕様関連!$D$11</definedName>
    <definedName name="GKJ98020_00" localSheetId="32">[2]機能仕様関連!$D$11</definedName>
    <definedName name="GKJ98020_00" localSheetId="31">[2]機能仕様関連!$D$11</definedName>
    <definedName name="GKJ98020_00" localSheetId="37">[2]機能仕様関連!$D$11</definedName>
    <definedName name="GKJ98020_00" localSheetId="25">[2]機能仕様関連!$D$11</definedName>
    <definedName name="GKJ98020_00" localSheetId="13">[2]機能仕様関連!$D$11</definedName>
    <definedName name="GKJ98020_00">#REF!</definedName>
    <definedName name="GKJ98020_1" localSheetId="27">#REF!</definedName>
    <definedName name="GKJ98020_1" localSheetId="15">#REF!</definedName>
    <definedName name="GKJ98020_1" localSheetId="21">#REF!</definedName>
    <definedName name="GKJ98020_1" localSheetId="16">#REF!</definedName>
    <definedName name="GKJ98020_1" localSheetId="17">#REF!</definedName>
    <definedName name="GKJ98020_1" localSheetId="18">#REF!</definedName>
    <definedName name="GKJ98020_1" localSheetId="26">#REF!</definedName>
    <definedName name="GKJ98020_1" localSheetId="29">#REF!</definedName>
    <definedName name="GKJ98020_1" localSheetId="20">#REF!</definedName>
    <definedName name="GKJ98020_1" localSheetId="19">#REF!</definedName>
    <definedName name="GKJ98020_1" localSheetId="30">#REF!</definedName>
    <definedName name="GKJ98020_1" localSheetId="23">#REF!</definedName>
    <definedName name="GKJ98020_1" localSheetId="5">#REF!</definedName>
    <definedName name="GKJ98020_1" localSheetId="14">#REF!</definedName>
    <definedName name="GKJ98020_1" localSheetId="2">#REF!</definedName>
    <definedName name="GKJ98020_1" localSheetId="34">#REF!</definedName>
    <definedName name="GKJ98020_1" localSheetId="24">#REF!</definedName>
    <definedName name="GKJ98020_1" localSheetId="8">#REF!</definedName>
    <definedName name="GKJ98020_1" localSheetId="11">#REF!</definedName>
    <definedName name="GKJ98020_1" localSheetId="10">#REF!</definedName>
    <definedName name="GKJ98020_1" localSheetId="36">#REF!</definedName>
    <definedName name="GKJ98020_1" localSheetId="28">#REF!</definedName>
    <definedName name="GKJ98020_1" localSheetId="22">#REF!</definedName>
    <definedName name="GKJ98020_1" localSheetId="4">#REF!</definedName>
    <definedName name="GKJ98020_1" localSheetId="3">#REF!</definedName>
    <definedName name="GKJ98020_1" localSheetId="7">#REF!</definedName>
    <definedName name="GKJ98020_1" localSheetId="35">#REF!</definedName>
    <definedName name="GKJ98020_1" localSheetId="1">#REF!</definedName>
    <definedName name="GKJ98020_1" localSheetId="12">#REF!</definedName>
    <definedName name="GKJ98020_1" localSheetId="9">#REF!</definedName>
    <definedName name="GKJ98020_1" localSheetId="38">#REF!</definedName>
    <definedName name="GKJ98020_1" localSheetId="33">#REF!</definedName>
    <definedName name="GKJ98020_1" localSheetId="6">#REF!</definedName>
    <definedName name="GKJ98020_1" localSheetId="32">#REF!</definedName>
    <definedName name="GKJ98020_1" localSheetId="31">#REF!</definedName>
    <definedName name="GKJ98020_1" localSheetId="37">#REF!</definedName>
    <definedName name="GKJ98020_1" localSheetId="25">#REF!</definedName>
    <definedName name="GKJ98020_1" localSheetId="13">#REF!</definedName>
    <definedName name="GKJ98020_1">#REF!</definedName>
    <definedName name="GKJ98020_2" localSheetId="27">#REF!</definedName>
    <definedName name="GKJ98020_2" localSheetId="15">#REF!</definedName>
    <definedName name="GKJ98020_2" localSheetId="21">#REF!</definedName>
    <definedName name="GKJ98020_2" localSheetId="16">#REF!</definedName>
    <definedName name="GKJ98020_2" localSheetId="17">#REF!</definedName>
    <definedName name="GKJ98020_2" localSheetId="18">#REF!</definedName>
    <definedName name="GKJ98020_2" localSheetId="26">#REF!</definedName>
    <definedName name="GKJ98020_2" localSheetId="29">#REF!</definedName>
    <definedName name="GKJ98020_2" localSheetId="20">#REF!</definedName>
    <definedName name="GKJ98020_2" localSheetId="19">#REF!</definedName>
    <definedName name="GKJ98020_2" localSheetId="30">#REF!</definedName>
    <definedName name="GKJ98020_2" localSheetId="23">#REF!</definedName>
    <definedName name="GKJ98020_2" localSheetId="5">#REF!</definedName>
    <definedName name="GKJ98020_2" localSheetId="14">#REF!</definedName>
    <definedName name="GKJ98020_2" localSheetId="2">#REF!</definedName>
    <definedName name="GKJ98020_2" localSheetId="34">#REF!</definedName>
    <definedName name="GKJ98020_2" localSheetId="24">#REF!</definedName>
    <definedName name="GKJ98020_2" localSheetId="8">#REF!</definedName>
    <definedName name="GKJ98020_2" localSheetId="11">#REF!</definedName>
    <definedName name="GKJ98020_2" localSheetId="10">#REF!</definedName>
    <definedName name="GKJ98020_2" localSheetId="36">#REF!</definedName>
    <definedName name="GKJ98020_2" localSheetId="28">#REF!</definedName>
    <definedName name="GKJ98020_2" localSheetId="22">#REF!</definedName>
    <definedName name="GKJ98020_2" localSheetId="4">#REF!</definedName>
    <definedName name="GKJ98020_2" localSheetId="3">#REF!</definedName>
    <definedName name="GKJ98020_2" localSheetId="7">#REF!</definedName>
    <definedName name="GKJ98020_2" localSheetId="35">#REF!</definedName>
    <definedName name="GKJ98020_2" localSheetId="1">#REF!</definedName>
    <definedName name="GKJ98020_2" localSheetId="12">#REF!</definedName>
    <definedName name="GKJ98020_2" localSheetId="9">#REF!</definedName>
    <definedName name="GKJ98020_2" localSheetId="38">#REF!</definedName>
    <definedName name="GKJ98020_2" localSheetId="33">#REF!</definedName>
    <definedName name="GKJ98020_2" localSheetId="6">#REF!</definedName>
    <definedName name="GKJ98020_2" localSheetId="32">#REF!</definedName>
    <definedName name="GKJ98020_2" localSheetId="31">#REF!</definedName>
    <definedName name="GKJ98020_2" localSheetId="37">#REF!</definedName>
    <definedName name="GKJ98020_2" localSheetId="25">#REF!</definedName>
    <definedName name="GKJ98020_2" localSheetId="13">#REF!</definedName>
    <definedName name="GKJ98020_2">#REF!</definedName>
    <definedName name="GKJ98021_00">#REF!</definedName>
    <definedName name="GKJ98090_0" localSheetId="27">#REF!</definedName>
    <definedName name="GKJ98090_0" localSheetId="15">#REF!</definedName>
    <definedName name="GKJ98090_0" localSheetId="21">#REF!</definedName>
    <definedName name="GKJ98090_0" localSheetId="16">#REF!</definedName>
    <definedName name="GKJ98090_0" localSheetId="17">#REF!</definedName>
    <definedName name="GKJ98090_0" localSheetId="18">#REF!</definedName>
    <definedName name="GKJ98090_0" localSheetId="26">#REF!</definedName>
    <definedName name="GKJ98090_0" localSheetId="29">#REF!</definedName>
    <definedName name="GKJ98090_0" localSheetId="20">#REF!</definedName>
    <definedName name="GKJ98090_0" localSheetId="19">#REF!</definedName>
    <definedName name="GKJ98090_0" localSheetId="30">#REF!</definedName>
    <definedName name="GKJ98090_0" localSheetId="23">#REF!</definedName>
    <definedName name="GKJ98090_0" localSheetId="5">#REF!</definedName>
    <definedName name="GKJ98090_0" localSheetId="14">#REF!</definedName>
    <definedName name="GKJ98090_0" localSheetId="2">#REF!</definedName>
    <definedName name="GKJ98090_0" localSheetId="34">#REF!</definedName>
    <definedName name="GKJ98090_0" localSheetId="24">#REF!</definedName>
    <definedName name="GKJ98090_0" localSheetId="8">#REF!</definedName>
    <definedName name="GKJ98090_0" localSheetId="11">#REF!</definedName>
    <definedName name="GKJ98090_0" localSheetId="10">#REF!</definedName>
    <definedName name="GKJ98090_0" localSheetId="36">#REF!</definedName>
    <definedName name="GKJ98090_0" localSheetId="28">#REF!</definedName>
    <definedName name="GKJ98090_0" localSheetId="22">#REF!</definedName>
    <definedName name="GKJ98090_0" localSheetId="4">#REF!</definedName>
    <definedName name="GKJ98090_0" localSheetId="3">#REF!</definedName>
    <definedName name="GKJ98090_0" localSheetId="7">#REF!</definedName>
    <definedName name="GKJ98090_0" localSheetId="35">#REF!</definedName>
    <definedName name="GKJ98090_0" localSheetId="1">#REF!</definedName>
    <definedName name="GKJ98090_0" localSheetId="12">#REF!</definedName>
    <definedName name="GKJ98090_0" localSheetId="9">#REF!</definedName>
    <definedName name="GKJ98090_0" localSheetId="38">#REF!</definedName>
    <definedName name="GKJ98090_0" localSheetId="33">#REF!</definedName>
    <definedName name="GKJ98090_0" localSheetId="6">#REF!</definedName>
    <definedName name="GKJ98090_0" localSheetId="32">#REF!</definedName>
    <definedName name="GKJ98090_0" localSheetId="31">#REF!</definedName>
    <definedName name="GKJ98090_0" localSheetId="37">#REF!</definedName>
    <definedName name="GKJ98090_0" localSheetId="25">#REF!</definedName>
    <definedName name="GKJ98090_0" localSheetId="13">#REF!</definedName>
    <definedName name="GKJ98090_0">#REF!</definedName>
    <definedName name="GKJ98090_1" localSheetId="27">#REF!</definedName>
    <definedName name="GKJ98090_1" localSheetId="15">#REF!</definedName>
    <definedName name="GKJ98090_1" localSheetId="21">#REF!</definedName>
    <definedName name="GKJ98090_1" localSheetId="16">#REF!</definedName>
    <definedName name="GKJ98090_1" localSheetId="17">#REF!</definedName>
    <definedName name="GKJ98090_1" localSheetId="18">#REF!</definedName>
    <definedName name="GKJ98090_1" localSheetId="26">#REF!</definedName>
    <definedName name="GKJ98090_1" localSheetId="29">#REF!</definedName>
    <definedName name="GKJ98090_1" localSheetId="20">#REF!</definedName>
    <definedName name="GKJ98090_1" localSheetId="19">#REF!</definedName>
    <definedName name="GKJ98090_1" localSheetId="30">#REF!</definedName>
    <definedName name="GKJ98090_1" localSheetId="23">#REF!</definedName>
    <definedName name="GKJ98090_1" localSheetId="5">#REF!</definedName>
    <definedName name="GKJ98090_1" localSheetId="14">#REF!</definedName>
    <definedName name="GKJ98090_1" localSheetId="2">#REF!</definedName>
    <definedName name="GKJ98090_1" localSheetId="34">#REF!</definedName>
    <definedName name="GKJ98090_1" localSheetId="24">#REF!</definedName>
    <definedName name="GKJ98090_1" localSheetId="8">#REF!</definedName>
    <definedName name="GKJ98090_1" localSheetId="11">#REF!</definedName>
    <definedName name="GKJ98090_1" localSheetId="10">#REF!</definedName>
    <definedName name="GKJ98090_1" localSheetId="36">#REF!</definedName>
    <definedName name="GKJ98090_1" localSheetId="28">#REF!</definedName>
    <definedName name="GKJ98090_1" localSheetId="22">#REF!</definedName>
    <definedName name="GKJ98090_1" localSheetId="4">#REF!</definedName>
    <definedName name="GKJ98090_1" localSheetId="3">#REF!</definedName>
    <definedName name="GKJ98090_1" localSheetId="7">#REF!</definedName>
    <definedName name="GKJ98090_1" localSheetId="35">#REF!</definedName>
    <definedName name="GKJ98090_1" localSheetId="1">#REF!</definedName>
    <definedName name="GKJ98090_1" localSheetId="12">#REF!</definedName>
    <definedName name="GKJ98090_1" localSheetId="9">#REF!</definedName>
    <definedName name="GKJ98090_1" localSheetId="38">#REF!</definedName>
    <definedName name="GKJ98090_1" localSheetId="33">#REF!</definedName>
    <definedName name="GKJ98090_1" localSheetId="6">#REF!</definedName>
    <definedName name="GKJ98090_1" localSheetId="32">#REF!</definedName>
    <definedName name="GKJ98090_1" localSheetId="31">#REF!</definedName>
    <definedName name="GKJ98090_1" localSheetId="37">#REF!</definedName>
    <definedName name="GKJ98090_1" localSheetId="25">#REF!</definedName>
    <definedName name="GKJ98090_1" localSheetId="13">#REF!</definedName>
    <definedName name="GKJ98090_1">#REF!</definedName>
    <definedName name="GKJ98090_2" localSheetId="27">#REF!</definedName>
    <definedName name="GKJ98090_2" localSheetId="15">#REF!</definedName>
    <definedName name="GKJ98090_2" localSheetId="21">#REF!</definedName>
    <definedName name="GKJ98090_2" localSheetId="16">#REF!</definedName>
    <definedName name="GKJ98090_2" localSheetId="17">#REF!</definedName>
    <definedName name="GKJ98090_2" localSheetId="18">#REF!</definedName>
    <definedName name="GKJ98090_2" localSheetId="26">#REF!</definedName>
    <definedName name="GKJ98090_2" localSheetId="29">#REF!</definedName>
    <definedName name="GKJ98090_2" localSheetId="20">#REF!</definedName>
    <definedName name="GKJ98090_2" localSheetId="19">#REF!</definedName>
    <definedName name="GKJ98090_2" localSheetId="30">#REF!</definedName>
    <definedName name="GKJ98090_2" localSheetId="23">#REF!</definedName>
    <definedName name="GKJ98090_2" localSheetId="5">#REF!</definedName>
    <definedName name="GKJ98090_2" localSheetId="14">#REF!</definedName>
    <definedName name="GKJ98090_2" localSheetId="2">#REF!</definedName>
    <definedName name="GKJ98090_2" localSheetId="34">#REF!</definedName>
    <definedName name="GKJ98090_2" localSheetId="24">#REF!</definedName>
    <definedName name="GKJ98090_2" localSheetId="8">#REF!</definedName>
    <definedName name="GKJ98090_2" localSheetId="11">#REF!</definedName>
    <definedName name="GKJ98090_2" localSheetId="10">#REF!</definedName>
    <definedName name="GKJ98090_2" localSheetId="36">#REF!</definedName>
    <definedName name="GKJ98090_2" localSheetId="28">#REF!</definedName>
    <definedName name="GKJ98090_2" localSheetId="22">#REF!</definedName>
    <definedName name="GKJ98090_2" localSheetId="4">#REF!</definedName>
    <definedName name="GKJ98090_2" localSheetId="3">#REF!</definedName>
    <definedName name="GKJ98090_2" localSheetId="7">#REF!</definedName>
    <definedName name="GKJ98090_2" localSheetId="35">#REF!</definedName>
    <definedName name="GKJ98090_2" localSheetId="1">#REF!</definedName>
    <definedName name="GKJ98090_2" localSheetId="12">#REF!</definedName>
    <definedName name="GKJ98090_2" localSheetId="9">#REF!</definedName>
    <definedName name="GKJ98090_2" localSheetId="38">#REF!</definedName>
    <definedName name="GKJ98090_2" localSheetId="33">#REF!</definedName>
    <definedName name="GKJ98090_2" localSheetId="6">#REF!</definedName>
    <definedName name="GKJ98090_2" localSheetId="32">#REF!</definedName>
    <definedName name="GKJ98090_2" localSheetId="31">#REF!</definedName>
    <definedName name="GKJ98090_2" localSheetId="37">#REF!</definedName>
    <definedName name="GKJ98090_2" localSheetId="25">#REF!</definedName>
    <definedName name="GKJ98090_2" localSheetId="13">#REF!</definedName>
    <definedName name="GKJ98090_2">#REF!</definedName>
    <definedName name="GKJ98090_3" localSheetId="27">#REF!</definedName>
    <definedName name="GKJ98090_3" localSheetId="15">#REF!</definedName>
    <definedName name="GKJ98090_3" localSheetId="21">#REF!</definedName>
    <definedName name="GKJ98090_3" localSheetId="16">#REF!</definedName>
    <definedName name="GKJ98090_3" localSheetId="17">#REF!</definedName>
    <definedName name="GKJ98090_3" localSheetId="18">#REF!</definedName>
    <definedName name="GKJ98090_3" localSheetId="26">#REF!</definedName>
    <definedName name="GKJ98090_3" localSheetId="29">#REF!</definedName>
    <definedName name="GKJ98090_3" localSheetId="20">#REF!</definedName>
    <definedName name="GKJ98090_3" localSheetId="19">#REF!</definedName>
    <definedName name="GKJ98090_3" localSheetId="30">#REF!</definedName>
    <definedName name="GKJ98090_3" localSheetId="23">#REF!</definedName>
    <definedName name="GKJ98090_3" localSheetId="5">#REF!</definedName>
    <definedName name="GKJ98090_3" localSheetId="14">#REF!</definedName>
    <definedName name="GKJ98090_3" localSheetId="2">#REF!</definedName>
    <definedName name="GKJ98090_3" localSheetId="34">#REF!</definedName>
    <definedName name="GKJ98090_3" localSheetId="24">#REF!</definedName>
    <definedName name="GKJ98090_3" localSheetId="8">#REF!</definedName>
    <definedName name="GKJ98090_3" localSheetId="11">#REF!</definedName>
    <definedName name="GKJ98090_3" localSheetId="10">#REF!</definedName>
    <definedName name="GKJ98090_3" localSheetId="36">#REF!</definedName>
    <definedName name="GKJ98090_3" localSheetId="28">#REF!</definedName>
    <definedName name="GKJ98090_3" localSheetId="22">#REF!</definedName>
    <definedName name="GKJ98090_3" localSheetId="4">#REF!</definedName>
    <definedName name="GKJ98090_3" localSheetId="3">#REF!</definedName>
    <definedName name="GKJ98090_3" localSheetId="7">#REF!</definedName>
    <definedName name="GKJ98090_3" localSheetId="35">#REF!</definedName>
    <definedName name="GKJ98090_3" localSheetId="1">#REF!</definedName>
    <definedName name="GKJ98090_3" localSheetId="12">#REF!</definedName>
    <definedName name="GKJ98090_3" localSheetId="9">#REF!</definedName>
    <definedName name="GKJ98090_3" localSheetId="38">#REF!</definedName>
    <definedName name="GKJ98090_3" localSheetId="33">#REF!</definedName>
    <definedName name="GKJ98090_3" localSheetId="6">#REF!</definedName>
    <definedName name="GKJ98090_3" localSheetId="32">#REF!</definedName>
    <definedName name="GKJ98090_3" localSheetId="31">#REF!</definedName>
    <definedName name="GKJ98090_3" localSheetId="37">#REF!</definedName>
    <definedName name="GKJ98090_3" localSheetId="25">#REF!</definedName>
    <definedName name="GKJ98090_3" localSheetId="13">#REF!</definedName>
    <definedName name="GKJ98090_3">#REF!</definedName>
    <definedName name="GKJ98090_99">#REF!</definedName>
    <definedName name="Print">#REF!</definedName>
    <definedName name="_xlnm.Print_Area" localSheetId="40">LT報告不可情報!$A$1:$M$89</definedName>
    <definedName name="_xlnm.Print_Area" localSheetId="27">ＸＥ分析機フラグ情報!$A$2:$M$87</definedName>
    <definedName name="_xlnm.Print_Area" localSheetId="15">'Ｘ－Ｍ情報'!$A$2:$M$82</definedName>
    <definedName name="_xlnm.Print_Area" localSheetId="21">アッセイラック管理情報!$A$2:$M$80</definedName>
    <definedName name="_xlnm.Print_Area" localSheetId="16">コントロール管理情報!$A$2:$M$82</definedName>
    <definedName name="_xlnm.Print_Area" localSheetId="17">コントロール結果情報!$A$2:$M$68</definedName>
    <definedName name="_xlnm.Print_Area" localSheetId="18">スタンダード情報!$A$2:$M$88</definedName>
    <definedName name="_xlnm.Print_Area" localSheetId="26">スライド情報!$A$2:$M$87</definedName>
    <definedName name="_xlnm.Print_Area" localSheetId="0">テーブル一覧!$A$1:$E$48</definedName>
    <definedName name="_xlnm.Print_Area" localSheetId="29">トレーラック紐付け情報!$A$2:$M$88</definedName>
    <definedName name="_xlnm.Print_Area" localSheetId="20">トレー管理情報!$A$2:$M$88</definedName>
    <definedName name="_xlnm.Print_Area" localSheetId="19">バッチ管理情報!$A$2:$M$88</definedName>
    <definedName name="_xlnm.Print_Area" localSheetId="30">ログ情報!$A$2:$M$81</definedName>
    <definedName name="_xlnm.Print_Area" localSheetId="23">ワークシートＳＥＱ管理情報!$A$2:$M$89</definedName>
    <definedName name="_xlnm.Print_Area" localSheetId="5">依頼情報!$A$2:$M$76</definedName>
    <definedName name="_xlnm.Print_Area" localSheetId="14">異常者データ情報!$A$2:$M$50</definedName>
    <definedName name="_xlnm.Print_Area" localSheetId="2">患者情報!$A$2:$M$100</definedName>
    <definedName name="_xlnm.Print_Area" localSheetId="34">緊急ロット情報!$A$2:$M$86</definedName>
    <definedName name="_xlnm.Print_Area" localSheetId="24">検査SEQ採番管理情報!$A$2:$M$79</definedName>
    <definedName name="_xlnm.Print_Area" localSheetId="8">検査オーダー情報!$A$2:$M$77</definedName>
    <definedName name="_xlnm.Print_Area" localSheetId="11">検査結果詳細情報!$A$2:$M$79</definedName>
    <definedName name="_xlnm.Print_Area" localSheetId="10">検査結果情報!$A$2:$M$126</definedName>
    <definedName name="_xlnm.Print_Area" localSheetId="36">検査進行状況集計!$A$2:$M$80</definedName>
    <definedName name="_xlnm.Print_Area" localSheetId="28">検体ID不明結果情報!$A$2:$M$90</definedName>
    <definedName name="_xlnm.Print_Area" localSheetId="22">検体ポジション情報!$A$2:$M$56</definedName>
    <definedName name="_xlnm.Print_Area" localSheetId="4">検体項目紐付け情報!$A$2:$M$80</definedName>
    <definedName name="_xlnm.Print_Area" localSheetId="3">検体属性情報!$A$2:$M$100</definedName>
    <definedName name="_xlnm.Print_Area" localSheetId="7">検体認識情報!$A$2:$M$84</definedName>
    <definedName name="_xlnm.Print_Area" localSheetId="35">項目別テスト数集計!$A$2:$M$87</definedName>
    <definedName name="_xlnm.Print_Area" localSheetId="1">治験拡張属性!$A$2:$M$81</definedName>
    <definedName name="_xlnm.Print_Area" localSheetId="12">相関情報!$A$2:$M$71</definedName>
    <definedName name="_xlnm.Print_Area" localSheetId="9">即時チェック情報!$A$2:$M$81</definedName>
    <definedName name="_xlnm.Print_Area" localSheetId="38">他サテライト検査結果情報!$A$2:$M$34</definedName>
    <definedName name="_xlnm.Print_Area" localSheetId="33">表示項目情報!$A$2:$M$86</definedName>
    <definedName name="_xlnm.Print_Area" localSheetId="6">分注結果情報!$A$2:$M$46</definedName>
    <definedName name="_xlnm.Print_Area" localSheetId="32">別紙結果情報!$A$2:$M$87</definedName>
    <definedName name="_xlnm.Print_Area" localSheetId="31">別紙属性情報!$A$2:$M$78</definedName>
    <definedName name="_xlnm.Print_Area" localSheetId="37">保留依頼情報!$A$2:$M$55</definedName>
    <definedName name="_xlnm.Print_Area" localSheetId="25">報告管理情報!$A$2:$M$74</definedName>
    <definedName name="_xlnm.Print_Area" localSheetId="13">履歴情報!$A$2:$M$47</definedName>
    <definedName name="_xlnm.Print_Area">#REF!</definedName>
    <definedName name="PRINT_AREA_MI">#REF!</definedName>
    <definedName name="Print_Area2">#REF!</definedName>
    <definedName name="_xlnm.Print_Titles" localSheetId="27">ＸＥ分析機フラグ情報!$2:$6</definedName>
    <definedName name="_xlnm.Print_Titles" localSheetId="15">'Ｘ－Ｍ情報'!$2:$6</definedName>
    <definedName name="_xlnm.Print_Titles" localSheetId="21">アッセイラック管理情報!$2:$6</definedName>
    <definedName name="_xlnm.Print_Titles" localSheetId="16">コントロール管理情報!$2:$6</definedName>
    <definedName name="_xlnm.Print_Titles" localSheetId="17">コントロール結果情報!$2:$6</definedName>
    <definedName name="_xlnm.Print_Titles" localSheetId="18">スタンダード情報!$2:$6</definedName>
    <definedName name="_xlnm.Print_Titles" localSheetId="26">スライド情報!$2:$6</definedName>
    <definedName name="_xlnm.Print_Titles" localSheetId="29">トレーラック紐付け情報!$2:$6</definedName>
    <definedName name="_xlnm.Print_Titles" localSheetId="20">トレー管理情報!$2:$6</definedName>
    <definedName name="_xlnm.Print_Titles" localSheetId="19">バッチ管理情報!$2:$6</definedName>
    <definedName name="_xlnm.Print_Titles" localSheetId="30">ログ情報!$2:$6</definedName>
    <definedName name="_xlnm.Print_Titles" localSheetId="23">ワークシートＳＥＱ管理情報!$2:$6</definedName>
    <definedName name="_xlnm.Print_Titles" localSheetId="5">依頼情報!$2:$6</definedName>
    <definedName name="_xlnm.Print_Titles" localSheetId="14">異常者データ情報!$2:$6</definedName>
    <definedName name="_xlnm.Print_Titles" localSheetId="2">患者情報!$2:$6</definedName>
    <definedName name="_xlnm.Print_Titles" localSheetId="34">緊急ロット情報!$2:$6</definedName>
    <definedName name="_xlnm.Print_Titles" localSheetId="24">検査SEQ採番管理情報!$2:$6</definedName>
    <definedName name="_xlnm.Print_Titles" localSheetId="8">検査オーダー情報!$2:$6</definedName>
    <definedName name="_xlnm.Print_Titles" localSheetId="11">検査結果詳細情報!$2:$6</definedName>
    <definedName name="_xlnm.Print_Titles" localSheetId="10">検査結果情報!$2:$6</definedName>
    <definedName name="_xlnm.Print_Titles" localSheetId="36">検査進行状況集計!$2:$6</definedName>
    <definedName name="_xlnm.Print_Titles" localSheetId="28">検体ID不明結果情報!$2:$6</definedName>
    <definedName name="_xlnm.Print_Titles" localSheetId="22">検体ポジション情報!$2:$6</definedName>
    <definedName name="_xlnm.Print_Titles" localSheetId="4">検体項目紐付け情報!$2:$6</definedName>
    <definedName name="_xlnm.Print_Titles" localSheetId="3">検体属性情報!$2:$6</definedName>
    <definedName name="_xlnm.Print_Titles" localSheetId="7">検体認識情報!$2:$6</definedName>
    <definedName name="_xlnm.Print_Titles" localSheetId="35">項目別テスト数集計!$2:$6</definedName>
    <definedName name="_xlnm.Print_Titles" localSheetId="1">治験拡張属性!$2:$6</definedName>
    <definedName name="_xlnm.Print_Titles" localSheetId="12">相関情報!$2:$6</definedName>
    <definedName name="_xlnm.Print_Titles" localSheetId="9">即時チェック情報!$2:$6</definedName>
    <definedName name="_xlnm.Print_Titles" localSheetId="38">他サテライト検査結果情報!$2:$6</definedName>
    <definedName name="_xlnm.Print_Titles" localSheetId="33">表示項目情報!$2:$6</definedName>
    <definedName name="_xlnm.Print_Titles" localSheetId="6">分注結果情報!$2:$6</definedName>
    <definedName name="_xlnm.Print_Titles" localSheetId="32">別紙結果情報!$2:$6</definedName>
    <definedName name="_xlnm.Print_Titles" localSheetId="31">別紙属性情報!$2:$6</definedName>
    <definedName name="_xlnm.Print_Titles" localSheetId="37">保留依頼情報!$2:$6</definedName>
    <definedName name="_xlnm.Print_Titles" localSheetId="25">報告管理情報!$2:$6</definedName>
    <definedName name="_xlnm.Print_Titles" localSheetId="13">履歴情報!$2:$6</definedName>
    <definedName name="StartCell" localSheetId="38">'[3]D2-02サンプル　画面定義書(データ項目定義書)'!#REF!</definedName>
    <definedName name="StartCell" localSheetId="37">'[3]D2-02サンプル　画面定義書(データ項目定義書)'!#REF!</definedName>
    <definedName name="StartCell">'[3]D2-02サンプル　画面定義書(データ項目定義書)'!#REF!</definedName>
    <definedName name="あ" localSheetId="27">[2]機能仕様関連!$D$3</definedName>
    <definedName name="あ" localSheetId="15">[2]機能仕様関連!$D$3</definedName>
    <definedName name="あ" localSheetId="21">[2]機能仕様関連!$D$3</definedName>
    <definedName name="あ" localSheetId="16">[2]機能仕様関連!$D$3</definedName>
    <definedName name="あ" localSheetId="17">[2]機能仕様関連!$D$3</definedName>
    <definedName name="あ" localSheetId="18">[2]機能仕様関連!$D$3</definedName>
    <definedName name="あ" localSheetId="26">[2]機能仕様関連!$D$3</definedName>
    <definedName name="あ" localSheetId="29">[2]機能仕様関連!$D$3</definedName>
    <definedName name="あ" localSheetId="20">[2]機能仕様関連!$D$3</definedName>
    <definedName name="あ" localSheetId="19">[2]機能仕様関連!$D$3</definedName>
    <definedName name="あ" localSheetId="30">[2]機能仕様関連!$D$3</definedName>
    <definedName name="あ" localSheetId="23">[2]機能仕様関連!$D$3</definedName>
    <definedName name="あ" localSheetId="5">[2]機能仕様関連!$D$3</definedName>
    <definedName name="あ" localSheetId="14">[2]機能仕様関連!$D$3</definedName>
    <definedName name="あ" localSheetId="2">[2]機能仕様関連!$D$3</definedName>
    <definedName name="あ" localSheetId="34">[2]機能仕様関連!$D$3</definedName>
    <definedName name="あ" localSheetId="24">[2]機能仕様関連!$D$3</definedName>
    <definedName name="あ" localSheetId="8">[2]機能仕様関連!$D$3</definedName>
    <definedName name="あ" localSheetId="11">[2]機能仕様関連!$D$3</definedName>
    <definedName name="あ" localSheetId="10">[2]機能仕様関連!$D$3</definedName>
    <definedName name="あ" localSheetId="36">[2]機能仕様関連!$D$3</definedName>
    <definedName name="あ" localSheetId="28">[2]機能仕様関連!$D$3</definedName>
    <definedName name="あ" localSheetId="22">[2]機能仕様関連!$D$3</definedName>
    <definedName name="あ" localSheetId="4">[2]機能仕様関連!$D$3</definedName>
    <definedName name="あ" localSheetId="3">[2]機能仕様関連!$D$3</definedName>
    <definedName name="あ" localSheetId="7">[2]機能仕様関連!$D$3</definedName>
    <definedName name="あ" localSheetId="35">[2]機能仕様関連!$D$3</definedName>
    <definedName name="あ" localSheetId="1">[2]機能仕様関連!$D$3</definedName>
    <definedName name="あ" localSheetId="12">[2]機能仕様関連!$D$3</definedName>
    <definedName name="あ" localSheetId="9">[2]機能仕様関連!$D$3</definedName>
    <definedName name="あ" localSheetId="38">[2]機能仕様関連!$D$3</definedName>
    <definedName name="あ" localSheetId="33">[2]機能仕様関連!$D$3</definedName>
    <definedName name="あ" localSheetId="6">[2]機能仕様関連!$D$3</definedName>
    <definedName name="あ" localSheetId="32">[2]機能仕様関連!$D$3</definedName>
    <definedName name="あ" localSheetId="31">[2]機能仕様関連!$D$3</definedName>
    <definedName name="あ" localSheetId="37">[2]機能仕様関連!$D$3</definedName>
    <definedName name="あ" localSheetId="25">[2]機能仕様関連!$D$3</definedName>
    <definedName name="あ" localSheetId="13">[2]機能仕様関連!$D$3</definedName>
    <definedName name="あ">#REF!</definedName>
    <definedName name="い" localSheetId="27">[2]機能仕様関連!$D$5</definedName>
    <definedName name="い" localSheetId="15">[2]機能仕様関連!$D$5</definedName>
    <definedName name="い" localSheetId="21">[2]機能仕様関連!$D$5</definedName>
    <definedName name="い" localSheetId="16">[2]機能仕様関連!$D$5</definedName>
    <definedName name="い" localSheetId="17">[2]機能仕様関連!$D$5</definedName>
    <definedName name="い" localSheetId="18">[2]機能仕様関連!$D$5</definedName>
    <definedName name="い" localSheetId="26">[2]機能仕様関連!$D$5</definedName>
    <definedName name="い" localSheetId="29">[2]機能仕様関連!$D$5</definedName>
    <definedName name="い" localSheetId="20">[2]機能仕様関連!$D$5</definedName>
    <definedName name="い" localSheetId="19">[2]機能仕様関連!$D$5</definedName>
    <definedName name="い" localSheetId="30">[2]機能仕様関連!$D$5</definedName>
    <definedName name="い" localSheetId="23">[2]機能仕様関連!$D$5</definedName>
    <definedName name="い" localSheetId="5">[2]機能仕様関連!$D$5</definedName>
    <definedName name="い" localSheetId="14">[2]機能仕様関連!$D$5</definedName>
    <definedName name="い" localSheetId="2">[2]機能仕様関連!$D$5</definedName>
    <definedName name="い" localSheetId="34">[2]機能仕様関連!$D$5</definedName>
    <definedName name="い" localSheetId="24">[2]機能仕様関連!$D$5</definedName>
    <definedName name="い" localSheetId="8">[2]機能仕様関連!$D$5</definedName>
    <definedName name="い" localSheetId="11">[2]機能仕様関連!$D$5</definedName>
    <definedName name="い" localSheetId="10">[2]機能仕様関連!$D$5</definedName>
    <definedName name="い" localSheetId="36">[2]機能仕様関連!$D$5</definedName>
    <definedName name="い" localSheetId="28">[2]機能仕様関連!$D$5</definedName>
    <definedName name="い" localSheetId="22">[2]機能仕様関連!$D$5</definedName>
    <definedName name="い" localSheetId="4">[2]機能仕様関連!$D$5</definedName>
    <definedName name="い" localSheetId="3">[2]機能仕様関連!$D$5</definedName>
    <definedName name="い" localSheetId="7">[2]機能仕様関連!$D$5</definedName>
    <definedName name="い" localSheetId="35">[2]機能仕様関連!$D$5</definedName>
    <definedName name="い" localSheetId="1">[2]機能仕様関連!$D$5</definedName>
    <definedName name="い" localSheetId="12">[2]機能仕様関連!$D$5</definedName>
    <definedName name="い" localSheetId="9">[2]機能仕様関連!$D$5</definedName>
    <definedName name="い" localSheetId="38">[2]機能仕様関連!$D$5</definedName>
    <definedName name="い" localSheetId="33">[2]機能仕様関連!$D$5</definedName>
    <definedName name="い" localSheetId="6">[2]機能仕様関連!$D$5</definedName>
    <definedName name="い" localSheetId="32">[2]機能仕様関連!$D$5</definedName>
    <definedName name="い" localSheetId="31">[2]機能仕様関連!$D$5</definedName>
    <definedName name="い" localSheetId="37">[2]機能仕様関連!$D$5</definedName>
    <definedName name="い" localSheetId="25">[2]機能仕様関連!$D$5</definedName>
    <definedName name="い" localSheetId="13">[2]機能仕様関連!$D$5</definedName>
    <definedName name="い">#REF!</definedName>
    <definedName name="う" localSheetId="27">[2]機能仕様関連!$D$9</definedName>
    <definedName name="う" localSheetId="15">[2]機能仕様関連!$D$9</definedName>
    <definedName name="う" localSheetId="21">[2]機能仕様関連!$D$9</definedName>
    <definedName name="う" localSheetId="16">[2]機能仕様関連!$D$9</definedName>
    <definedName name="う" localSheetId="17">[2]機能仕様関連!$D$9</definedName>
    <definedName name="う" localSheetId="18">[2]機能仕様関連!$D$9</definedName>
    <definedName name="う" localSheetId="26">[2]機能仕様関連!$D$9</definedName>
    <definedName name="う" localSheetId="29">[2]機能仕様関連!$D$9</definedName>
    <definedName name="う" localSheetId="20">[2]機能仕様関連!$D$9</definedName>
    <definedName name="う" localSheetId="19">[2]機能仕様関連!$D$9</definedName>
    <definedName name="う" localSheetId="30">[2]機能仕様関連!$D$9</definedName>
    <definedName name="う" localSheetId="23">[2]機能仕様関連!$D$9</definedName>
    <definedName name="う" localSheetId="5">[2]機能仕様関連!$D$9</definedName>
    <definedName name="う" localSheetId="14">[2]機能仕様関連!$D$9</definedName>
    <definedName name="う" localSheetId="2">[2]機能仕様関連!$D$9</definedName>
    <definedName name="う" localSheetId="34">[2]機能仕様関連!$D$9</definedName>
    <definedName name="う" localSheetId="24">[2]機能仕様関連!$D$9</definedName>
    <definedName name="う" localSheetId="8">[2]機能仕様関連!$D$9</definedName>
    <definedName name="う" localSheetId="11">[2]機能仕様関連!$D$9</definedName>
    <definedName name="う" localSheetId="10">[2]機能仕様関連!$D$9</definedName>
    <definedName name="う" localSheetId="36">[2]機能仕様関連!$D$9</definedName>
    <definedName name="う" localSheetId="28">[2]機能仕様関連!$D$9</definedName>
    <definedName name="う" localSheetId="22">[2]機能仕様関連!$D$9</definedName>
    <definedName name="う" localSheetId="4">[2]機能仕様関連!$D$9</definedName>
    <definedName name="う" localSheetId="3">[2]機能仕様関連!$D$9</definedName>
    <definedName name="う" localSheetId="7">[2]機能仕様関連!$D$9</definedName>
    <definedName name="う" localSheetId="35">[2]機能仕様関連!$D$9</definedName>
    <definedName name="う" localSheetId="1">[2]機能仕様関連!$D$9</definedName>
    <definedName name="う" localSheetId="12">[2]機能仕様関連!$D$9</definedName>
    <definedName name="う" localSheetId="9">[2]機能仕様関連!$D$9</definedName>
    <definedName name="う" localSheetId="38">[2]機能仕様関連!$D$9</definedName>
    <definedName name="う" localSheetId="33">[2]機能仕様関連!$D$9</definedName>
    <definedName name="う" localSheetId="6">[2]機能仕様関連!$D$9</definedName>
    <definedName name="う" localSheetId="32">[2]機能仕様関連!$D$9</definedName>
    <definedName name="う" localSheetId="31">[2]機能仕様関連!$D$9</definedName>
    <definedName name="う" localSheetId="37">[2]機能仕様関連!$D$9</definedName>
    <definedName name="う" localSheetId="25">[2]機能仕様関連!$D$9</definedName>
    <definedName name="う" localSheetId="13">[2]機能仕様関連!$D$9</definedName>
    <definedName name="う">#REF!</definedName>
    <definedName name="え" localSheetId="27">[2]機能仕様関連!$D$11</definedName>
    <definedName name="え" localSheetId="15">[2]機能仕様関連!$D$11</definedName>
    <definedName name="え" localSheetId="21">[2]機能仕様関連!$D$11</definedName>
    <definedName name="え" localSheetId="16">[2]機能仕様関連!$D$11</definedName>
    <definedName name="え" localSheetId="17">[2]機能仕様関連!$D$11</definedName>
    <definedName name="え" localSheetId="18">[2]機能仕様関連!$D$11</definedName>
    <definedName name="え" localSheetId="26">[2]機能仕様関連!$D$11</definedName>
    <definedName name="え" localSheetId="29">[2]機能仕様関連!$D$11</definedName>
    <definedName name="え" localSheetId="20">[2]機能仕様関連!$D$11</definedName>
    <definedName name="え" localSheetId="19">[2]機能仕様関連!$D$11</definedName>
    <definedName name="え" localSheetId="30">[2]機能仕様関連!$D$11</definedName>
    <definedName name="え" localSheetId="23">[2]機能仕様関連!$D$11</definedName>
    <definedName name="え" localSheetId="5">[2]機能仕様関連!$D$11</definedName>
    <definedName name="え" localSheetId="14">[2]機能仕様関連!$D$11</definedName>
    <definedName name="え" localSheetId="2">[2]機能仕様関連!$D$11</definedName>
    <definedName name="え" localSheetId="34">[2]機能仕様関連!$D$11</definedName>
    <definedName name="え" localSheetId="24">[2]機能仕様関連!$D$11</definedName>
    <definedName name="え" localSheetId="8">[2]機能仕様関連!$D$11</definedName>
    <definedName name="え" localSheetId="11">[2]機能仕様関連!$D$11</definedName>
    <definedName name="え" localSheetId="10">[2]機能仕様関連!$D$11</definedName>
    <definedName name="え" localSheetId="36">[2]機能仕様関連!$D$11</definedName>
    <definedName name="え" localSheetId="28">[2]機能仕様関連!$D$11</definedName>
    <definedName name="え" localSheetId="22">[2]機能仕様関連!$D$11</definedName>
    <definedName name="え" localSheetId="4">[2]機能仕様関連!$D$11</definedName>
    <definedName name="え" localSheetId="3">[2]機能仕様関連!$D$11</definedName>
    <definedName name="え" localSheetId="7">[2]機能仕様関連!$D$11</definedName>
    <definedName name="え" localSheetId="35">[2]機能仕様関連!$D$11</definedName>
    <definedName name="え" localSheetId="1">[2]機能仕様関連!$D$11</definedName>
    <definedName name="え" localSheetId="12">[2]機能仕様関連!$D$11</definedName>
    <definedName name="え" localSheetId="9">[2]機能仕様関連!$D$11</definedName>
    <definedName name="え" localSheetId="38">[2]機能仕様関連!$D$11</definedName>
    <definedName name="え" localSheetId="33">[2]機能仕様関連!$D$11</definedName>
    <definedName name="え" localSheetId="6">[2]機能仕様関連!$D$11</definedName>
    <definedName name="え" localSheetId="32">[2]機能仕様関連!$D$11</definedName>
    <definedName name="え" localSheetId="31">[2]機能仕様関連!$D$11</definedName>
    <definedName name="え" localSheetId="37">[2]機能仕様関連!$D$11</definedName>
    <definedName name="え" localSheetId="25">[2]機能仕様関連!$D$11</definedName>
    <definedName name="え" localSheetId="13">[2]機能仕様関連!$D$11</definedName>
    <definedName name="え">#REF!</definedName>
    <definedName name="お" localSheetId="27">[2]機能仕様関連!$D$13</definedName>
    <definedName name="お" localSheetId="15">[2]機能仕様関連!$D$13</definedName>
    <definedName name="お" localSheetId="21">[2]機能仕様関連!$D$13</definedName>
    <definedName name="お" localSheetId="16">[2]機能仕様関連!$D$13</definedName>
    <definedName name="お" localSheetId="17">[2]機能仕様関連!$D$13</definedName>
    <definedName name="お" localSheetId="18">[2]機能仕様関連!$D$13</definedName>
    <definedName name="お" localSheetId="26">[2]機能仕様関連!$D$13</definedName>
    <definedName name="お" localSheetId="29">[2]機能仕様関連!$D$13</definedName>
    <definedName name="お" localSheetId="20">[2]機能仕様関連!$D$13</definedName>
    <definedName name="お" localSheetId="19">[2]機能仕様関連!$D$13</definedName>
    <definedName name="お" localSheetId="30">[2]機能仕様関連!$D$13</definedName>
    <definedName name="お" localSheetId="23">[2]機能仕様関連!$D$13</definedName>
    <definedName name="お" localSheetId="5">[2]機能仕様関連!$D$13</definedName>
    <definedName name="お" localSheetId="14">[2]機能仕様関連!$D$13</definedName>
    <definedName name="お" localSheetId="2">[2]機能仕様関連!$D$13</definedName>
    <definedName name="お" localSheetId="34">[2]機能仕様関連!$D$13</definedName>
    <definedName name="お" localSheetId="24">[2]機能仕様関連!$D$13</definedName>
    <definedName name="お" localSheetId="8">[2]機能仕様関連!$D$13</definedName>
    <definedName name="お" localSheetId="11">[2]機能仕様関連!$D$13</definedName>
    <definedName name="お" localSheetId="10">[2]機能仕様関連!$D$13</definedName>
    <definedName name="お" localSheetId="36">[2]機能仕様関連!$D$13</definedName>
    <definedName name="お" localSheetId="28">[2]機能仕様関連!$D$13</definedName>
    <definedName name="お" localSheetId="22">[2]機能仕様関連!$D$13</definedName>
    <definedName name="お" localSheetId="4">[2]機能仕様関連!$D$13</definedName>
    <definedName name="お" localSheetId="3">[2]機能仕様関連!$D$13</definedName>
    <definedName name="お" localSheetId="7">[2]機能仕様関連!$D$13</definedName>
    <definedName name="お" localSheetId="35">[2]機能仕様関連!$D$13</definedName>
    <definedName name="お" localSheetId="1">[2]機能仕様関連!$D$13</definedName>
    <definedName name="お" localSheetId="12">[2]機能仕様関連!$D$13</definedName>
    <definedName name="お" localSheetId="9">[2]機能仕様関連!$D$13</definedName>
    <definedName name="お" localSheetId="38">[2]機能仕様関連!$D$13</definedName>
    <definedName name="お" localSheetId="33">[2]機能仕様関連!$D$13</definedName>
    <definedName name="お" localSheetId="6">[2]機能仕様関連!$D$13</definedName>
    <definedName name="お" localSheetId="32">[2]機能仕様関連!$D$13</definedName>
    <definedName name="お" localSheetId="31">[2]機能仕様関連!$D$13</definedName>
    <definedName name="お" localSheetId="37">[2]機能仕様関連!$D$13</definedName>
    <definedName name="お" localSheetId="25">[2]機能仕様関連!$D$13</definedName>
    <definedName name="お" localSheetId="13">[2]機能仕様関連!$D$13</definedName>
    <definedName name="お">#REF!</definedName>
    <definedName name="か" localSheetId="27">[2]機能仕様関連!$D$125</definedName>
    <definedName name="か" localSheetId="15">[2]機能仕様関連!$D$125</definedName>
    <definedName name="か" localSheetId="21">[2]機能仕様関連!$D$125</definedName>
    <definedName name="か" localSheetId="16">[2]機能仕様関連!$D$125</definedName>
    <definedName name="か" localSheetId="17">[2]機能仕様関連!$D$125</definedName>
    <definedName name="か" localSheetId="18">[2]機能仕様関連!$D$125</definedName>
    <definedName name="か" localSheetId="26">[2]機能仕様関連!$D$125</definedName>
    <definedName name="か" localSheetId="29">[2]機能仕様関連!$D$125</definedName>
    <definedName name="か" localSheetId="20">[2]機能仕様関連!$D$125</definedName>
    <definedName name="か" localSheetId="19">[2]機能仕様関連!$D$125</definedName>
    <definedName name="か" localSheetId="30">[2]機能仕様関連!$D$125</definedName>
    <definedName name="か" localSheetId="23">[2]機能仕様関連!$D$125</definedName>
    <definedName name="か" localSheetId="5">[2]機能仕様関連!$D$125</definedName>
    <definedName name="か" localSheetId="14">[2]機能仕様関連!$D$125</definedName>
    <definedName name="か" localSheetId="2">[2]機能仕様関連!$D$125</definedName>
    <definedName name="か" localSheetId="34">[2]機能仕様関連!$D$125</definedName>
    <definedName name="か" localSheetId="24">[2]機能仕様関連!$D$125</definedName>
    <definedName name="か" localSheetId="8">[2]機能仕様関連!$D$125</definedName>
    <definedName name="か" localSheetId="11">[2]機能仕様関連!$D$125</definedName>
    <definedName name="か" localSheetId="10">[2]機能仕様関連!$D$125</definedName>
    <definedName name="か" localSheetId="36">[2]機能仕様関連!$D$125</definedName>
    <definedName name="か" localSheetId="28">[2]機能仕様関連!$D$125</definedName>
    <definedName name="か" localSheetId="22">[2]機能仕様関連!$D$125</definedName>
    <definedName name="か" localSheetId="4">[2]機能仕様関連!$D$125</definedName>
    <definedName name="か" localSheetId="3">[2]機能仕様関連!$D$125</definedName>
    <definedName name="か" localSheetId="7">[2]機能仕様関連!$D$125</definedName>
    <definedName name="か" localSheetId="35">[2]機能仕様関連!$D$125</definedName>
    <definedName name="か" localSheetId="1">[2]機能仕様関連!$D$125</definedName>
    <definedName name="か" localSheetId="12">[2]機能仕様関連!$D$125</definedName>
    <definedName name="か" localSheetId="9">[2]機能仕様関連!$D$125</definedName>
    <definedName name="か" localSheetId="38">[2]機能仕様関連!$D$125</definedName>
    <definedName name="か" localSheetId="33">[2]機能仕様関連!$D$125</definedName>
    <definedName name="か" localSheetId="6">[2]機能仕様関連!$D$125</definedName>
    <definedName name="か" localSheetId="32">[2]機能仕様関連!$D$125</definedName>
    <definedName name="か" localSheetId="31">[2]機能仕様関連!$D$125</definedName>
    <definedName name="か" localSheetId="37">[2]機能仕様関連!$D$125</definedName>
    <definedName name="か" localSheetId="25">[2]機能仕様関連!$D$125</definedName>
    <definedName name="か" localSheetId="13">[2]機能仕様関連!$D$125</definedName>
    <definedName name="か">#REF!</definedName>
    <definedName name="き" localSheetId="27">[2]機能仕様関連!$D$127</definedName>
    <definedName name="き" localSheetId="15">[2]機能仕様関連!$D$127</definedName>
    <definedName name="き" localSheetId="21">[2]機能仕様関連!$D$127</definedName>
    <definedName name="き" localSheetId="16">[2]機能仕様関連!$D$127</definedName>
    <definedName name="き" localSheetId="17">[2]機能仕様関連!$D$127</definedName>
    <definedName name="き" localSheetId="18">[2]機能仕様関連!$D$127</definedName>
    <definedName name="き" localSheetId="26">[2]機能仕様関連!$D$127</definedName>
    <definedName name="き" localSheetId="29">[2]機能仕様関連!$D$127</definedName>
    <definedName name="き" localSheetId="20">[2]機能仕様関連!$D$127</definedName>
    <definedName name="き" localSheetId="19">[2]機能仕様関連!$D$127</definedName>
    <definedName name="き" localSheetId="30">[2]機能仕様関連!$D$127</definedName>
    <definedName name="き" localSheetId="23">[2]機能仕様関連!$D$127</definedName>
    <definedName name="き" localSheetId="5">[2]機能仕様関連!$D$127</definedName>
    <definedName name="き" localSheetId="14">[2]機能仕様関連!$D$127</definedName>
    <definedName name="き" localSheetId="2">[2]機能仕様関連!$D$127</definedName>
    <definedName name="き" localSheetId="34">[2]機能仕様関連!$D$127</definedName>
    <definedName name="き" localSheetId="24">[2]機能仕様関連!$D$127</definedName>
    <definedName name="き" localSheetId="8">[2]機能仕様関連!$D$127</definedName>
    <definedName name="き" localSheetId="11">[2]機能仕様関連!$D$127</definedName>
    <definedName name="き" localSheetId="10">[2]機能仕様関連!$D$127</definedName>
    <definedName name="き" localSheetId="36">[2]機能仕様関連!$D$127</definedName>
    <definedName name="き" localSheetId="28">[2]機能仕様関連!$D$127</definedName>
    <definedName name="き" localSheetId="22">[2]機能仕様関連!$D$127</definedName>
    <definedName name="き" localSheetId="4">[2]機能仕様関連!$D$127</definedName>
    <definedName name="き" localSheetId="3">[2]機能仕様関連!$D$127</definedName>
    <definedName name="き" localSheetId="7">[2]機能仕様関連!$D$127</definedName>
    <definedName name="き" localSheetId="35">[2]機能仕様関連!$D$127</definedName>
    <definedName name="き" localSheetId="1">[2]機能仕様関連!$D$127</definedName>
    <definedName name="き" localSheetId="12">[2]機能仕様関連!$D$127</definedName>
    <definedName name="き" localSheetId="9">[2]機能仕様関連!$D$127</definedName>
    <definedName name="き" localSheetId="38">[2]機能仕様関連!$D$127</definedName>
    <definedName name="き" localSheetId="33">[2]機能仕様関連!$D$127</definedName>
    <definedName name="き" localSheetId="6">[2]機能仕様関連!$D$127</definedName>
    <definedName name="き" localSheetId="32">[2]機能仕様関連!$D$127</definedName>
    <definedName name="き" localSheetId="31">[2]機能仕様関連!$D$127</definedName>
    <definedName name="き" localSheetId="37">[2]機能仕様関連!$D$127</definedName>
    <definedName name="き" localSheetId="25">[2]機能仕様関連!$D$127</definedName>
    <definedName name="き" localSheetId="13">[2]機能仕様関連!$D$127</definedName>
    <definedName name="き">#REF!</definedName>
    <definedName name="く" localSheetId="27">[2]機能仕様関連!$D$129</definedName>
    <definedName name="く" localSheetId="15">[2]機能仕様関連!$D$129</definedName>
    <definedName name="く" localSheetId="21">[2]機能仕様関連!$D$129</definedName>
    <definedName name="く" localSheetId="16">[2]機能仕様関連!$D$129</definedName>
    <definedName name="く" localSheetId="17">[2]機能仕様関連!$D$129</definedName>
    <definedName name="く" localSheetId="18">[2]機能仕様関連!$D$129</definedName>
    <definedName name="く" localSheetId="26">[2]機能仕様関連!$D$129</definedName>
    <definedName name="く" localSheetId="29">[2]機能仕様関連!$D$129</definedName>
    <definedName name="く" localSheetId="20">[2]機能仕様関連!$D$129</definedName>
    <definedName name="く" localSheetId="19">[2]機能仕様関連!$D$129</definedName>
    <definedName name="く" localSheetId="30">[2]機能仕様関連!$D$129</definedName>
    <definedName name="く" localSheetId="23">[2]機能仕様関連!$D$129</definedName>
    <definedName name="く" localSheetId="5">[2]機能仕様関連!$D$129</definedName>
    <definedName name="く" localSheetId="14">[2]機能仕様関連!$D$129</definedName>
    <definedName name="く" localSheetId="2">[2]機能仕様関連!$D$129</definedName>
    <definedName name="く" localSheetId="34">[2]機能仕様関連!$D$129</definedName>
    <definedName name="く" localSheetId="24">[2]機能仕様関連!$D$129</definedName>
    <definedName name="く" localSheetId="8">[2]機能仕様関連!$D$129</definedName>
    <definedName name="く" localSheetId="11">[2]機能仕様関連!$D$129</definedName>
    <definedName name="く" localSheetId="10">[2]機能仕様関連!$D$129</definedName>
    <definedName name="く" localSheetId="36">[2]機能仕様関連!$D$129</definedName>
    <definedName name="く" localSheetId="28">[2]機能仕様関連!$D$129</definedName>
    <definedName name="く" localSheetId="22">[2]機能仕様関連!$D$129</definedName>
    <definedName name="く" localSheetId="4">[2]機能仕様関連!$D$129</definedName>
    <definedName name="く" localSheetId="3">[2]機能仕様関連!$D$129</definedName>
    <definedName name="く" localSheetId="7">[2]機能仕様関連!$D$129</definedName>
    <definedName name="く" localSheetId="35">[2]機能仕様関連!$D$129</definedName>
    <definedName name="く" localSheetId="1">[2]機能仕様関連!$D$129</definedName>
    <definedName name="く" localSheetId="12">[2]機能仕様関連!$D$129</definedName>
    <definedName name="く" localSheetId="9">[2]機能仕様関連!$D$129</definedName>
    <definedName name="く" localSheetId="38">[2]機能仕様関連!$D$129</definedName>
    <definedName name="く" localSheetId="33">[2]機能仕様関連!$D$129</definedName>
    <definedName name="く" localSheetId="6">[2]機能仕様関連!$D$129</definedName>
    <definedName name="く" localSheetId="32">[2]機能仕様関連!$D$129</definedName>
    <definedName name="く" localSheetId="31">[2]機能仕様関連!$D$129</definedName>
    <definedName name="く" localSheetId="37">[2]機能仕様関連!$D$129</definedName>
    <definedName name="く" localSheetId="25">[2]機能仕様関連!$D$129</definedName>
    <definedName name="く" localSheetId="13">[2]機能仕様関連!$D$129</definedName>
    <definedName name="く">#REF!</definedName>
    <definedName name="け" localSheetId="27">[2]機能仕様関連!$D$131</definedName>
    <definedName name="け" localSheetId="15">[2]機能仕様関連!$D$131</definedName>
    <definedName name="け" localSheetId="21">[2]機能仕様関連!$D$131</definedName>
    <definedName name="け" localSheetId="16">[2]機能仕様関連!$D$131</definedName>
    <definedName name="け" localSheetId="17">[2]機能仕様関連!$D$131</definedName>
    <definedName name="け" localSheetId="18">[2]機能仕様関連!$D$131</definedName>
    <definedName name="け" localSheetId="26">[2]機能仕様関連!$D$131</definedName>
    <definedName name="け" localSheetId="29">[2]機能仕様関連!$D$131</definedName>
    <definedName name="け" localSheetId="20">[2]機能仕様関連!$D$131</definedName>
    <definedName name="け" localSheetId="19">[2]機能仕様関連!$D$131</definedName>
    <definedName name="け" localSheetId="30">[2]機能仕様関連!$D$131</definedName>
    <definedName name="け" localSheetId="23">[2]機能仕様関連!$D$131</definedName>
    <definedName name="け" localSheetId="5">[2]機能仕様関連!$D$131</definedName>
    <definedName name="け" localSheetId="14">[2]機能仕様関連!$D$131</definedName>
    <definedName name="け" localSheetId="2">[2]機能仕様関連!$D$131</definedName>
    <definedName name="け" localSheetId="34">[2]機能仕様関連!$D$131</definedName>
    <definedName name="け" localSheetId="24">[2]機能仕様関連!$D$131</definedName>
    <definedName name="け" localSheetId="8">[2]機能仕様関連!$D$131</definedName>
    <definedName name="け" localSheetId="11">[2]機能仕様関連!$D$131</definedName>
    <definedName name="け" localSheetId="10">[2]機能仕様関連!$D$131</definedName>
    <definedName name="け" localSheetId="36">[2]機能仕様関連!$D$131</definedName>
    <definedName name="け" localSheetId="28">[2]機能仕様関連!$D$131</definedName>
    <definedName name="け" localSheetId="22">[2]機能仕様関連!$D$131</definedName>
    <definedName name="け" localSheetId="4">[2]機能仕様関連!$D$131</definedName>
    <definedName name="け" localSheetId="3">[2]機能仕様関連!$D$131</definedName>
    <definedName name="け" localSheetId="7">[2]機能仕様関連!$D$131</definedName>
    <definedName name="け" localSheetId="35">[2]機能仕様関連!$D$131</definedName>
    <definedName name="け" localSheetId="1">[2]機能仕様関連!$D$131</definedName>
    <definedName name="け" localSheetId="12">[2]機能仕様関連!$D$131</definedName>
    <definedName name="け" localSheetId="9">[2]機能仕様関連!$D$131</definedName>
    <definedName name="け" localSheetId="38">[2]機能仕様関連!$D$131</definedName>
    <definedName name="け" localSheetId="33">[2]機能仕様関連!$D$131</definedName>
    <definedName name="け" localSheetId="6">[2]機能仕様関連!$D$131</definedName>
    <definedName name="け" localSheetId="32">[2]機能仕様関連!$D$131</definedName>
    <definedName name="け" localSheetId="31">[2]機能仕様関連!$D$131</definedName>
    <definedName name="け" localSheetId="37">[2]機能仕様関連!$D$131</definedName>
    <definedName name="け" localSheetId="25">[2]機能仕様関連!$D$131</definedName>
    <definedName name="け" localSheetId="13">[2]機能仕様関連!$D$131</definedName>
    <definedName name="け">#REF!</definedName>
    <definedName name="仮">#REF!</definedName>
    <definedName name="関連表" localSheetId="40" hidden="1">#REF!</definedName>
    <definedName name="関連表" localSheetId="38" hidden="1">#REF!</definedName>
    <definedName name="関連表" localSheetId="37" hidden="1">#REF!</definedName>
    <definedName name="関連表" hidden="1">#REF!</definedName>
    <definedName name="合計工数" localSheetId="27">#REF!</definedName>
    <definedName name="合計工数" localSheetId="15">#REF!</definedName>
    <definedName name="合計工数" localSheetId="21">#REF!</definedName>
    <definedName name="合計工数" localSheetId="16">#REF!</definedName>
    <definedName name="合計工数" localSheetId="17">#REF!</definedName>
    <definedName name="合計工数" localSheetId="18">#REF!</definedName>
    <definedName name="合計工数" localSheetId="26">#REF!</definedName>
    <definedName name="合計工数" localSheetId="29">#REF!</definedName>
    <definedName name="合計工数" localSheetId="20">#REF!</definedName>
    <definedName name="合計工数" localSheetId="19">#REF!</definedName>
    <definedName name="合計工数" localSheetId="30">#REF!</definedName>
    <definedName name="合計工数" localSheetId="23">#REF!</definedName>
    <definedName name="合計工数" localSheetId="5">#REF!</definedName>
    <definedName name="合計工数" localSheetId="14">#REF!</definedName>
    <definedName name="合計工数" localSheetId="2">#REF!</definedName>
    <definedName name="合計工数" localSheetId="34">#REF!</definedName>
    <definedName name="合計工数" localSheetId="24">#REF!</definedName>
    <definedName name="合計工数" localSheetId="8">#REF!</definedName>
    <definedName name="合計工数" localSheetId="11">#REF!</definedName>
    <definedName name="合計工数" localSheetId="10">#REF!</definedName>
    <definedName name="合計工数" localSheetId="36">#REF!</definedName>
    <definedName name="合計工数" localSheetId="28">#REF!</definedName>
    <definedName name="合計工数" localSheetId="22">#REF!</definedName>
    <definedName name="合計工数" localSheetId="4">#REF!</definedName>
    <definedName name="合計工数" localSheetId="3">#REF!</definedName>
    <definedName name="合計工数" localSheetId="7">#REF!</definedName>
    <definedName name="合計工数" localSheetId="35">#REF!</definedName>
    <definedName name="合計工数" localSheetId="1">#REF!</definedName>
    <definedName name="合計工数" localSheetId="12">#REF!</definedName>
    <definedName name="合計工数" localSheetId="9">#REF!</definedName>
    <definedName name="合計工数" localSheetId="38">#REF!</definedName>
    <definedName name="合計工数" localSheetId="33">#REF!</definedName>
    <definedName name="合計工数" localSheetId="6">#REF!</definedName>
    <definedName name="合計工数" localSheetId="32">#REF!</definedName>
    <definedName name="合計工数" localSheetId="31">#REF!</definedName>
    <definedName name="合計工数" localSheetId="37">#REF!</definedName>
    <definedName name="合計工数" localSheetId="25">#REF!</definedName>
    <definedName name="合計工数" localSheetId="13">#REF!</definedName>
    <definedName name="合計工数">#REF!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5" i="28" l="1"/>
  <c r="G20" i="28"/>
  <c r="A10" i="42"/>
  <c r="A11" i="42" s="1"/>
  <c r="A12" i="42" s="1"/>
  <c r="A13" i="42" s="1"/>
  <c r="A14" i="42" s="1"/>
  <c r="A9" i="42"/>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G9" i="48"/>
  <c r="G8" i="48"/>
  <c r="A8" i="48"/>
  <c r="A9" i="48" s="1"/>
  <c r="J3" i="48" s="1"/>
  <c r="G7" i="48"/>
  <c r="J4" i="48"/>
  <c r="A55" i="47"/>
  <c r="A54" i="47"/>
  <c r="A53" i="47"/>
  <c r="A52" i="47"/>
  <c r="A51" i="47"/>
  <c r="A50" i="47"/>
  <c r="A49" i="47"/>
  <c r="A48" i="47"/>
  <c r="A47" i="47"/>
  <c r="A46" i="47"/>
  <c r="A45" i="47"/>
  <c r="A44" i="47"/>
  <c r="A43" i="47"/>
  <c r="A42" i="47"/>
  <c r="A41" i="47"/>
  <c r="A40" i="47"/>
  <c r="A39" i="47"/>
  <c r="A38" i="47"/>
  <c r="A37" i="47"/>
  <c r="A36" i="47"/>
  <c r="A35" i="47"/>
  <c r="A34" i="47"/>
  <c r="A33" i="47"/>
  <c r="A32" i="47"/>
  <c r="A31" i="47"/>
  <c r="A30" i="47"/>
  <c r="A29" i="47"/>
  <c r="A28" i="47"/>
  <c r="A27" i="47"/>
  <c r="A26" i="47"/>
  <c r="A25" i="47"/>
  <c r="A24" i="47"/>
  <c r="A23" i="47"/>
  <c r="A22" i="47"/>
  <c r="A21" i="47"/>
  <c r="A20" i="47"/>
  <c r="A19" i="47"/>
  <c r="A18" i="47"/>
  <c r="A17" i="47"/>
  <c r="A16" i="47"/>
  <c r="A15" i="47"/>
  <c r="A14" i="47"/>
  <c r="A13" i="47"/>
  <c r="A12" i="47"/>
  <c r="A11" i="47"/>
  <c r="G10" i="47"/>
  <c r="A10" i="47"/>
  <c r="G9" i="47"/>
  <c r="A9" i="47"/>
  <c r="G8" i="47"/>
  <c r="A8" i="47"/>
  <c r="G7" i="47"/>
  <c r="A39" i="46"/>
  <c r="A38" i="46"/>
  <c r="A37" i="46"/>
  <c r="A36" i="46"/>
  <c r="A35" i="46"/>
  <c r="A34" i="46"/>
  <c r="A33" i="46"/>
  <c r="A32" i="46"/>
  <c r="A31" i="46"/>
  <c r="A30" i="46"/>
  <c r="A29" i="46"/>
  <c r="A28" i="46"/>
  <c r="A27" i="46"/>
  <c r="A26" i="46"/>
  <c r="A25" i="46"/>
  <c r="A24" i="46"/>
  <c r="A23" i="46"/>
  <c r="A22" i="46"/>
  <c r="A21" i="46"/>
  <c r="A20" i="46"/>
  <c r="A19" i="46"/>
  <c r="A18" i="46"/>
  <c r="A17" i="46"/>
  <c r="A16" i="46"/>
  <c r="G15" i="46"/>
  <c r="G14" i="46"/>
  <c r="G13" i="46"/>
  <c r="G12" i="46"/>
  <c r="G11" i="46"/>
  <c r="G10" i="46"/>
  <c r="G9" i="46"/>
  <c r="A9" i="46"/>
  <c r="G8" i="46"/>
  <c r="A8" i="46"/>
  <c r="G7" i="46"/>
  <c r="J4" i="46" s="1"/>
  <c r="A89" i="44"/>
  <c r="A88" i="44"/>
  <c r="A87" i="44"/>
  <c r="A86" i="44"/>
  <c r="A85" i="44"/>
  <c r="A84" i="44"/>
  <c r="A83" i="44"/>
  <c r="A82" i="44"/>
  <c r="A81" i="44"/>
  <c r="A80" i="44"/>
  <c r="A79" i="44"/>
  <c r="A78" i="44"/>
  <c r="A77" i="44"/>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G24" i="44"/>
  <c r="G23" i="44"/>
  <c r="G22" i="44"/>
  <c r="G21" i="44"/>
  <c r="G20" i="44"/>
  <c r="G19" i="44"/>
  <c r="G18" i="44"/>
  <c r="G17" i="44"/>
  <c r="G16" i="44"/>
  <c r="G15" i="44"/>
  <c r="G14" i="44"/>
  <c r="G13" i="44"/>
  <c r="G12" i="44"/>
  <c r="G11" i="44"/>
  <c r="G10" i="44"/>
  <c r="G9" i="44"/>
  <c r="G8" i="44"/>
  <c r="A8" i="44"/>
  <c r="A9" i="44" s="1"/>
  <c r="A10" i="44" s="1"/>
  <c r="A11" i="44" s="1"/>
  <c r="A12" i="44" s="1"/>
  <c r="A13" i="44" s="1"/>
  <c r="A14" i="44" s="1"/>
  <c r="A15" i="44" s="1"/>
  <c r="A16" i="44" s="1"/>
  <c r="A17" i="44" s="1"/>
  <c r="A18" i="44" s="1"/>
  <c r="A19" i="44" s="1"/>
  <c r="A20" i="44" s="1"/>
  <c r="A21" i="44" s="1"/>
  <c r="A22" i="44" s="1"/>
  <c r="A23" i="44" s="1"/>
  <c r="A24" i="44" s="1"/>
  <c r="G7" i="44"/>
  <c r="A55" i="49"/>
  <c r="A54" i="49"/>
  <c r="A53" i="49"/>
  <c r="A52" i="49"/>
  <c r="A51" i="49"/>
  <c r="A50" i="49"/>
  <c r="A49" i="49"/>
  <c r="A48" i="49"/>
  <c r="A47" i="49"/>
  <c r="A46" i="49"/>
  <c r="A45" i="49"/>
  <c r="A44" i="49"/>
  <c r="A43" i="49"/>
  <c r="A42" i="49"/>
  <c r="A41" i="49"/>
  <c r="A40" i="49"/>
  <c r="A39" i="49"/>
  <c r="A38" i="49"/>
  <c r="A37" i="49"/>
  <c r="A36" i="49"/>
  <c r="A35" i="49"/>
  <c r="G34" i="49"/>
  <c r="G33" i="49"/>
  <c r="G32" i="49"/>
  <c r="G31" i="49"/>
  <c r="G30" i="49"/>
  <c r="G29" i="49"/>
  <c r="G28" i="49"/>
  <c r="G27" i="49"/>
  <c r="G26" i="49"/>
  <c r="G25" i="49"/>
  <c r="G24" i="49"/>
  <c r="G23" i="49"/>
  <c r="G22" i="49"/>
  <c r="G21" i="49"/>
  <c r="G20" i="49"/>
  <c r="G19" i="49"/>
  <c r="G18" i="49"/>
  <c r="G17" i="49"/>
  <c r="G16" i="49"/>
  <c r="G15" i="49"/>
  <c r="G14" i="49"/>
  <c r="G13" i="49"/>
  <c r="G12" i="49"/>
  <c r="G11" i="49"/>
  <c r="G10" i="49"/>
  <c r="G9" i="49"/>
  <c r="J4" i="49" s="1"/>
  <c r="A9" i="49"/>
  <c r="G8" i="49"/>
  <c r="A8" i="49"/>
  <c r="G7" i="49"/>
  <c r="G39" i="43"/>
  <c r="G38" i="43"/>
  <c r="G36" i="43"/>
  <c r="G35" i="43"/>
  <c r="G34" i="43"/>
  <c r="G33" i="43"/>
  <c r="G32" i="43"/>
  <c r="G31" i="43"/>
  <c r="G30" i="43"/>
  <c r="G29" i="43"/>
  <c r="G28" i="43"/>
  <c r="G27" i="43"/>
  <c r="G26" i="43"/>
  <c r="G25" i="43"/>
  <c r="G24" i="43"/>
  <c r="G23" i="43"/>
  <c r="G22" i="43"/>
  <c r="G21" i="43"/>
  <c r="G20" i="43"/>
  <c r="G19" i="43"/>
  <c r="G18" i="43"/>
  <c r="G17" i="43"/>
  <c r="G16" i="43"/>
  <c r="G15" i="43"/>
  <c r="G14" i="43"/>
  <c r="G13" i="43"/>
  <c r="G12" i="43"/>
  <c r="G11" i="43"/>
  <c r="G10" i="43"/>
  <c r="A10" i="43"/>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G9" i="43"/>
  <c r="G8" i="43"/>
  <c r="A8" i="43"/>
  <c r="A9" i="43" s="1"/>
  <c r="G7" i="43"/>
  <c r="A55" i="42"/>
  <c r="A54" i="42"/>
  <c r="A53" i="42"/>
  <c r="A52" i="42"/>
  <c r="A51" i="42"/>
  <c r="A50" i="42"/>
  <c r="A49" i="42"/>
  <c r="A48" i="42"/>
  <c r="A47" i="42"/>
  <c r="A46" i="42"/>
  <c r="A45" i="42"/>
  <c r="A44" i="42"/>
  <c r="A43" i="42"/>
  <c r="A42" i="42"/>
  <c r="A41" i="42"/>
  <c r="A40" i="42"/>
  <c r="A39" i="42"/>
  <c r="A38" i="42"/>
  <c r="A37" i="42"/>
  <c r="A36" i="42"/>
  <c r="A35" i="42"/>
  <c r="A34" i="42"/>
  <c r="A33" i="42"/>
  <c r="A32" i="42"/>
  <c r="A31" i="42"/>
  <c r="A30" i="42"/>
  <c r="A29" i="42"/>
  <c r="A28" i="42"/>
  <c r="A27" i="42"/>
  <c r="A26" i="42"/>
  <c r="A25" i="42"/>
  <c r="A24" i="42"/>
  <c r="A23" i="42"/>
  <c r="A22" i="42"/>
  <c r="A21" i="42"/>
  <c r="A20" i="42"/>
  <c r="A19" i="42"/>
  <c r="A18" i="42"/>
  <c r="A17" i="42"/>
  <c r="A16" i="42"/>
  <c r="A15" i="42"/>
  <c r="G14" i="42"/>
  <c r="G13" i="42"/>
  <c r="G12" i="42"/>
  <c r="G11" i="42"/>
  <c r="G10" i="42"/>
  <c r="G9" i="42"/>
  <c r="G8" i="42"/>
  <c r="A8" i="42"/>
  <c r="G7" i="42"/>
  <c r="A100" i="39"/>
  <c r="A99" i="39"/>
  <c r="A98" i="39"/>
  <c r="A97" i="39"/>
  <c r="A96" i="39"/>
  <c r="A95" i="39"/>
  <c r="A94" i="39"/>
  <c r="A93" i="39"/>
  <c r="A92" i="39"/>
  <c r="A91" i="39"/>
  <c r="A90" i="39"/>
  <c r="A89" i="39"/>
  <c r="A88" i="39"/>
  <c r="A87" i="39"/>
  <c r="A86" i="39"/>
  <c r="A85" i="39"/>
  <c r="A84" i="39"/>
  <c r="A83" i="39"/>
  <c r="A82" i="39"/>
  <c r="A81" i="39"/>
  <c r="A80" i="39"/>
  <c r="A79" i="39"/>
  <c r="A78" i="39"/>
  <c r="A77" i="39"/>
  <c r="A76" i="39"/>
  <c r="A75" i="39"/>
  <c r="A74" i="39"/>
  <c r="A73" i="39"/>
  <c r="A72" i="39"/>
  <c r="A71" i="39"/>
  <c r="A70" i="39"/>
  <c r="A69" i="39"/>
  <c r="A68" i="39"/>
  <c r="A67" i="39"/>
  <c r="A66" i="39"/>
  <c r="A65" i="39"/>
  <c r="A64" i="39"/>
  <c r="A63" i="39"/>
  <c r="A62" i="39"/>
  <c r="A61" i="39"/>
  <c r="A60" i="39"/>
  <c r="A59" i="39"/>
  <c r="A58" i="39"/>
  <c r="A57" i="39"/>
  <c r="A56" i="39"/>
  <c r="A55" i="39"/>
  <c r="A54" i="39"/>
  <c r="A53" i="39"/>
  <c r="A52" i="39"/>
  <c r="A51" i="39"/>
  <c r="A50" i="39"/>
  <c r="A49" i="39"/>
  <c r="A48" i="39"/>
  <c r="A47" i="39"/>
  <c r="A46" i="39"/>
  <c r="A45" i="39"/>
  <c r="A44" i="39"/>
  <c r="A43" i="39"/>
  <c r="A42" i="39"/>
  <c r="A41" i="39"/>
  <c r="A40" i="39"/>
  <c r="A39" i="39"/>
  <c r="A38" i="39"/>
  <c r="A37" i="39"/>
  <c r="A36" i="39"/>
  <c r="A35" i="39"/>
  <c r="A34" i="39"/>
  <c r="A33" i="39"/>
  <c r="A32" i="39"/>
  <c r="A31" i="39"/>
  <c r="A30" i="39"/>
  <c r="A29" i="39"/>
  <c r="A28" i="39"/>
  <c r="A27" i="39"/>
  <c r="A26" i="39"/>
  <c r="A25" i="39"/>
  <c r="A24" i="39"/>
  <c r="A23" i="39"/>
  <c r="A22" i="39"/>
  <c r="A21" i="39"/>
  <c r="A20" i="39"/>
  <c r="A19" i="39"/>
  <c r="A18" i="39"/>
  <c r="J4" i="39"/>
  <c r="J3" i="39"/>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J3" i="38" s="1"/>
  <c r="J4" i="38"/>
  <c r="A100" i="37"/>
  <c r="A99" i="37"/>
  <c r="A98" i="37"/>
  <c r="A97" i="37"/>
  <c r="A96" i="37"/>
  <c r="A95" i="37"/>
  <c r="A94" i="37"/>
  <c r="A93" i="37"/>
  <c r="A92" i="37"/>
  <c r="A90" i="37"/>
  <c r="A89" i="37"/>
  <c r="A88" i="37"/>
  <c r="A87" i="37"/>
  <c r="A86" i="37"/>
  <c r="A85" i="37"/>
  <c r="A84" i="37"/>
  <c r="A83" i="37"/>
  <c r="A82" i="37"/>
  <c r="A81" i="37"/>
  <c r="A80" i="37"/>
  <c r="A79" i="37"/>
  <c r="A77" i="37"/>
  <c r="A76" i="37"/>
  <c r="A75" i="37"/>
  <c r="A74" i="37"/>
  <c r="A73" i="37"/>
  <c r="A72" i="37"/>
  <c r="A71" i="37"/>
  <c r="A70" i="37"/>
  <c r="A69" i="37"/>
  <c r="A68" i="37"/>
  <c r="A67" i="37"/>
  <c r="A66" i="37"/>
  <c r="A65" i="37"/>
  <c r="A64" i="37"/>
  <c r="A62" i="37"/>
  <c r="A61" i="37"/>
  <c r="A60" i="37"/>
  <c r="A59" i="37"/>
  <c r="A58" i="37"/>
  <c r="A57" i="37"/>
  <c r="A56" i="37"/>
  <c r="A55" i="37"/>
  <c r="A54" i="37"/>
  <c r="A53" i="37"/>
  <c r="A52" i="37"/>
  <c r="A51" i="37"/>
  <c r="A50" i="37"/>
  <c r="A49" i="37"/>
  <c r="A47" i="37"/>
  <c r="A46" i="37"/>
  <c r="A45" i="37"/>
  <c r="A44" i="37"/>
  <c r="A43" i="37"/>
  <c r="A42" i="37"/>
  <c r="A41" i="37"/>
  <c r="A40" i="37"/>
  <c r="A39" i="37"/>
  <c r="A38" i="37"/>
  <c r="A37" i="37"/>
  <c r="A36" i="37"/>
  <c r="A35" i="37"/>
  <c r="A34" i="37"/>
  <c r="A32" i="37"/>
  <c r="A31" i="37"/>
  <c r="A30" i="37"/>
  <c r="A29" i="37"/>
  <c r="A28" i="37"/>
  <c r="A27" i="37"/>
  <c r="A26" i="37"/>
  <c r="A25" i="37"/>
  <c r="A24" i="37"/>
  <c r="A23" i="37"/>
  <c r="A22" i="37"/>
  <c r="A21" i="37"/>
  <c r="A20" i="37"/>
  <c r="A19" i="37"/>
  <c r="A17" i="37"/>
  <c r="G12" i="37"/>
  <c r="G11" i="37"/>
  <c r="G10" i="37"/>
  <c r="G9" i="37"/>
  <c r="G8" i="37"/>
  <c r="G7" i="37"/>
  <c r="J4" i="37"/>
  <c r="J3" i="37"/>
  <c r="A100" i="36"/>
  <c r="A99" i="36"/>
  <c r="A98" i="36"/>
  <c r="A97" i="36"/>
  <c r="A96" i="36"/>
  <c r="A95" i="36"/>
  <c r="A94" i="36"/>
  <c r="A93" i="36"/>
  <c r="A92" i="36"/>
  <c r="A91" i="36"/>
  <c r="A90" i="36"/>
  <c r="A89" i="36"/>
  <c r="A88" i="36"/>
  <c r="A87" i="36"/>
  <c r="A86" i="36"/>
  <c r="A85" i="36"/>
  <c r="A84" i="36"/>
  <c r="A83" i="36"/>
  <c r="A82" i="36"/>
  <c r="A81" i="36"/>
  <c r="A80" i="36"/>
  <c r="A79" i="36"/>
  <c r="A78" i="36"/>
  <c r="A77" i="36"/>
  <c r="A76" i="36"/>
  <c r="A75" i="36"/>
  <c r="A74" i="36"/>
  <c r="A73" i="36"/>
  <c r="A72" i="36"/>
  <c r="A71" i="36"/>
  <c r="A70" i="36"/>
  <c r="A69" i="36"/>
  <c r="A68" i="36"/>
  <c r="A67" i="36"/>
  <c r="A66" i="36"/>
  <c r="A65" i="36"/>
  <c r="A64" i="36"/>
  <c r="A63" i="36"/>
  <c r="A62" i="36"/>
  <c r="A61" i="36"/>
  <c r="G60" i="36"/>
  <c r="G59" i="36"/>
  <c r="G58" i="36"/>
  <c r="G57" i="36"/>
  <c r="G56" i="36"/>
  <c r="G55" i="36"/>
  <c r="G54"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3" i="36"/>
  <c r="G12" i="36"/>
  <c r="G11" i="36"/>
  <c r="G10" i="36"/>
  <c r="G9" i="36"/>
  <c r="J4" i="36" s="1"/>
  <c r="A9" i="36"/>
  <c r="G8" i="36"/>
  <c r="A8" i="36"/>
  <c r="G7" i="36"/>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G13" i="35"/>
  <c r="G12" i="35"/>
  <c r="G11" i="35"/>
  <c r="G10" i="35"/>
  <c r="G9" i="35"/>
  <c r="G8" i="35"/>
  <c r="A8" i="35"/>
  <c r="A9" i="35" s="1"/>
  <c r="A10" i="35" s="1"/>
  <c r="A11" i="35" s="1"/>
  <c r="A12" i="35" s="1"/>
  <c r="A13" i="35" s="1"/>
  <c r="G7" i="35"/>
  <c r="J4" i="35"/>
  <c r="A100" i="34"/>
  <c r="A99" i="34"/>
  <c r="A98" i="34"/>
  <c r="A97" i="34"/>
  <c r="A96" i="34"/>
  <c r="A95" i="34"/>
  <c r="A94" i="34"/>
  <c r="A93" i="34"/>
  <c r="A92" i="34"/>
  <c r="A91" i="34"/>
  <c r="A90" i="34"/>
  <c r="A89" i="34"/>
  <c r="A88" i="34"/>
  <c r="A87" i="34"/>
  <c r="A86" i="34"/>
  <c r="A85" i="34"/>
  <c r="A84" i="34"/>
  <c r="A83" i="34"/>
  <c r="A82" i="34"/>
  <c r="A81" i="34"/>
  <c r="A80" i="34"/>
  <c r="A79" i="34"/>
  <c r="A69" i="34"/>
  <c r="A68" i="34"/>
  <c r="A67" i="34"/>
  <c r="A66" i="34"/>
  <c r="A65" i="34"/>
  <c r="A64" i="34"/>
  <c r="A63" i="34"/>
  <c r="A62" i="34"/>
  <c r="A61" i="34"/>
  <c r="A60" i="34"/>
  <c r="A59" i="34"/>
  <c r="A58" i="34"/>
  <c r="A57" i="34"/>
  <c r="A56" i="34"/>
  <c r="A55" i="34"/>
  <c r="A54" i="34"/>
  <c r="A53" i="34"/>
  <c r="A52" i="34"/>
  <c r="A51" i="34"/>
  <c r="A50" i="34"/>
  <c r="A49" i="34"/>
  <c r="A48" i="34"/>
  <c r="A47" i="34"/>
  <c r="A46" i="34"/>
  <c r="A45" i="34"/>
  <c r="G35" i="34"/>
  <c r="G34" i="34"/>
  <c r="G33" i="34"/>
  <c r="G32" i="34"/>
  <c r="G31" i="34"/>
  <c r="G30" i="34"/>
  <c r="G29" i="34"/>
  <c r="G28" i="34"/>
  <c r="G27" i="34"/>
  <c r="G26" i="34"/>
  <c r="G25" i="34"/>
  <c r="G24" i="34"/>
  <c r="G23" i="34"/>
  <c r="G22" i="34"/>
  <c r="G21" i="34"/>
  <c r="G20" i="34"/>
  <c r="G19" i="34"/>
  <c r="G18" i="34"/>
  <c r="G17" i="34"/>
  <c r="G16" i="34"/>
  <c r="G15" i="34"/>
  <c r="G14" i="34"/>
  <c r="G13" i="34"/>
  <c r="G12" i="34"/>
  <c r="G11" i="34"/>
  <c r="G10" i="34"/>
  <c r="G9" i="34"/>
  <c r="G8" i="34"/>
  <c r="A8" i="34"/>
  <c r="G7" i="34"/>
  <c r="A100" i="33"/>
  <c r="A99" i="33"/>
  <c r="A98" i="33"/>
  <c r="A97" i="33"/>
  <c r="A96" i="33"/>
  <c r="A95" i="33"/>
  <c r="A94" i="33"/>
  <c r="A93" i="33"/>
  <c r="A92" i="33"/>
  <c r="A91" i="33"/>
  <c r="A90" i="33"/>
  <c r="A89" i="33"/>
  <c r="A88"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A48" i="33"/>
  <c r="A47" i="33"/>
  <c r="A46" i="33"/>
  <c r="A45" i="33"/>
  <c r="A44" i="33"/>
  <c r="A43" i="33"/>
  <c r="A42" i="33"/>
  <c r="A41" i="33"/>
  <c r="A40" i="33"/>
  <c r="A39" i="33"/>
  <c r="A38" i="33"/>
  <c r="A37" i="33"/>
  <c r="A36" i="33"/>
  <c r="A35" i="33"/>
  <c r="A34" i="33"/>
  <c r="A33" i="33"/>
  <c r="A32" i="33"/>
  <c r="A31" i="33"/>
  <c r="A30" i="33"/>
  <c r="A29" i="33"/>
  <c r="A28" i="33"/>
  <c r="A27" i="33"/>
  <c r="A26" i="33"/>
  <c r="A25" i="33"/>
  <c r="A24" i="33"/>
  <c r="A23" i="33"/>
  <c r="A22" i="33"/>
  <c r="A21" i="33"/>
  <c r="A20" i="33"/>
  <c r="G18" i="33"/>
  <c r="G17" i="33"/>
  <c r="G16" i="33"/>
  <c r="G15" i="33"/>
  <c r="G14" i="33"/>
  <c r="G13" i="33"/>
  <c r="A13" i="33"/>
  <c r="A14" i="33" s="1"/>
  <c r="A15" i="33" s="1"/>
  <c r="A16" i="33" s="1"/>
  <c r="A17" i="33" s="1"/>
  <c r="A18" i="33" s="1"/>
  <c r="A19" i="33" s="1"/>
  <c r="G12" i="33"/>
  <c r="G11" i="33"/>
  <c r="G10" i="33"/>
  <c r="G9" i="33"/>
  <c r="A9" i="33"/>
  <c r="A10" i="33" s="1"/>
  <c r="A11" i="33" s="1"/>
  <c r="A12" i="33" s="1"/>
  <c r="G8" i="33"/>
  <c r="A8" i="33"/>
  <c r="G7" i="33"/>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G14" i="32"/>
  <c r="G13" i="32"/>
  <c r="G12" i="32"/>
  <c r="G11" i="32"/>
  <c r="G10" i="32"/>
  <c r="G9" i="32"/>
  <c r="A9" i="32"/>
  <c r="G8" i="32"/>
  <c r="A8" i="32"/>
  <c r="G7" i="32"/>
  <c r="J4" i="32" s="1"/>
  <c r="A100" i="31"/>
  <c r="A99" i="31"/>
  <c r="A98" i="31"/>
  <c r="A97" i="31"/>
  <c r="A96" i="31"/>
  <c r="A95" i="31"/>
  <c r="A94" i="31"/>
  <c r="A93" i="31"/>
  <c r="A92" i="31"/>
  <c r="A89" i="31"/>
  <c r="A88" i="31"/>
  <c r="A87" i="31"/>
  <c r="A86" i="31"/>
  <c r="A85" i="31"/>
  <c r="A84" i="31"/>
  <c r="A83" i="31"/>
  <c r="A82" i="31"/>
  <c r="A81" i="31"/>
  <c r="A80" i="31"/>
  <c r="A79" i="31"/>
  <c r="A78" i="31"/>
  <c r="A77" i="31"/>
  <c r="A76" i="31"/>
  <c r="A75" i="31"/>
  <c r="A74" i="31"/>
  <c r="A73" i="31"/>
  <c r="A72" i="31"/>
  <c r="A69" i="31"/>
  <c r="A68" i="31"/>
  <c r="A67" i="31"/>
  <c r="A66" i="31"/>
  <c r="A65" i="31"/>
  <c r="A64" i="31"/>
  <c r="A63" i="31"/>
  <c r="A62" i="31"/>
  <c r="A61" i="31"/>
  <c r="A60" i="31"/>
  <c r="A59" i="31"/>
  <c r="A58" i="31"/>
  <c r="A57" i="31"/>
  <c r="A56" i="31"/>
  <c r="A55" i="31"/>
  <c r="A54" i="31"/>
  <c r="A53" i="31"/>
  <c r="A52" i="31"/>
  <c r="A49" i="31"/>
  <c r="A48" i="31"/>
  <c r="A47" i="31"/>
  <c r="A46" i="31"/>
  <c r="A45" i="31"/>
  <c r="A44" i="31"/>
  <c r="A43" i="31"/>
  <c r="A42" i="31"/>
  <c r="A41" i="31"/>
  <c r="A40" i="31"/>
  <c r="A39" i="31"/>
  <c r="A38" i="31"/>
  <c r="A37" i="31"/>
  <c r="A36" i="31"/>
  <c r="A35" i="31"/>
  <c r="A34" i="31"/>
  <c r="A33" i="31"/>
  <c r="A32" i="31"/>
  <c r="G26" i="31"/>
  <c r="G25" i="31"/>
  <c r="G24" i="31"/>
  <c r="G23" i="31"/>
  <c r="G22" i="31"/>
  <c r="G21" i="31"/>
  <c r="G20" i="31"/>
  <c r="G19" i="31"/>
  <c r="G18" i="31"/>
  <c r="G17" i="31"/>
  <c r="G16" i="31"/>
  <c r="G15" i="31"/>
  <c r="G14" i="31"/>
  <c r="G13" i="31"/>
  <c r="G12" i="31"/>
  <c r="G11" i="31"/>
  <c r="G10" i="31"/>
  <c r="G9" i="31"/>
  <c r="A9" i="31"/>
  <c r="G8" i="31"/>
  <c r="A8" i="31"/>
  <c r="G7" i="31"/>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G37" i="30"/>
  <c r="G36" i="30"/>
  <c r="G35" i="30"/>
  <c r="G34" i="30"/>
  <c r="G33" i="30"/>
  <c r="G32" i="30"/>
  <c r="G31" i="30"/>
  <c r="G30" i="30"/>
  <c r="G29" i="30"/>
  <c r="G28" i="30"/>
  <c r="G27" i="30"/>
  <c r="G26" i="30"/>
  <c r="G25" i="30"/>
  <c r="G24" i="30"/>
  <c r="G23" i="30"/>
  <c r="G22" i="30"/>
  <c r="G21" i="30"/>
  <c r="G20" i="30"/>
  <c r="G19" i="30"/>
  <c r="G18" i="30"/>
  <c r="G17" i="30"/>
  <c r="G16" i="30"/>
  <c r="G15" i="30"/>
  <c r="G14" i="30"/>
  <c r="G13" i="30"/>
  <c r="G12" i="30"/>
  <c r="G11" i="30"/>
  <c r="G10" i="30"/>
  <c r="G9" i="30"/>
  <c r="G8" i="30"/>
  <c r="A8" i="30"/>
  <c r="G7" i="30"/>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4" i="29"/>
  <c r="G19" i="29"/>
  <c r="G18" i="29"/>
  <c r="G17" i="29"/>
  <c r="G16" i="29"/>
  <c r="G15" i="29"/>
  <c r="G14" i="29"/>
  <c r="G13" i="29"/>
  <c r="G12" i="29"/>
  <c r="G11" i="29"/>
  <c r="G10" i="29"/>
  <c r="G9" i="29"/>
  <c r="A9" i="29"/>
  <c r="A10" i="29" s="1"/>
  <c r="A11" i="29" s="1"/>
  <c r="A12" i="29" s="1"/>
  <c r="A13" i="29" s="1"/>
  <c r="A14" i="29" s="1"/>
  <c r="A15" i="29" s="1"/>
  <c r="A16" i="29" s="1"/>
  <c r="A17" i="29" s="1"/>
  <c r="A18" i="29" s="1"/>
  <c r="A19" i="29" s="1"/>
  <c r="G8" i="29"/>
  <c r="A8" i="29"/>
  <c r="G7" i="29"/>
  <c r="J4" i="29" s="1"/>
  <c r="A100" i="28"/>
  <c r="A99" i="28"/>
  <c r="A98" i="28"/>
  <c r="A97" i="28"/>
  <c r="A96" i="28"/>
  <c r="A95" i="28"/>
  <c r="A94" i="28"/>
  <c r="A93" i="28"/>
  <c r="A92" i="28"/>
  <c r="A91" i="28"/>
  <c r="A90" i="28"/>
  <c r="A89" i="28"/>
  <c r="A88" i="28"/>
  <c r="A87" i="28"/>
  <c r="A86" i="28"/>
  <c r="A85" i="28"/>
  <c r="A84" i="28"/>
  <c r="A83" i="28"/>
  <c r="A82" i="28"/>
  <c r="A81" i="28"/>
  <c r="A80" i="28"/>
  <c r="A79" i="28"/>
  <c r="A78" i="28"/>
  <c r="A77" i="28"/>
  <c r="A76" i="28"/>
  <c r="A75" i="28"/>
  <c r="A74" i="28"/>
  <c r="A73" i="28"/>
  <c r="A72" i="28"/>
  <c r="A71" i="28"/>
  <c r="A70" i="28"/>
  <c r="A69" i="28"/>
  <c r="A68" i="28"/>
  <c r="A67" i="28"/>
  <c r="A66" i="28"/>
  <c r="A65" i="28"/>
  <c r="A64" i="28"/>
  <c r="A63" i="28"/>
  <c r="A62" i="28"/>
  <c r="A61" i="28"/>
  <c r="A60" i="28"/>
  <c r="A59" i="28"/>
  <c r="A58" i="28"/>
  <c r="A57" i="28"/>
  <c r="A56" i="28"/>
  <c r="A55" i="28"/>
  <c r="A54" i="28"/>
  <c r="A53" i="28"/>
  <c r="A52" i="28"/>
  <c r="A51" i="28"/>
  <c r="A50" i="28"/>
  <c r="A49" i="28"/>
  <c r="A48" i="28"/>
  <c r="A47" i="28"/>
  <c r="A46" i="28"/>
  <c r="A45" i="28"/>
  <c r="A44" i="28"/>
  <c r="A43" i="28"/>
  <c r="A42" i="28"/>
  <c r="A41" i="28"/>
  <c r="G35" i="28"/>
  <c r="G34" i="28"/>
  <c r="G33" i="28"/>
  <c r="G32" i="28"/>
  <c r="G31" i="28"/>
  <c r="G30" i="28"/>
  <c r="G29" i="28"/>
  <c r="G28" i="28"/>
  <c r="G27" i="28"/>
  <c r="G26" i="28"/>
  <c r="G25" i="28"/>
  <c r="G24" i="28"/>
  <c r="G23" i="28"/>
  <c r="G22" i="28"/>
  <c r="G21" i="28"/>
  <c r="G19" i="28"/>
  <c r="G18" i="28"/>
  <c r="G17" i="28"/>
  <c r="G16" i="28"/>
  <c r="G13" i="28"/>
  <c r="G12" i="28"/>
  <c r="G11" i="28"/>
  <c r="G10" i="28"/>
  <c r="G9" i="28"/>
  <c r="G8" i="28"/>
  <c r="A8" i="28"/>
  <c r="A9" i="28" s="1"/>
  <c r="A10" i="28" s="1"/>
  <c r="A11" i="28" s="1"/>
  <c r="A12" i="28" s="1"/>
  <c r="A13" i="28" s="1"/>
  <c r="A14" i="28" s="1"/>
  <c r="A15" i="28" s="1"/>
  <c r="A16" i="28" s="1"/>
  <c r="A17" i="28" s="1"/>
  <c r="A18" i="28" s="1"/>
  <c r="A19" i="28" s="1"/>
  <c r="G7" i="28"/>
  <c r="A100" i="27"/>
  <c r="A99" i="27"/>
  <c r="A98" i="27"/>
  <c r="A97" i="27"/>
  <c r="A96" i="27"/>
  <c r="A95" i="27"/>
  <c r="A93" i="27"/>
  <c r="A77" i="27"/>
  <c r="A76" i="27"/>
  <c r="A75" i="27"/>
  <c r="A74" i="27"/>
  <c r="A73" i="27"/>
  <c r="A72" i="27"/>
  <c r="A71" i="27"/>
  <c r="A70" i="27"/>
  <c r="A69" i="27"/>
  <c r="A68" i="27"/>
  <c r="A67" i="27"/>
  <c r="A66" i="27"/>
  <c r="A65" i="27"/>
  <c r="A64" i="27"/>
  <c r="A62" i="27"/>
  <c r="A46" i="27"/>
  <c r="A45" i="27"/>
  <c r="A44" i="27"/>
  <c r="A43" i="27"/>
  <c r="A42" i="27"/>
  <c r="A41" i="27"/>
  <c r="A40" i="27"/>
  <c r="A39" i="27"/>
  <c r="A38" i="27"/>
  <c r="A37" i="27"/>
  <c r="A36" i="27"/>
  <c r="A35" i="27"/>
  <c r="A34" i="27"/>
  <c r="A33" i="27"/>
  <c r="A31" i="27"/>
  <c r="A16" i="27"/>
  <c r="A15" i="27"/>
  <c r="G14" i="27"/>
  <c r="G13" i="27"/>
  <c r="J4" i="27" s="1"/>
  <c r="G12" i="27"/>
  <c r="G11" i="27"/>
  <c r="G10" i="27"/>
  <c r="A9" i="27"/>
  <c r="A10" i="27" s="1"/>
  <c r="A11" i="27" s="1"/>
  <c r="A12" i="27" s="1"/>
  <c r="A13" i="27" s="1"/>
  <c r="A14" i="27" s="1"/>
  <c r="G8" i="27"/>
  <c r="A8" i="27"/>
  <c r="G7" i="27"/>
  <c r="A100" i="26"/>
  <c r="A99" i="26"/>
  <c r="A98" i="26"/>
  <c r="A97" i="26"/>
  <c r="A96" i="26"/>
  <c r="A95" i="26"/>
  <c r="A93" i="26"/>
  <c r="A77" i="26"/>
  <c r="A76" i="26"/>
  <c r="A75" i="26"/>
  <c r="A74" i="26"/>
  <c r="A73" i="26"/>
  <c r="A72" i="26"/>
  <c r="A71" i="26"/>
  <c r="A70" i="26"/>
  <c r="A69" i="26"/>
  <c r="A68" i="26"/>
  <c r="A67" i="26"/>
  <c r="A66" i="26"/>
  <c r="A65" i="26"/>
  <c r="A64" i="26"/>
  <c r="A62" i="26"/>
  <c r="A46" i="26"/>
  <c r="A45" i="26"/>
  <c r="A44" i="26"/>
  <c r="A43" i="26"/>
  <c r="A42" i="26"/>
  <c r="A41" i="26"/>
  <c r="A40" i="26"/>
  <c r="A39" i="26"/>
  <c r="A38" i="26"/>
  <c r="A37" i="26"/>
  <c r="A36" i="26"/>
  <c r="A35" i="26"/>
  <c r="A34" i="26"/>
  <c r="A33" i="26"/>
  <c r="A31" i="26"/>
  <c r="G17" i="26"/>
  <c r="G16" i="26"/>
  <c r="G15" i="26"/>
  <c r="G14" i="26"/>
  <c r="G13" i="26"/>
  <c r="G12" i="26"/>
  <c r="G11" i="26"/>
  <c r="J4" i="26" s="1"/>
  <c r="G10" i="26"/>
  <c r="G8" i="26"/>
  <c r="A8" i="26"/>
  <c r="A9" i="26" s="1"/>
  <c r="A10" i="26" s="1"/>
  <c r="A11" i="26" s="1"/>
  <c r="A12" i="26" s="1"/>
  <c r="A13" i="26" s="1"/>
  <c r="A14" i="26" s="1"/>
  <c r="A15" i="26" s="1"/>
  <c r="A16" i="26" s="1"/>
  <c r="A17" i="26" s="1"/>
  <c r="G7" i="26"/>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G23" i="25"/>
  <c r="G22" i="25"/>
  <c r="G21" i="25"/>
  <c r="G20" i="25"/>
  <c r="G19" i="25"/>
  <c r="G18" i="25"/>
  <c r="G17" i="25"/>
  <c r="G16" i="25"/>
  <c r="G15" i="25"/>
  <c r="G14" i="25"/>
  <c r="G13" i="25"/>
  <c r="G12" i="25"/>
  <c r="A12" i="25"/>
  <c r="A13" i="25" s="1"/>
  <c r="A14" i="25" s="1"/>
  <c r="G11" i="25"/>
  <c r="G10" i="25"/>
  <c r="A10" i="25"/>
  <c r="A11" i="25" s="1"/>
  <c r="G9" i="25"/>
  <c r="G8" i="25"/>
  <c r="A8" i="25"/>
  <c r="A9" i="25" s="1"/>
  <c r="G7" i="25"/>
  <c r="A100" i="24"/>
  <c r="A99" i="24"/>
  <c r="A98" i="24"/>
  <c r="A97" i="24"/>
  <c r="A96" i="24"/>
  <c r="A95" i="24"/>
  <c r="A94" i="24"/>
  <c r="A93" i="24"/>
  <c r="A92" i="24"/>
  <c r="A91" i="24"/>
  <c r="A90" i="24"/>
  <c r="A89" i="24"/>
  <c r="A88" i="24"/>
  <c r="A87" i="24"/>
  <c r="A86" i="24"/>
  <c r="A85" i="24"/>
  <c r="A84" i="24"/>
  <c r="A83" i="24"/>
  <c r="A82" i="24"/>
  <c r="A81" i="24"/>
  <c r="A80" i="24"/>
  <c r="A79" i="24"/>
  <c r="A78" i="24"/>
  <c r="A77" i="24"/>
  <c r="A76" i="24"/>
  <c r="A75" i="24"/>
  <c r="A74" i="24"/>
  <c r="A73" i="24"/>
  <c r="A72" i="24"/>
  <c r="A71" i="24"/>
  <c r="A70" i="24"/>
  <c r="A69" i="24"/>
  <c r="A68" i="24"/>
  <c r="A67" i="24"/>
  <c r="A66" i="24"/>
  <c r="A65" i="24"/>
  <c r="A64" i="24"/>
  <c r="A63" i="24"/>
  <c r="A62" i="24"/>
  <c r="A61" i="24"/>
  <c r="A60" i="24"/>
  <c r="A59" i="24"/>
  <c r="A58" i="24"/>
  <c r="A57" i="24"/>
  <c r="A56" i="24"/>
  <c r="A55" i="24"/>
  <c r="A54" i="24"/>
  <c r="A53" i="24"/>
  <c r="A52" i="24"/>
  <c r="A51" i="24"/>
  <c r="A50" i="24"/>
  <c r="A49" i="24"/>
  <c r="A48" i="24"/>
  <c r="A47" i="24"/>
  <c r="A46" i="24"/>
  <c r="A45" i="24"/>
  <c r="A44" i="24"/>
  <c r="A43" i="24"/>
  <c r="A42" i="24"/>
  <c r="A41" i="24"/>
  <c r="A40" i="24"/>
  <c r="A39" i="24"/>
  <c r="A38" i="24"/>
  <c r="A37" i="24"/>
  <c r="A36" i="24"/>
  <c r="A35" i="24"/>
  <c r="A34" i="24"/>
  <c r="A33" i="24"/>
  <c r="A32" i="24"/>
  <c r="A31" i="24"/>
  <c r="A30" i="24"/>
  <c r="A29" i="24"/>
  <c r="A28" i="24"/>
  <c r="A27" i="24"/>
  <c r="A26" i="24"/>
  <c r="A25" i="24"/>
  <c r="A24" i="24"/>
  <c r="G22" i="24"/>
  <c r="G21" i="24"/>
  <c r="G20" i="24"/>
  <c r="G19" i="24"/>
  <c r="G18" i="24"/>
  <c r="G17" i="24"/>
  <c r="G16" i="24"/>
  <c r="G15" i="24"/>
  <c r="G14" i="24"/>
  <c r="G13" i="24"/>
  <c r="G12" i="24"/>
  <c r="G11" i="24"/>
  <c r="A11" i="24"/>
  <c r="A12" i="24" s="1"/>
  <c r="A13" i="24" s="1"/>
  <c r="A14" i="24" s="1"/>
  <c r="A15" i="24" s="1"/>
  <c r="A16" i="24" s="1"/>
  <c r="A17" i="24" s="1"/>
  <c r="A18" i="24" s="1"/>
  <c r="A19" i="24" s="1"/>
  <c r="A20" i="24" s="1"/>
  <c r="A21" i="24" s="1"/>
  <c r="A22" i="24" s="1"/>
  <c r="G10" i="24"/>
  <c r="G9" i="24"/>
  <c r="J4" i="24" s="1"/>
  <c r="A9" i="24"/>
  <c r="A10" i="24" s="1"/>
  <c r="G8" i="24"/>
  <c r="A8" i="24"/>
  <c r="G7" i="24"/>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G17" i="23"/>
  <c r="G16" i="23"/>
  <c r="G15" i="23"/>
  <c r="G14" i="23"/>
  <c r="G13" i="23"/>
  <c r="G12" i="23"/>
  <c r="G11" i="23"/>
  <c r="G10" i="23"/>
  <c r="G9" i="23"/>
  <c r="G8" i="23"/>
  <c r="A8" i="23"/>
  <c r="A9" i="23" s="1"/>
  <c r="A10" i="23" s="1"/>
  <c r="A11" i="23" s="1"/>
  <c r="A12" i="23" s="1"/>
  <c r="A13" i="23" s="1"/>
  <c r="A14" i="23" s="1"/>
  <c r="A15" i="23" s="1"/>
  <c r="A16" i="23" s="1"/>
  <c r="A17" i="23" s="1"/>
  <c r="G7" i="23"/>
  <c r="A100" i="22"/>
  <c r="A99" i="22"/>
  <c r="A98" i="22"/>
  <c r="A97" i="22"/>
  <c r="A96" i="22"/>
  <c r="A95" i="22"/>
  <c r="A94" i="22"/>
  <c r="A93" i="22"/>
  <c r="A92" i="22"/>
  <c r="A91" i="22"/>
  <c r="A90" i="22"/>
  <c r="A89" i="22"/>
  <c r="A88" i="22"/>
  <c r="A87"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G16" i="22"/>
  <c r="G15" i="22"/>
  <c r="G14" i="22"/>
  <c r="G13" i="22"/>
  <c r="G12" i="22"/>
  <c r="G11" i="22"/>
  <c r="G10" i="22"/>
  <c r="G9" i="22"/>
  <c r="G8" i="22"/>
  <c r="A8" i="22"/>
  <c r="G7" i="22"/>
  <c r="A100" i="21"/>
  <c r="A99" i="21"/>
  <c r="A98" i="21"/>
  <c r="A97" i="21"/>
  <c r="A96" i="21"/>
  <c r="A95" i="21"/>
  <c r="A94" i="21"/>
  <c r="A93" i="21"/>
  <c r="A92" i="21"/>
  <c r="A91" i="21"/>
  <c r="A90" i="21"/>
  <c r="A89" i="21"/>
  <c r="A88" i="21"/>
  <c r="A87" i="21"/>
  <c r="A86" i="21"/>
  <c r="A85" i="21"/>
  <c r="A84" i="21"/>
  <c r="A83" i="21"/>
  <c r="A82" i="21"/>
  <c r="A81" i="21"/>
  <c r="A80" i="21"/>
  <c r="A79" i="21"/>
  <c r="A77" i="21"/>
  <c r="A74" i="21"/>
  <c r="A73" i="21"/>
  <c r="A72" i="21"/>
  <c r="A71" i="21"/>
  <c r="A70" i="21"/>
  <c r="A69" i="21"/>
  <c r="A68" i="21"/>
  <c r="A67" i="21"/>
  <c r="A66" i="21"/>
  <c r="A65" i="21"/>
  <c r="A64" i="21"/>
  <c r="A63" i="21"/>
  <c r="A62" i="21"/>
  <c r="A61" i="21"/>
  <c r="A60" i="21"/>
  <c r="A59" i="21"/>
  <c r="A58" i="21"/>
  <c r="A57" i="21"/>
  <c r="A56" i="21"/>
  <c r="A55" i="21"/>
  <c r="A53" i="21"/>
  <c r="A50" i="21"/>
  <c r="A49" i="21"/>
  <c r="A48" i="21"/>
  <c r="A47" i="21"/>
  <c r="A46" i="21"/>
  <c r="A45" i="21"/>
  <c r="A44" i="21"/>
  <c r="A43" i="21"/>
  <c r="A42" i="21"/>
  <c r="A41" i="21"/>
  <c r="A40" i="21"/>
  <c r="A39" i="21"/>
  <c r="A38" i="21"/>
  <c r="A37" i="21"/>
  <c r="A36" i="21"/>
  <c r="A35" i="21"/>
  <c r="A34" i="21"/>
  <c r="A33" i="21"/>
  <c r="A32" i="21"/>
  <c r="A31" i="21"/>
  <c r="A29" i="21"/>
  <c r="G25" i="21"/>
  <c r="G24" i="21"/>
  <c r="G23" i="21"/>
  <c r="G22" i="21"/>
  <c r="G21" i="21"/>
  <c r="G20" i="21"/>
  <c r="G19" i="21"/>
  <c r="G18" i="21"/>
  <c r="G17" i="21"/>
  <c r="G16" i="21"/>
  <c r="G15" i="21"/>
  <c r="G14" i="21"/>
  <c r="G13" i="21"/>
  <c r="G12" i="21"/>
  <c r="G11" i="21"/>
  <c r="G10" i="21"/>
  <c r="G9" i="21"/>
  <c r="G8" i="21"/>
  <c r="A8" i="21"/>
  <c r="G7" i="21"/>
  <c r="A100" i="20"/>
  <c r="A99" i="20"/>
  <c r="A98" i="20"/>
  <c r="A97" i="20"/>
  <c r="A96" i="20"/>
  <c r="A95" i="20"/>
  <c r="A94" i="20"/>
  <c r="A93" i="20"/>
  <c r="A92" i="20"/>
  <c r="A91" i="20"/>
  <c r="A90" i="20"/>
  <c r="A89" i="20"/>
  <c r="A88" i="20"/>
  <c r="A87" i="20"/>
  <c r="A85" i="20"/>
  <c r="A84" i="20"/>
  <c r="A83" i="20"/>
  <c r="A82" i="20"/>
  <c r="A81" i="20"/>
  <c r="A80" i="20"/>
  <c r="A79" i="20"/>
  <c r="A78" i="20"/>
  <c r="A77" i="20"/>
  <c r="A76" i="20"/>
  <c r="A75" i="20"/>
  <c r="A74" i="20"/>
  <c r="A73" i="20"/>
  <c r="A72" i="20"/>
  <c r="A70" i="20"/>
  <c r="A69" i="20"/>
  <c r="A68" i="20"/>
  <c r="A67" i="20"/>
  <c r="A66" i="20"/>
  <c r="A65" i="20"/>
  <c r="A64" i="20"/>
  <c r="A63" i="20"/>
  <c r="A62" i="20"/>
  <c r="A61" i="20"/>
  <c r="A60" i="20"/>
  <c r="A59" i="20"/>
  <c r="A58" i="20"/>
  <c r="A57" i="20"/>
  <c r="A55" i="20"/>
  <c r="A54" i="20"/>
  <c r="A53" i="20"/>
  <c r="A52" i="20"/>
  <c r="A51" i="20"/>
  <c r="A50" i="20"/>
  <c r="A49" i="20"/>
  <c r="A48" i="20"/>
  <c r="A47" i="20"/>
  <c r="A46" i="20"/>
  <c r="A45" i="20"/>
  <c r="A44" i="20"/>
  <c r="A43" i="20"/>
  <c r="A42" i="20"/>
  <c r="A40" i="20"/>
  <c r="G37" i="20"/>
  <c r="G36" i="20"/>
  <c r="G35" i="20"/>
  <c r="G34" i="20"/>
  <c r="G31" i="20"/>
  <c r="G30" i="20"/>
  <c r="G29" i="20"/>
  <c r="G28" i="20"/>
  <c r="G27" i="20"/>
  <c r="G26" i="20"/>
  <c r="G25" i="20"/>
  <c r="G24" i="20"/>
  <c r="G23" i="20"/>
  <c r="G22" i="20"/>
  <c r="G21" i="20"/>
  <c r="G20" i="20"/>
  <c r="G19" i="20"/>
  <c r="G18" i="20"/>
  <c r="G17" i="20"/>
  <c r="G16" i="20"/>
  <c r="G15" i="20"/>
  <c r="G14" i="20"/>
  <c r="G13" i="20"/>
  <c r="G12" i="20"/>
  <c r="G11" i="20"/>
  <c r="A11" i="20"/>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G10" i="20"/>
  <c r="G9" i="20"/>
  <c r="G8" i="20"/>
  <c r="J4" i="20" s="1"/>
  <c r="A8" i="20"/>
  <c r="A9" i="20" s="1"/>
  <c r="A10" i="20" s="1"/>
  <c r="G7" i="20"/>
  <c r="A99" i="19"/>
  <c r="A98" i="19"/>
  <c r="A97" i="19"/>
  <c r="A96" i="19"/>
  <c r="A95" i="19"/>
  <c r="A94" i="19"/>
  <c r="A93" i="19"/>
  <c r="A92" i="19"/>
  <c r="A91" i="19"/>
  <c r="A89" i="19"/>
  <c r="A88" i="19"/>
  <c r="A87" i="19"/>
  <c r="A86" i="19"/>
  <c r="A85" i="19"/>
  <c r="A84" i="19"/>
  <c r="A83" i="19"/>
  <c r="A82" i="19"/>
  <c r="A81" i="19"/>
  <c r="A79" i="19"/>
  <c r="A78" i="19"/>
  <c r="A77" i="19"/>
  <c r="A76" i="19"/>
  <c r="A75" i="19"/>
  <c r="A74" i="19"/>
  <c r="A73" i="19"/>
  <c r="A72" i="19"/>
  <c r="A71" i="19"/>
  <c r="A70" i="19"/>
  <c r="A69" i="19"/>
  <c r="A68" i="19"/>
  <c r="A67" i="19"/>
  <c r="A66" i="19"/>
  <c r="A64" i="19"/>
  <c r="A63" i="19"/>
  <c r="A62" i="19"/>
  <c r="A61" i="19"/>
  <c r="A60" i="19"/>
  <c r="A59" i="19"/>
  <c r="A58" i="19"/>
  <c r="A57" i="19"/>
  <c r="A56" i="19"/>
  <c r="A55" i="19"/>
  <c r="A54" i="19"/>
  <c r="A53" i="19"/>
  <c r="A52" i="19"/>
  <c r="A51" i="19"/>
  <c r="A49" i="19"/>
  <c r="A48" i="19"/>
  <c r="A47" i="19"/>
  <c r="A46" i="19"/>
  <c r="A45" i="19"/>
  <c r="A44" i="19"/>
  <c r="A43" i="19"/>
  <c r="A42" i="19"/>
  <c r="A41" i="19"/>
  <c r="A40" i="19"/>
  <c r="A39" i="19"/>
  <c r="A38" i="19"/>
  <c r="A37" i="19"/>
  <c r="A36" i="19"/>
  <c r="A34" i="19"/>
  <c r="A33" i="19"/>
  <c r="A32" i="19"/>
  <c r="A31" i="19"/>
  <c r="A30" i="19"/>
  <c r="A29" i="19"/>
  <c r="A28" i="19"/>
  <c r="A27" i="19"/>
  <c r="A26" i="19"/>
  <c r="A25" i="19"/>
  <c r="A24" i="19"/>
  <c r="A23" i="19"/>
  <c r="A22" i="19"/>
  <c r="A21" i="19"/>
  <c r="A19" i="19"/>
  <c r="G14" i="19"/>
  <c r="G13" i="19"/>
  <c r="G12" i="19"/>
  <c r="G11" i="19"/>
  <c r="G10" i="19"/>
  <c r="G9" i="19"/>
  <c r="A9" i="19"/>
  <c r="A10" i="19" s="1"/>
  <c r="A11" i="19" s="1"/>
  <c r="A12" i="19" s="1"/>
  <c r="A13" i="19" s="1"/>
  <c r="G8" i="19"/>
  <c r="A8" i="19"/>
  <c r="G7" i="19"/>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G25" i="17"/>
  <c r="G24" i="17"/>
  <c r="G23" i="17"/>
  <c r="G22" i="17"/>
  <c r="G21" i="17"/>
  <c r="G20" i="17"/>
  <c r="G19" i="17"/>
  <c r="G18" i="17"/>
  <c r="G17" i="17"/>
  <c r="G16" i="17"/>
  <c r="G15" i="17"/>
  <c r="G14" i="17"/>
  <c r="G13" i="17"/>
  <c r="G12" i="17"/>
  <c r="G11" i="17"/>
  <c r="G10" i="17"/>
  <c r="G9" i="17"/>
  <c r="G8" i="17"/>
  <c r="A8" i="17"/>
  <c r="A9" i="17" s="1"/>
  <c r="A10" i="17" s="1"/>
  <c r="A11" i="17" s="1"/>
  <c r="A12" i="17" s="1"/>
  <c r="A13" i="17" s="1"/>
  <c r="A14" i="17" s="1"/>
  <c r="A15" i="17" s="1"/>
  <c r="A16" i="17" s="1"/>
  <c r="A17" i="17" s="1"/>
  <c r="A18" i="17" s="1"/>
  <c r="A19" i="17" s="1"/>
  <c r="A20" i="17" s="1"/>
  <c r="A21" i="17" s="1"/>
  <c r="A22" i="17" s="1"/>
  <c r="A23" i="17" s="1"/>
  <c r="A24" i="17" s="1"/>
  <c r="A25" i="17" s="1"/>
  <c r="G7" i="17"/>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G34" i="15"/>
  <c r="G33" i="15"/>
  <c r="G32" i="15"/>
  <c r="G31" i="15"/>
  <c r="G30" i="15"/>
  <c r="G29" i="15"/>
  <c r="G28" i="15"/>
  <c r="G27" i="15"/>
  <c r="G26" i="15"/>
  <c r="G25" i="15"/>
  <c r="G24" i="15"/>
  <c r="G23" i="15"/>
  <c r="G22" i="15"/>
  <c r="G21" i="15"/>
  <c r="G20" i="15"/>
  <c r="G19" i="15"/>
  <c r="G18" i="15"/>
  <c r="G17" i="15"/>
  <c r="G16" i="15"/>
  <c r="G15" i="15"/>
  <c r="J4" i="15" s="1"/>
  <c r="G14" i="15"/>
  <c r="G13" i="15"/>
  <c r="G12" i="15"/>
  <c r="G11" i="15"/>
  <c r="A11" i="15"/>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G10" i="15"/>
  <c r="G9" i="15"/>
  <c r="A9" i="15"/>
  <c r="A10" i="15" s="1"/>
  <c r="G8" i="15"/>
  <c r="A8" i="15"/>
  <c r="G7" i="15"/>
  <c r="A98" i="41"/>
  <c r="A97" i="41"/>
  <c r="A96" i="41"/>
  <c r="A95" i="41"/>
  <c r="A94" i="41"/>
  <c r="A93" i="41"/>
  <c r="A92" i="41"/>
  <c r="A91" i="41"/>
  <c r="A90" i="41"/>
  <c r="A89" i="41"/>
  <c r="A88" i="41"/>
  <c r="A87" i="41"/>
  <c r="A86" i="41"/>
  <c r="A85" i="41"/>
  <c r="A84" i="41"/>
  <c r="A83" i="41"/>
  <c r="A82" i="41"/>
  <c r="A81" i="41"/>
  <c r="A80" i="41"/>
  <c r="A79" i="41"/>
  <c r="A78" i="41"/>
  <c r="A77" i="41"/>
  <c r="A76" i="41"/>
  <c r="A75" i="41"/>
  <c r="A74" i="41"/>
  <c r="A73" i="41"/>
  <c r="A72" i="41"/>
  <c r="A71" i="41"/>
  <c r="A70" i="41"/>
  <c r="A69" i="41"/>
  <c r="A68" i="41"/>
  <c r="A67" i="41"/>
  <c r="A66" i="41"/>
  <c r="A65" i="41"/>
  <c r="A64" i="41"/>
  <c r="A63" i="41"/>
  <c r="A62" i="41"/>
  <c r="A61" i="41"/>
  <c r="A60" i="41"/>
  <c r="A59" i="41"/>
  <c r="A58" i="41"/>
  <c r="A57" i="41"/>
  <c r="A56" i="41"/>
  <c r="A55" i="41"/>
  <c r="A54" i="41"/>
  <c r="A53" i="41"/>
  <c r="A52" i="41"/>
  <c r="A51" i="41"/>
  <c r="A50" i="41"/>
  <c r="A49" i="41"/>
  <c r="A48" i="41"/>
  <c r="A47" i="41"/>
  <c r="A46" i="41"/>
  <c r="A45" i="41"/>
  <c r="A44" i="41"/>
  <c r="A43" i="41"/>
  <c r="A42" i="41"/>
  <c r="A41" i="41"/>
  <c r="A40" i="41"/>
  <c r="A39" i="41"/>
  <c r="A38" i="41"/>
  <c r="G37" i="41"/>
  <c r="G36" i="41"/>
  <c r="G35" i="41"/>
  <c r="G34" i="41"/>
  <c r="G33" i="41"/>
  <c r="G32" i="41"/>
  <c r="G31" i="41"/>
  <c r="G30" i="41"/>
  <c r="G29" i="41"/>
  <c r="G28" i="41"/>
  <c r="G27" i="41"/>
  <c r="G26" i="41"/>
  <c r="G25" i="41"/>
  <c r="G24" i="41"/>
  <c r="G23" i="41"/>
  <c r="G22" i="41"/>
  <c r="G21" i="41"/>
  <c r="G20" i="41"/>
  <c r="G19" i="41"/>
  <c r="G18" i="41"/>
  <c r="G17" i="41"/>
  <c r="G16" i="41"/>
  <c r="G15" i="41"/>
  <c r="G14" i="41"/>
  <c r="G13" i="41"/>
  <c r="J4" i="41" s="1"/>
  <c r="G12" i="41"/>
  <c r="G11" i="41"/>
  <c r="G10" i="41"/>
  <c r="G9" i="41"/>
  <c r="A9" i="41"/>
  <c r="A10" i="41" s="1"/>
  <c r="A11" i="41" s="1"/>
  <c r="A12" i="41" s="1"/>
  <c r="A13" i="41" s="1"/>
  <c r="A14" i="41" s="1"/>
  <c r="A15" i="41" s="1"/>
  <c r="A16" i="41" s="1"/>
  <c r="A17" i="41" s="1"/>
  <c r="A18" i="41" s="1"/>
  <c r="A19" i="41" s="1"/>
  <c r="A20" i="41" s="1"/>
  <c r="A21" i="41" s="1"/>
  <c r="A22" i="41" s="1"/>
  <c r="A23" i="41" s="1"/>
  <c r="A24" i="41" s="1"/>
  <c r="A25" i="41" s="1"/>
  <c r="A26" i="41" s="1"/>
  <c r="A27" i="41" s="1"/>
  <c r="A28" i="41" s="1"/>
  <c r="A29" i="41" s="1"/>
  <c r="A30" i="41" s="1"/>
  <c r="A31" i="41" s="1"/>
  <c r="A32" i="41" s="1"/>
  <c r="A33" i="41" s="1"/>
  <c r="A34" i="41" s="1"/>
  <c r="A35" i="41" s="1"/>
  <c r="A36" i="41" s="1"/>
  <c r="A37" i="41" s="1"/>
  <c r="G8" i="41"/>
  <c r="A8" i="41"/>
  <c r="G7" i="41"/>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G33" i="12"/>
  <c r="G32" i="12"/>
  <c r="G31" i="12"/>
  <c r="G30" i="12"/>
  <c r="G29" i="12"/>
  <c r="G28" i="12"/>
  <c r="G27" i="12"/>
  <c r="G26" i="12"/>
  <c r="G25" i="12"/>
  <c r="G24" i="12"/>
  <c r="G23" i="12"/>
  <c r="G22" i="12"/>
  <c r="G21" i="12"/>
  <c r="G20" i="12"/>
  <c r="G19" i="12"/>
  <c r="G18" i="12"/>
  <c r="G17" i="12"/>
  <c r="G16" i="12"/>
  <c r="G15" i="12"/>
  <c r="G14" i="12"/>
  <c r="G13" i="12"/>
  <c r="G12" i="12"/>
  <c r="A12" i="12"/>
  <c r="A13" i="12" s="1"/>
  <c r="A14" i="12" s="1"/>
  <c r="G11" i="12"/>
  <c r="G10" i="12"/>
  <c r="A10" i="12"/>
  <c r="A11" i="12" s="1"/>
  <c r="G9" i="12"/>
  <c r="G8" i="12"/>
  <c r="A8" i="12"/>
  <c r="A9" i="12" s="1"/>
  <c r="G7" i="12"/>
  <c r="A100"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A74" i="11"/>
  <c r="A73" i="11"/>
  <c r="A72" i="11"/>
  <c r="A71" i="11"/>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G21" i="11"/>
  <c r="G20" i="11"/>
  <c r="G19" i="11"/>
  <c r="G18" i="11"/>
  <c r="G17" i="11"/>
  <c r="G15" i="11"/>
  <c r="G14" i="11"/>
  <c r="G13" i="11"/>
  <c r="G12" i="11"/>
  <c r="G11" i="11"/>
  <c r="G10" i="11"/>
  <c r="G9" i="11"/>
  <c r="A9" i="11"/>
  <c r="A10" i="11" s="1"/>
  <c r="A11" i="11" s="1"/>
  <c r="A12" i="11" s="1"/>
  <c r="A13" i="11" s="1"/>
  <c r="A14" i="11" s="1"/>
  <c r="A15" i="11" s="1"/>
  <c r="A16" i="11" s="1"/>
  <c r="A17" i="11" s="1"/>
  <c r="A18" i="11" s="1"/>
  <c r="A19" i="11" s="1"/>
  <c r="A20" i="11" s="1"/>
  <c r="A21" i="11" s="1"/>
  <c r="G8" i="11"/>
  <c r="A8" i="11"/>
  <c r="G7" i="11"/>
  <c r="G126" i="10"/>
  <c r="G125" i="10"/>
  <c r="G124" i="10"/>
  <c r="G123" i="10"/>
  <c r="G122" i="10"/>
  <c r="G121" i="10"/>
  <c r="G120" i="10"/>
  <c r="G119" i="10"/>
  <c r="G118" i="10"/>
  <c r="G117" i="10"/>
  <c r="G116" i="10"/>
  <c r="G115" i="10"/>
  <c r="G114" i="10"/>
  <c r="G113" i="10"/>
  <c r="G112" i="10"/>
  <c r="G111" i="10"/>
  <c r="G110" i="10"/>
  <c r="G109" i="10"/>
  <c r="G108" i="10"/>
  <c r="G107" i="10"/>
  <c r="G106" i="10"/>
  <c r="G105" i="10"/>
  <c r="G104" i="10"/>
  <c r="G103" i="10"/>
  <c r="G102" i="10"/>
  <c r="G101" i="10"/>
  <c r="G100" i="10"/>
  <c r="G99" i="10"/>
  <c r="G98" i="10"/>
  <c r="G97" i="10"/>
  <c r="G96" i="10"/>
  <c r="G95" i="10"/>
  <c r="G94" i="10"/>
  <c r="G93" i="10"/>
  <c r="G92" i="10"/>
  <c r="G91" i="10"/>
  <c r="G90" i="10"/>
  <c r="G89" i="10"/>
  <c r="G88" i="10"/>
  <c r="G87" i="10"/>
  <c r="G86" i="10"/>
  <c r="G85" i="10"/>
  <c r="G84" i="10"/>
  <c r="G83" i="10"/>
  <c r="G82" i="10"/>
  <c r="G81" i="10"/>
  <c r="G80" i="10"/>
  <c r="G79" i="10"/>
  <c r="G78" i="10"/>
  <c r="G77" i="10"/>
  <c r="G76" i="10"/>
  <c r="G75" i="10"/>
  <c r="G74" i="10"/>
  <c r="G73" i="10"/>
  <c r="G72" i="10"/>
  <c r="G71" i="10"/>
  <c r="G70" i="10"/>
  <c r="G69" i="10"/>
  <c r="G68" i="10"/>
  <c r="G67" i="10"/>
  <c r="G66" i="10"/>
  <c r="G65" i="10"/>
  <c r="G64" i="10"/>
  <c r="G63" i="10"/>
  <c r="G62" i="10"/>
  <c r="G61" i="10"/>
  <c r="G60" i="10"/>
  <c r="G59" i="10"/>
  <c r="G58" i="10"/>
  <c r="G57" i="10"/>
  <c r="G56" i="10"/>
  <c r="G55" i="10"/>
  <c r="G54" i="10"/>
  <c r="G53" i="10"/>
  <c r="G52" i="10"/>
  <c r="G51" i="10"/>
  <c r="G50" i="10"/>
  <c r="G49" i="10"/>
  <c r="G48" i="10"/>
  <c r="G47" i="10"/>
  <c r="G46" i="10"/>
  <c r="G45" i="10"/>
  <c r="G44" i="10"/>
  <c r="G43" i="10"/>
  <c r="G42" i="10"/>
  <c r="G41" i="10"/>
  <c r="G40" i="10"/>
  <c r="G39" i="10"/>
  <c r="G38" i="10"/>
  <c r="G37" i="10"/>
  <c r="G36" i="10"/>
  <c r="G35" i="10"/>
  <c r="G34" i="10"/>
  <c r="G33" i="10"/>
  <c r="G32" i="10"/>
  <c r="G31" i="10"/>
  <c r="G30" i="10"/>
  <c r="G29" i="10"/>
  <c r="G28" i="10"/>
  <c r="G27" i="10"/>
  <c r="G26" i="10"/>
  <c r="G25" i="10"/>
  <c r="G24" i="10"/>
  <c r="G23" i="10"/>
  <c r="G22" i="10"/>
  <c r="G21" i="10"/>
  <c r="G20" i="10"/>
  <c r="G19" i="10"/>
  <c r="G18" i="10"/>
  <c r="G17" i="10"/>
  <c r="G16" i="10"/>
  <c r="G15" i="10"/>
  <c r="G14" i="10"/>
  <c r="G13" i="10"/>
  <c r="G12" i="10"/>
  <c r="G11" i="10"/>
  <c r="G10" i="10"/>
  <c r="G9" i="10"/>
  <c r="G8" i="10"/>
  <c r="J4" i="10" s="1"/>
  <c r="A8" i="10"/>
  <c r="A9" i="10" s="1"/>
  <c r="G7" i="10"/>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R66" i="9"/>
  <c r="A66" i="9"/>
  <c r="G65" i="9"/>
  <c r="G44" i="9"/>
  <c r="G43" i="9"/>
  <c r="G42" i="9"/>
  <c r="G41" i="9"/>
  <c r="G40" i="9"/>
  <c r="G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A8" i="9"/>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G7" i="9"/>
  <c r="J4" i="9" s="1"/>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G64" i="8"/>
  <c r="G63" i="8"/>
  <c r="G62" i="8"/>
  <c r="G61" i="8"/>
  <c r="G60" i="8"/>
  <c r="G59" i="8"/>
  <c r="G58" i="8"/>
  <c r="G57" i="8"/>
  <c r="G56" i="8"/>
  <c r="G55" i="8"/>
  <c r="G54" i="8"/>
  <c r="G53" i="8"/>
  <c r="G52" i="8"/>
  <c r="G51" i="8"/>
  <c r="G50" i="8"/>
  <c r="G49" i="8"/>
  <c r="G48" i="8"/>
  <c r="G47" i="8"/>
  <c r="G46" i="8"/>
  <c r="G45" i="8"/>
  <c r="G44" i="8"/>
  <c r="G43" i="8"/>
  <c r="G42" i="8"/>
  <c r="G41" i="8"/>
  <c r="G40" i="8"/>
  <c r="G39"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A8" i="8"/>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G7" i="8"/>
  <c r="J4" i="8" s="1"/>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G23" i="7"/>
  <c r="G22" i="7"/>
  <c r="G21" i="7"/>
  <c r="G20" i="7"/>
  <c r="G19" i="7"/>
  <c r="G18" i="7"/>
  <c r="G17" i="7"/>
  <c r="G16" i="7"/>
  <c r="G15" i="7"/>
  <c r="G14" i="7"/>
  <c r="G13" i="7"/>
  <c r="G12" i="7"/>
  <c r="G11" i="7"/>
  <c r="G10" i="7"/>
  <c r="G9" i="7"/>
  <c r="G8" i="7"/>
  <c r="A8" i="7"/>
  <c r="A9" i="7" s="1"/>
  <c r="A10" i="7" s="1"/>
  <c r="A11" i="7" s="1"/>
  <c r="A12" i="7" s="1"/>
  <c r="A13" i="7" s="1"/>
  <c r="A14" i="7" s="1"/>
  <c r="A15" i="7" s="1"/>
  <c r="A16" i="7" s="1"/>
  <c r="A17" i="7" s="1"/>
  <c r="A18" i="7" s="1"/>
  <c r="A19" i="7" s="1"/>
  <c r="A20" i="7" s="1"/>
  <c r="A21" i="7" s="1"/>
  <c r="A22" i="7" s="1"/>
  <c r="A23" i="7" s="1"/>
  <c r="G7" i="7"/>
  <c r="J4" i="7" s="1"/>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J4" i="6" s="1"/>
  <c r="G9" i="6"/>
  <c r="A9" i="6"/>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G8" i="6"/>
  <c r="A8" i="6"/>
  <c r="G7" i="6"/>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G55" i="5"/>
  <c r="G54" i="5"/>
  <c r="G53" i="5"/>
  <c r="G52" i="5"/>
  <c r="G51" i="5"/>
  <c r="G50" i="5"/>
  <c r="G49" i="5"/>
  <c r="G48" i="5"/>
  <c r="G47" i="5"/>
  <c r="G46" i="5"/>
  <c r="G45" i="5"/>
  <c r="G44" i="5"/>
  <c r="G43" i="5"/>
  <c r="G42" i="5"/>
  <c r="G41" i="5"/>
  <c r="G40" i="5"/>
  <c r="G39" i="5"/>
  <c r="G38" i="5"/>
  <c r="G37" i="5"/>
  <c r="G36" i="5"/>
  <c r="G35" i="5"/>
  <c r="G34" i="5"/>
  <c r="G33" i="5"/>
  <c r="G32" i="5"/>
  <c r="G31" i="5"/>
  <c r="G30" i="5"/>
  <c r="G29" i="5"/>
  <c r="G28" i="5"/>
  <c r="G27" i="5"/>
  <c r="G26" i="5"/>
  <c r="G25" i="5"/>
  <c r="G24" i="5"/>
  <c r="G23" i="5"/>
  <c r="G22" i="5"/>
  <c r="G21" i="5"/>
  <c r="G20" i="5"/>
  <c r="G19" i="5"/>
  <c r="G18" i="5"/>
  <c r="G17" i="5"/>
  <c r="G16" i="5"/>
  <c r="G15" i="5"/>
  <c r="G14" i="5"/>
  <c r="G13" i="5"/>
  <c r="G12" i="5"/>
  <c r="G11" i="5"/>
  <c r="A11" i="5"/>
  <c r="A12" i="5" s="1"/>
  <c r="A13" i="5" s="1"/>
  <c r="G10" i="5"/>
  <c r="J4" i="5" s="1"/>
  <c r="G9" i="5"/>
  <c r="A9" i="5"/>
  <c r="A10" i="5" s="1"/>
  <c r="G8" i="5"/>
  <c r="A8" i="5"/>
  <c r="G7" i="5"/>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A8" i="4"/>
  <c r="A9" i="4" s="1"/>
  <c r="A10" i="4" s="1"/>
  <c r="G7" i="4"/>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J4" i="3" s="1"/>
  <c r="G13" i="3"/>
  <c r="G12" i="3"/>
  <c r="G11" i="3"/>
  <c r="G10" i="3"/>
  <c r="G9" i="3"/>
  <c r="G8" i="3"/>
  <c r="A8" i="3"/>
  <c r="A9" i="3" s="1"/>
  <c r="G7" i="3"/>
  <c r="A98" i="2"/>
  <c r="A97" i="2"/>
  <c r="A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A9" i="2"/>
  <c r="G8" i="2"/>
  <c r="A8" i="2"/>
  <c r="G7" i="2"/>
  <c r="J4" i="2" s="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A8" i="1"/>
  <c r="A9" i="1" s="1"/>
  <c r="G7" i="1"/>
  <c r="J4" i="1" s="1"/>
  <c r="B60" i="40"/>
  <c r="B59" i="40"/>
  <c r="B58" i="40"/>
  <c r="B57" i="40"/>
  <c r="B56" i="40"/>
  <c r="B55" i="40"/>
  <c r="B54" i="40"/>
  <c r="B53" i="40"/>
  <c r="B52" i="40"/>
  <c r="B51" i="40"/>
  <c r="B50" i="40"/>
  <c r="B49" i="40"/>
  <c r="B48" i="40"/>
  <c r="B47" i="40"/>
  <c r="B46" i="40"/>
  <c r="B45" i="40"/>
  <c r="B43"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B5" i="40"/>
  <c r="B4" i="40"/>
  <c r="A20" i="28" l="1"/>
  <c r="A21" i="28" s="1"/>
  <c r="A22" i="28" s="1"/>
  <c r="A23" i="28" s="1"/>
  <c r="A24" i="28" s="1"/>
  <c r="A25" i="28" s="1"/>
  <c r="A26" i="28" s="1"/>
  <c r="A27" i="28" s="1"/>
  <c r="A28" i="28" s="1"/>
  <c r="A29" i="28" s="1"/>
  <c r="A30" i="28" s="1"/>
  <c r="A31" i="28" s="1"/>
  <c r="A32" i="28" s="1"/>
  <c r="A33" i="28" s="1"/>
  <c r="A34" i="28" s="1"/>
  <c r="J3" i="28" s="1"/>
  <c r="A14" i="5"/>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11" i="4"/>
  <c r="A12" i="4" s="1"/>
  <c r="A13" i="4" s="1"/>
  <c r="A10" i="3"/>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10" i="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J3" i="6"/>
  <c r="A10" i="2"/>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15" i="12"/>
  <c r="A16" i="12" s="1"/>
  <c r="A17" i="12" s="1"/>
  <c r="A18" i="12" s="1"/>
  <c r="A19" i="12" s="1"/>
  <c r="A20" i="12" s="1"/>
  <c r="A21" i="12" s="1"/>
  <c r="A22" i="12" s="1"/>
  <c r="A23" i="12" s="1"/>
  <c r="A24" i="12" s="1"/>
  <c r="A25" i="12" s="1"/>
  <c r="A26" i="12" s="1"/>
  <c r="A27" i="12" s="1"/>
  <c r="A28" i="12" s="1"/>
  <c r="A29" i="12" s="1"/>
  <c r="A30" i="12" s="1"/>
  <c r="A31" i="12" s="1"/>
  <c r="A32" i="12" s="1"/>
  <c r="A33" i="12" s="1"/>
  <c r="A15" i="25"/>
  <c r="A16" i="25" s="1"/>
  <c r="A17" i="25" s="1"/>
  <c r="A18" i="25" s="1"/>
  <c r="A19" i="25" s="1"/>
  <c r="A20" i="25" s="1"/>
  <c r="A21" i="25" s="1"/>
  <c r="A22" i="25" s="1"/>
  <c r="A23" i="25" s="1"/>
  <c r="J3" i="25"/>
  <c r="J4" i="4"/>
  <c r="A10" i="10"/>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4" i="19"/>
  <c r="J3" i="19" s="1"/>
  <c r="J3" i="43"/>
  <c r="J3" i="7"/>
  <c r="J3" i="8"/>
  <c r="J3" i="9"/>
  <c r="J4" i="12"/>
  <c r="J4" i="21"/>
  <c r="J4" i="30"/>
  <c r="J4" i="43"/>
  <c r="J4" i="19"/>
  <c r="A9" i="21"/>
  <c r="A10" i="21" s="1"/>
  <c r="A11" i="21" s="1"/>
  <c r="A12" i="21" s="1"/>
  <c r="A13" i="21" s="1"/>
  <c r="A14" i="21" s="1"/>
  <c r="A15" i="21" s="1"/>
  <c r="A16" i="21" s="1"/>
  <c r="A17" i="21" s="1"/>
  <c r="A18" i="21" s="1"/>
  <c r="A19" i="21" s="1"/>
  <c r="A20" i="21" s="1"/>
  <c r="A21" i="21" s="1"/>
  <c r="A22" i="21" s="1"/>
  <c r="A23" i="21" s="1"/>
  <c r="A24" i="21" s="1"/>
  <c r="A25" i="21" s="1"/>
  <c r="J3" i="21"/>
  <c r="J4" i="22"/>
  <c r="J3" i="27"/>
  <c r="A9" i="30"/>
  <c r="A10" i="31"/>
  <c r="A11" i="31" s="1"/>
  <c r="A12" i="31" s="1"/>
  <c r="A13" i="31" s="1"/>
  <c r="A14" i="31" s="1"/>
  <c r="A15" i="31" s="1"/>
  <c r="A16" i="31" s="1"/>
  <c r="A17" i="31" s="1"/>
  <c r="A18" i="31" s="1"/>
  <c r="A19" i="31" s="1"/>
  <c r="A20" i="31" s="1"/>
  <c r="A21" i="31" s="1"/>
  <c r="A22" i="31" s="1"/>
  <c r="A23" i="31" s="1"/>
  <c r="A24" i="31" s="1"/>
  <c r="A25" i="31" s="1"/>
  <c r="A26" i="31" s="1"/>
  <c r="J3" i="33"/>
  <c r="J4" i="34"/>
  <c r="J4" i="47"/>
  <c r="J3" i="15"/>
  <c r="A9" i="22"/>
  <c r="A10" i="22" s="1"/>
  <c r="A11" i="22" s="1"/>
  <c r="A12" i="22" s="1"/>
  <c r="A13" i="22" s="1"/>
  <c r="A14" i="22" s="1"/>
  <c r="A15" i="22" s="1"/>
  <c r="A16" i="22" s="1"/>
  <c r="J3" i="22"/>
  <c r="J4" i="23"/>
  <c r="J3" i="24"/>
  <c r="J4" i="28"/>
  <c r="A10" i="32"/>
  <c r="A11" i="32" s="1"/>
  <c r="A12" i="32" s="1"/>
  <c r="A13" i="32" s="1"/>
  <c r="A14" i="32" s="1"/>
  <c r="A9" i="34"/>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J3" i="34"/>
  <c r="J3" i="44"/>
  <c r="J3" i="11"/>
  <c r="J3" i="29"/>
  <c r="J4" i="42"/>
  <c r="J4" i="44"/>
  <c r="J4" i="11"/>
  <c r="J3" i="23"/>
  <c r="J4" i="25"/>
  <c r="J3" i="26"/>
  <c r="J4" i="33"/>
  <c r="J3" i="35"/>
  <c r="A10" i="49"/>
  <c r="A11" i="49" s="1"/>
  <c r="A12" i="49" s="1"/>
  <c r="A13" i="49" s="1"/>
  <c r="A14" i="49" s="1"/>
  <c r="A15" i="49" s="1"/>
  <c r="A16" i="49" s="1"/>
  <c r="A17" i="49" s="1"/>
  <c r="A18" i="49" s="1"/>
  <c r="A19" i="49" s="1"/>
  <c r="A20" i="49" s="1"/>
  <c r="A21" i="49" s="1"/>
  <c r="A22" i="49" s="1"/>
  <c r="A23" i="49" s="1"/>
  <c r="A24" i="49" s="1"/>
  <c r="A25" i="49" s="1"/>
  <c r="A26" i="49" s="1"/>
  <c r="A27" i="49" s="1"/>
  <c r="A28" i="49" s="1"/>
  <c r="A29" i="49" s="1"/>
  <c r="A30" i="49" s="1"/>
  <c r="A31" i="49" s="1"/>
  <c r="A32" i="49" s="1"/>
  <c r="A33" i="49" s="1"/>
  <c r="A34" i="49" s="1"/>
  <c r="J3" i="47"/>
  <c r="J3" i="41"/>
  <c r="J4" i="17"/>
  <c r="J3" i="17"/>
  <c r="J4" i="31"/>
  <c r="A10" i="36"/>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J3" i="20"/>
  <c r="A10" i="46"/>
  <c r="A11" i="46" s="1"/>
  <c r="A12" i="46" s="1"/>
  <c r="A13" i="46" s="1"/>
  <c r="A14" i="46" s="1"/>
  <c r="A15" i="46" s="1"/>
  <c r="J3" i="46" l="1"/>
  <c r="A11" i="30"/>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36" i="30" s="1"/>
  <c r="A37" i="30" s="1"/>
  <c r="A10" i="30"/>
  <c r="J3" i="49"/>
  <c r="J3" i="36"/>
  <c r="J3" i="42"/>
  <c r="J3" i="32"/>
  <c r="J3" i="1"/>
  <c r="J3" i="3"/>
  <c r="J3" i="31"/>
  <c r="J3" i="12"/>
  <c r="A15" i="4"/>
  <c r="A16" i="4" s="1"/>
  <c r="A17" i="4" s="1"/>
  <c r="A18" i="4" s="1"/>
  <c r="A14" i="4"/>
  <c r="J3" i="5"/>
  <c r="J3" i="10"/>
  <c r="J3" i="2"/>
  <c r="A19" i="4" l="1"/>
  <c r="A20" i="4"/>
  <c r="A21" i="4" s="1"/>
  <c r="A22" i="4" s="1"/>
  <c r="A23" i="4" s="1"/>
  <c r="J3" i="30"/>
  <c r="A25" i="4" l="1"/>
  <c r="A26" i="4" s="1"/>
  <c r="A27" i="4" s="1"/>
  <c r="A28" i="4" s="1"/>
  <c r="A24" i="4"/>
  <c r="A29" i="4" l="1"/>
  <c r="A30" i="4"/>
  <c r="A31" i="4" s="1"/>
  <c r="A32" i="4" s="1"/>
  <c r="A33" i="4" s="1"/>
  <c r="A35" i="4" l="1"/>
  <c r="A36" i="4" s="1"/>
  <c r="A37" i="4" s="1"/>
  <c r="A34" i="4"/>
  <c r="J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100-000001000000}">
      <text>
        <r>
          <rPr>
            <sz val="9"/>
            <rFont val="ＭＳ Ｐゴシック"/>
            <family val="3"/>
            <charset val="128"/>
          </rPr>
          <t>マクロにより自動計算されます</t>
        </r>
      </text>
    </comment>
    <comment ref="J6" authorId="0" shapeId="0" xr:uid="{00000000-0006-0000-01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200-000001000000}">
      <text>
        <r>
          <rPr>
            <sz val="9"/>
            <rFont val="ＭＳ Ｐゴシック"/>
            <family val="3"/>
            <charset val="128"/>
          </rPr>
          <t>マクロにより自動計算されます</t>
        </r>
      </text>
    </comment>
    <comment ref="J6" authorId="0" shapeId="0" xr:uid="{00000000-0006-0000-02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300-000001000000}">
      <text>
        <r>
          <rPr>
            <sz val="9"/>
            <rFont val="ＭＳ Ｐゴシック"/>
            <family val="3"/>
            <charset val="128"/>
          </rPr>
          <t>マクロにより自動計算されます</t>
        </r>
      </text>
    </comment>
    <comment ref="J6" authorId="0" shapeId="0" xr:uid="{00000000-0006-0000-03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400-000001000000}">
      <text>
        <r>
          <rPr>
            <sz val="9"/>
            <rFont val="ＭＳ Ｐゴシック"/>
            <family val="3"/>
            <charset val="128"/>
          </rPr>
          <t>マクロにより自動計算されます</t>
        </r>
      </text>
    </comment>
    <comment ref="J6" authorId="0" shapeId="0" xr:uid="{00000000-0006-0000-04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500-000001000000}">
      <text>
        <r>
          <rPr>
            <sz val="9"/>
            <rFont val="ＭＳ Ｐゴシック"/>
            <family val="3"/>
            <charset val="128"/>
          </rPr>
          <t>マクロにより自動計算されます</t>
        </r>
      </text>
    </comment>
    <comment ref="J6" authorId="0" shapeId="0" xr:uid="{00000000-0006-0000-05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600-000001000000}">
      <text>
        <r>
          <rPr>
            <sz val="9"/>
            <rFont val="ＭＳ Ｐゴシック"/>
            <family val="3"/>
            <charset val="128"/>
          </rPr>
          <t>マクロにより自動計算されます</t>
        </r>
      </text>
    </comment>
    <comment ref="J6" authorId="0" shapeId="0" xr:uid="{00000000-0006-0000-06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700-000001000000}">
      <text>
        <r>
          <rPr>
            <sz val="9"/>
            <rFont val="ＭＳ Ｐゴシック"/>
            <family val="3"/>
            <charset val="128"/>
          </rPr>
          <t>マクロにより自動計算されます</t>
        </r>
      </text>
    </comment>
    <comment ref="J6" authorId="0" shapeId="0" xr:uid="{00000000-0006-0000-07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800-000001000000}">
      <text>
        <r>
          <rPr>
            <sz val="9"/>
            <rFont val="ＭＳ Ｐゴシック"/>
            <family val="3"/>
            <charset val="128"/>
          </rPr>
          <t>マクロにより自動計算されます</t>
        </r>
      </text>
    </comment>
    <comment ref="J6" authorId="0" shapeId="0" xr:uid="{00000000-0006-0000-08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900-000001000000}">
      <text>
        <r>
          <rPr>
            <sz val="9"/>
            <rFont val="ＭＳ Ｐゴシック"/>
            <family val="3"/>
            <charset val="128"/>
          </rPr>
          <t>マクロにより自動計算されます</t>
        </r>
      </text>
    </comment>
    <comment ref="J6" authorId="0" shapeId="0" xr:uid="{00000000-0006-0000-09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A00-000001000000}">
      <text>
        <r>
          <rPr>
            <sz val="9"/>
            <rFont val="ＭＳ Ｐゴシック"/>
            <family val="3"/>
            <charset val="128"/>
          </rPr>
          <t>マクロにより自動計算されます</t>
        </r>
      </text>
    </comment>
    <comment ref="J6" authorId="0" shapeId="0" xr:uid="{00000000-0006-0000-0A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B00-000001000000}">
      <text>
        <r>
          <rPr>
            <sz val="9"/>
            <rFont val="ＭＳ Ｐゴシック"/>
            <family val="3"/>
            <charset val="128"/>
          </rPr>
          <t>マクロにより自動計算されます</t>
        </r>
      </text>
    </comment>
    <comment ref="J6" authorId="0" shapeId="0" xr:uid="{00000000-0006-0000-0B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C00-000001000000}">
      <text>
        <r>
          <rPr>
            <sz val="9"/>
            <rFont val="ＭＳ Ｐゴシック"/>
            <family val="3"/>
            <charset val="128"/>
          </rPr>
          <t>マクロにより自動計算されます</t>
        </r>
      </text>
    </comment>
    <comment ref="J6" authorId="0" shapeId="0" xr:uid="{00000000-0006-0000-0C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D00-000001000000}">
      <text>
        <r>
          <rPr>
            <sz val="9"/>
            <rFont val="ＭＳ Ｐゴシック"/>
            <family val="3"/>
            <charset val="128"/>
          </rPr>
          <t>マクロにより自動計算されます</t>
        </r>
      </text>
    </comment>
    <comment ref="J6" authorId="0" shapeId="0" xr:uid="{00000000-0006-0000-0D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E00-000001000000}">
      <text>
        <r>
          <rPr>
            <sz val="9"/>
            <rFont val="ＭＳ Ｐゴシック"/>
            <family val="3"/>
            <charset val="128"/>
          </rPr>
          <t>マクロにより自動計算されます</t>
        </r>
      </text>
    </comment>
    <comment ref="J6" authorId="0" shapeId="0" xr:uid="{00000000-0006-0000-0E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0F00-000001000000}">
      <text>
        <r>
          <rPr>
            <sz val="9"/>
            <rFont val="ＭＳ Ｐゴシック"/>
            <family val="3"/>
            <charset val="128"/>
          </rPr>
          <t>マクロにより自動計算されます</t>
        </r>
      </text>
    </comment>
    <comment ref="J6" authorId="0" shapeId="0" xr:uid="{00000000-0006-0000-0F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000-000001000000}">
      <text>
        <r>
          <rPr>
            <sz val="9"/>
            <rFont val="ＭＳ Ｐゴシック"/>
            <family val="3"/>
            <charset val="128"/>
          </rPr>
          <t>マクロにより自動計算されます</t>
        </r>
      </text>
    </comment>
    <comment ref="J6" authorId="0" shapeId="0" xr:uid="{00000000-0006-0000-10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100-000001000000}">
      <text>
        <r>
          <rPr>
            <sz val="9"/>
            <rFont val="ＭＳ Ｐゴシック"/>
            <family val="3"/>
            <charset val="128"/>
          </rPr>
          <t>マクロにより自動計算されます</t>
        </r>
      </text>
    </comment>
    <comment ref="J6" authorId="0" shapeId="0" xr:uid="{00000000-0006-0000-11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200-000001000000}">
      <text>
        <r>
          <rPr>
            <sz val="9"/>
            <rFont val="ＭＳ Ｐゴシック"/>
            <family val="3"/>
            <charset val="128"/>
          </rPr>
          <t>マクロにより自動計算されます</t>
        </r>
      </text>
    </comment>
    <comment ref="J6" authorId="0" shapeId="0" xr:uid="{00000000-0006-0000-12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300-000001000000}">
      <text>
        <r>
          <rPr>
            <sz val="9"/>
            <rFont val="ＭＳ Ｐゴシック"/>
            <family val="3"/>
            <charset val="128"/>
          </rPr>
          <t>マクロにより自動計算されます</t>
        </r>
      </text>
    </comment>
    <comment ref="J6" authorId="0" shapeId="0" xr:uid="{00000000-0006-0000-13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400-000001000000}">
      <text>
        <r>
          <rPr>
            <sz val="9"/>
            <rFont val="ＭＳ Ｐゴシック"/>
            <family val="3"/>
            <charset val="128"/>
          </rPr>
          <t>マクロにより自動計算されます</t>
        </r>
      </text>
    </comment>
    <comment ref="J6" authorId="0" shapeId="0" xr:uid="{00000000-0006-0000-14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500-000001000000}">
      <text>
        <r>
          <rPr>
            <sz val="9"/>
            <rFont val="ＭＳ Ｐゴシック"/>
            <family val="3"/>
            <charset val="128"/>
          </rPr>
          <t>マクロにより自動計算されます</t>
        </r>
      </text>
    </comment>
    <comment ref="J6" authorId="0" shapeId="0" xr:uid="{00000000-0006-0000-15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600-000001000000}">
      <text>
        <r>
          <rPr>
            <sz val="9"/>
            <rFont val="ＭＳ Ｐゴシック"/>
            <family val="3"/>
            <charset val="128"/>
          </rPr>
          <t>マクロにより自動計算されます</t>
        </r>
      </text>
    </comment>
    <comment ref="J6" authorId="0" shapeId="0" xr:uid="{00000000-0006-0000-16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700-000001000000}">
      <text>
        <r>
          <rPr>
            <sz val="9"/>
            <rFont val="ＭＳ Ｐゴシック"/>
            <family val="3"/>
            <charset val="128"/>
          </rPr>
          <t>マクロにより自動計算されます</t>
        </r>
      </text>
    </comment>
    <comment ref="J6" authorId="0" shapeId="0" xr:uid="{00000000-0006-0000-17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800-000001000000}">
      <text>
        <r>
          <rPr>
            <sz val="9"/>
            <rFont val="ＭＳ Ｐゴシック"/>
            <family val="3"/>
            <charset val="128"/>
          </rPr>
          <t>マクロにより自動計算されます</t>
        </r>
      </text>
    </comment>
    <comment ref="J6" authorId="0" shapeId="0" xr:uid="{00000000-0006-0000-18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900-000001000000}">
      <text>
        <r>
          <rPr>
            <sz val="9"/>
            <rFont val="ＭＳ Ｐゴシック"/>
            <family val="3"/>
            <charset val="128"/>
          </rPr>
          <t>マクロにより自動計算されます</t>
        </r>
      </text>
    </comment>
    <comment ref="J6" authorId="0" shapeId="0" xr:uid="{00000000-0006-0000-19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A00-000001000000}">
      <text>
        <r>
          <rPr>
            <sz val="9"/>
            <rFont val="ＭＳ Ｐゴシック"/>
            <family val="3"/>
            <charset val="128"/>
          </rPr>
          <t>マクロにより自動計算されます</t>
        </r>
      </text>
    </comment>
    <comment ref="J6" authorId="0" shapeId="0" xr:uid="{00000000-0006-0000-1A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B00-000001000000}">
      <text>
        <r>
          <rPr>
            <sz val="9"/>
            <rFont val="ＭＳ Ｐゴシック"/>
            <family val="3"/>
            <charset val="128"/>
          </rPr>
          <t>マクロにより自動計算されます</t>
        </r>
      </text>
    </comment>
    <comment ref="J6" authorId="0" shapeId="0" xr:uid="{00000000-0006-0000-1B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C00-000001000000}">
      <text>
        <r>
          <rPr>
            <sz val="9"/>
            <rFont val="ＭＳ Ｐゴシック"/>
            <family val="3"/>
            <charset val="128"/>
          </rPr>
          <t>マクロにより自動計算されます</t>
        </r>
      </text>
    </comment>
    <comment ref="J6" authorId="0" shapeId="0" xr:uid="{00000000-0006-0000-1C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D00-000001000000}">
      <text>
        <r>
          <rPr>
            <sz val="9"/>
            <rFont val="ＭＳ Ｐゴシック"/>
            <family val="3"/>
            <charset val="128"/>
          </rPr>
          <t>マクロにより自動計算されます</t>
        </r>
      </text>
    </comment>
    <comment ref="J6" authorId="0" shapeId="0" xr:uid="{00000000-0006-0000-1D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E00-000001000000}">
      <text>
        <r>
          <rPr>
            <sz val="9"/>
            <rFont val="ＭＳ Ｐゴシック"/>
            <family val="3"/>
            <charset val="128"/>
          </rPr>
          <t>マクロにより自動計算されます</t>
        </r>
      </text>
    </comment>
    <comment ref="J6" authorId="0" shapeId="0" xr:uid="{00000000-0006-0000-1E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1F00-000001000000}">
      <text>
        <r>
          <rPr>
            <sz val="9"/>
            <rFont val="ＭＳ Ｐゴシック"/>
            <family val="3"/>
            <charset val="128"/>
          </rPr>
          <t>マクロにより自動計算されます</t>
        </r>
      </text>
    </comment>
    <comment ref="J6" authorId="0" shapeId="0" xr:uid="{00000000-0006-0000-1F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000-000001000000}">
      <text>
        <r>
          <rPr>
            <sz val="9"/>
            <rFont val="ＭＳ Ｐゴシック"/>
            <family val="3"/>
            <charset val="128"/>
          </rPr>
          <t>マクロにより自動計算されます</t>
        </r>
      </text>
    </comment>
    <comment ref="J6" authorId="0" shapeId="0" xr:uid="{00000000-0006-0000-20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100-000001000000}">
      <text>
        <r>
          <rPr>
            <sz val="9"/>
            <rFont val="ＭＳ Ｐゴシック"/>
            <family val="3"/>
            <charset val="128"/>
          </rPr>
          <t>マクロにより自動計算されます</t>
        </r>
      </text>
    </comment>
    <comment ref="J6" authorId="0" shapeId="0" xr:uid="{00000000-0006-0000-21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200-000001000000}">
      <text>
        <r>
          <rPr>
            <sz val="9"/>
            <rFont val="ＭＳ Ｐゴシック"/>
            <family val="3"/>
            <charset val="128"/>
          </rPr>
          <t>マクロにより自動計算されます</t>
        </r>
      </text>
    </comment>
    <comment ref="J6" authorId="0" shapeId="0" xr:uid="{00000000-0006-0000-22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300-000001000000}">
      <text>
        <r>
          <rPr>
            <sz val="9"/>
            <rFont val="ＭＳ Ｐゴシック"/>
            <family val="3"/>
            <charset val="128"/>
          </rPr>
          <t>マクロにより自動計算されます</t>
        </r>
      </text>
    </comment>
    <comment ref="J6" authorId="0" shapeId="0" xr:uid="{00000000-0006-0000-23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400-000001000000}">
      <text>
        <r>
          <rPr>
            <sz val="9"/>
            <rFont val="ＭＳ Ｐゴシック"/>
            <family val="3"/>
            <charset val="128"/>
          </rPr>
          <t>マクロにより自動計算されます</t>
        </r>
      </text>
    </comment>
    <comment ref="J6" authorId="0" shapeId="0" xr:uid="{00000000-0006-0000-24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500-000001000000}">
      <text>
        <r>
          <rPr>
            <sz val="9"/>
            <rFont val="ＭＳ Ｐゴシック"/>
            <family val="3"/>
            <charset val="128"/>
          </rPr>
          <t>マクロにより自動計算されます</t>
        </r>
      </text>
    </comment>
    <comment ref="J6" authorId="0" shapeId="0" xr:uid="{00000000-0006-0000-25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600-000001000000}">
      <text>
        <r>
          <rPr>
            <sz val="9"/>
            <rFont val="ＭＳ Ｐゴシック"/>
            <family val="3"/>
            <charset val="128"/>
          </rPr>
          <t>マクロにより自動計算されます</t>
        </r>
      </text>
    </comment>
    <comment ref="J6" authorId="0" shapeId="0" xr:uid="{00000000-0006-0000-26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700-000001000000}">
      <text>
        <r>
          <rPr>
            <sz val="9"/>
            <rFont val="ＭＳ Ｐゴシック"/>
            <family val="3"/>
            <charset val="128"/>
          </rPr>
          <t>マクロにより自動計算されます</t>
        </r>
      </text>
    </comment>
    <comment ref="J6" authorId="0" shapeId="0" xr:uid="{00000000-0006-0000-27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800-000001000000}">
      <text>
        <r>
          <rPr>
            <sz val="9"/>
            <rFont val="ＭＳ Ｐゴシック"/>
            <family val="3"/>
            <charset val="128"/>
          </rPr>
          <t>マクロにより自動計算されます</t>
        </r>
      </text>
    </comment>
    <comment ref="J6" authorId="0" shapeId="0" xr:uid="{00000000-0006-0000-28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900-000001000000}">
      <text>
        <r>
          <rPr>
            <sz val="9"/>
            <rFont val="ＭＳ Ｐゴシック"/>
            <family val="3"/>
            <charset val="128"/>
          </rPr>
          <t>マクロにより自動計算されます</t>
        </r>
      </text>
    </comment>
    <comment ref="J6" authorId="0" shapeId="0" xr:uid="{00000000-0006-0000-29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A00-000001000000}">
      <text>
        <r>
          <rPr>
            <sz val="9"/>
            <rFont val="ＭＳ Ｐゴシック"/>
            <family val="3"/>
            <charset val="128"/>
          </rPr>
          <t>マクロにより自動計算されます</t>
        </r>
      </text>
    </comment>
    <comment ref="J6" authorId="0" shapeId="0" xr:uid="{00000000-0006-0000-2A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菅原 貴樹</author>
  </authors>
  <commentList>
    <comment ref="G6" authorId="0" shapeId="0" xr:uid="{00000000-0006-0000-2B00-000001000000}">
      <text>
        <r>
          <rPr>
            <sz val="9"/>
            <rFont val="ＭＳ Ｐゴシック"/>
            <family val="3"/>
            <charset val="128"/>
          </rPr>
          <t>マクロにより自動計算されます</t>
        </r>
      </text>
    </comment>
    <comment ref="J6" authorId="0" shapeId="0" xr:uid="{00000000-0006-0000-2B00-000002000000}">
      <text>
        <r>
          <rPr>
            <sz val="9"/>
            <rFont val="ＭＳ Ｐゴシック"/>
            <family val="3"/>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sharedStrings.xml><?xml version="1.0" encoding="utf-8"?>
<sst xmlns="http://schemas.openxmlformats.org/spreadsheetml/2006/main" count="7671" uniqueCount="1854">
  <si>
    <t>No.</t>
  </si>
  <si>
    <t>テーブル名</t>
  </si>
  <si>
    <t>想定件数</t>
  </si>
  <si>
    <t>状況</t>
  </si>
  <si>
    <t>備考</t>
  </si>
  <si>
    <t>論理名</t>
  </si>
  <si>
    <t>物理名</t>
  </si>
  <si>
    <t>各種マスタ・バッチ処理用テーブル</t>
  </si>
  <si>
    <t>CHIKENZOK</t>
  </si>
  <si>
    <t>数件</t>
  </si>
  <si>
    <t>上位から治験情報がきた患者に対して、患者展開にてINSERT</t>
  </si>
  <si>
    <t>治験関係のリスト出力に使っている。</t>
  </si>
  <si>
    <t>KANJYA</t>
  </si>
  <si>
    <t>数万件</t>
  </si>
  <si>
    <t>上位からの属性情報を元に患者展開にてINSERT。一依頼書Noに一レコード。</t>
  </si>
  <si>
    <t>KENZOK</t>
  </si>
  <si>
    <t>上位からの分注情報を元に分注展開にてINSERT。
基本は一依頼書Noに一レコードだが、複数本取りの場合は検体本数分レコードが存在する。</t>
  </si>
  <si>
    <t>２ＩＤ，３ＩＤを取得する際に使うことがある。
それ以外のほとんどのフィールドは空白である。</t>
  </si>
  <si>
    <t>KNKMHMZK</t>
  </si>
  <si>
    <t>数百件</t>
  </si>
  <si>
    <t>新規依頼作成にてINSERTされているが、未使用。</t>
  </si>
  <si>
    <t>IRAI</t>
  </si>
  <si>
    <t>数十万件</t>
  </si>
  <si>
    <t>上位からの依頼情報を元に依頼展開にてINSERT。
一依頼項目に一レコード。サテライト内で自動発生する場合もある。自動発生項目かどうかは[IRIHSMKBN]
を見ればわかる。(IRIHSMKBNが２の場合はサテライト内自動発生)</t>
  </si>
  <si>
    <t>このテーブルのみ検体NOと依頼書NOに同じ値が入っているので注意。</t>
  </si>
  <si>
    <t>BUNCHU</t>
  </si>
  <si>
    <t>上位からの分注情報を元に分注展開にてINSERT。
一依頼項目に一レコード。サテライト内で自動発生する場合もある。</t>
  </si>
  <si>
    <t>NINSIKI</t>
  </si>
  <si>
    <t>２ＩＤ、３ＩＤ、複数本フラグを取得する際に使うことがある。
それ以外のほとんどのフィールドは空白である。</t>
  </si>
  <si>
    <t>KENORDER</t>
  </si>
  <si>
    <t>自動分注分の初回に関しては分注展開時に、それ以外はWS出力時にINSERT。
一依頼項目に一レコード。サテライト内で自動発生する場合もある。</t>
  </si>
  <si>
    <t>分析機へ送る情報を管理する。</t>
  </si>
  <si>
    <t>REALCHK</t>
  </si>
  <si>
    <t>自動再検判定にて使用される情報を管理する。</t>
  </si>
  <si>
    <t>KEKKA</t>
  </si>
  <si>
    <t>オンラインにて受信した測定結果に従ってファイルが作成され、結果情報登録にてINSERT。
測定した結果項目に対して一レコード。</t>
  </si>
  <si>
    <t>画面から手入力でINSERTされる場合もある。
その場合は検査回数０で登録される。</t>
  </si>
  <si>
    <t>KEKKAFREE</t>
  </si>
  <si>
    <t>０件</t>
  </si>
  <si>
    <t>未使用。</t>
  </si>
  <si>
    <t>SOUKAN</t>
  </si>
  <si>
    <t>RIREKI</t>
  </si>
  <si>
    <t>一億件以上</t>
  </si>
  <si>
    <t>日次にてINSERT。
報告結果項目に対して一レコード。</t>
  </si>
  <si>
    <t>履歴チェックに使用する過去分の結果情報。
保存期間は４００日間。古いデータは日次で削除。</t>
  </si>
  <si>
    <t>IJYOSYA</t>
  </si>
  <si>
    <t>XBARM</t>
  </si>
  <si>
    <t>オンラインにてＸ－Ｍマスタに従ってファイルが作成され、結果情報登録にてINSERT。
X-Mの機能が未使用のため、レコードは現在未使用。</t>
  </si>
  <si>
    <t>CTRLKNR</t>
  </si>
  <si>
    <t>CTRLKKA</t>
  </si>
  <si>
    <t>十数万件</t>
  </si>
  <si>
    <t>オンラインにて受信したコントロール測定結果に従ってファイルが作成され、結果情報登録にてINSERT。
測定したコントロール結果項目に対して一レコード。</t>
  </si>
  <si>
    <t>STANDARD</t>
  </si>
  <si>
    <t>BATCHKNRI</t>
  </si>
  <si>
    <t>TRAYKNRI</t>
  </si>
  <si>
    <t>ASYRACKKNRI</t>
  </si>
  <si>
    <t>KENPOS</t>
  </si>
  <si>
    <t>日設ラインから送られてきた情報を元に、各情報の登録処理でINSERT。
現在使用されている区分は、A:供給ストッカー B:サンプラー E:回収ストッカー。</t>
  </si>
  <si>
    <t>主キーが存在しないテーブルのため注意。</t>
  </si>
  <si>
    <t>WSSEQKNRI</t>
  </si>
  <si>
    <t>数百～千件</t>
  </si>
  <si>
    <t>分注ＯＫ分は投入トレー情報登録、それ以外はＷＳ出力の際にINSERT。</t>
  </si>
  <si>
    <t>KNSSEQKNRI</t>
  </si>
  <si>
    <t>WS出力時にUPDATE。日次にて初期状態へリセットされる。
レコードが追加、削除されることはない。</t>
  </si>
  <si>
    <t xml:space="preserve">分注ＯＫ以外のWS用検査SEQを管理している。
</t>
  </si>
  <si>
    <t>HKKKNRI</t>
  </si>
  <si>
    <t>百件</t>
  </si>
  <si>
    <t>報告指示画面でINSERT。報告処理、HULFT送信でステータスをUPDATEしていく。</t>
  </si>
  <si>
    <t>SLIDE</t>
  </si>
  <si>
    <t>XEBSKFLG</t>
  </si>
  <si>
    <t>KNTIDUNKNOWN</t>
  </si>
  <si>
    <t>TRRAKHMZK</t>
  </si>
  <si>
    <t>APLLOG</t>
  </si>
  <si>
    <t>各常駐処理にてファイルが作成され、ログ出力にてINSERT。
参照用の画面があるが、ほとんど未使用。</t>
  </si>
  <si>
    <t>BSSIZOK</t>
  </si>
  <si>
    <t>BSSIKKA</t>
  </si>
  <si>
    <t>HYJKMK</t>
  </si>
  <si>
    <t>各画面よりINSERT、UPDATE。データというよりはマスタに近い。</t>
  </si>
  <si>
    <t>KNKYULOT</t>
  </si>
  <si>
    <t>KMKBTUTEST</t>
  </si>
  <si>
    <t>日次にてレコードが作成、登録されているが、その後削除している。未使用？</t>
  </si>
  <si>
    <t>KNSSNKJYK</t>
  </si>
  <si>
    <t>数万～数十万件</t>
  </si>
  <si>
    <t>検査進行状況集計にてINSERT。
参照用の画面があるが、ほとんど未使用。</t>
  </si>
  <si>
    <t>HKHRIRAI</t>
  </si>
  <si>
    <t>数十～百件</t>
  </si>
  <si>
    <t>属性チェックでエラーとなった項目をINSERT。
もしくは、上位から取得した属性修正情報を元にINSERT。</t>
  </si>
  <si>
    <t>OTHERKKA</t>
  </si>
  <si>
    <t>上位から取得した他サテライト検査結果情報ファイルを元にINSERT。
取得対象はマスタにて制御されている。</t>
  </si>
  <si>
    <t>AUTOKOSICTRL</t>
  </si>
  <si>
    <t>自動校正処理にてレコードが作成、登録される。現在、自動校正処理機能は未使用だが稼動はしている。</t>
  </si>
  <si>
    <t>テーブル定義書なし</t>
  </si>
  <si>
    <t>KKACONVKNR</t>
  </si>
  <si>
    <t>報告処理で自動変換を行った際にレコードが作成、INSERTされている。</t>
  </si>
  <si>
    <t>SHUSEI_KANJYA</t>
  </si>
  <si>
    <t>属性エラーの自動計算機能を入れた後は未使用。</t>
  </si>
  <si>
    <t>テーブル定義は患者情報とまったく同じ</t>
  </si>
  <si>
    <t>LTHKFKLST</t>
  </si>
  <si>
    <t>LT報告不可リストを出力するためのテーブル。</t>
  </si>
  <si>
    <t>FRONRACK</t>
  </si>
  <si>
    <t>フロンティアから受信情報を受信した際にレコードが作成、登録される。</t>
  </si>
  <si>
    <t>ORDERRACK</t>
  </si>
  <si>
    <t>分析機からの問い合わせ情報を受信した際にレコードが作成、登録される。</t>
  </si>
  <si>
    <t>DAY_MHKKEY</t>
  </si>
  <si>
    <t>日次処理の際に使われる一時処理のためのテーブル。通常業務では未使用。</t>
  </si>
  <si>
    <t>RUI_CTRLKKA</t>
  </si>
  <si>
    <t>７３０日（２年）分</t>
  </si>
  <si>
    <r>
      <rPr>
        <sz val="10"/>
        <rFont val="ＭＳ Ｐゴシック"/>
        <family val="3"/>
        <charset val="128"/>
      </rPr>
      <t>累積用のコントロール結果テーブル。日次でインサートされる。</t>
    </r>
    <r>
      <rPr>
        <sz val="10"/>
        <color rgb="FFFF0000"/>
        <rFont val="ＭＳ Ｐゴシック"/>
        <family val="3"/>
        <charset val="128"/>
      </rPr>
      <t>累積の中で唯一Zサーバに存在している。</t>
    </r>
    <r>
      <rPr>
        <sz val="10"/>
        <rFont val="ＭＳ Ｐゴシック"/>
        <family val="3"/>
        <charset val="128"/>
      </rPr>
      <t xml:space="preserve">
レイアウトは通常のコントロール結果テーブルと同じ。</t>
    </r>
  </si>
  <si>
    <t>X-R管理図の出力に使用される。
累積のテーブルでは唯一、頻繁に更新されている。
保存期間は７３０日間。古いデータは日次で削除。</t>
  </si>
  <si>
    <t>RUI_CHIKENZOK</t>
  </si>
  <si>
    <t>累積用の治験拡張情報テーブル。日次でインサートされる。IAサーバに実体が存在し、Zサーバからはフェデレーションでアクセスしている。レイアウトは通常の治験拡張情報テーブルと同じ。</t>
  </si>
  <si>
    <t>ほぼ、参照専用。
保存期間は７３０日間。古いデータは日次で削除。</t>
  </si>
  <si>
    <t>RUI_KANJYA</t>
  </si>
  <si>
    <t>累積用の患者情報テーブル。日次でインサートされる。IAサーバに実体が存在し、Zサーバからはフェデレーションでアクセスしている。レイアウトは通常の患者情報テーブルと同じ。</t>
  </si>
  <si>
    <t>ほぼ、参照専用。再報告が必要になった場合、当日に戻して使用することがある。
保存期間は７３０日間。古いデータは日次で削除。</t>
  </si>
  <si>
    <t>RUI_KENZOK</t>
  </si>
  <si>
    <t>累積用の検体属性情報テーブル。日次でインサートされる。IAサーバに実体が存在し、Zサーバからはフェデレーションでアクセスしている。レイアウトは通常の検体属性情報テーブルと同じ。</t>
  </si>
  <si>
    <t>RUI_IRAI</t>
  </si>
  <si>
    <t>累積用の依頼情報テーブル。日次でインサートされる。IAサーバに実体が存在し、Zサーバからはフェデレーションでアクセスしている。レイアウトは通常の依頼情報テーブルと同じ。</t>
  </si>
  <si>
    <t>RUI_BUNCHU</t>
  </si>
  <si>
    <t>累積用の分注情報テーブル。日次でインサートされる。IAに実体が存在し、Zサーバからはフェデレーションでアクセスしている。レイアウトは通常の分注情報テーブルと同じ。</t>
  </si>
  <si>
    <t>再報告が必要になった場合、当日に戻して使用することがある。
保存期間は７３０日間。古いデータは日次で削除。</t>
  </si>
  <si>
    <t>RUI_NINSIKI</t>
  </si>
  <si>
    <t>累積用の検体認識情報テーブル。日次でインサートされる。IAに実体が存在し、Zサーバからはフェデレーションでアクセスしている。レイアウトは通常の検体認識情報テーブルと同じ。</t>
  </si>
  <si>
    <t>RUI_KENORDER</t>
  </si>
  <si>
    <t>累積用の検査オーダー情報テーブル。日次でインサートされる。IAに実体が存在し、Zサーバからはフェデレーションでアクセスしている。レイアウトは通常の検査オーダー情報テーブルと同じ。</t>
  </si>
  <si>
    <t>RUI_KEKKA</t>
  </si>
  <si>
    <t>累積用の検査結果情報テーブル。日次でインサートされる。IAに実体が存在し、Zサーバからはフェデレーションでアクセスしている。レイアウトは通常の検査結果情報テーブルと同じ。</t>
  </si>
  <si>
    <t>RUI_HKKKNRI</t>
  </si>
  <si>
    <t>参照専用。
保存期間は７３０日間。古いデータは日次で削除。</t>
  </si>
  <si>
    <t>RUI_KKACONVKNR</t>
  </si>
  <si>
    <t>累積用の結果変換管理情報テーブル。日次でインサートされる。IAに実体が存在し、Zサーバからはフェデレーションでアクセスしている。レイアウトは通常の結果変換管理情報テーブルと同じ。</t>
  </si>
  <si>
    <t>とりあえずINSERTしているだけでほぼ未使用。
保存期間は７３０日間。古いデータは日次で削除。</t>
  </si>
  <si>
    <t>RUI_XBARM</t>
  </si>
  <si>
    <t>累積用のX-M情報テーブル。日次でインサートされる。IAに実体が存在し、Zサーバからはフェデレーションでアクセスしている。レイアウトは通常のX-M情報テーブルと同じ。</t>
  </si>
  <si>
    <t>※未使用であっても、削除すると既存プログラムの動作に影響する可能性があるため注意。（JOINしているSQLが存在するかも。また、共通ライブラリの中にSQLが存在している可能性もある。）</t>
  </si>
  <si>
    <t>ドキュメント</t>
  </si>
  <si>
    <t>年月日</t>
  </si>
  <si>
    <t>作成者</t>
  </si>
  <si>
    <t>治験拡張属性</t>
  </si>
  <si>
    <t>項目数</t>
  </si>
  <si>
    <t>作成</t>
  </si>
  <si>
    <t>秋山</t>
  </si>
  <si>
    <t>PK・必須</t>
  </si>
  <si>
    <t>データ型</t>
  </si>
  <si>
    <t>テーブル定義書</t>
  </si>
  <si>
    <t>レコード長</t>
  </si>
  <si>
    <t>修正</t>
  </si>
  <si>
    <t>鎌倉</t>
  </si>
  <si>
    <t>○</t>
  </si>
  <si>
    <t>CHAR</t>
  </si>
  <si>
    <t>列名</t>
  </si>
  <si>
    <t>属性</t>
  </si>
  <si>
    <t>キー</t>
  </si>
  <si>
    <t>VARCHAR</t>
  </si>
  <si>
    <t>桁数</t>
  </si>
  <si>
    <t>精度</t>
  </si>
  <si>
    <t>サイズ</t>
  </si>
  <si>
    <t>必須</t>
  </si>
  <si>
    <t>PK</t>
  </si>
  <si>
    <t>INDEX</t>
  </si>
  <si>
    <t>INTEGER</t>
  </si>
  <si>
    <t>ＢＭＬ受付年月日</t>
  </si>
  <si>
    <t>UTKYMD</t>
  </si>
  <si>
    <t>DATE</t>
  </si>
  <si>
    <t>TINYINT</t>
  </si>
  <si>
    <t>依頼書Ｎｏ</t>
  </si>
  <si>
    <t>IRINO</t>
  </si>
  <si>
    <t>DECIMAL</t>
  </si>
  <si>
    <t>依頼書Ｎｏ桁数フラグ</t>
  </si>
  <si>
    <t>IRIKETFLG</t>
  </si>
  <si>
    <t>[ ｽﾍﾟｰｽ:旧ﾚｲｱｳﾄ 6:６桁 7:７桁 9:９桁 ]</t>
  </si>
  <si>
    <t>属性世代Ｎｏ</t>
  </si>
  <si>
    <t>ZSSDINO</t>
  </si>
  <si>
    <t>SMALLINT</t>
  </si>
  <si>
    <t>’０’からカウントアップ</t>
  </si>
  <si>
    <t>治験・プロトコルＮｏ</t>
  </si>
  <si>
    <t>PRTCLNO</t>
  </si>
  <si>
    <t xml:space="preserve">治験・子施設コード </t>
  </si>
  <si>
    <t>KOSSTCD</t>
  </si>
  <si>
    <t xml:space="preserve">治験・投与時間 </t>
  </si>
  <si>
    <t>TYTME</t>
  </si>
  <si>
    <t>治験・投与量(量)</t>
  </si>
  <si>
    <t>TYRYO</t>
  </si>
  <si>
    <t>治験・投与量(単位)</t>
  </si>
  <si>
    <t>TYRYOTNI</t>
  </si>
  <si>
    <t>治験・薬剤負荷時間</t>
  </si>
  <si>
    <t>YZFKTME</t>
  </si>
  <si>
    <t>治験・一括アッセイフラグ</t>
  </si>
  <si>
    <t>IKASFLG</t>
  </si>
  <si>
    <t>一括分か随時分かを示す
[ 0:随時分 1:一括分 ]</t>
  </si>
  <si>
    <t>治験・検体数</t>
  </si>
  <si>
    <t>KNTSU</t>
  </si>
  <si>
    <t>治験・項目数</t>
  </si>
  <si>
    <t>KMKSU</t>
  </si>
  <si>
    <t>TIME</t>
  </si>
  <si>
    <t>治験・採取ポイント</t>
  </si>
  <si>
    <t>SSPIT</t>
  </si>
  <si>
    <t>治験・材料コード１</t>
  </si>
  <si>
    <t>ZRCD01</t>
  </si>
  <si>
    <t>治験・材料コード２</t>
  </si>
  <si>
    <t>ZRCD02</t>
  </si>
  <si>
    <t>治験・材料コード３</t>
  </si>
  <si>
    <t>ZRCD03</t>
  </si>
  <si>
    <t>治験・材料コード４</t>
  </si>
  <si>
    <t>ZRCD04</t>
  </si>
  <si>
    <t>治験・材料コード５</t>
  </si>
  <si>
    <t>ZRCD05</t>
  </si>
  <si>
    <t>治験・材料コード６</t>
  </si>
  <si>
    <t>ZRCD06</t>
  </si>
  <si>
    <t>治験・材料記号１</t>
  </si>
  <si>
    <t>ZRKG01</t>
  </si>
  <si>
    <t>治験・材料記号２</t>
  </si>
  <si>
    <t>ZRKG02</t>
  </si>
  <si>
    <t>治験・材料記号３</t>
  </si>
  <si>
    <t>ZRKG03</t>
  </si>
  <si>
    <t>治験・材料記号４</t>
  </si>
  <si>
    <t>ZRKG04</t>
  </si>
  <si>
    <t>治験・材料記号５</t>
  </si>
  <si>
    <t>ZRKG05</t>
  </si>
  <si>
    <t>治験・材料記号６</t>
  </si>
  <si>
    <t>ZRKG06</t>
  </si>
  <si>
    <t>治験・保留シーケンス</t>
  </si>
  <si>
    <t>HRSEQ</t>
  </si>
  <si>
    <t>治験・検体回収フラグ</t>
  </si>
  <si>
    <t>KNTKSFLG</t>
  </si>
  <si>
    <t>プロトコール単位に検体回収が必要か否かを示す
[ 0:回収なし 1:回収対象 ]</t>
  </si>
  <si>
    <t>治験・ＧＣＰフラグ</t>
  </si>
  <si>
    <t>GCPFLG</t>
  </si>
  <si>
    <t>治験関連検査資料の保管のレベル
[ A:資料保管なし B:部分的GCP C:GCP D:GLP ]</t>
  </si>
  <si>
    <t>治験・プロトコル名称</t>
  </si>
  <si>
    <t>PRTCLNM</t>
  </si>
  <si>
    <t>情報更新日時</t>
  </si>
  <si>
    <t>KSNDH</t>
  </si>
  <si>
    <t>TIMESTAMP</t>
  </si>
  <si>
    <t>変更履歴</t>
  </si>
  <si>
    <t>2006/01/27　鎌倉</t>
  </si>
  <si>
    <t>フィールド追加　依頼書Ｎｏ桁数フラグ char(1)  画面、帳票等で依頼書Ｎｏの表示桁数を判断させる</t>
  </si>
  <si>
    <t>どのフィールドもｎｕｌｌを許さないこととする</t>
  </si>
  <si>
    <t>2006/02/03　鎌倉</t>
  </si>
  <si>
    <t>属性世代ＮＯ　意味変更　→　最新を’０’とするの記述を削除</t>
  </si>
  <si>
    <t>　　　　　　　　　　　　　　’０’からカウントアップに変更</t>
  </si>
  <si>
    <t>患者情報</t>
  </si>
  <si>
    <t>施設コード</t>
  </si>
  <si>
    <t>SSTCD</t>
  </si>
  <si>
    <t>サブ施設コード</t>
  </si>
  <si>
    <t>SUBSSTCD</t>
  </si>
  <si>
    <t>カード区分1</t>
  </si>
  <si>
    <t>CDKBN1</t>
  </si>
  <si>
    <t>[ 09:治験 15:一般 16:透析 17:集検 18:小児 41:細菌 ]</t>
  </si>
  <si>
    <t>カード区分2</t>
  </si>
  <si>
    <t>CDKBN2</t>
  </si>
  <si>
    <t>[ 0:デフォルト 1:重要検体依頼 ]</t>
  </si>
  <si>
    <t>依頼元キー</t>
  </si>
  <si>
    <t>IRIMKEY</t>
  </si>
  <si>
    <t>診療科コード</t>
  </si>
  <si>
    <t>SRKCD</t>
  </si>
  <si>
    <t>診療科名</t>
  </si>
  <si>
    <t>SRKNM</t>
  </si>
  <si>
    <t>担当医コード</t>
  </si>
  <si>
    <t>TTICD</t>
  </si>
  <si>
    <t>担当医名</t>
  </si>
  <si>
    <t>TTINM</t>
  </si>
  <si>
    <t>主治医コード</t>
  </si>
  <si>
    <t>GPCD</t>
  </si>
  <si>
    <t>主治医名</t>
  </si>
  <si>
    <t>GPNM</t>
  </si>
  <si>
    <t>紹介医コード</t>
  </si>
  <si>
    <t>SKICD</t>
  </si>
  <si>
    <t>紹介医名</t>
  </si>
  <si>
    <t>SKINM</t>
  </si>
  <si>
    <t xml:space="preserve">カルテＮｏ         </t>
  </si>
  <si>
    <t>KRTNO</t>
  </si>
  <si>
    <t>患者ＩＤ</t>
  </si>
  <si>
    <t>KNJID</t>
  </si>
  <si>
    <t>患者名（カナ）</t>
  </si>
  <si>
    <t>KNJNMN</t>
  </si>
  <si>
    <t>全角or半角？先頭何文字を出力対象とするか？
→半角ｶﾅが設定されている。画面・帳票では患者（ｶﾅ）を使用し、20桁表示を目指す。内部使用時はマスキングする。</t>
  </si>
  <si>
    <t>患者名（漢字）</t>
  </si>
  <si>
    <t>KNJNMK</t>
  </si>
  <si>
    <t>画面、帳票で何byte出力するか？
→全角のカナ氏名が設定されいるが、設定されていないことが多く、用途は殆ど無し。</t>
  </si>
  <si>
    <t>患者名キー</t>
  </si>
  <si>
    <t>KNJNMKEY</t>
  </si>
  <si>
    <t>ｶﾅ氏名から、ﾞﾟｰ空白を除いたもの。
過渡期は検査室側で編集する必要有り。</t>
  </si>
  <si>
    <t xml:space="preserve">身長 </t>
  </si>
  <si>
    <t>SC</t>
  </si>
  <si>
    <t xml:space="preserve">体重 </t>
  </si>
  <si>
    <t>TJ</t>
  </si>
  <si>
    <t>体重区分</t>
  </si>
  <si>
    <t>TJTNI</t>
  </si>
  <si>
    <t>[ 0:kg 1:g ]</t>
  </si>
  <si>
    <t>性別区分</t>
  </si>
  <si>
    <t>SBTKBN</t>
  </si>
  <si>
    <t>[ 0:男 1:女 9:不明 ]</t>
  </si>
  <si>
    <t xml:space="preserve">生年月日 </t>
  </si>
  <si>
    <t>BIRTHDAY</t>
  </si>
  <si>
    <t>表示上、注意が必要？
→生年月日区分に則る。</t>
  </si>
  <si>
    <t>生年月日区分</t>
  </si>
  <si>
    <t>BIRTHDAYKBN</t>
  </si>
  <si>
    <t>[ H:平成 M:明治 S:昭和 T:大正 スペース:西暦 ]</t>
  </si>
  <si>
    <t xml:space="preserve">年齢 </t>
  </si>
  <si>
    <t xml:space="preserve">AGE         </t>
  </si>
  <si>
    <t>表示上、注意が必要？
→年齢区分の漢字単位と共に表示。</t>
  </si>
  <si>
    <t>年齢区分</t>
  </si>
  <si>
    <t xml:space="preserve">AGEKBN      </t>
  </si>
  <si>
    <t>[ Y:年齢 M:月齢 W:週齢 D:日齢 Z:不明 ]</t>
  </si>
  <si>
    <t>病棟コード</t>
  </si>
  <si>
    <t>BTCD</t>
  </si>
  <si>
    <t>病棟名</t>
  </si>
  <si>
    <t>BTNM</t>
  </si>
  <si>
    <t xml:space="preserve">受付コメント1 </t>
  </si>
  <si>
    <t>UTKCMTCD1</t>
  </si>
  <si>
    <t xml:space="preserve">受付コメント2 </t>
  </si>
  <si>
    <t>UTKCMTCD2</t>
  </si>
  <si>
    <t xml:space="preserve">受付コメント3 </t>
  </si>
  <si>
    <t>UTKCMTCD3</t>
  </si>
  <si>
    <t xml:space="preserve">受付コメントフリー1 </t>
  </si>
  <si>
    <t>UTKCMTFR1</t>
  </si>
  <si>
    <t xml:space="preserve">受付コメントフリー2 </t>
  </si>
  <si>
    <t>UTKCMTFR2</t>
  </si>
  <si>
    <t>受付コメントフリーフラグ</t>
  </si>
  <si>
    <t>UTKCMTFRFLG</t>
  </si>
  <si>
    <t>[ 0:報告書印字しない 1:コメント1印字 2:コメント1,2印字 ]</t>
  </si>
  <si>
    <t xml:space="preserve">入院外来区分          </t>
  </si>
  <si>
    <t>NGKBN</t>
  </si>
  <si>
    <t>[ 0:不明 1:外来 2:入院 ]</t>
  </si>
  <si>
    <t xml:space="preserve">妊娠週数 </t>
  </si>
  <si>
    <t>NSSSU</t>
  </si>
  <si>
    <t>保険コード</t>
  </si>
  <si>
    <t>HKNCD</t>
  </si>
  <si>
    <t>検体総本数</t>
  </si>
  <si>
    <t>KTSHSU</t>
  </si>
  <si>
    <t>院内依頼日</t>
  </si>
  <si>
    <t>INIRIYMD</t>
  </si>
  <si>
    <t>属性修正フラグ</t>
  </si>
  <si>
    <t>ZSSFLG</t>
  </si>
  <si>
    <t>属性情報の修正の有無
[ 0:デフォルト 1:修正あり]
当システムでは更新しない。
照会画面上で「修」と表示。</t>
  </si>
  <si>
    <t>緊急依頼フラグ</t>
  </si>
  <si>
    <t>KKIRIFLG</t>
  </si>
  <si>
    <t>緊急の依頼かどうかを示す。
[ 0:デフォルト 1:緊急 ]</t>
  </si>
  <si>
    <t>非検査区分</t>
  </si>
  <si>
    <t>HKNSKBN</t>
  </si>
  <si>
    <t>ＳＰＬ、ＲＬで検査を区分
[ 0:未検査 1:SPLで検査済 2:RLで検査済 ]</t>
  </si>
  <si>
    <t>受付区分</t>
  </si>
  <si>
    <t>UTKKBN</t>
  </si>
  <si>
    <t>受付状況を示す
[ 0:ﾗﾎﾞ受付患者 1:ﾀﾞｲﾚｸﾄ 2:報告先送信用ﾃﾞｰﾀ ]</t>
  </si>
  <si>
    <t>ＮＥ区分</t>
  </si>
  <si>
    <t>NEKBN</t>
  </si>
  <si>
    <t>検査する上での分析機の違いを示す（施設マスターから）
[ 0:NEUTR報告 1:６分割(STAB.SEG)報告 2:STAB + SEG = NEUTR報告 ]
血算で使用予定。</t>
  </si>
  <si>
    <t>院内検査区分</t>
  </si>
  <si>
    <t>INKNSKBN</t>
  </si>
  <si>
    <t>FMSとSPLの検査区分
[ 0:SPL検査 1:FMS検査 ]</t>
  </si>
  <si>
    <t>受付状態区分</t>
  </si>
  <si>
    <t>UTKJKKBN</t>
  </si>
  <si>
    <t>単純系受付と複雑系受付の区分
[ 0:単純系受付 1:複雑系受付 ]</t>
  </si>
  <si>
    <t>完了フラグ</t>
  </si>
  <si>
    <t>KRFLG</t>
  </si>
  <si>
    <t>日次移行判断用に残すか。この依頼が全て完了したか判断。報告処理で設定する必要があるかもしれない。。。</t>
  </si>
  <si>
    <t>ＦＤ非報告フラグ</t>
  </si>
  <si>
    <t>FDHHKKFLG</t>
  </si>
  <si>
    <t>ＦＤ報告対象か否かを示す。
[ 0:デフォルト 1:FD非報告対象 ]</t>
  </si>
  <si>
    <t>受付時刻</t>
  </si>
  <si>
    <t>UTKDH</t>
  </si>
  <si>
    <t>元ＢＭＬ受付日</t>
  </si>
  <si>
    <t>MUTKYMD</t>
  </si>
  <si>
    <t>元依頼書Ｎｏ</t>
  </si>
  <si>
    <t>MIRINO</t>
  </si>
  <si>
    <t>検査実施ラボコード１</t>
  </si>
  <si>
    <t>KNSJSLBCD1</t>
  </si>
  <si>
    <t>検査実施ラボコード２</t>
  </si>
  <si>
    <t>KNSJSLBCD2</t>
  </si>
  <si>
    <t>検査実施ラボコード３</t>
  </si>
  <si>
    <t>KNSJSLBCD3</t>
  </si>
  <si>
    <t>検査実施ラボコード４</t>
  </si>
  <si>
    <t>KNSJSLBCD4</t>
  </si>
  <si>
    <t>翌日未報告フラグ</t>
  </si>
  <si>
    <t>YMHKKFLG</t>
  </si>
  <si>
    <t>翌日報告を行うか否か。
[ 0:翌日報告対象 1:翌日報告対象外 ]</t>
  </si>
  <si>
    <t>HKKKBDH</t>
  </si>
  <si>
    <t>施設からの報告希望時間。
未入力チェックで使用するかもしれない。</t>
  </si>
  <si>
    <t>営業所コード</t>
  </si>
  <si>
    <t>ECD</t>
  </si>
  <si>
    <t>集配コード</t>
  </si>
  <si>
    <t>SHCD</t>
  </si>
  <si>
    <t>施設名正式名称</t>
  </si>
  <si>
    <t>SSTSSNMJ</t>
  </si>
  <si>
    <t>表示上の施設名は、どれを用いるか？
→検査室の外への提出帳票では正式名称(漢字）を用いる。</t>
  </si>
  <si>
    <t>施設名正式名称（カナ）</t>
  </si>
  <si>
    <t>SSTSSNMN</t>
  </si>
  <si>
    <t>施設名略称</t>
  </si>
  <si>
    <t>SSTRSJ</t>
  </si>
  <si>
    <t>検査室内では、略称を用いる。</t>
  </si>
  <si>
    <t>施設名略称（カナ）</t>
  </si>
  <si>
    <t>SSTRSN</t>
  </si>
  <si>
    <t>施設種別</t>
  </si>
  <si>
    <t>SSTSBT</t>
  </si>
  <si>
    <t>特定施設フラグ</t>
  </si>
  <si>
    <t>TTSSTFLG</t>
  </si>
  <si>
    <t>項目の振替,発生など必要か否か示す。
[ 2:CAの結果をMg/dlで報告 4:ALPをkind-king法で測定 ]</t>
  </si>
  <si>
    <t>理由コード</t>
  </si>
  <si>
    <t>RUCD</t>
  </si>
  <si>
    <t>理由コード（属性）。
[ F:凍結 L:ABCD ｷ:緊急 ｼ:集積 ﾌ:FD ﾏ:松井HP スペース:デフォルト ]</t>
  </si>
  <si>
    <t>依頼項目数</t>
  </si>
  <si>
    <t>IRIKMKSU</t>
  </si>
  <si>
    <t>変動させるのか？
→上位からの情報保持用</t>
  </si>
  <si>
    <t>病名及び所見</t>
  </si>
  <si>
    <t>BMSKN</t>
  </si>
  <si>
    <t>依頼入力種別</t>
  </si>
  <si>
    <t>IRINRSBT</t>
  </si>
  <si>
    <t>ＯＣＲ、ＩＴＳ等の入力システムを判別する。</t>
  </si>
  <si>
    <t>依頼発生元区分</t>
  </si>
  <si>
    <t>IRIHSMKBN</t>
  </si>
  <si>
    <t>[ 0:上位ｼｽﾃﾑ(報告あり) 1:ｻﾃﾗｲﾄｼｽﾃﾑ(報告あり) 2:ｻﾃﾗｲﾄｼｽﾃﾑ(報告なし) ]</t>
  </si>
  <si>
    <t>特別注意施設フラグ</t>
  </si>
  <si>
    <t>CARESSTFLG</t>
  </si>
  <si>
    <t>治験拡張フラグ</t>
  </si>
  <si>
    <t>TKTYFLG</t>
  </si>
  <si>
    <t>治験拡張情報の有無
[ 0:デフォルト 1:情報あり ]</t>
  </si>
  <si>
    <t>AUTO-P検体Ｎｏ</t>
  </si>
  <si>
    <t>APKNTINO</t>
  </si>
  <si>
    <t>診断名</t>
  </si>
  <si>
    <t>SDNM</t>
  </si>
  <si>
    <t>備考１</t>
  </si>
  <si>
    <t>BKO1</t>
  </si>
  <si>
    <t>備考２</t>
  </si>
  <si>
    <t>BKO2</t>
  </si>
  <si>
    <t>備考３</t>
  </si>
  <si>
    <t>BKO3</t>
  </si>
  <si>
    <t>属性登録日時</t>
  </si>
  <si>
    <t>ZSTRDH</t>
  </si>
  <si>
    <t>上位からのものを残す</t>
  </si>
  <si>
    <t>属性修正日時</t>
  </si>
  <si>
    <t>ZSSSDH</t>
  </si>
  <si>
    <t>サテライト内属性修正日時</t>
  </si>
  <si>
    <t>STLZSSSDH</t>
  </si>
  <si>
    <t xml:space="preserve"> </t>
  </si>
  <si>
    <t>当システムでの属性更新日時</t>
  </si>
  <si>
    <t>サテライト内属性修正端末IP</t>
  </si>
  <si>
    <t>STLZSSSIP</t>
  </si>
  <si>
    <t>当システムでの属性更新端末ID</t>
  </si>
  <si>
    <t>サテライト内属性修正入力者</t>
  </si>
  <si>
    <t>STLZSSSSYAID</t>
  </si>
  <si>
    <t>当システムでの属性更新者ID</t>
  </si>
  <si>
    <t>当システムでの更新日時</t>
  </si>
  <si>
    <t>親施設コード</t>
  </si>
  <si>
    <t>OYASSTCD</t>
  </si>
  <si>
    <t>履歴情報および異常者データ検索用</t>
  </si>
  <si>
    <t>情報登録日時</t>
  </si>
  <si>
    <t>TRKDH</t>
  </si>
  <si>
    <t>データが作成された時の登録日時</t>
  </si>
  <si>
    <t>2006/02/02　鎌倉</t>
  </si>
  <si>
    <t>生年月日　データ型変更　　ＤＡＴＥ　→　ＣＨＡＲ（８）</t>
  </si>
  <si>
    <t>2006/02/13　鎌倉</t>
  </si>
  <si>
    <t>依頼発生元区分　フラグ区分変更　0:上位ｼｽﾃﾑ(報告あり) 1:ｻﾃﾗｲﾄｼｽﾃﾑ(報告あり) 2:ｻﾃﾗｲﾄｼｽﾃﾑ(報告なし)</t>
  </si>
  <si>
    <t>2006/03/06　鎌倉</t>
  </si>
  <si>
    <t>フィールド追加　親施設コード</t>
  </si>
  <si>
    <t>2006/05/01　秋山</t>
  </si>
  <si>
    <t>フィールド追加</t>
  </si>
  <si>
    <t>情報登録日時　TRKDH TIMESTAMP(10)</t>
  </si>
  <si>
    <t>検体属性情報</t>
  </si>
  <si>
    <t>処理日</t>
  </si>
  <si>
    <t>SRIYMD</t>
  </si>
  <si>
    <t>検体Ｎｏ</t>
  </si>
  <si>
    <t>KNTNO</t>
  </si>
  <si>
    <t>検体Ｎｏ桁数フラグ</t>
  </si>
  <si>
    <t>KNTKETFLG</t>
  </si>
  <si>
    <t>検査実施ラボコード</t>
  </si>
  <si>
    <t>KNSGSLBCD</t>
  </si>
  <si>
    <t>検体属性世代Ｎｏ</t>
  </si>
  <si>
    <t>KNTZSSDINO</t>
  </si>
  <si>
    <t>検体到着予定日</t>
  </si>
  <si>
    <t>KNTTCYYMD</t>
  </si>
  <si>
    <t>複数材料グループ</t>
  </si>
  <si>
    <t>FSZRGRP</t>
  </si>
  <si>
    <t>複数本取り、異種材料複数本取り時のｸﾞﾙｰﾌﾟＩＤ</t>
  </si>
  <si>
    <t>依頼検体量</t>
  </si>
  <si>
    <t>IRIKNTRYO</t>
  </si>
  <si>
    <t>依頼時の検体量</t>
  </si>
  <si>
    <t>依頼検体量単位</t>
  </si>
  <si>
    <t>IRIKNTRYOTNI</t>
  </si>
  <si>
    <t>依頼検体量の単位。
[ 0:ml 1:ｌ ]</t>
  </si>
  <si>
    <t>現検体量</t>
  </si>
  <si>
    <t>GNKNTRYO</t>
  </si>
  <si>
    <t>フロンティア分注後の検体量
サンプリングリストに出して欲しいと要望があるかも。参考程度。この量をあてにはしない。</t>
  </si>
  <si>
    <t>現検体量単位</t>
  </si>
  <si>
    <t>GNKNTRYOTNI</t>
  </si>
  <si>
    <t>[ 0:ml 1:ｌ ]</t>
  </si>
  <si>
    <t>チェック文字</t>
  </si>
  <si>
    <t>CHKMJ</t>
  </si>
  <si>
    <t>半角ｶﾅ文字。EUC対応で4byte。</t>
  </si>
  <si>
    <t>容器コード</t>
  </si>
  <si>
    <t>YKCD</t>
  </si>
  <si>
    <t>非定型負荷依頼</t>
  </si>
  <si>
    <t>HTKFKIRI</t>
  </si>
  <si>
    <t>非定型負荷依頼の有無
[ 0:ﾃﾞﾌｫﾙﾄ 1:非定型負荷有り ]</t>
  </si>
  <si>
    <t>優先フラグ</t>
  </si>
  <si>
    <t>YSNFLG</t>
  </si>
  <si>
    <t>優先順位指定の有無
[ 0：無し 1:有り ]</t>
  </si>
  <si>
    <t>検体フリーコメント改めフラグ</t>
  </si>
  <si>
    <t>KNTFRFLG</t>
  </si>
  <si>
    <t>フリーコメントの有無だけを管理し、コメント内容はWEB参照する。
[ 0:無し 1:有り ]
フリーコメント有りは※を表示。</t>
  </si>
  <si>
    <t>容器材料コード</t>
  </si>
  <si>
    <t>YKZRCD</t>
  </si>
  <si>
    <t>紐付けた容器の材料</t>
  </si>
  <si>
    <t>紐付け材料コード</t>
  </si>
  <si>
    <t>HZZRCD</t>
  </si>
  <si>
    <t>紐付けた材料</t>
  </si>
  <si>
    <t>検体状態フラグ</t>
  </si>
  <si>
    <t>KNTJTFLG</t>
  </si>
  <si>
    <t>検体状態
[ 0:ﾃﾞﾌｫﾙﾄ 1:負荷 2:透析前 3:透析後 4:蓄尿 5:一般尿 ]</t>
  </si>
  <si>
    <t>検体凍結区分</t>
  </si>
  <si>
    <t>KNTTKTKBN</t>
  </si>
  <si>
    <t>検体状態
[ 0:ﾃﾞﾌｫﾙﾄ 1:凍結 2:冷蔵 3:室温 ]</t>
  </si>
  <si>
    <t>非分注フラグ</t>
  </si>
  <si>
    <t>HBNCFLG</t>
  </si>
  <si>
    <t>事前受付Ｆが１の場合に立てる。
[ 0:ﾃﾞﾌｫﾙﾄ 1:非分注 ]</t>
  </si>
  <si>
    <t>検体属性修正フラグ</t>
  </si>
  <si>
    <t>KNTZSSSFLG</t>
  </si>
  <si>
    <t>検体属性情報の修正の有無
[ 0:デフォルト 1:修正あり]
当システムでは更新しない。
照会画面上で「修」と表示。</t>
  </si>
  <si>
    <t>検体属性登録日時</t>
  </si>
  <si>
    <t>KNTZSTRDH</t>
  </si>
  <si>
    <t>検体属性修正日時</t>
  </si>
  <si>
    <t>KNTZSSSDH</t>
  </si>
  <si>
    <t>サテライト内検体属性修正日時</t>
  </si>
  <si>
    <t>STLKNTZSSSDH</t>
  </si>
  <si>
    <t>当システムでの検体属性更新日時</t>
  </si>
  <si>
    <t>サテライト内検体属性修正端末IP</t>
  </si>
  <si>
    <t>STLKNTZSSSIP</t>
  </si>
  <si>
    <t>当システムでの検体属性更新端末ID</t>
  </si>
  <si>
    <t>サテライト内検体属性修正入力者</t>
  </si>
  <si>
    <t>STLKNTZSSSSYAID</t>
  </si>
  <si>
    <t>当システムでの検体属性更新者ID</t>
  </si>
  <si>
    <t>新旧ラベルフラグ</t>
  </si>
  <si>
    <t>SKLBLFLG</t>
  </si>
  <si>
    <t>現検体Ｎｏラベルと新検体Ｎｏラベルの判別</t>
  </si>
  <si>
    <t>材料コード</t>
  </si>
  <si>
    <t>ZRCD</t>
  </si>
  <si>
    <t>採取時間</t>
  </si>
  <si>
    <t>SSTME</t>
  </si>
  <si>
    <t>採取年月日</t>
  </si>
  <si>
    <t>SSYMD</t>
  </si>
  <si>
    <t xml:space="preserve">蓄尿時間 </t>
  </si>
  <si>
    <t>TNTME</t>
  </si>
  <si>
    <t>蓄尿時間区分</t>
  </si>
  <si>
    <t>TNTNI</t>
  </si>
  <si>
    <t>[ 0:時間 1:分 9:不明 ]</t>
  </si>
  <si>
    <t xml:space="preserve">蓄尿量 </t>
  </si>
  <si>
    <t>TNRYO</t>
  </si>
  <si>
    <t>蓄尿量区分</t>
  </si>
  <si>
    <t>TNRYOTNI</t>
  </si>
  <si>
    <t>[ 0:ml 1:l 9:不明 ]</t>
  </si>
  <si>
    <t>採取部位</t>
  </si>
  <si>
    <t>SSBI</t>
  </si>
  <si>
    <t>採取方法</t>
  </si>
  <si>
    <t>SSHHU</t>
  </si>
  <si>
    <t>返却フラグ</t>
  </si>
  <si>
    <t>HKFLG</t>
  </si>
  <si>
    <t>検体を返却したかを表す
[ 0:ﾃﾞﾌｫﾙﾄ 1:返却済 ]</t>
  </si>
  <si>
    <t>元処理日</t>
  </si>
  <si>
    <t>MSRIYMD</t>
  </si>
  <si>
    <t>追加元検体Ｎｏの処理日</t>
  </si>
  <si>
    <t>元検体Ｎｏ</t>
  </si>
  <si>
    <t>MKNTNO</t>
  </si>
  <si>
    <t>追加元検体Ｎｏ</t>
  </si>
  <si>
    <t>２次ＩＤ</t>
  </si>
  <si>
    <t>ID2</t>
  </si>
  <si>
    <t>元ラック（現50本、次世代10本ﾗｯｸ）</t>
  </si>
  <si>
    <t>２次ＰＯＳ</t>
  </si>
  <si>
    <t>ID2POS</t>
  </si>
  <si>
    <t>３次ＩＤ</t>
  </si>
  <si>
    <t>ID3</t>
  </si>
  <si>
    <t>稼動時は、２IDと３IDは同じものが設定されている。帳票には３IDを出力。新フロンティア稼動時に値が変わってくる。</t>
  </si>
  <si>
    <t>３次ＰＯＳ</t>
  </si>
  <si>
    <t>ID3POS</t>
  </si>
  <si>
    <t>収納トレーＮｏ</t>
  </si>
  <si>
    <t>SNTRNO</t>
  </si>
  <si>
    <t>冷蔵棟保管時のトレーＮｏ</t>
  </si>
  <si>
    <t>収納棚Ｎｏ</t>
  </si>
  <si>
    <t>SNTNNO</t>
  </si>
  <si>
    <t>冷蔵棟保管時の棚ーＮｏ</t>
  </si>
  <si>
    <t>認識対象外フラグ</t>
  </si>
  <si>
    <t>NSTSGFLG</t>
  </si>
  <si>
    <t>検体認識対象外の検定を表すフラグ（細菌、ＰＣＬ検体などにたつ）
[ 0:ﾃﾞﾌｫﾙﾄ 1:認識対象外 ]</t>
  </si>
  <si>
    <t>保管状況</t>
  </si>
  <si>
    <t>HKNJK</t>
  </si>
  <si>
    <t>サンプリングの取得先で使うかもしれない。</t>
  </si>
  <si>
    <t>保管状況更新日時</t>
  </si>
  <si>
    <t>HKNJKKSNDH</t>
  </si>
  <si>
    <t>フィールド追加　検体Ｎｏ桁数フラグ char(1)  画面、帳票等で検体Ｎｏの表示桁数を判断させる</t>
  </si>
  <si>
    <t>検体属性世代ＮＯ　意味変更　→　最新を’０’とするの記述を削除</t>
  </si>
  <si>
    <t>　　　　　　　　　　　　　　　　’０’からカウントアップに変更</t>
  </si>
  <si>
    <t>2006/02/14　鎌倉</t>
  </si>
  <si>
    <t>容器材料コード　　ｃｈａｒ（3）　→　ｃｈａｒ（4）</t>
  </si>
  <si>
    <t>紐付け材料コード　ｃｈａｒ（3）　→　ｃｈａｒ（4）</t>
  </si>
  <si>
    <t>材料コード　　　　ｃｈａｒ（3）　→　ｃｈａｒ（4）</t>
  </si>
  <si>
    <t>検体項目紐付け情報</t>
  </si>
  <si>
    <t>項目コード</t>
  </si>
  <si>
    <t>KMKCD</t>
  </si>
  <si>
    <t>処理日１</t>
  </si>
  <si>
    <t>SRIYMD1</t>
  </si>
  <si>
    <t>検体Ｎｏ１</t>
  </si>
  <si>
    <t>KNTNO1</t>
  </si>
  <si>
    <t>検体Ｎｏ１桁数フラグ</t>
  </si>
  <si>
    <t>KNT1KETFLG</t>
  </si>
  <si>
    <t>KNSGSLBCD1</t>
  </si>
  <si>
    <t>検体属性世代Ｎｏ１</t>
  </si>
  <si>
    <t>KNTZSSDINO1</t>
  </si>
  <si>
    <t>処理日２</t>
  </si>
  <si>
    <t>SRIYMD2</t>
  </si>
  <si>
    <t>検体Ｎｏ２</t>
  </si>
  <si>
    <t>KNTNO2</t>
  </si>
  <si>
    <t>検体Ｎｏ２桁数フラグ</t>
  </si>
  <si>
    <t>KNT2KETFLG</t>
  </si>
  <si>
    <t>KNSGSLBCD2</t>
  </si>
  <si>
    <t>検体属性世代Ｎｏ２</t>
  </si>
  <si>
    <t>KNTZSSDINO2</t>
  </si>
  <si>
    <t>処理日３</t>
  </si>
  <si>
    <t>SRIYMD3</t>
  </si>
  <si>
    <t>検体Ｎｏ３</t>
  </si>
  <si>
    <t>KNTNO3</t>
  </si>
  <si>
    <t>検体Ｎｏ３桁数フラグ</t>
  </si>
  <si>
    <t>KNT3KETFLG</t>
  </si>
  <si>
    <t>KNSGSLBCD3</t>
  </si>
  <si>
    <t>検体属性世代Ｎｏ３</t>
  </si>
  <si>
    <t>KNTZSSDINO3</t>
  </si>
  <si>
    <t>処理日４</t>
  </si>
  <si>
    <t>SRIYMD4</t>
  </si>
  <si>
    <t>検体Ｎｏ４</t>
  </si>
  <si>
    <t>KNTNO4</t>
  </si>
  <si>
    <t>検体Ｎｏ４桁数フラグ</t>
  </si>
  <si>
    <t>KNT4KETFLG</t>
  </si>
  <si>
    <t>KNSGSLBCD4</t>
  </si>
  <si>
    <t>検体属性世代Ｎｏ４</t>
  </si>
  <si>
    <t>KNTZSSDINO4</t>
  </si>
  <si>
    <t>処理日５</t>
  </si>
  <si>
    <t>SRIYMD5</t>
  </si>
  <si>
    <t>検体Ｎｏ５</t>
  </si>
  <si>
    <t>KNTNO5</t>
  </si>
  <si>
    <t>検体Ｎｏ５桁数フラグ</t>
  </si>
  <si>
    <t>KNT5KETFLG</t>
  </si>
  <si>
    <t>検査実施ラボコード５</t>
  </si>
  <si>
    <t>KNSGSLBCD5</t>
  </si>
  <si>
    <t>検体属性世代Ｎｏ５</t>
  </si>
  <si>
    <t>KNTZSSDINO5</t>
  </si>
  <si>
    <t>フィールド追加　検体Ｎｏ１～５桁数フラグ char(1)  画面、帳票等で検体Ｎｏの表示桁数を判断させる</t>
  </si>
  <si>
    <t>依頼情報</t>
  </si>
  <si>
    <t>検査グループ</t>
  </si>
  <si>
    <t xml:space="preserve">KNSGRP        </t>
  </si>
  <si>
    <t>EUC対応で16byte。</t>
  </si>
  <si>
    <t>依頼区分</t>
  </si>
  <si>
    <t>IRIKBN</t>
  </si>
  <si>
    <t>依頼項目の区分(通常、緊急、ﾃｽﾄ、ｻｰﾍﾞｲ）を判別する。
[ A:通常 K:緊急 T:テスト S:サーベイ Y:キャリブレーション Z:緊急STAT ]
AS/400からの緊急依頼も、当項目の区分で表現する。</t>
  </si>
  <si>
    <t>検査工程区分</t>
  </si>
  <si>
    <t>KSKTKBN</t>
  </si>
  <si>
    <t>どのようなオーダを作成するかを表現
[ A:通常のオーダ（初回） K:再検オーダ T:追加再検オーダ S:再測定オーダ X:Ｘ－Ｍ再検オーダー ]</t>
  </si>
  <si>
    <t xml:space="preserve">DATE   </t>
  </si>
  <si>
    <t>検体Ｎｏ（やっぱり必要）</t>
  </si>
  <si>
    <t>依頼展開時、枝番00で登録</t>
  </si>
  <si>
    <t>チェック文字（やっぱり必要）</t>
  </si>
  <si>
    <t>推定材料コード</t>
  </si>
  <si>
    <t>STSRCD</t>
  </si>
  <si>
    <t>項目ｺｰﾄﾞから推定される材料ｺｰﾄﾞ</t>
  </si>
  <si>
    <t>項目略称</t>
  </si>
  <si>
    <t>KMKRS</t>
  </si>
  <si>
    <t>親項目コード</t>
  </si>
  <si>
    <t>OYAKMKCD</t>
  </si>
  <si>
    <t>分画・負荷の親項目コード</t>
  </si>
  <si>
    <t>サンプリングコード</t>
  </si>
  <si>
    <t>SMPCD</t>
  </si>
  <si>
    <t>現行ＷＳｺｰﾄﾞ</t>
  </si>
  <si>
    <t>セット項目コード</t>
  </si>
  <si>
    <t>SETKMKCD</t>
  </si>
  <si>
    <t>依頼発生時に依頼項目を束ねる項目コード
用途は？→特に無し</t>
  </si>
  <si>
    <t>処理内容コード</t>
  </si>
  <si>
    <t>SRINYCD</t>
  </si>
  <si>
    <t>展開時の処理内容を示す。
[ 1:自動振替項目 2:自動発生項目 3:自動削除項目 ]</t>
  </si>
  <si>
    <t>セクションコード</t>
  </si>
  <si>
    <t>SECCD</t>
  </si>
  <si>
    <t>例：　A　生化/マルチ
　　　B　血液学</t>
  </si>
  <si>
    <t>出荷チェックフラグ</t>
  </si>
  <si>
    <t>SKCHKFLG</t>
  </si>
  <si>
    <t>出荷ﾁｪｯｸが必要な項目か否か（対象外）
用途は？→特に無し</t>
  </si>
  <si>
    <t>分画負荷区分</t>
  </si>
  <si>
    <t>BKFKKBN</t>
  </si>
  <si>
    <t>分画負荷の区分
[ 0:単独 1:分画親 2:分画子 3:負荷親 4:負荷子 7:BMLｾｯﾄ 8:施設別ｾｯﾄ 9:請求ｸﾞﾙｰﾌﾟ ]
7～9の考慮も必要？9の場合のﾁｪｯｸは特殊？→気にしない。単独とみなす。</t>
  </si>
  <si>
    <t>優先レベル</t>
  </si>
  <si>
    <t>YSNLBL</t>
  </si>
  <si>
    <t>ユーザからの希望順位。検査の優先順位を示す。
01～99を任意に設定</t>
  </si>
  <si>
    <t>集検フラグ</t>
  </si>
  <si>
    <t>SKFLG</t>
  </si>
  <si>
    <t>[ 0:ﾃﾞﾌｫﾙﾄ 1:集検 ]</t>
  </si>
  <si>
    <t>追加フラグ</t>
  </si>
  <si>
    <t>TKFLG</t>
  </si>
  <si>
    <t>[ 0:ﾃﾞﾌｫﾙﾄ 1:追加項目 ]</t>
  </si>
  <si>
    <t>削除フラグ</t>
  </si>
  <si>
    <t>SJFLG</t>
  </si>
  <si>
    <t>「依頼修正」I/Fは無いので、依頼展開時の考慮だけでOK。依頼項目は必要。オーダや結果は不要。報告対象外。
[ 0:ﾃﾞﾌｫﾙﾄ 1:削除項目 ]</t>
  </si>
  <si>
    <t>条件追加フラグ</t>
  </si>
  <si>
    <t>JKTKFLG</t>
  </si>
  <si>
    <t>検体管理から情報が来るであろう。照会で＊表示。</t>
  </si>
  <si>
    <t>基準値ＮＯ</t>
  </si>
  <si>
    <t>KJNO</t>
  </si>
  <si>
    <t>報告書に記述する基準値を示す
推定材料と項目コードからマスタ参照して算出</t>
  </si>
  <si>
    <t>負荷報告ＮＯ表示区分</t>
  </si>
  <si>
    <t>FKHKKNOHJKBN</t>
  </si>
  <si>
    <t>負荷項目報告を行う時にＮＯ表示にするか否か
[ ｽﾍﾟｰｽ:ﾃﾞﾌｫﾙﾄ 1:定型表示 2:ＮＯ表示 3:非定型表示 ]</t>
  </si>
  <si>
    <t>特別基準値ＮＯ</t>
  </si>
  <si>
    <t>TBKJNO</t>
  </si>
  <si>
    <t>特別基準値マスタから導出した基準値Ｎｏ</t>
  </si>
  <si>
    <t>特別基準値フラグ</t>
  </si>
  <si>
    <t>TBKJFLG</t>
  </si>
  <si>
    <t>基準値NO，特別基準値NOのいずれを使用するか判断？→OK
２の意味は不明
[ 0:ﾃﾞﾌｫﾙﾄ 1:施設別基準値 2:非定型基準値 ]</t>
  </si>
  <si>
    <t>非定型負荷時間</t>
  </si>
  <si>
    <t>HTKFKHMS</t>
  </si>
  <si>
    <t>非定型負荷区分の時間
G(12)なので24byte</t>
  </si>
  <si>
    <t>透析フラグ</t>
  </si>
  <si>
    <t>TSKFLG</t>
  </si>
  <si>
    <t>透析前項目か透析後項目かを示す
区分は現行通り？→現行通り
→上位で未設定の場合は依頼展開時に項目マスタを参照して設定する。
[ ｺ：透析後 空白：一般 ｾ：透析前 ]
EUC対応で2byte。</t>
  </si>
  <si>
    <t>凍結フラグ</t>
  </si>
  <si>
    <t>TKTFLG</t>
  </si>
  <si>
    <t>凍結項目か否かを示す
区分は現行通り？→現行通り
[ ｶ:解凍 空白:一般項目 ﾄ:凍結 ]
EUC対応で2byte。</t>
  </si>
  <si>
    <t>分注区分</t>
  </si>
  <si>
    <t>BNCKBN</t>
  </si>
  <si>
    <t xml:space="preserve">血清分注項目か否か
[ 0:非分注項目 1:分注項目ｻﾃﾗｲﾄ無 2:分注項目ｻﾃﾗｲﾄ有 3:????? ] </t>
  </si>
  <si>
    <t>尿分注区分</t>
  </si>
  <si>
    <t>NBNCKBN</t>
  </si>
  <si>
    <t xml:space="preserve">尿分注項目か否か
[ 0:非分注項目 1:分注項目ｻﾃﾗｲﾄ無 2:分注項目ｻﾃﾗｲﾄ有 3:????? ] </t>
  </si>
  <si>
    <t>検査開始予定日</t>
  </si>
  <si>
    <t>KNSKISYYMD</t>
  </si>
  <si>
    <t>検査完了予定日</t>
  </si>
  <si>
    <t>KNSKRYYMD</t>
  </si>
  <si>
    <t>設定無しの場合は、サテライト内で設定する必要あり。
依頼展開時に設定し、その後は更新しない。当初予定を表現
報告時に必要なものは、「中間報告時」の予定日として必要。
「検査開始日＋検査Gマスタ.検査日数」　で算出
→検査オーダ作成時に見直し更新が必要。</t>
  </si>
  <si>
    <t>検査完了予定時間</t>
  </si>
  <si>
    <t>KNSKRYTME</t>
  </si>
  <si>
    <t>緊急報告フラグ</t>
  </si>
  <si>
    <t>KKHKKFLG</t>
  </si>
  <si>
    <t>夜間緊急受付対応。FAX報告を早くする必要あり。（AS/400からの緊急とは意味が異なる）
緊急報告区分」としての位置づけならば、２：電話連絡　も必要か？
→不要
[ 0:緊急指定無し 1:緊急 ]</t>
  </si>
  <si>
    <t>緊急の依頼かどうかを示す。（患者情報より）
[ 0:デフォルト 1:緊急 ]</t>
  </si>
  <si>
    <t>緊急依頼ロットＮｏ</t>
  </si>
  <si>
    <t>KKIRILOTNO</t>
  </si>
  <si>
    <t>緊急依頼の場合に投入する検体のまとまり</t>
  </si>
  <si>
    <t>緊急対応受付ＩＤ</t>
  </si>
  <si>
    <t>KKTOUTKID</t>
  </si>
  <si>
    <t>緊急の依頼を受け付けたときのID</t>
  </si>
  <si>
    <t>検査回数</t>
  </si>
  <si>
    <t>KNSSU</t>
  </si>
  <si>
    <t>アッセイ回数。初期値=1。再検，再測定が発生する都度，カウントアップ。</t>
  </si>
  <si>
    <t>オーダ作成フラグ</t>
  </si>
  <si>
    <t>ODRSSFLG</t>
  </si>
  <si>
    <r>
      <rPr>
        <sz val="10"/>
        <rFont val="ＭＳ ゴシック"/>
        <family val="3"/>
        <charset val="128"/>
      </rPr>
      <t xml:space="preserve">検査オーダ作成トリガー。
当依頼項目に紐付く検査オーダの作成状況を表現。
[ 0:作成しない 1:作成する 2：作成済み </t>
    </r>
    <r>
      <rPr>
        <strike/>
        <sz val="10"/>
        <rFont val="ＭＳ ゴシック"/>
        <family val="3"/>
        <charset val="128"/>
      </rPr>
      <t>？:検査終了</t>
    </r>
    <r>
      <rPr>
        <sz val="10"/>
        <rFont val="ＭＳ ゴシック"/>
        <family val="3"/>
        <charset val="128"/>
      </rPr>
      <t xml:space="preserve"> 初期値=スペース ]</t>
    </r>
  </si>
  <si>
    <t>予定希釈倍率</t>
  </si>
  <si>
    <t>YTIKSBR</t>
  </si>
  <si>
    <t>前回結果の希釈倍率から、次回作成する希釈倍率の推測値を設定する。
履歴情報取得時に更新する→しない。</t>
  </si>
  <si>
    <t>報告状況フラグ</t>
  </si>
  <si>
    <t>HHKJKFLG</t>
  </si>
  <si>
    <t>**ここの内容を調査してください**</t>
  </si>
  <si>
    <t>2006/02/01　秋山</t>
  </si>
  <si>
    <t>No45オーダー作成フラグに2：作成済みを追加。</t>
  </si>
  <si>
    <t>フィールド追加　負荷報告ＮＯ表示区分 char(1)</t>
  </si>
  <si>
    <t>フィールド削除　単独判断フラグ（（検査室内用に）単独項目か分画項目か表現。（揃いチェック））</t>
  </si>
  <si>
    <t>フィールド変更　緊急対応社員ＩＤ(KKTOSINID) char(8) →　緊急対応受付ＩＤ(KKTOUTKID) char(4)</t>
  </si>
  <si>
    <t>2006/02/08　鎌倉</t>
  </si>
  <si>
    <t>検査工程区分　　フラグ区分追加　X:Ｘ-Ｍ再検オーダー</t>
  </si>
  <si>
    <t>依頼区分　　　　フラグ区分追加　Z:緊急STAT</t>
  </si>
  <si>
    <t>推定材料コード　　ｃｈａｒ（3）　→　ｃｈａｒ（4）</t>
  </si>
  <si>
    <t xml:space="preserve"> 情報登録日時　TRKDH TIMESTAMP(10)</t>
  </si>
  <si>
    <t>分注結果</t>
  </si>
  <si>
    <t>サンプリングコード内位置Ｎｏ</t>
  </si>
  <si>
    <t>SMPCDITNO</t>
  </si>
  <si>
    <t>サンプリングコード内の位置情報</t>
  </si>
  <si>
    <t>トレーＩＤ</t>
  </si>
  <si>
    <t>TRID</t>
  </si>
  <si>
    <t>トレーポジション</t>
  </si>
  <si>
    <t>TRPOS</t>
  </si>
  <si>
    <t>アッセイラックＩＤ</t>
  </si>
  <si>
    <t>ASYRCKID</t>
  </si>
  <si>
    <t>アッセイラックポジション</t>
  </si>
  <si>
    <t>ASYRCKPOS</t>
  </si>
  <si>
    <t>元検体ラックＩＤ</t>
  </si>
  <si>
    <t>元検体ポジション</t>
  </si>
  <si>
    <t>分注機ＩＤ</t>
  </si>
  <si>
    <t>BCKID</t>
  </si>
  <si>
    <t xml:space="preserve">①先頭2バイト⇒分注ファイルよりフロンティア系の判別を登録      
 SDATA0   ⇒  U0（尿）   
 SDATA1   ⇒  A1（分）   
 SDATA2   ⇒  A2（非）   
 SDATA3   ⇒  B1（分）   
 SDATA4   ⇒  B2（非）   
②3バイト目⇒分注ファイルより取得した分注結果をそのまま       
 ※分注結果情報の分注結果フィールドには処理で加工した値が入るので、   
 オリジナルの分注結果を保存しておくこと。      </t>
  </si>
  <si>
    <t>状態フラグ</t>
  </si>
  <si>
    <t>JTFLG</t>
  </si>
  <si>
    <t>[ｽﾍﾟｰｽ:一般検体 T:凍結検体 K:解凍検体 U:尿検体 ]</t>
  </si>
  <si>
    <t>検査種類</t>
  </si>
  <si>
    <t>KNSSYR</t>
  </si>
  <si>
    <t>[ 1:一般検査 2:透析検査（前後） 3:透析検査（前） 4:透析検査（後） 5:絶対凍結検査 6:特殊検査① 7:特殊検査② 8:その他材料 9:一般検査（夜間共用あり） A:一般検査（昼間共用あり） B:特定材料検査 ]</t>
  </si>
  <si>
    <t>治験フラグ</t>
  </si>
  <si>
    <t>TKNFLG</t>
  </si>
  <si>
    <t>[ｽﾍﾟｰｽ:指定なし A,B,C,D:治験検体 ]</t>
  </si>
  <si>
    <t>特定・緊急フラグ</t>
  </si>
  <si>
    <t>TTKKFLG</t>
  </si>
  <si>
    <t>[ｽﾍﾟｰｽ:指定なし 1:特定検体 2:緊急検体 ]</t>
  </si>
  <si>
    <t>BNCKKA</t>
  </si>
  <si>
    <t>[ 0:分注正常終了 1:未使用（複数本取り） 4:分注エラー（位置有り） 5:分注エラー（位置無し） 8:未分注 9:未分注（特殊検体） A:未分注２ B:未分注３ C:認識エラー D:検管扱い E:検管扱い F:未分注・複数本検体（尿フロンティア） G:未分注・負荷検体（尿フロンティア） H:未分注・不定形（尿フロンティア） ]</t>
  </si>
  <si>
    <t>ソートキー</t>
  </si>
  <si>
    <t>SRTKEY</t>
  </si>
  <si>
    <t>2006/01/17　長田</t>
  </si>
  <si>
    <t>列名変更(物理名)→DB2の制限による(列名の先頭に数値は付けられない)</t>
  </si>
  <si>
    <t>2ID→ID2　2IDPOS→IDPOS2</t>
  </si>
  <si>
    <t>列名変更(物理名)  他のテーブルの同一列名と同じ名前に統一する</t>
  </si>
  <si>
    <t>IDPOS2→ID2POS</t>
  </si>
  <si>
    <t>検体認識情報</t>
  </si>
  <si>
    <t>元検体ラックポジション</t>
  </si>
  <si>
    <t>３ＩＤラック</t>
  </si>
  <si>
    <t>３ＩＤラックポジション</t>
  </si>
  <si>
    <t>複数本取り</t>
  </si>
  <si>
    <t>FUKSUHN</t>
  </si>
  <si>
    <t>何かしらの処理が必要？→必要
[ ｽﾍﾟｰｽ:ﾃﾞﾌｫﾙﾄ W:複数本取り ]</t>
  </si>
  <si>
    <t>検査オーダー情報</t>
  </si>
  <si>
    <t>検査開始日</t>
  </si>
  <si>
    <t>KNSKISYMD</t>
  </si>
  <si>
    <t>検査回数枝番</t>
  </si>
  <si>
    <t>KNSSUEDA</t>
  </si>
  <si>
    <t>同一検査回数で希釈倍率が違うものを表現</t>
  </si>
  <si>
    <t xml:space="preserve">施設コード </t>
  </si>
  <si>
    <t>分析機区分</t>
  </si>
  <si>
    <t>BSKKBN</t>
  </si>
  <si>
    <t>検査Ｇ＋検査項目でマスタより取得
（注意必要→ある１項目が日立、日本電子両方にいく可能性あり）</t>
  </si>
  <si>
    <t>内部項目コード</t>
  </si>
  <si>
    <t>NBKMKCD</t>
  </si>
  <si>
    <t>分析機のチャネルコード
（分析機用項目コード）</t>
  </si>
  <si>
    <t>KKFLG</t>
  </si>
  <si>
    <t>検査ＳＥＱ</t>
  </si>
  <si>
    <t>KNSSEQ</t>
  </si>
  <si>
    <t>検査バッチＮｏ</t>
  </si>
  <si>
    <t>BTHNO</t>
  </si>
  <si>
    <t>検査状況フラグ</t>
  </si>
  <si>
    <t>KNSJKFLG</t>
  </si>
  <si>
    <t>[ 初期値=スペース 1:検査中 2:検査完了 ]</t>
  </si>
  <si>
    <t>2006/01/31　秋山</t>
  </si>
  <si>
    <t>性別区分/生年月日/生年月日区分/年齢/年齢区分の追加（No50～No54）</t>
  </si>
  <si>
    <t>身長/体重/体重区分の追加</t>
  </si>
  <si>
    <t>2006/02/06　鎌倉</t>
  </si>
  <si>
    <t>フィールド変更　ファイル作成済みフラグ　→　検査状況フラグ</t>
  </si>
  <si>
    <t>材料コード　　　ｃｈａｒ（3）　→　ｃｈａｒ（4）</t>
  </si>
  <si>
    <t>2006/4/9 akiyama</t>
  </si>
  <si>
    <t>即時チェック情報</t>
  </si>
  <si>
    <t>チェック有無フラグ01</t>
  </si>
  <si>
    <t>RENJICFLG</t>
  </si>
  <si>
    <t>※レンジチェック</t>
  </si>
  <si>
    <t>チェック有無フラグ02</t>
  </si>
  <si>
    <t>SOUKN1FLG</t>
  </si>
  <si>
    <t>※相関チェック(WS内)</t>
  </si>
  <si>
    <t>チェック有無フラグ03</t>
  </si>
  <si>
    <t>KANRENFLG</t>
  </si>
  <si>
    <t>※関連チェック</t>
  </si>
  <si>
    <t>チェック有無フラグ04</t>
  </si>
  <si>
    <t>BUNKKUFLG</t>
  </si>
  <si>
    <t>※分画チェック</t>
  </si>
  <si>
    <t>チェック有無フラグ05</t>
  </si>
  <si>
    <t>KESSEIFLG</t>
  </si>
  <si>
    <t>※乳び・溶血チェック</t>
  </si>
  <si>
    <t>チェック有無フラグ06</t>
  </si>
  <si>
    <t>RIREKIFLG</t>
  </si>
  <si>
    <t>※履歴チェック</t>
  </si>
  <si>
    <t>チェック有無フラグ07</t>
  </si>
  <si>
    <t>SYOUGOFLG</t>
  </si>
  <si>
    <t>※照合チェック</t>
  </si>
  <si>
    <t>チェック有無フラグ08</t>
  </si>
  <si>
    <t>KEISANFLG</t>
  </si>
  <si>
    <t>※計算チェック</t>
  </si>
  <si>
    <t>チェック有無フラグ09</t>
  </si>
  <si>
    <t>PER100FLG</t>
  </si>
  <si>
    <t>※１００％チェック</t>
  </si>
  <si>
    <t>チェック有無フラグ10</t>
  </si>
  <si>
    <t>TOUSEKFLG</t>
  </si>
  <si>
    <t>※透析前後チェック</t>
  </si>
  <si>
    <t>チェック有無フラグ11</t>
  </si>
  <si>
    <t>KISYAKFLG</t>
  </si>
  <si>
    <t>※希釈再検チェック</t>
  </si>
  <si>
    <t>チェック有無フラグ12</t>
  </si>
  <si>
    <t>KOUSEIFLG</t>
  </si>
  <si>
    <t>※校正処理</t>
  </si>
  <si>
    <t>チェック有無フラグ13</t>
  </si>
  <si>
    <t>SYOUNGFLG</t>
  </si>
  <si>
    <t>※照合NG確定処理</t>
  </si>
  <si>
    <t>チェック有無フラグ14</t>
  </si>
  <si>
    <t>SOUKN2FLG</t>
  </si>
  <si>
    <t>※相関チェック(WS間)</t>
  </si>
  <si>
    <t>チェック有無フラグ15</t>
  </si>
  <si>
    <t>FUKAPTFLG</t>
  </si>
  <si>
    <t>※負荷パターンチェック</t>
  </si>
  <si>
    <t>チェック有無フラグ16</t>
  </si>
  <si>
    <t>YOBIFLG01</t>
  </si>
  <si>
    <t>※フラグ
[ 0:チェック無 1:チェック有 ]</t>
  </si>
  <si>
    <t>チェック有無フラグ17</t>
  </si>
  <si>
    <t>TOBIFLG02</t>
  </si>
  <si>
    <t>チェック有無フラグ18</t>
  </si>
  <si>
    <t>YOBIFLG03</t>
  </si>
  <si>
    <t>チェック有無フラグ19</t>
  </si>
  <si>
    <t>YOBIFLG04</t>
  </si>
  <si>
    <t>チェック有無フラグ20</t>
  </si>
  <si>
    <t>YOBIFLG05</t>
  </si>
  <si>
    <t>パラメータ０１</t>
  </si>
  <si>
    <t>RENJICPARA</t>
  </si>
  <si>
    <t>パラメータ０２</t>
  </si>
  <si>
    <t>SOUKN1PARA</t>
  </si>
  <si>
    <t>※相関チェック</t>
  </si>
  <si>
    <t>パラメータ０３</t>
  </si>
  <si>
    <t>KANRENPARA</t>
  </si>
  <si>
    <t>パラメータ０４</t>
  </si>
  <si>
    <t>BUNKKUPARA</t>
  </si>
  <si>
    <t>パラメータ０５</t>
  </si>
  <si>
    <t>KESSEIPARA</t>
  </si>
  <si>
    <t>パラメータ０６</t>
  </si>
  <si>
    <t>RIREKIPARA</t>
  </si>
  <si>
    <t>パラメータ０７</t>
  </si>
  <si>
    <t>SYOUGOPARA</t>
  </si>
  <si>
    <t>パラメータ０８</t>
  </si>
  <si>
    <t>KEISANPARA</t>
  </si>
  <si>
    <t>パラメータ０９</t>
  </si>
  <si>
    <t>PER100PARA</t>
  </si>
  <si>
    <t>パラメータ１０</t>
  </si>
  <si>
    <t>TOUSEKPARA</t>
  </si>
  <si>
    <t>パラメータ１１</t>
  </si>
  <si>
    <t>KISYAKPARA</t>
  </si>
  <si>
    <t>パラメータ１２</t>
  </si>
  <si>
    <t>KOUSEIPARA</t>
  </si>
  <si>
    <t>パラメータ１３</t>
  </si>
  <si>
    <t>SYOUNGPARA</t>
  </si>
  <si>
    <t>パラメータ１４</t>
  </si>
  <si>
    <t>SOUKN2PARA</t>
  </si>
  <si>
    <t>パラメータ１５</t>
  </si>
  <si>
    <t>FUKAPTPARA</t>
  </si>
  <si>
    <t>パラメータ１６</t>
  </si>
  <si>
    <t>YOBIPARA01</t>
  </si>
  <si>
    <t>※パラメーターの取得方法は、各ﾁｪｯｸにて異なる。ﾌｨｰﾙﾄﾞの情報を固定長桁数にて各マスタ情報を取得する。別紙参照。</t>
  </si>
  <si>
    <t>パラメータ１７</t>
  </si>
  <si>
    <t>YOBIPARA02</t>
  </si>
  <si>
    <t>パラメータ１８</t>
  </si>
  <si>
    <t>YOBIPARA03</t>
  </si>
  <si>
    <t>パラメータ１９</t>
  </si>
  <si>
    <t>YOBIPARA04</t>
  </si>
  <si>
    <t>パラメータ２０</t>
  </si>
  <si>
    <t>YOBIPARA05</t>
  </si>
  <si>
    <t>SYOUGOFLG列が重複している。ﾁｪｯｸ有無ﾌﾗｸﾞ13(照合NG)→SYOUNGFLGに変更</t>
  </si>
  <si>
    <t>SYOUGOPARA列が重複している。ﾊﾟﾗﾒｰﾀ13(照合NG)→SYOUNGPARAに変更</t>
  </si>
  <si>
    <t>KESSEIPARA列が重複している。ﾊﾟﾗﾒｰﾀ04(分画)→BUNKKUPARAに変更</t>
  </si>
  <si>
    <t>2006/02/15　鎌倉</t>
  </si>
  <si>
    <t>チェック有無フラグ01-20 　フラグ意味変更</t>
  </si>
  <si>
    <t>チェック有無フラグ01　　　物理名（RENJICFLG）へ変更</t>
  </si>
  <si>
    <t>パラメータ０１　　　　　　物理名（RENJICPARA）へ変更</t>
  </si>
  <si>
    <t>検査結果情報</t>
  </si>
  <si>
    <t>キャリブレーションデータの場合、ここに 号機＋HHMMDD と入れる
（スタンダードの種類は検査回数枝番をＵＰすることで対応）</t>
  </si>
  <si>
    <t>測定結果を取り込む毎にカウントアップ。</t>
  </si>
  <si>
    <t>未使用</t>
  </si>
  <si>
    <t>0 と 2 のみ使用。サテライト内で内部発生させた項目は 2 となっていて他は 0 。
2 の項目はたとえ報告可能な状態になっていても報告対象にならない。</t>
  </si>
  <si>
    <t>A と T のみ使用。内部用のテスト依頼のみ T となっていて他は A 。</t>
  </si>
  <si>
    <t>A K S のみ使用。</t>
  </si>
  <si>
    <t>上位から受け取ったものをそのまま入れている。</t>
  </si>
  <si>
    <t>A 固定</t>
  </si>
  <si>
    <t>0 1 2 のみ使用。定義は左記の通り</t>
  </si>
  <si>
    <t>上位から受け取るWSコード。内部で変更する前のWSコードが入っている。</t>
  </si>
  <si>
    <t>2021/06/01現在、BIOM、LABO、Z050　の３種類。</t>
  </si>
  <si>
    <t>分析機ライン</t>
  </si>
  <si>
    <t>BSKLNE</t>
  </si>
  <si>
    <t>名前は分析機ラインとなっているが、実際には号機として扱われている。</t>
  </si>
  <si>
    <t>分析機号機</t>
  </si>
  <si>
    <t>BSKGOK</t>
  </si>
  <si>
    <t>号機＋モジュールＮＯ</t>
  </si>
  <si>
    <t>モジュールNOは分析機から送られてくるのをそのまま入れている。
検索条件として使用しているだけで、モジュール毎の設定はどこにも持っていない。</t>
  </si>
  <si>
    <t>分析機ＳＥＱ</t>
  </si>
  <si>
    <t>BSKSEQ</t>
  </si>
  <si>
    <t>モジュール単位のSEQ。結果登録時に設定。
BM=分析機からの番号、日立=システム側で振る。</t>
  </si>
  <si>
    <t>分析機から送られてくるＳＥＱをそのまま入れている。</t>
  </si>
  <si>
    <t>分析機エラーステータス</t>
  </si>
  <si>
    <t>BSKERRSTS</t>
  </si>
  <si>
    <t>分析機から送られてくるエラーステータスをそのまま入れている。
エラーの意味を調べるならば別途メーカー資料等と突き合わせる必要がある。</t>
  </si>
  <si>
    <t>測定日時</t>
  </si>
  <si>
    <t>SKTDH</t>
  </si>
  <si>
    <t>分析機から送られてくる測定日時をそのまま入れている。</t>
  </si>
  <si>
    <t>左記の通り</t>
  </si>
  <si>
    <t>定性・定量フラグ</t>
  </si>
  <si>
    <t>TSTRFLG</t>
  </si>
  <si>
    <t>[ S:定性 R:定量 ]</t>
  </si>
  <si>
    <t>報告処理に使用。</t>
  </si>
  <si>
    <t>実施希釈倍率</t>
  </si>
  <si>
    <t>JISKSBR</t>
  </si>
  <si>
    <t>実際に測定された希釈倍率。</t>
  </si>
  <si>
    <t>非照会フラグ</t>
  </si>
  <si>
    <t>HSYKFLG</t>
  </si>
  <si>
    <t>上位システムでの照会可能有無
依頼に無し。依頼保持でいいのでは？
→結果の内容により決定するため、結果登録時に設定。</t>
  </si>
  <si>
    <t>非請求フラグ</t>
  </si>
  <si>
    <t>HSKFLG</t>
  </si>
  <si>
    <t>上位システムでの請求有無
依頼に無し。依頼保持でいいのでは？
→結果の内容により決定するため、結果登録時に設定。</t>
  </si>
  <si>
    <t>非報告フラグ</t>
  </si>
  <si>
    <t>HHKKFLG</t>
  </si>
  <si>
    <t>上位システムでの報告書出力有無
依頼に無し。依頼保持でいいのでは？
→結果の内容により決定するため、結果登録時に設定。</t>
  </si>
  <si>
    <t>生データ</t>
  </si>
  <si>
    <t>RAWDATA</t>
  </si>
  <si>
    <t>分析機からのそのままの値、手入力したそのままの値。(数値のみ)</t>
  </si>
  <si>
    <t>基本的に更新されない。ずっと同じ値である。</t>
  </si>
  <si>
    <t>検査結果１</t>
  </si>
  <si>
    <t>KNSKKA1</t>
  </si>
  <si>
    <t>基本的に数値データを保管する
必要に応じ換算、補正、校正後の値</t>
  </si>
  <si>
    <t>ホストへ送信する検査結果１はここを参照する。</t>
  </si>
  <si>
    <t>検査結果２</t>
  </si>
  <si>
    <t>KNSKKA2</t>
  </si>
  <si>
    <t>基本的にコード化した結果、直値データを保管する
必要に応じ換算、補正、校正後の値
12桁表現ではあるがEUCコード体系で処理のため24バイト</t>
  </si>
  <si>
    <t>ホストへ送信する検査結果２はここを参照する。</t>
  </si>
  <si>
    <t>検査結果２区分</t>
  </si>
  <si>
    <t>KNSKKA2KBN</t>
  </si>
  <si>
    <t>検査結果のデータタイプを指定
（検査結果２に対して） → [ 0:コード化した結果、1:10の累乗、2:2の累乗、X:直値 ] 
左詰めで登録すること</t>
  </si>
  <si>
    <t>ホストへ送信する検査結果２区分はここを参照する。</t>
  </si>
  <si>
    <t>検査結果補足</t>
  </si>
  <si>
    <t>KKAHSKCD</t>
  </si>
  <si>
    <t>ホストへ送信する結果補足コードはここを参照する。
以下、以上、未満　など。</t>
  </si>
  <si>
    <t>表示結果</t>
  </si>
  <si>
    <t>HJKKA</t>
  </si>
  <si>
    <t>画面から手入力された値および、分析機からの値を登録</t>
  </si>
  <si>
    <t>検査結果１に登録される前の変換前の値が入っている。</t>
  </si>
  <si>
    <t>指数（ＳＤＩ）</t>
  </si>
  <si>
    <t>SDI</t>
  </si>
  <si>
    <t>結果コメント１</t>
  </si>
  <si>
    <t>KKACMT1</t>
  </si>
  <si>
    <t>４桁コードをセットする場合は頭’０’埋めで右詰めで登録すること</t>
  </si>
  <si>
    <t>ホストへ報告するコメント１はここを参照する。</t>
  </si>
  <si>
    <t>結果コメント２</t>
  </si>
  <si>
    <t>KKACMT2</t>
  </si>
  <si>
    <t>ホストへ報告するコメント２はここを参照する。</t>
  </si>
  <si>
    <t>結果状況コード</t>
  </si>
  <si>
    <t>KKAJKCD</t>
  </si>
  <si>
    <t>[ 0:未入力 1:中間結果 3:最終結果 ]</t>
  </si>
  <si>
    <t>報告対象となる結果は 3 、それ以外は 1。
デフォルトでは初回が 3 となる。</t>
  </si>
  <si>
    <t>パニックレンジフラグ</t>
  </si>
  <si>
    <t>PNCRGFLG</t>
  </si>
  <si>
    <t>BML設定のパニック値（基準値マスタ）で報告要否を判別。
[ 0:デフォルト 1:BMLパニック報告対象 ]</t>
  </si>
  <si>
    <t>結果登録、入力画面にてパニックチェック（RNGCHKMST）を行った際に更新する。
ホストへ報告するパニックフラグはここを参照する。
正常　　　：０
パニック値：１</t>
  </si>
  <si>
    <t>検査室パニックレンジフラグ</t>
  </si>
  <si>
    <t>KNSPNCRGFLG</t>
  </si>
  <si>
    <t>検査室設定のパニック値（基準値マスタより詳細、厳格）で報告要否を判別。
[ 0:デフォルト 1:検査室パニック報告対象 ]</t>
  </si>
  <si>
    <t>結果登録、入力画面にて検査室パニックチェック（RNGCHKMST）を行った際に更新する。
正常　　　：０
パニック値：１</t>
  </si>
  <si>
    <t>結果換算フラグ</t>
  </si>
  <si>
    <t>KKAKSFLG</t>
  </si>
  <si>
    <t>換算した結果か否か
[ 0:デフォルト 1:換算結果 ]</t>
  </si>
  <si>
    <t>未使用：０固定</t>
  </si>
  <si>
    <t>結果修正フラグ</t>
  </si>
  <si>
    <t>KKASSFLG</t>
  </si>
  <si>
    <t xml:space="preserve">検査結果が修正されたか否か
→報告処理を行った回数－１
→報告処理にてカウントアップする
[ 0:デフォルト 1～9:修正回数 ] </t>
  </si>
  <si>
    <t>ホストへ報告した回数がわかる。
２以上の場合はホストに修正報告を行っていることになる。</t>
  </si>
  <si>
    <t>異常値区分（男）</t>
  </si>
  <si>
    <t>IJKBNM</t>
  </si>
  <si>
    <t>検査結果の異常を示すコード
*:異常値マーク 1:異常域（低値） 2:異常域（低値） 3:異常域（低値） 4:基準値範囲内 5:基準値範囲内 6:基準値範囲内 7:異常域（高値） 8 異常域（高値） 9:異常域（高値） －予備設定</t>
  </si>
  <si>
    <t>３、５、７のみ使用。
ホストへこのまま報告する。</t>
  </si>
  <si>
    <t>異常値区分（女）</t>
  </si>
  <si>
    <t>IJKBNF</t>
  </si>
  <si>
    <t>異常値区分（不明）</t>
  </si>
  <si>
    <t>IJKBNN</t>
  </si>
  <si>
    <t>特別異常値区分（男）</t>
  </si>
  <si>
    <t>TBIJKBNM</t>
  </si>
  <si>
    <t>施設？で判断可能。</t>
  </si>
  <si>
    <t>未使用：スペース固定</t>
  </si>
  <si>
    <t>特別異常値区分（女）</t>
  </si>
  <si>
    <t>TBIJKBNF</t>
  </si>
  <si>
    <t>特別異常値区分（不明）</t>
  </si>
  <si>
    <t>TBIJKBNN</t>
  </si>
  <si>
    <t>血清情報(乳び）レベル</t>
  </si>
  <si>
    <t>NBDOLBL</t>
  </si>
  <si>
    <t>－３ ～ ＋３</t>
  </si>
  <si>
    <t>分析機からの乳びレベルが入っている。
―３以下の値も＋３以上の値も普通に入っている。</t>
  </si>
  <si>
    <t>血清情報(乳び）エラーステータス</t>
  </si>
  <si>
    <t>NBDOERR</t>
  </si>
  <si>
    <t>分析機の値を設定</t>
  </si>
  <si>
    <t>値は入っているが未使用</t>
  </si>
  <si>
    <t>血清情報(溶血) レベル</t>
  </si>
  <si>
    <t>YKDOLBL</t>
  </si>
  <si>
    <t>分析機からの溶血レベルが入っている。
―３以下の値も＋３以上の値も普通に入っている。</t>
  </si>
  <si>
    <t>血清情報(溶血) エラーステータス</t>
  </si>
  <si>
    <t>YKDOERR</t>
  </si>
  <si>
    <t>血清情報(etc)  レベル</t>
  </si>
  <si>
    <t>ETCLBL</t>
  </si>
  <si>
    <t>分析機からの黄だんレベルが入っている。
―３以下の値も＋３以上の値も普通に入っている。</t>
  </si>
  <si>
    <t>血清情報(etc)  エラーステータス</t>
  </si>
  <si>
    <t>ETCERR</t>
  </si>
  <si>
    <t>コントロールＮｏ</t>
  </si>
  <si>
    <t>CTRLNO</t>
  </si>
  <si>
    <t>精度管理対象元のコントロールNoを結果登録時に設定。</t>
  </si>
  <si>
    <t>オンラインで測定時に設定。</t>
  </si>
  <si>
    <t>検査G単位に振られる番号
初回：分注展開時にトレー毎に振る？W/S時は？</t>
  </si>
  <si>
    <t>投入トレー登録時にトレーIDを元に設定。
トレーIDの通番部分（下４桁）×１００＋トレーポジション</t>
  </si>
  <si>
    <t>プロットＮｏ</t>
  </si>
  <si>
    <t>PLTNO</t>
  </si>
  <si>
    <t>X_M管理対象元のプロットNoを結果登録時に設定。</t>
  </si>
  <si>
    <t>プロットＳＥＱ</t>
  </si>
  <si>
    <t>PLTSEQ</t>
  </si>
  <si>
    <t>プロットNO内のSEQ（ファイルで番号管理）</t>
  </si>
  <si>
    <t>データ入力担当者</t>
  </si>
  <si>
    <t>DTNRTTS</t>
  </si>
  <si>
    <t>手入力した場合、画面のログインしていたユーザーIDを登録する。</t>
  </si>
  <si>
    <t>データ入力日時</t>
  </si>
  <si>
    <t>DTNRDH</t>
  </si>
  <si>
    <t>検査完了日時</t>
  </si>
  <si>
    <t>KNSKRDH</t>
  </si>
  <si>
    <t>報告日時</t>
  </si>
  <si>
    <t>HKKDH</t>
  </si>
  <si>
    <t>報告希望時間</t>
  </si>
  <si>
    <t>施設からの報告希望時間。
属性情報から引き継ぐ</t>
  </si>
  <si>
    <t>値は入っているが未使用。</t>
  </si>
  <si>
    <t>次回報告予定日</t>
  </si>
  <si>
    <t>ZKHKKYYMD</t>
  </si>
  <si>
    <t>中間報告対象の最終報告予定日
報告時に項目マスタで＋日数を取得し設定</t>
  </si>
  <si>
    <t>未使用：1000-01-01 固定</t>
  </si>
  <si>
    <t>次回報告予定時刻</t>
  </si>
  <si>
    <t>ZKHKKYTME</t>
  </si>
  <si>
    <t>報告希望時間から引き継ぐ</t>
  </si>
  <si>
    <t>フリー結果フラグ</t>
  </si>
  <si>
    <t>FRKKAFLG</t>
  </si>
  <si>
    <t>検査結果詳細情報が存在するか否か
[ 0:無し 1:フリー結果あり 2:フリーコメントあり 3:フリー結果・フリーコメントあり]</t>
  </si>
  <si>
    <t>画像別紙フラグ</t>
  </si>
  <si>
    <t>GZBSFLG</t>
  </si>
  <si>
    <t>画像別紙情報が存在するか否か
[ 0:無し 1:有り]
検査結果詳細情報を使用する</t>
  </si>
  <si>
    <t>補正フラグ</t>
  </si>
  <si>
    <t xml:space="preserve">HSIFLG     </t>
  </si>
  <si>
    <t>[ 0:補正対象外 1:手動補正前 2:自動補正前 3:手動補正済 4:自動補正済 ]</t>
  </si>
  <si>
    <t xml:space="preserve">校正画面で校正したものは 3 、それ以外は 0、1 </t>
  </si>
  <si>
    <t>結果優先フラグ</t>
  </si>
  <si>
    <t>KKAYSNFLG</t>
  </si>
  <si>
    <t>複数検査回数で画面、帳票等に優先的に表示させるためのフラグ
[ ｽﾍﾟｰｽ:ﾃﾞﾌｫﾙﾄ 1:優先結果 ]</t>
  </si>
  <si>
    <t>報告対象となる結果は 1 、それ以外はスペース。
デフォルトでは初回が 1 となる。</t>
  </si>
  <si>
    <t>手入力フラグ</t>
  </si>
  <si>
    <t>TNYRKFLG</t>
  </si>
  <si>
    <t>手入力されたかどうかを判断するフラグ
[ ｽﾍﾟｰｽ:ﾃﾞﾌｫﾙﾄ 1:手入力結果 ]</t>
  </si>
  <si>
    <t>左記の通り。</t>
  </si>
  <si>
    <t>採用フラグ</t>
  </si>
  <si>
    <t>SIYFLG</t>
  </si>
  <si>
    <t>同一検査回数内で結果を採用したフラグ</t>
  </si>
  <si>
    <t>検査フラグ</t>
  </si>
  <si>
    <t xml:space="preserve">KNSFLG    </t>
  </si>
  <si>
    <t>検査の状況を表すフラグ</t>
  </si>
  <si>
    <t>R:再検対象 　　　　　再検ＷＳ出力対象。報告できない。
A:検査完了(ﾁｪｯｸ待ち) レンジエラー、照合ＮＧなど、報告できない状態。
X:精度保障待ち 　　　検査結果正常。コントロールが正常ならば、報告可能。
S:報告可能 　　　　　報告可能。手入力結果等、　
E:報告済 　　　　　　報告済み。基本的に報告済みのみ
M:未報告完了 　　　　報告の際に、報告する必要のない結果をこのフラグにする。
H:保留 　　　　　　　検査員が画面から保留にする。</t>
  </si>
  <si>
    <t>Q,T?</t>
  </si>
  <si>
    <t>再検フラグ01</t>
  </si>
  <si>
    <t>※レンジチェック
　エラーの場合 高、低 で表示</t>
  </si>
  <si>
    <t>オンライン、入力画面にてレンジチェック（RNGCHKMST）を行った際に更新する。
正常　　　：０、１
高値エラー：３
低値エラー：４</t>
  </si>
  <si>
    <t>再検フラグ02</t>
  </si>
  <si>
    <r>
      <rPr>
        <sz val="10"/>
        <rFont val="ＭＳ ゴシック"/>
        <family val="3"/>
        <charset val="128"/>
      </rPr>
      <t>※相関チェック(WS内)
　</t>
    </r>
    <r>
      <rPr>
        <sz val="10"/>
        <color rgb="FFFF0000"/>
        <rFont val="ＭＳ ゴシック"/>
        <family val="3"/>
        <charset val="128"/>
      </rPr>
      <t>エラーの場合、画面や帳票上では
　「</t>
    </r>
    <r>
      <rPr>
        <b/>
        <sz val="10"/>
        <color rgb="FFFF0000"/>
        <rFont val="ＭＳ ゴシック"/>
        <family val="3"/>
        <charset val="128"/>
      </rPr>
      <t>WS</t>
    </r>
    <r>
      <rPr>
        <sz val="10"/>
        <color rgb="FFFF0000"/>
        <rFont val="ＭＳ ゴシック"/>
        <family val="3"/>
        <charset val="128"/>
      </rPr>
      <t>」で表示</t>
    </r>
  </si>
  <si>
    <t>オンライン、入力画面にて相関チェック（SKCHKMST）を行った際に更新する。
正常　：０、１
エラー：２</t>
  </si>
  <si>
    <t>再検フラグ03</t>
  </si>
  <si>
    <r>
      <rPr>
        <sz val="10"/>
        <rFont val="ＭＳ ゴシック"/>
        <family val="3"/>
        <charset val="128"/>
      </rPr>
      <t>※関連チェック
　</t>
    </r>
    <r>
      <rPr>
        <sz val="10"/>
        <color rgb="FFFF0000"/>
        <rFont val="ＭＳ ゴシック"/>
        <family val="3"/>
        <charset val="128"/>
      </rPr>
      <t>エラーの場合、画面や帳票上では
　「</t>
    </r>
    <r>
      <rPr>
        <b/>
        <sz val="10"/>
        <color rgb="FFFF0000"/>
        <rFont val="ＭＳ ゴシック"/>
        <family val="3"/>
        <charset val="128"/>
      </rPr>
      <t>連</t>
    </r>
    <r>
      <rPr>
        <sz val="10"/>
        <color rgb="FFFF0000"/>
        <rFont val="ＭＳ ゴシック"/>
        <family val="3"/>
        <charset val="128"/>
      </rPr>
      <t>」で表示</t>
    </r>
  </si>
  <si>
    <t>オンライン、結果登録、入力画面にて関連チェック（KRKMKMST）を行った際に更新する。
正常　：０、１
エラー：２</t>
  </si>
  <si>
    <t>再検フラグ04</t>
  </si>
  <si>
    <t>再検フラグ05</t>
  </si>
  <si>
    <t>未使用：０、１</t>
  </si>
  <si>
    <t>再検フラグ06</t>
  </si>
  <si>
    <t>再検フラグ07</t>
  </si>
  <si>
    <r>
      <rPr>
        <sz val="10"/>
        <rFont val="ＭＳ ゴシック"/>
        <family val="3"/>
        <charset val="128"/>
      </rPr>
      <t xml:space="preserve">※照合チェック
</t>
    </r>
    <r>
      <rPr>
        <sz val="10"/>
        <color rgb="FFFF0000"/>
        <rFont val="ＭＳ ゴシック"/>
        <family val="3"/>
        <charset val="128"/>
      </rPr>
      <t>　エラーの場合、画面や帳票上では
　「</t>
    </r>
    <r>
      <rPr>
        <b/>
        <sz val="10"/>
        <color rgb="FFFF0000"/>
        <rFont val="ＭＳ ゴシック"/>
        <family val="3"/>
        <charset val="128"/>
      </rPr>
      <t>照</t>
    </r>
    <r>
      <rPr>
        <sz val="10"/>
        <color rgb="FFFF0000"/>
        <rFont val="ＭＳ ゴシック"/>
        <family val="3"/>
        <charset val="128"/>
      </rPr>
      <t>」で表示</t>
    </r>
  </si>
  <si>
    <t>結果登録にて照合チェック（RNGCHKMST）を行った際に更新する。
正常　：０、１
エラー：２</t>
  </si>
  <si>
    <t>再検フラグ08</t>
  </si>
  <si>
    <t>再検フラグ09</t>
  </si>
  <si>
    <t>再検フラグ10</t>
  </si>
  <si>
    <t>再検フラグ11</t>
  </si>
  <si>
    <r>
      <rPr>
        <sz val="10"/>
        <rFont val="ＭＳ ゴシック"/>
        <family val="3"/>
        <charset val="128"/>
      </rPr>
      <t>※希釈再検チェック
　</t>
    </r>
    <r>
      <rPr>
        <sz val="10"/>
        <color rgb="FFFF0000"/>
        <rFont val="ＭＳ ゴシック"/>
        <family val="3"/>
        <charset val="128"/>
      </rPr>
      <t>エラーの場合、画面や帳票上では
　「</t>
    </r>
    <r>
      <rPr>
        <b/>
        <sz val="10"/>
        <color rgb="FFFF0000"/>
        <rFont val="ＭＳ ゴシック"/>
        <family val="3"/>
        <charset val="128"/>
      </rPr>
      <t>希」</t>
    </r>
    <r>
      <rPr>
        <sz val="10"/>
        <color rgb="FFFF0000"/>
        <rFont val="ＭＳ ゴシック"/>
        <family val="3"/>
        <charset val="128"/>
      </rPr>
      <t>で表示</t>
    </r>
  </si>
  <si>
    <t>オンラインにて希釈チェック（KSKBRMST）を行った際に更新する。
正常　：０、１
エラー：２</t>
  </si>
  <si>
    <t>再検フラグ12</t>
  </si>
  <si>
    <t>再検フラグ13</t>
  </si>
  <si>
    <t>再検フラグ14</t>
  </si>
  <si>
    <t>再検フラグ15</t>
  </si>
  <si>
    <t>再検フラグ16</t>
  </si>
  <si>
    <t>※チェック状態フラグ
[ 0:未ﾁｪｯｸ 1:OK 2:NG ]
(ﾁｪｯｸ不要なフラグは1＝OKの設定にすする)</t>
  </si>
  <si>
    <t>オンラインにて分析機エラーや結果値がスペースだった場合に更新する。
正常　：０、１
エラー：２</t>
  </si>
  <si>
    <t>再検フラグ17</t>
  </si>
  <si>
    <t>再検フラグ18</t>
  </si>
  <si>
    <t>再検フラグ19</t>
  </si>
  <si>
    <t>再検フラグ20</t>
  </si>
  <si>
    <t>再検理由コードＡ</t>
  </si>
  <si>
    <t>SKRYCDA</t>
  </si>
  <si>
    <t>代表の再検理由コードをセット</t>
  </si>
  <si>
    <t>再検理由コードＢ</t>
  </si>
  <si>
    <t>SKRYCDB</t>
  </si>
  <si>
    <t>再検理由コードＣ</t>
  </si>
  <si>
    <t>SKRYCDC</t>
  </si>
  <si>
    <t>データが更新されたタイミングで更新</t>
  </si>
  <si>
    <t>照会結果</t>
  </si>
  <si>
    <t>SKKKA</t>
  </si>
  <si>
    <t>検査結果＋「以上・以下・未満」等を付加し編集済みの表示用結果値</t>
  </si>
  <si>
    <t>データ入力画面では余り使われていないが、照会画面ではこちらを表示することが多い。</t>
  </si>
  <si>
    <t>SYOUGOFLG列が重複している。再検ﾌﾗｸﾞ13(照合NG)→SYOUNGFLGに変更</t>
  </si>
  <si>
    <t>フリー結果フラグ　フラグ内容変更</t>
  </si>
  <si>
    <t>画像別紙フラグ　フラグ内容変更</t>
  </si>
  <si>
    <t>フィールド変更　検査結果　　　　→　検査結果１と検査結果２に分離する</t>
  </si>
  <si>
    <t>　　　　　　　　検査結果２区分　→　char(1)　→　char(2)</t>
  </si>
  <si>
    <t>　　　　　　　　検査結果補足　　→　char(5)　→　char(3)</t>
  </si>
  <si>
    <t>　　　　　　　　検査結果補足コメント　削除　　　　　　</t>
  </si>
  <si>
    <t>　　　　　　　　結果コメント１＆２　　備考内容確認してください。</t>
  </si>
  <si>
    <t>　　　　　　　　結果優先フラグ　　　　追加</t>
  </si>
  <si>
    <t>　　　　　　　　手入力フラグ　　　　　追加</t>
  </si>
  <si>
    <t>2006/02/07　秋山</t>
  </si>
  <si>
    <t>検査フラグ　　　フラグ区分追加　V:ﾍﾞﾘﾌｧｲ中</t>
  </si>
  <si>
    <t>検査フラグ　　　フラグ区分変更　A:検査完了　　　　　　　　→　A:検査完了（ﾁｪｯｸ待ち）</t>
  </si>
  <si>
    <t>　　　　　　　　フラグ区分変更　X:報告可能（他項目待ち）　→　X:報告可能（精度保障待ち）</t>
  </si>
  <si>
    <t>　　　　　　　　フラグ区分追加　T:報告可能（他項目待ち）</t>
  </si>
  <si>
    <t>　　　　　　　　フラグ区分変更　H:保留</t>
  </si>
  <si>
    <t>再検フラグ01-20 フラグ意味変更</t>
  </si>
  <si>
    <t>再検フラグ01　　物理名（RENJICFLG）へ変更</t>
  </si>
  <si>
    <t>2006/02/27　秋山</t>
  </si>
  <si>
    <t>文言の変更。報告可能（精度保証待ち）　→　精度保証待ち</t>
  </si>
  <si>
    <t>2006/03/03　鎌倉</t>
  </si>
  <si>
    <t>コード定義修正</t>
  </si>
  <si>
    <t>1.[パニックレンジフラグ(PNCRGFLG)]</t>
  </si>
  <si>
    <t xml:space="preserve">  [ 空白：デフォルト P：BMLパニック報告対象 ]</t>
  </si>
  <si>
    <t>　→ [ 0：デフォルト 1：BMLパニック報告対象 ]</t>
  </si>
  <si>
    <t>2.[検査室パニックレンジフラグ(KNSPNCRGFLG)]</t>
  </si>
  <si>
    <t xml:space="preserve">  [ 空白：デフォルト P：検査室パニック報告対象 ]</t>
  </si>
  <si>
    <t>　→ [ 0：デフォルト 1：検査室パニック報告対象 ]</t>
  </si>
  <si>
    <t>3.[結果修正フラグ(KKASSFLG)]</t>
  </si>
  <si>
    <t xml:space="preserve">  [ スペース:デフォルト 0～9:修正回数 ]</t>
  </si>
  <si>
    <t>　→ [ 0:デフォルト 1～9:修正回数 ]</t>
  </si>
  <si>
    <t>2006/06/10　秋山</t>
  </si>
  <si>
    <t>照会結果　　　SKKKA　CHAR(24)</t>
  </si>
  <si>
    <t>コード定義変更</t>
  </si>
  <si>
    <t>表示結果　　　画面から手入力された値および、分析機からの値を登録</t>
  </si>
  <si>
    <t>検査結果詳細情報</t>
  </si>
  <si>
    <t>フリー識別</t>
  </si>
  <si>
    <t>FRSB</t>
  </si>
  <si>
    <t>[ 1:結果　2：コメント G：画像データ]</t>
  </si>
  <si>
    <t>フリーテキスト</t>
  </si>
  <si>
    <t>FREETEXT</t>
  </si>
  <si>
    <t>全半角混在 16KB</t>
  </si>
  <si>
    <t>詳細修正フラグ</t>
  </si>
  <si>
    <t>SSSSFLG</t>
  </si>
  <si>
    <t xml:space="preserve">詳細結果が修正されたか否か
→報告処理を行った回数－１
→報告処理にてカウントアップする
[ スペース:デフォルト ０～９:修正回数 ] </t>
  </si>
  <si>
    <t>詳細検査フラグ</t>
  </si>
  <si>
    <t xml:space="preserve">SSKNSFLG    </t>
  </si>
  <si>
    <t>詳細結果の状況を表すフラグ
[ K:検査中 A:検査完了 S:報告可能 E:報告済 ]</t>
  </si>
  <si>
    <t>フリー識別に[G：画像データ]を追加</t>
  </si>
  <si>
    <t>相関情報</t>
  </si>
  <si>
    <t>相関先項目コード</t>
  </si>
  <si>
    <t>SKSKMKCD</t>
  </si>
  <si>
    <t>相関先の項目コードをセット</t>
  </si>
  <si>
    <t>相関先処理日</t>
  </si>
  <si>
    <t>SKSSRIYMD</t>
  </si>
  <si>
    <t>相関先の処理日をセット</t>
  </si>
  <si>
    <t>相関先検体Ｎｏ</t>
  </si>
  <si>
    <t>SKSKNTNO</t>
  </si>
  <si>
    <t>相関先の検体Ｎｏをセット</t>
  </si>
  <si>
    <t>相関先検査実施ラボコード</t>
  </si>
  <si>
    <t>SKSKNSGSLBCD</t>
  </si>
  <si>
    <t>相関先の実施ラボコードをセット</t>
  </si>
  <si>
    <t>希釈倍率</t>
  </si>
  <si>
    <t>KSBR</t>
  </si>
  <si>
    <t>乳び度</t>
  </si>
  <si>
    <t>NBDO</t>
  </si>
  <si>
    <t>溶血度</t>
  </si>
  <si>
    <t>YKDO</t>
  </si>
  <si>
    <t>履歴情報</t>
  </si>
  <si>
    <t>永田</t>
  </si>
  <si>
    <t>ｶﾅ氏名から、ﾞﾟｰ空白を除いたもの。
過渡期は検査室側で編集する必要有り。
次世代（上位から履歴情報がくるようになった場合）は履歴元（当日分）のＢＭＬ受付年月日、依頼書Ｎｏをセットしてもいいかな。</t>
  </si>
  <si>
    <t>表示上、注意が必要？
→年齢区分の漢字単位と共に表示。
2007.1.20追加</t>
  </si>
  <si>
    <t>[ Y:年齢 M:月齢 W:週齢 D:日齢 Z:不明 ]
2007.1.20追加</t>
  </si>
  <si>
    <t>画面から手入力された値および、分析機からの値を登録
2007.1.20追加</t>
  </si>
  <si>
    <t>親施設コード　OYASSTCD CHAR(10)</t>
  </si>
  <si>
    <t>2007/1/20　永田</t>
  </si>
  <si>
    <t>フィールド追加　年齢　AGE char(3)、年齢区分 AGEKBN char(1)</t>
  </si>
  <si>
    <t>フィールド追加　表示結果 HJKKA char(24)</t>
  </si>
  <si>
    <t>フィールド削除  検査結果１，検査結果２、検査結果補足、検査結果２区分、指数 SDI</t>
  </si>
  <si>
    <t>異常者データ情報</t>
  </si>
  <si>
    <t>フィールド変更　患者名キー　　　→　患者名（カナ）</t>
  </si>
  <si>
    <t>20006/05/01　秋山</t>
  </si>
  <si>
    <t>Ｘ－Ｍ情報</t>
  </si>
  <si>
    <t>検査ＳＥＱ－ＳＴＡＲＴ</t>
  </si>
  <si>
    <t>KNSSEQST</t>
  </si>
  <si>
    <t>検査ＳＥＱ－ＥＮＤ</t>
  </si>
  <si>
    <t>KNSSEQED</t>
  </si>
  <si>
    <t>分析機ＳＥＱ－ＳＴＡＲＴ</t>
  </si>
  <si>
    <t>BSKSEQST</t>
  </si>
  <si>
    <t>分析機ＳＥＱ－ＥＮＤ</t>
  </si>
  <si>
    <t>BSKSEQED</t>
  </si>
  <si>
    <t>プロットＳＥＱ－ＳＴＡＲＴ</t>
  </si>
  <si>
    <t>PLTSEQST</t>
  </si>
  <si>
    <t>プロットＳＥＱ－ＥＮＤ</t>
  </si>
  <si>
    <t>PLTSEQED</t>
  </si>
  <si>
    <t>プロット数</t>
  </si>
  <si>
    <t>PLTSU</t>
  </si>
  <si>
    <t>Ｘ－Ｍ結果</t>
  </si>
  <si>
    <t>XBARMKKA</t>
  </si>
  <si>
    <t>Ｘ－Ｍ状態区分</t>
  </si>
  <si>
    <t>XBARMJTKBN</t>
  </si>
  <si>
    <t>このＸＢＡＲＭ状態を判断する区分
[ S:正常 K:高値異常 T:低値異常 ]</t>
  </si>
  <si>
    <t>Ｘ－Ｍ確定フラグ</t>
  </si>
  <si>
    <t>XBARMJKFLG</t>
  </si>
  <si>
    <t>このＸＢＡＭ情報の確定状況を管理するフラグ
[ 0:確定前 1:確定済 ]</t>
  </si>
  <si>
    <t>フィールド削除　　報告状況フラグ</t>
  </si>
  <si>
    <t>主キー追加　　　　検査グループ</t>
  </si>
  <si>
    <t>コントロール管理情報</t>
  </si>
  <si>
    <t>福山</t>
  </si>
  <si>
    <t>コントロール判断フラグ</t>
  </si>
  <si>
    <t>CTRLHDFLG</t>
  </si>
  <si>
    <t>コントロールＮＯ単位での状態を判断するフラグ
[ S:正常 I:異常 K:校正異常 ]</t>
  </si>
  <si>
    <t>コントロール確定フラグ</t>
  </si>
  <si>
    <t>CTRLKTFLG</t>
  </si>
  <si>
    <t>このコントロール情報の確定状況を管理するフラグ
[ 0:確定前 1:確定済 ]</t>
  </si>
  <si>
    <t>2006/02/06　秋山</t>
  </si>
  <si>
    <t>フィールド変更　コントロール状態区分　→　コントロール判断フラグ</t>
  </si>
  <si>
    <t>備考内容変更　　コントロール判断フラグ　（Ｈ：保留）を削除</t>
  </si>
  <si>
    <t>物理名変更　　　コントロール確定フラグ　CTRLJKFLG　→　CTRLKTFLG</t>
  </si>
  <si>
    <t>コントロール判断フラグ　　フラグ意味（K:校正異常）を追加</t>
  </si>
  <si>
    <t>コントロール結果情報</t>
  </si>
  <si>
    <t>コントロール種別</t>
  </si>
  <si>
    <t>CTRLSBT</t>
  </si>
  <si>
    <t>試薬情報をセット</t>
  </si>
  <si>
    <t>コントロール種別枝番</t>
  </si>
  <si>
    <t>CTRLSBTEDA</t>
  </si>
  <si>
    <t>コントロールレベル</t>
  </si>
  <si>
    <t>CTRLLBL</t>
  </si>
  <si>
    <t>low、middle、high</t>
  </si>
  <si>
    <t>検査バッチ内ラック順番</t>
  </si>
  <si>
    <t>BTHRCKJBN</t>
  </si>
  <si>
    <t>検査バッチ内でのラックの順番
（多分ＲＩＡ系で使用）</t>
  </si>
  <si>
    <t>試薬ロットＮｏ</t>
  </si>
  <si>
    <t>SYKLOTNO</t>
  </si>
  <si>
    <t>測定値</t>
  </si>
  <si>
    <t>SKTTI</t>
  </si>
  <si>
    <t>換算値</t>
  </si>
  <si>
    <t>KNZTI</t>
  </si>
  <si>
    <t>換算値設定フラグ</t>
  </si>
  <si>
    <t>KNZTISTFLG</t>
  </si>
  <si>
    <t>分析機から測定情報がでていても濃度換算等の処理をしていない為、換算値が未設定の場合の判断をする
（多分ＲＩＡ系で使用）</t>
  </si>
  <si>
    <t>コントロール状態</t>
  </si>
  <si>
    <t>CTRLJTI</t>
  </si>
  <si>
    <t>このコントロール状態（ＳＤ）
[ －９　～　＋９ ]</t>
  </si>
  <si>
    <t>チェック済みフラグ</t>
  </si>
  <si>
    <t>CHKZMFLG</t>
  </si>
  <si>
    <t>コントロール管理情報へのチェックが済んだか否かのフラグ
[ 0:ﾁｪｯｸ前 1:ﾁｪｯｸ済 3:確定済み]</t>
  </si>
  <si>
    <t>ファクター</t>
  </si>
  <si>
    <t>FACTER</t>
  </si>
  <si>
    <t>ベース</t>
  </si>
  <si>
    <t>BASE</t>
  </si>
  <si>
    <t>校正状態</t>
  </si>
  <si>
    <t>KOSIJT</t>
  </si>
  <si>
    <t>校正状態を判断する
[ 0:校正なし 1:自動校正 2:手動校正 ]</t>
  </si>
  <si>
    <t>校正担当者</t>
  </si>
  <si>
    <t>KOSITTS</t>
  </si>
  <si>
    <t>校正日時</t>
  </si>
  <si>
    <t>KOSIDH</t>
  </si>
  <si>
    <t>テーブル名変更　コントロール情報(CONTROL) →　コントロール結果情報(CTRLKKA)</t>
  </si>
  <si>
    <t>フィールド変更　コントロール確定フラグ　　→　チェック済みフラグ</t>
  </si>
  <si>
    <t>　　　　　　　　（コントロール管理情報へのチェックが済んだか否か）</t>
  </si>
  <si>
    <t>フィールド削除　報告状況フラグ</t>
  </si>
  <si>
    <t>フィールド追加　校正状態/校正担当者/校正日時</t>
  </si>
  <si>
    <t>フィールド変更　コントロール状態区分　　→　コントロール状態　SMALLINT 値　-９～＋９</t>
  </si>
  <si>
    <t>2006/02/16　鎌倉</t>
  </si>
  <si>
    <t>フィールド追加　ファクター</t>
  </si>
  <si>
    <t>　　　　　　　　ベース</t>
  </si>
  <si>
    <t>2006/06/03　秋山</t>
  </si>
  <si>
    <t>フラグ追加</t>
  </si>
  <si>
    <t>チェック済みフラグのﾌﾗｸﾞ追加　[3:確定済み]</t>
  </si>
  <si>
    <t>スタンダード情報</t>
  </si>
  <si>
    <t>分析機モジュールＮＯ</t>
  </si>
  <si>
    <t>BSKMJNO</t>
  </si>
  <si>
    <t>スタンダード種別</t>
  </si>
  <si>
    <t>STDSBT</t>
  </si>
  <si>
    <t>ロットＮｏ</t>
  </si>
  <si>
    <t>LOTNO</t>
  </si>
  <si>
    <t>結合率</t>
  </si>
  <si>
    <t>KTGRT</t>
  </si>
  <si>
    <t>スタンダード状況フラグ</t>
  </si>
  <si>
    <t>STDJKFLG</t>
  </si>
  <si>
    <t>報告可能状態フラグ</t>
  </si>
  <si>
    <t>HKKOKFLG</t>
  </si>
  <si>
    <t>桁数とデータ型を他と同期をとった。</t>
  </si>
  <si>
    <t>バッチ管理情報</t>
  </si>
  <si>
    <t>バッチ状況フラグ</t>
  </si>
  <si>
    <t>BTHJKFLG</t>
  </si>
  <si>
    <t>トレー管理情報</t>
  </si>
  <si>
    <t>受取日時</t>
  </si>
  <si>
    <t>UKTRDH</t>
  </si>
  <si>
    <t>受け取り担当者</t>
  </si>
  <si>
    <t>UKTRTTS</t>
  </si>
  <si>
    <t>供給日時</t>
  </si>
  <si>
    <t>INSTKDH</t>
  </si>
  <si>
    <t>供給ストッカーＮｏ</t>
  </si>
  <si>
    <t>INSTKNO</t>
  </si>
  <si>
    <t>供給回数</t>
  </si>
  <si>
    <t>INSTKSU</t>
  </si>
  <si>
    <t>回収日時</t>
  </si>
  <si>
    <t>OUTSTKDH</t>
  </si>
  <si>
    <t>回収ストッカーＮｏ</t>
  </si>
  <si>
    <t>OUTSTKNO</t>
  </si>
  <si>
    <t>回収回数</t>
  </si>
  <si>
    <t>OUTSKSU</t>
  </si>
  <si>
    <t>キー項目設定</t>
  </si>
  <si>
    <t>フィールド追加　管理ＳＥＱ SMALLINT  ＰＫを設定するため</t>
  </si>
  <si>
    <t>フィールド削除　管理ＳＥＱ</t>
  </si>
  <si>
    <t>フィールド追加　供給回数 SMALLINT</t>
  </si>
  <si>
    <t>　　　　　　　　回収回数 SMALLINT</t>
  </si>
  <si>
    <t>ＰＫ設定　　　　検査開始日 ＋ トレーＩＤ</t>
  </si>
  <si>
    <t>アッセイラック管理</t>
  </si>
  <si>
    <t>検査区分</t>
  </si>
  <si>
    <t>KNSKBN</t>
  </si>
  <si>
    <t>ラック分類</t>
  </si>
  <si>
    <t>RAKBRI</t>
  </si>
  <si>
    <t>対象ラック種類をコード化
[01:元検体ラック 02:フロンティア子検体ラック 03:孫検体ラック 51:緊急ラック 91:コントロールラック 92:キャリブレーションラック 99:ダミーラック]</t>
  </si>
  <si>
    <t>ライン投入日時</t>
  </si>
  <si>
    <t>LNETNDH</t>
  </si>
  <si>
    <t>ライン排出日時</t>
  </si>
  <si>
    <t>LNEHSDH</t>
  </si>
  <si>
    <t>ラック状態フラグ</t>
  </si>
  <si>
    <t>RAKJTFLG</t>
  </si>
  <si>
    <t>[ M:未処理 W:検査待ち K:検査中 A:検査完了 Q:ＱＣ完了 E:処理完了 ]</t>
  </si>
  <si>
    <t>検体ポジション情報</t>
  </si>
  <si>
    <t>1-1</t>
  </si>
  <si>
    <t>1-2</t>
  </si>
  <si>
    <t>1-3</t>
  </si>
  <si>
    <t>情報確認日時</t>
  </si>
  <si>
    <t>KNNDH</t>
  </si>
  <si>
    <t>1-4</t>
  </si>
  <si>
    <t>1-5</t>
  </si>
  <si>
    <t>ラック位置区分</t>
  </si>
  <si>
    <t>RAKITJHO</t>
  </si>
  <si>
    <t>[ A:供給ストッカー B:サンプラー C:分析機ライン D:分析機 E:回収ストッカー F:ピッキング ]</t>
  </si>
  <si>
    <t>ラック位置区分詳細</t>
  </si>
  <si>
    <t>RAKITJHOSSI</t>
  </si>
  <si>
    <t>ストッカーＮＯ、サンプラーＮＯ、分析機ラインＮＯ、分析機ＮＯ、回収ストッカーＮＯ、他</t>
  </si>
  <si>
    <t>2005/01/17　長田</t>
  </si>
  <si>
    <t>SEQ-NO列を追加</t>
  </si>
  <si>
    <t>フィールド変更　ＳＥＱ－ＮＯ　→　情報確認ＳＥＱ</t>
  </si>
  <si>
    <t>備考内容変更　　ラック位置区分　Ｆ：廃棄　→　Ｆ：ピッキング</t>
  </si>
  <si>
    <t>ＰＫキー変更　　検査開始日/処理日/検体Ｎｏ/情報確認ＳＥＱ</t>
  </si>
  <si>
    <t>PK削除</t>
  </si>
  <si>
    <t>ｲﾝﾃﾞｯｸｽ追加</t>
  </si>
  <si>
    <t>2006/09/16 秋山</t>
  </si>
  <si>
    <t>フィールド削除</t>
  </si>
  <si>
    <t>物理テーブルと相違があったため。</t>
  </si>
  <si>
    <t>情報確認ＳＥＱ</t>
  </si>
  <si>
    <t>ワークシートＳＥＱ管理情報</t>
  </si>
  <si>
    <t>ＷＳ管理通番</t>
  </si>
  <si>
    <t>WSTBNKNR</t>
  </si>
  <si>
    <t>ＷＳ種別</t>
  </si>
  <si>
    <t>WSSBT</t>
  </si>
  <si>
    <t>[検査ｸﾞﾙｰﾌﾟ]使用トレイを登録。</t>
  </si>
  <si>
    <t>ＷＳ番号</t>
  </si>
  <si>
    <t>WSNO</t>
  </si>
  <si>
    <t>[トレー発番マスタ]にて発番。</t>
  </si>
  <si>
    <t>検査ＳＥＱ（開始）</t>
  </si>
  <si>
    <t>検査ＳＥＱ（終了）</t>
  </si>
  <si>
    <t>検査ＳＥＱ数（検体数）</t>
  </si>
  <si>
    <t>KNSSEQSU</t>
  </si>
  <si>
    <t>ワークシート作成時の検査工程区分</t>
  </si>
  <si>
    <t>ログインユーザーＩＤ</t>
  </si>
  <si>
    <t>全面改訂</t>
  </si>
  <si>
    <t>検査ＳＥＱ採番管理情報</t>
  </si>
  <si>
    <t>使用トレイ区分</t>
  </si>
  <si>
    <t>TRAYKBN</t>
  </si>
  <si>
    <t>[0：初回トレイ　1：再検トレイ
2：再測定トレイ 3：未分注トレイ ]</t>
  </si>
  <si>
    <t>トレイIDの頭文字。</t>
  </si>
  <si>
    <t>WS番号を管理する。
採番の際は、この値+1を次のWS番号とする。</t>
  </si>
  <si>
    <t>検査ＳＥＱＭＡＸ</t>
  </si>
  <si>
    <t>KNSSEQMAX</t>
  </si>
  <si>
    <t>検査SEQを管理する。
採番の際は、この値+1を次の検査SEQとする。</t>
  </si>
  <si>
    <t>採番トレイ番号</t>
  </si>
  <si>
    <t>SYTRYMAX</t>
  </si>
  <si>
    <t>発番したトレイIDを管理する。
採番の際は、この値+1を次の検査SEQとする。</t>
  </si>
  <si>
    <t>新規追加</t>
  </si>
  <si>
    <t>2006/3/22　秋山</t>
  </si>
  <si>
    <t>追加　採番トレイ番号</t>
  </si>
  <si>
    <t>報告管理情報</t>
  </si>
  <si>
    <t>報告指示日</t>
  </si>
  <si>
    <t>HKKSJYMD</t>
  </si>
  <si>
    <t>報告指示Ｎｏ</t>
  </si>
  <si>
    <t>HKKSJNO</t>
  </si>
  <si>
    <t>報告区分</t>
  </si>
  <si>
    <t>HKKKBN</t>
  </si>
  <si>
    <t>[ 1.最終 2:中間 ]</t>
  </si>
  <si>
    <t>報告条件</t>
  </si>
  <si>
    <t>HKKJKN</t>
  </si>
  <si>
    <t>1:コントロールNO 2:プロットNO 3:検査SEQ 4:依頼書NO 5:検体No 6:号機SEQ 7:緊急ロット 8:再転送</t>
  </si>
  <si>
    <t>報告指示画面の指定条件</t>
  </si>
  <si>
    <t>報告指示画面の指定条件
EUC対応で16byte。</t>
  </si>
  <si>
    <t>報告条件開始ＳＥＱ</t>
  </si>
  <si>
    <t>HKKJKNST</t>
  </si>
  <si>
    <t>報告条件終了ＳＥＱ</t>
  </si>
  <si>
    <t>HKKJKNED</t>
  </si>
  <si>
    <t>報告ファイル名</t>
  </si>
  <si>
    <t>HKKFLNM</t>
  </si>
  <si>
    <t>報告用ファイル名。
報告区分によって分別をつける。</t>
  </si>
  <si>
    <t>報告指示担当者</t>
  </si>
  <si>
    <t>HKKSJTTS</t>
  </si>
  <si>
    <t>報告指示日時</t>
  </si>
  <si>
    <t>作成開始日時</t>
  </si>
  <si>
    <t>HKKSTDH</t>
  </si>
  <si>
    <t>作成完了日時</t>
  </si>
  <si>
    <t>HKKEDDH</t>
  </si>
  <si>
    <t>転送開始日時</t>
  </si>
  <si>
    <t>TNSSTDH</t>
  </si>
  <si>
    <t>転送終了日時</t>
  </si>
  <si>
    <t>TNSEDDH</t>
  </si>
  <si>
    <t>作成件数</t>
  </si>
  <si>
    <t>HKKSSKNSU</t>
  </si>
  <si>
    <t>報告区分毎に処理した件数</t>
  </si>
  <si>
    <t>報告保留件数</t>
  </si>
  <si>
    <t>HKKHRYSU</t>
  </si>
  <si>
    <t>検査システム内で報告保留になっている件数</t>
  </si>
  <si>
    <t>送信元ファイルＩＤ</t>
  </si>
  <si>
    <t>SSNMTFILID</t>
  </si>
  <si>
    <t>転送プログラムで発番される通番
[ YYYYMMDD + 9999 ]</t>
  </si>
  <si>
    <t>HKKJKFLG</t>
  </si>
  <si>
    <t>[ 0:報告待ち（予約） 1:処理中 2:報告済 3:再転送待ち 4:処理エラー(作成) 5:処理エラー(送信) ]</t>
  </si>
  <si>
    <t>報告エラーコード</t>
  </si>
  <si>
    <t>HKKERRCODE</t>
  </si>
  <si>
    <t>作成・転送・報告時の処理エラーコードを登録。エラーメッセージマスタより取得。</t>
  </si>
  <si>
    <t>緊急依頼の場合に投入する検体のまとまり。A/S400向けの場合のみ使用</t>
  </si>
  <si>
    <t>再転送元ファイル名</t>
  </si>
  <si>
    <t>STSFLNM</t>
  </si>
  <si>
    <t>再転送時の元ファイル名</t>
  </si>
  <si>
    <t>緊急依頼ロットNo</t>
  </si>
  <si>
    <t>BML受付年月日</t>
  </si>
  <si>
    <t>指示件数</t>
  </si>
  <si>
    <t>エラーコード</t>
  </si>
  <si>
    <t>論理名変更</t>
  </si>
  <si>
    <t>報告ファイルID</t>
  </si>
  <si>
    <t>→</t>
  </si>
  <si>
    <t>桁数変更</t>
  </si>
  <si>
    <t>5　→　6</t>
  </si>
  <si>
    <t>2006/02/07　鎌倉</t>
  </si>
  <si>
    <t>フィールド削除　結果更新エラー件数</t>
  </si>
  <si>
    <t>　　　　　　　　送信元ＩＤ</t>
  </si>
  <si>
    <t>　　　　　　　　指示件数</t>
  </si>
  <si>
    <t>報告状況フラグ　フラグ区分変更　3:結果更新エラーあり　→　 3:処理エラー</t>
  </si>
  <si>
    <t>　　　　　　　　　　　　　　　　　　　　　　　　　　　　　（報告処理プロセスのエラー時セット）</t>
  </si>
  <si>
    <t>サイズ変更　　　分析機区分　char (10)　→　char (4)</t>
  </si>
  <si>
    <t>コード定義追加</t>
  </si>
  <si>
    <t>報告条件　→　[ 7：緊急ロット ] を追加</t>
  </si>
  <si>
    <t>2006/03/16　鎌倉</t>
  </si>
  <si>
    <t>1．「再転送元ファイル名(STSFLNM)」を追加</t>
  </si>
  <si>
    <t>2．「報告条件(HKKJKN)」にコード定義追加</t>
  </si>
  <si>
    <t xml:space="preserve">      [8:再転送]</t>
  </si>
  <si>
    <t>3．「報告状況フラグ(HKKJKFLG)」にコード追加</t>
  </si>
  <si>
    <t xml:space="preserve"> [3:処理エラー]          修正  →  [3:再転送待ち]</t>
  </si>
  <si>
    <t xml:space="preserve"> [4:処理エラー（作成）]   追加</t>
  </si>
  <si>
    <t xml:space="preserve"> [5:処理エラー（送信）]   追加</t>
  </si>
  <si>
    <t>スライド情報</t>
  </si>
  <si>
    <t>作成種別</t>
  </si>
  <si>
    <t>SKSSBT</t>
  </si>
  <si>
    <t>装置区分</t>
  </si>
  <si>
    <t>STKBN</t>
  </si>
  <si>
    <t>装置Ｎｏ</t>
  </si>
  <si>
    <t>STNO</t>
  </si>
  <si>
    <t>カセットＩＤ</t>
  </si>
  <si>
    <t>CSTID</t>
  </si>
  <si>
    <t>カセットＰＯＳ</t>
  </si>
  <si>
    <t>CSTPOS</t>
  </si>
  <si>
    <t>標本状態フラグ</t>
  </si>
  <si>
    <t>HHNJTFLG</t>
  </si>
  <si>
    <t>ＸＥ分析機フラグ情報</t>
  </si>
  <si>
    <t>フラグ種別</t>
  </si>
  <si>
    <t>FLGSBT</t>
  </si>
  <si>
    <t>フラグ０１</t>
  </si>
  <si>
    <t>XEFLG01</t>
  </si>
  <si>
    <t>フラグ０２</t>
  </si>
  <si>
    <t>XEFLG02</t>
  </si>
  <si>
    <t>フラグ０３</t>
  </si>
  <si>
    <t>XEFLG03</t>
  </si>
  <si>
    <t>フラグ０４</t>
  </si>
  <si>
    <t>XEFLG04</t>
  </si>
  <si>
    <t>フラグ０５</t>
  </si>
  <si>
    <t>XEFLG05</t>
  </si>
  <si>
    <t>フラグ０６</t>
  </si>
  <si>
    <t>XEFLG06</t>
  </si>
  <si>
    <t>フラグ０７</t>
  </si>
  <si>
    <t>XEFLG07</t>
  </si>
  <si>
    <t>フラグ０８</t>
  </si>
  <si>
    <t>XEFLG08</t>
  </si>
  <si>
    <t>フラグ０９</t>
  </si>
  <si>
    <t>XEFLG09</t>
  </si>
  <si>
    <t>フラグ１０</t>
  </si>
  <si>
    <t>XEFLG10</t>
  </si>
  <si>
    <t>フラグ１１</t>
  </si>
  <si>
    <t>XEFLG11</t>
  </si>
  <si>
    <t>フラグ１２</t>
  </si>
  <si>
    <t>XEFLG12</t>
  </si>
  <si>
    <t>フラグ１３</t>
  </si>
  <si>
    <t>XEFLG13</t>
  </si>
  <si>
    <t>フラグ１４</t>
  </si>
  <si>
    <t>XEFLG14</t>
  </si>
  <si>
    <t>フラグ１５</t>
  </si>
  <si>
    <t>XEFLG15</t>
  </si>
  <si>
    <t>フラグ１６</t>
  </si>
  <si>
    <t>XEFLG16</t>
  </si>
  <si>
    <t>検体ＩＤ不明結果情報</t>
  </si>
  <si>
    <t>検査方法</t>
  </si>
  <si>
    <t>KNSHU</t>
  </si>
  <si>
    <t xml:space="preserve"> ... </t>
  </si>
  <si>
    <t>トレーラック紐付け情報</t>
  </si>
  <si>
    <t>BNCTRID</t>
  </si>
  <si>
    <t>BNCTRPOS</t>
  </si>
  <si>
    <t>情報取得先</t>
  </si>
  <si>
    <t>JHSTKSK</t>
  </si>
  <si>
    <t>1：日設NS/WS</t>
  </si>
  <si>
    <t>検査開始フラグ</t>
  </si>
  <si>
    <t>KNSSTFLG</t>
  </si>
  <si>
    <t>1：検査中</t>
  </si>
  <si>
    <t>アプリケーションログ情報</t>
  </si>
  <si>
    <t>日付</t>
  </si>
  <si>
    <t>SYDATE</t>
  </si>
  <si>
    <t>YYYY/MM/DD</t>
  </si>
  <si>
    <t>時刻</t>
  </si>
  <si>
    <t>SYTIME</t>
  </si>
  <si>
    <t>HH:MM:SS</t>
  </si>
  <si>
    <t>トレース種別</t>
  </si>
  <si>
    <t>TRACEKBN</t>
  </si>
  <si>
    <t xml:space="preserve">実行レベル トレース種別 
1 D デバッグ
2 T トレース
2 O オペレーションログ
3 W ワーニング
3 E エラー
3 A システムエラー
</t>
  </si>
  <si>
    <t>サーバー名／端末名</t>
  </si>
  <si>
    <t>PCNAME</t>
  </si>
  <si>
    <t>プロセスＩＤ</t>
  </si>
  <si>
    <t>PROCCESSID</t>
  </si>
  <si>
    <t>ログインＩＤ</t>
  </si>
  <si>
    <t>LOGINID</t>
  </si>
  <si>
    <t>起動アプリ名</t>
  </si>
  <si>
    <t>WKUPAPP</t>
  </si>
  <si>
    <t>ソース名</t>
  </si>
  <si>
    <t>SRCNAME</t>
  </si>
  <si>
    <t>関数名</t>
  </si>
  <si>
    <t>FUNCNAME</t>
  </si>
  <si>
    <t>出力行</t>
  </si>
  <si>
    <t>GETLINE</t>
  </si>
  <si>
    <t>実行フラグ</t>
  </si>
  <si>
    <t>PROCFLG</t>
  </si>
  <si>
    <t>ERRCODE</t>
  </si>
  <si>
    <t>メッセージ</t>
  </si>
  <si>
    <t>MESSAGE</t>
  </si>
  <si>
    <t>詳細メッセージ</t>
  </si>
  <si>
    <t>データ型変更　時刻フィールド　DATE → TIME</t>
  </si>
  <si>
    <t>2006/02/03　秋山</t>
  </si>
  <si>
    <t>プロセスＩＤをPKに追加。</t>
  </si>
  <si>
    <t>ログインＩＤ char(32) → char(8)</t>
  </si>
  <si>
    <t>2006/02/21　秋山</t>
  </si>
  <si>
    <t>PKを全て削除。変わりにINDEXを設定。</t>
  </si>
  <si>
    <t>別紙属性情報</t>
  </si>
  <si>
    <t>別紙Ｎｏ</t>
  </si>
  <si>
    <t>BSSINO</t>
  </si>
  <si>
    <t>別紙報告日時</t>
  </si>
  <si>
    <t>BSHDH</t>
  </si>
  <si>
    <t>テーブル名変更　別紙情報（BSSI）　→　別紙属性情報（BSSIZOK）</t>
  </si>
  <si>
    <t>フィールド追加　施設名正式名称</t>
  </si>
  <si>
    <t>別紙結果情報</t>
  </si>
  <si>
    <t>行Ｎｏ</t>
  </si>
  <si>
    <t>GYONO</t>
  </si>
  <si>
    <t>別紙データ</t>
  </si>
  <si>
    <t>BSSIDT</t>
  </si>
  <si>
    <t>フィールド削除　検査グループ/項目コード</t>
  </si>
  <si>
    <t>表示項目情報</t>
  </si>
  <si>
    <t>デフォルト区分</t>
  </si>
  <si>
    <t>DEFKBN</t>
  </si>
  <si>
    <t>D:ﾃﾞﾌｫﾙﾄ　A：ﾛｸﾞｲﾝ設定</t>
  </si>
  <si>
    <t>ﾃﾞﾌｫﾙﾄ区分＝”D”の場合、固定"bmladmin"</t>
  </si>
  <si>
    <t>表示内容01</t>
  </si>
  <si>
    <t>HYJNIY01</t>
  </si>
  <si>
    <t>カンマ編集にて内容を切分け
[表示区分],[表示区分],[フィールド名],[表示名],[表示属性],[表示幅],[編集属性]
以下、その内容を示す。
[表示区分]    ： 表示非表示を設定  0:非表示/1:表示
[フィールド名] ： ﾃｰﾌﾞﾙ定義書のﾚｲｱｳﾄに準拠
[表示名]       ： スプレッドの列名（ﾀｲﾄﾙ）を指定
[表示属性]    ： 項目配置を指定  left/right/center
[表示幅]       ： 表示時の列幅を指定
[編集属性]    ： 編集可能不可能を設定 edit/non
例：ﾀｲﾄﾙ「受付日」をセンター表示し、編集不可とする場合。
1,受付日,UTKYMD,center,50,non</t>
  </si>
  <si>
    <t>表示内容02</t>
  </si>
  <si>
    <t>HYJNIY02</t>
  </si>
  <si>
    <t>表示内容03</t>
  </si>
  <si>
    <t>HYJNIY03</t>
  </si>
  <si>
    <t>表示内容04</t>
  </si>
  <si>
    <t>HYJNIY04</t>
  </si>
  <si>
    <t>表示内容05</t>
  </si>
  <si>
    <t>HYJNIY05</t>
  </si>
  <si>
    <t>表示内容06</t>
  </si>
  <si>
    <t>HYJNIY06</t>
  </si>
  <si>
    <t>表示内容07</t>
  </si>
  <si>
    <t>HYJNIY07</t>
  </si>
  <si>
    <t>表示内容08</t>
  </si>
  <si>
    <t>HYJNIY08</t>
  </si>
  <si>
    <t>表示内容09</t>
  </si>
  <si>
    <t>HYJNIY09</t>
  </si>
  <si>
    <t>表示内容10</t>
  </si>
  <si>
    <t>HYJNIY10</t>
  </si>
  <si>
    <t>表示内容11</t>
  </si>
  <si>
    <t>HYJNIY11</t>
  </si>
  <si>
    <t>表示内容12</t>
  </si>
  <si>
    <t>HYJNIY12</t>
  </si>
  <si>
    <t>表示内容13</t>
  </si>
  <si>
    <t>HYJNIY13</t>
  </si>
  <si>
    <t>表示内容14</t>
  </si>
  <si>
    <t>HYJNIY14</t>
  </si>
  <si>
    <t>表示内容15</t>
  </si>
  <si>
    <t>HYJNIY15</t>
  </si>
  <si>
    <t>表示内容16</t>
  </si>
  <si>
    <t>HYJNIY16</t>
  </si>
  <si>
    <t>表示内容17</t>
  </si>
  <si>
    <t>HYJNIY17</t>
  </si>
  <si>
    <t>表示内容18</t>
  </si>
  <si>
    <t>HYJNIY18</t>
  </si>
  <si>
    <t>表示内容19</t>
  </si>
  <si>
    <t>HYJNIY19</t>
  </si>
  <si>
    <t>表示内容20</t>
  </si>
  <si>
    <t>HYJNIY20</t>
  </si>
  <si>
    <t>表示内容21</t>
  </si>
  <si>
    <t>HYJNIY21</t>
  </si>
  <si>
    <t>表示内容22</t>
  </si>
  <si>
    <t>HYJNIY22</t>
  </si>
  <si>
    <t>表示内容23</t>
  </si>
  <si>
    <t>HYJNIY23</t>
  </si>
  <si>
    <t>表示内容24</t>
  </si>
  <si>
    <t>HYJNIY24</t>
  </si>
  <si>
    <t>表示内容25</t>
  </si>
  <si>
    <t>HYJNIY25</t>
  </si>
  <si>
    <t>表示内容26</t>
  </si>
  <si>
    <t>HYJNIY26</t>
  </si>
  <si>
    <t>表示内容27</t>
  </si>
  <si>
    <t>HYJNIY27</t>
  </si>
  <si>
    <t>表示内容28</t>
  </si>
  <si>
    <t>HYJNIY28</t>
  </si>
  <si>
    <t>表示内容29</t>
  </si>
  <si>
    <t>HYJNIY29</t>
  </si>
  <si>
    <t>表示内容30</t>
  </si>
  <si>
    <t>HYJNIY30</t>
  </si>
  <si>
    <t>表示内容31</t>
  </si>
  <si>
    <t>HYJNIY31</t>
  </si>
  <si>
    <t>表示内容32</t>
  </si>
  <si>
    <t>HYJNIY32</t>
  </si>
  <si>
    <t>表示内容33</t>
  </si>
  <si>
    <t>HYJNIY33</t>
  </si>
  <si>
    <t>表示内容34</t>
  </si>
  <si>
    <t>HYJNIY34</t>
  </si>
  <si>
    <t>表示内容35</t>
  </si>
  <si>
    <t>HYJNIY35</t>
  </si>
  <si>
    <t>表示内容36</t>
  </si>
  <si>
    <t>HYJNIY36</t>
  </si>
  <si>
    <t>表示内容37</t>
  </si>
  <si>
    <t>HYJNIY37</t>
  </si>
  <si>
    <t>表示内容38</t>
  </si>
  <si>
    <t>HYJNIY38</t>
  </si>
  <si>
    <t>表示内容39</t>
  </si>
  <si>
    <t>HYJNIY39</t>
  </si>
  <si>
    <t>表示内容40</t>
  </si>
  <si>
    <t>HYJNIY40</t>
  </si>
  <si>
    <t>表示内容41</t>
  </si>
  <si>
    <t>HYJNIY41</t>
  </si>
  <si>
    <t>表示内容42</t>
  </si>
  <si>
    <t>HYJNIY42</t>
  </si>
  <si>
    <t>表示内容43</t>
  </si>
  <si>
    <t>HYJNIY43</t>
  </si>
  <si>
    <t>表示内容44</t>
  </si>
  <si>
    <t>HYJNIY44</t>
  </si>
  <si>
    <t>表示内容45</t>
  </si>
  <si>
    <t>HYJNIY45</t>
  </si>
  <si>
    <t>表示内容46</t>
  </si>
  <si>
    <t>HYJNIY46</t>
  </si>
  <si>
    <t>表示内容47</t>
  </si>
  <si>
    <t>HYJNIY47</t>
  </si>
  <si>
    <t>表示内容48</t>
  </si>
  <si>
    <t>HYJNIY48</t>
  </si>
  <si>
    <t>表示内容49</t>
  </si>
  <si>
    <t>HYJNIY49</t>
  </si>
  <si>
    <t>表示内容50</t>
  </si>
  <si>
    <t>HYJNIY50</t>
  </si>
  <si>
    <t>テーブル名変更　HYJKMJ → HYJKMK</t>
  </si>
  <si>
    <t>表示内容01～50　物理名変更＆サイズ変更 char (52) → (50)</t>
  </si>
  <si>
    <t>2006/03/07　秋山</t>
  </si>
  <si>
    <t>表示内容01～50　備考　表示内容の参照方法を変更。</t>
  </si>
  <si>
    <t>緊急ロット情報</t>
  </si>
  <si>
    <t>緊急受付日</t>
  </si>
  <si>
    <t>受信日時</t>
  </si>
  <si>
    <t>JSNDH</t>
  </si>
  <si>
    <t>テーブル名、フィールド名の確定</t>
  </si>
  <si>
    <t>項目別テスト数集計</t>
  </si>
  <si>
    <r>
      <rPr>
        <sz val="10"/>
        <rFont val="ＭＳ ゴシック"/>
        <family val="3"/>
        <charset val="128"/>
      </rPr>
      <t>K</t>
    </r>
    <r>
      <rPr>
        <sz val="10"/>
        <rFont val="ＭＳ ゴシック"/>
        <family val="3"/>
        <charset val="128"/>
      </rPr>
      <t>NSKISYMD</t>
    </r>
  </si>
  <si>
    <t>全依頼数</t>
  </si>
  <si>
    <t>IRIALLSU</t>
  </si>
  <si>
    <r>
      <rPr>
        <sz val="10"/>
        <rFont val="ＭＳ ゴシック"/>
        <family val="3"/>
        <charset val="128"/>
      </rPr>
      <t>I</t>
    </r>
    <r>
      <rPr>
        <sz val="10"/>
        <rFont val="ＭＳ ゴシック"/>
        <family val="3"/>
        <charset val="128"/>
      </rPr>
      <t>NTEGER</t>
    </r>
  </si>
  <si>
    <t>（上位から受信した依頼数）＋（サテライト内で発生させた依頼数）</t>
  </si>
  <si>
    <t>依頼数</t>
  </si>
  <si>
    <t>IRIJSNSU</t>
  </si>
  <si>
    <t>上位から受信した依頼数</t>
  </si>
  <si>
    <t>検査数</t>
  </si>
  <si>
    <t>KENSASU</t>
  </si>
  <si>
    <t>検査測定数</t>
  </si>
  <si>
    <t>ＳＴＤ数</t>
  </si>
  <si>
    <t>STADSU</t>
  </si>
  <si>
    <t>スタンダード測定数</t>
  </si>
  <si>
    <t>ＣＴＬ数</t>
  </si>
  <si>
    <t>CTRLSU</t>
  </si>
  <si>
    <t>コントロール測定数</t>
  </si>
  <si>
    <t>テスト数</t>
  </si>
  <si>
    <t>TESTSU</t>
  </si>
  <si>
    <t>テスト測定数</t>
  </si>
  <si>
    <t>サーベイ数</t>
  </si>
  <si>
    <t>SAVYSU</t>
  </si>
  <si>
    <t>サーベイ測定数</t>
  </si>
  <si>
    <t>キャリブレーション数</t>
  </si>
  <si>
    <t>KBRTSU</t>
  </si>
  <si>
    <t>キャリブレーション測定数</t>
  </si>
  <si>
    <t>緊急ＳＴＡＴ数</t>
  </si>
  <si>
    <t>KSTATSU</t>
  </si>
  <si>
    <t>緊急ＳＴＡＴ測定数</t>
  </si>
  <si>
    <t>2006/02/16　福山</t>
  </si>
  <si>
    <t>「検査法」削除</t>
  </si>
  <si>
    <t>検査進行状況集計</t>
  </si>
  <si>
    <t>※システム日付</t>
  </si>
  <si>
    <t>経過ＳＥＱ</t>
  </si>
  <si>
    <t>KEIKSEQ</t>
  </si>
  <si>
    <t>時間経過ＳＥＱ（１からＮ）</t>
  </si>
  <si>
    <t>データ区分</t>
  </si>
  <si>
    <t>KOTEIKBN</t>
  </si>
  <si>
    <t>集計するデータ種別
[A:依頼 B:患者 C:分注 D:認識 E:検体属性 F:依頼(エラー) G:患者(エラー) H:分注(エラー) I:認識(エラー) J:検体属性(エラー) K:投入 L:測定 M:収納]</t>
  </si>
  <si>
    <t>データ属性</t>
  </si>
  <si>
    <t>DATAZOK</t>
  </si>
  <si>
    <t>集計するデータ属性
[A: 一般 B:集検]</t>
  </si>
  <si>
    <t>集計結果</t>
  </si>
  <si>
    <t>SYUKKA</t>
  </si>
  <si>
    <t>時間</t>
  </si>
  <si>
    <t>JIKAN</t>
  </si>
  <si>
    <t>検査開始日２</t>
  </si>
  <si>
    <t>※検査開始日</t>
  </si>
  <si>
    <t>項目説明追加</t>
  </si>
  <si>
    <t>2006/07/21　福山</t>
  </si>
  <si>
    <t>保留依頼情報</t>
  </si>
  <si>
    <t>関家</t>
  </si>
  <si>
    <t>属性エラーが発生している依頼を登録</t>
  </si>
  <si>
    <t>登録された情報を元に基幹システムへリストを送信</t>
  </si>
  <si>
    <t>報告保留区分</t>
  </si>
  <si>
    <t>HKKHRKBN</t>
  </si>
  <si>
    <t xml:space="preserve">1:属性未入力有
2:属性範囲異常有(属性未入力無)
3:再計算待ち
4:計算元コメント結果有り
0:報告保留解除済み
</t>
  </si>
  <si>
    <t>報告保留コメント</t>
  </si>
  <si>
    <t>HKKHRCMT</t>
  </si>
  <si>
    <t>他サテライト検査結果情報</t>
  </si>
  <si>
    <t>STZRCD</t>
  </si>
  <si>
    <t>分画負荷の区分
[ 0:単独 1:分画親 2:分画子 3:負荷親 4:負荷子 7:BMLｾｯﾄ 8:施設別ｾｯﾄ 9:請求ｸﾞﾙｰﾌﾟ ]</t>
  </si>
  <si>
    <t>KNSJSLBCD</t>
  </si>
  <si>
    <t>検査結果の異常を示すコード
*:異常値マーク 1:異常域（低値） 2:異常域（低値） 3:異常域（低値） 4:基準値範囲内 5:基準値範囲内 6:基準値範囲内 7:異常域（高値） 8 異常域（高値） 9:異常域（高値） －予備設定
男女不明、全ての場合で判定し、それぞれのフィールドに入れる。</t>
  </si>
  <si>
    <t>報告書表記結果</t>
  </si>
  <si>
    <t>HKKKI</t>
  </si>
  <si>
    <t>報告書表記結果(漢字)</t>
  </si>
  <si>
    <t>HKKKIKNJ</t>
  </si>
  <si>
    <t>ＷＳコード</t>
  </si>
  <si>
    <t>ＳＥＱ</t>
  </si>
  <si>
    <t>結果変換管理情報</t>
  </si>
  <si>
    <t>KNSGRP</t>
  </si>
  <si>
    <t>報告回数</t>
  </si>
  <si>
    <t>HKKSU</t>
  </si>
  <si>
    <t>Ｎｏ</t>
  </si>
  <si>
    <t>NO</t>
  </si>
  <si>
    <t>AGE</t>
  </si>
  <si>
    <t>AGEKBN</t>
  </si>
  <si>
    <t>情報変更担当者</t>
  </si>
  <si>
    <t>HNKTNTID</t>
  </si>
  <si>
    <t>文書管理番号：TO1-A00001-BD-003</t>
  </si>
  <si>
    <t>LT報告不可情報</t>
  </si>
  <si>
    <t>水村</t>
  </si>
  <si>
    <t>検査G単位に振られる番号</t>
  </si>
  <si>
    <t>画面から手入力された値および、分析機からの値</t>
  </si>
  <si>
    <t>検査の状況を表すフラグ
[ K:検査中 Q:再測定対象 R:再検対象 A:検査完了(ﾁｪｯｸ待ち) S:報告可能 T:報告可能(他項目待ち) X:精度保障待ち E:報告済 M:未報告完了 V:ﾍﾞﾘﾌｧｲ中 H:保留 ]</t>
  </si>
  <si>
    <t>翌日通常切り分け情報</t>
  </si>
  <si>
    <t>fronrack</t>
  </si>
  <si>
    <t>END情報の場合はEND区分が入る。
11:１回締め　１回目ＥＮＤ
21:２回締め　１回目ＥＮＤ
22:２回締め　２回目ＥＮＤ</t>
  </si>
  <si>
    <t>HKKBN</t>
  </si>
  <si>
    <t>1:翌日１回目,2:翌日２回目,3:通常
END:END受信済み</t>
  </si>
  <si>
    <t>分析機問合せラック情報</t>
  </si>
  <si>
    <t>orderrack</t>
  </si>
  <si>
    <t>未報告検体情報</t>
  </si>
  <si>
    <t>DAY_MHKDAY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</si>
</sst>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_ "/>
  </numFmts>
  <fonts count="23">
    <font>
      <sz val="11"/>
      <name val="ＭＳ Ｐゴシック"/>
      <charset val="128"/>
    </font>
    <font>
      <sz val="10"/>
      <name val="ＭＳ ゴシック"/>
      <charset val="128"/>
    </font>
    <font>
      <strike/>
      <sz val="10"/>
      <name val="ＭＳ ゴシック"/>
      <charset val="128"/>
    </font>
    <font>
      <b/>
      <sz val="10"/>
      <name val="ＭＳ ゴシック"/>
      <charset val="128"/>
    </font>
    <font>
      <sz val="9"/>
      <name val="ＭＳ ゴシック"/>
      <charset val="128"/>
    </font>
    <font>
      <sz val="10"/>
      <name val="ＭＳ Ｐゴシック"/>
      <charset val="128"/>
    </font>
    <font>
      <sz val="10"/>
      <color indexed="10"/>
      <name val="ＭＳ ゴシック"/>
      <charset val="128"/>
    </font>
    <font>
      <b/>
      <sz val="10"/>
      <name val="ＭＳ Ｐゴシック"/>
      <charset val="128"/>
    </font>
    <font>
      <sz val="10"/>
      <color indexed="12"/>
      <name val="ＭＳ Ｐゴシック"/>
      <charset val="128"/>
    </font>
    <font>
      <u/>
      <sz val="10"/>
      <color indexed="12"/>
      <name val="ＭＳ Ｐゴシック"/>
      <charset val="128"/>
    </font>
    <font>
      <u/>
      <sz val="11"/>
      <color indexed="12"/>
      <name val="ＭＳ Ｐゴシック"/>
      <charset val="128"/>
    </font>
    <font>
      <sz val="11"/>
      <name val="ＭＳ 明朝"/>
      <charset val="128"/>
    </font>
    <font>
      <sz val="11"/>
      <name val="明朝"/>
      <charset val="128"/>
    </font>
    <font>
      <sz val="11"/>
      <name val="明朝"/>
      <charset val="128"/>
    </font>
    <font>
      <sz val="10"/>
      <color rgb="FFFF0000"/>
      <name val="ＭＳ ゴシック"/>
      <family val="3"/>
      <charset val="128"/>
    </font>
    <font>
      <b/>
      <sz val="10"/>
      <color rgb="FFFF0000"/>
      <name val="ＭＳ ゴシック"/>
      <family val="3"/>
      <charset val="128"/>
    </font>
    <font>
      <sz val="10"/>
      <color rgb="FFFF0000"/>
      <name val="ＭＳ Ｐゴシック"/>
      <family val="3"/>
      <charset val="128"/>
    </font>
    <font>
      <sz val="11"/>
      <name val="ＭＳ Ｐゴシック"/>
      <family val="3"/>
      <charset val="128"/>
    </font>
    <font>
      <sz val="10"/>
      <name val="ＭＳ Ｐゴシック"/>
      <family val="3"/>
      <charset val="128"/>
    </font>
    <font>
      <sz val="10"/>
      <name val="ＭＳ ゴシック"/>
      <family val="3"/>
      <charset val="128"/>
    </font>
    <font>
      <strike/>
      <sz val="10"/>
      <name val="ＭＳ ゴシック"/>
      <family val="3"/>
      <charset val="128"/>
    </font>
    <font>
      <sz val="9"/>
      <name val="ＭＳ Ｐゴシック"/>
      <family val="3"/>
      <charset val="128"/>
    </font>
    <font>
      <sz val="6"/>
      <name val="ＭＳ Ｐゴシック"/>
      <family val="3"/>
      <charset val="128"/>
    </font>
  </fonts>
  <fills count="5">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theme="0" tint="-0.14993743705557422"/>
        <bgColor indexed="64"/>
      </patternFill>
    </fill>
  </fills>
  <borders count="25">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double">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s>
  <cellStyleXfs count="30">
    <xf numFmtId="0" fontId="0" fillId="0" borderId="0">
      <alignment vertical="center"/>
    </xf>
    <xf numFmtId="0" fontId="17" fillId="0" borderId="0"/>
    <xf numFmtId="0" fontId="17" fillId="0" borderId="0"/>
    <xf numFmtId="0" fontId="17" fillId="0" borderId="0"/>
    <xf numFmtId="0" fontId="10" fillId="0" borderId="0" applyNumberFormat="0" applyFill="0" applyBorder="0" applyAlignment="0" applyProtection="0">
      <alignment vertical="top"/>
      <protection locked="0"/>
    </xf>
    <xf numFmtId="0" fontId="1" fillId="0" borderId="0"/>
    <xf numFmtId="0" fontId="17" fillId="0" borderId="0">
      <alignment vertical="center"/>
    </xf>
    <xf numFmtId="0" fontId="17" fillId="0" borderId="0"/>
    <xf numFmtId="0" fontId="17" fillId="0" borderId="0"/>
    <xf numFmtId="0" fontId="17" fillId="0" borderId="0"/>
    <xf numFmtId="0" fontId="17" fillId="0" borderId="0"/>
    <xf numFmtId="0" fontId="1" fillId="0" borderId="0" applyBorder="0"/>
    <xf numFmtId="0" fontId="17" fillId="0" borderId="0"/>
    <xf numFmtId="0" fontId="4" fillId="0" borderId="0">
      <alignment vertical="center"/>
    </xf>
    <xf numFmtId="0" fontId="17" fillId="0" borderId="0"/>
    <xf numFmtId="0" fontId="17" fillId="0" borderId="0"/>
    <xf numFmtId="0" fontId="17" fillId="0" borderId="0"/>
    <xf numFmtId="0" fontId="17" fillId="0" borderId="0"/>
    <xf numFmtId="0" fontId="17" fillId="0" borderId="0">
      <alignment vertical="center"/>
    </xf>
    <xf numFmtId="0" fontId="17" fillId="0" borderId="0">
      <alignment vertical="center"/>
    </xf>
    <xf numFmtId="0" fontId="17" fillId="0" borderId="0"/>
    <xf numFmtId="0" fontId="17" fillId="0" borderId="0"/>
    <xf numFmtId="0" fontId="17" fillId="0" borderId="0"/>
    <xf numFmtId="0" fontId="11" fillId="0" borderId="0"/>
    <xf numFmtId="0" fontId="12" fillId="0" borderId="0"/>
    <xf numFmtId="0" fontId="12" fillId="0" borderId="0"/>
    <xf numFmtId="0" fontId="13" fillId="0" borderId="0"/>
    <xf numFmtId="0" fontId="1" fillId="0" borderId="0"/>
    <xf numFmtId="0" fontId="17" fillId="0" borderId="0"/>
    <xf numFmtId="0" fontId="12" fillId="0" borderId="0"/>
  </cellStyleXfs>
  <cellXfs count="505">
    <xf numFmtId="0" fontId="0" fillId="0" borderId="0" xfId="0">
      <alignment vertical="center"/>
    </xf>
    <xf numFmtId="0" fontId="1" fillId="0" borderId="0" xfId="16" applyFont="1" applyAlignment="1">
      <alignment horizontal="center" vertical="center"/>
    </xf>
    <xf numFmtId="0" fontId="1" fillId="0" borderId="0" xfId="16" applyFont="1" applyAlignment="1">
      <alignment vertical="center"/>
    </xf>
    <xf numFmtId="0" fontId="1" fillId="0" borderId="0" xfId="0" applyFont="1">
      <alignment vertical="center"/>
    </xf>
    <xf numFmtId="0" fontId="1" fillId="2" borderId="2" xfId="16" applyFont="1" applyFill="1" applyBorder="1" applyAlignment="1">
      <alignment horizontal="center" vertical="center"/>
    </xf>
    <xf numFmtId="0" fontId="1" fillId="2" borderId="15" xfId="16" applyFont="1" applyFill="1" applyBorder="1" applyAlignment="1">
      <alignment horizontal="center" vertical="center"/>
    </xf>
    <xf numFmtId="0" fontId="1" fillId="2" borderId="11" xfId="16" applyFont="1" applyFill="1" applyBorder="1" applyAlignment="1">
      <alignment horizontal="center" vertical="center"/>
    </xf>
    <xf numFmtId="0" fontId="1" fillId="2" borderId="16" xfId="16" applyFont="1" applyFill="1" applyBorder="1" applyAlignment="1">
      <alignment horizontal="center" vertical="center"/>
    </xf>
    <xf numFmtId="0" fontId="1" fillId="2" borderId="17" xfId="16" applyFont="1" applyFill="1" applyBorder="1" applyAlignment="1">
      <alignment horizontal="center" vertical="center"/>
    </xf>
    <xf numFmtId="0" fontId="1" fillId="2" borderId="18" xfId="16" applyFont="1" applyFill="1" applyBorder="1" applyAlignment="1">
      <alignment horizontal="center" vertical="center"/>
    </xf>
    <xf numFmtId="0" fontId="1" fillId="0" borderId="15" xfId="16" applyFont="1" applyBorder="1" applyAlignment="1">
      <alignment horizontal="center" vertical="center"/>
    </xf>
    <xf numFmtId="0" fontId="1" fillId="0" borderId="15" xfId="0" applyFont="1" applyBorder="1">
      <alignment vertical="center"/>
    </xf>
    <xf numFmtId="0" fontId="1" fillId="0" borderId="1" xfId="16" applyFont="1" applyBorder="1" applyAlignment="1">
      <alignment vertical="center"/>
    </xf>
    <xf numFmtId="0" fontId="1" fillId="0" borderId="16" xfId="0" applyFont="1" applyBorder="1">
      <alignment vertical="center"/>
    </xf>
    <xf numFmtId="0" fontId="1" fillId="0" borderId="17" xfId="16" applyFont="1" applyBorder="1" applyAlignment="1">
      <alignment vertical="center"/>
    </xf>
    <xf numFmtId="0" fontId="1" fillId="0" borderId="18" xfId="16" applyFont="1" applyBorder="1" applyAlignment="1">
      <alignment vertical="center"/>
    </xf>
    <xf numFmtId="0" fontId="1" fillId="0" borderId="15" xfId="16" applyFont="1" applyBorder="1" applyAlignment="1">
      <alignment vertical="center"/>
    </xf>
    <xf numFmtId="0" fontId="1" fillId="0" borderId="15" xfId="16" applyFont="1" applyBorder="1" applyAlignment="1">
      <alignment vertical="center" shrinkToFit="1"/>
    </xf>
    <xf numFmtId="0" fontId="1" fillId="0" borderId="16" xfId="16" applyFont="1" applyBorder="1" applyAlignment="1">
      <alignment vertical="center"/>
    </xf>
    <xf numFmtId="0" fontId="1" fillId="0" borderId="9" xfId="25" applyFont="1" applyBorder="1" applyAlignment="1">
      <alignment vertical="center"/>
    </xf>
    <xf numFmtId="49" fontId="1" fillId="0" borderId="1" xfId="23" applyNumberFormat="1" applyFont="1" applyBorder="1" applyAlignment="1">
      <alignment horizontal="left" vertical="center"/>
    </xf>
    <xf numFmtId="0" fontId="1" fillId="0" borderId="1" xfId="0" applyFont="1" applyBorder="1">
      <alignment vertical="center"/>
    </xf>
    <xf numFmtId="0" fontId="1" fillId="0" borderId="19" xfId="0" applyFont="1" applyBorder="1">
      <alignment vertical="center"/>
    </xf>
    <xf numFmtId="0" fontId="1" fillId="0" borderId="1" xfId="16" applyFont="1" applyBorder="1" applyAlignment="1">
      <alignment vertical="center" shrinkToFit="1"/>
    </xf>
    <xf numFmtId="0" fontId="1" fillId="2" borderId="2" xfId="16" applyFont="1" applyFill="1" applyBorder="1" applyAlignment="1">
      <alignment vertical="center"/>
    </xf>
    <xf numFmtId="177" fontId="1" fillId="0" borderId="2" xfId="16" applyNumberFormat="1" applyFont="1" applyBorder="1" applyAlignment="1">
      <alignment vertical="center"/>
    </xf>
    <xf numFmtId="14" fontId="1" fillId="0" borderId="15" xfId="16" applyNumberFormat="1" applyFont="1" applyBorder="1" applyAlignment="1">
      <alignment horizontal="center" vertical="center"/>
    </xf>
    <xf numFmtId="0" fontId="1" fillId="0" borderId="15" xfId="2" applyFont="1" applyBorder="1" applyAlignment="1">
      <alignment horizontal="center" vertical="center"/>
    </xf>
    <xf numFmtId="49" fontId="1" fillId="0" borderId="15" xfId="16" applyNumberFormat="1" applyFont="1" applyBorder="1" applyAlignment="1">
      <alignment horizontal="center" vertical="center"/>
    </xf>
    <xf numFmtId="0" fontId="1" fillId="0" borderId="3" xfId="0" applyFont="1" applyBorder="1">
      <alignment vertical="center"/>
    </xf>
    <xf numFmtId="0" fontId="1" fillId="0" borderId="2" xfId="0" applyFont="1" applyBorder="1">
      <alignment vertical="center"/>
    </xf>
    <xf numFmtId="0" fontId="1" fillId="0" borderId="3" xfId="16" applyFont="1" applyBorder="1" applyAlignment="1">
      <alignment vertical="center"/>
    </xf>
    <xf numFmtId="0" fontId="1" fillId="0" borderId="2" xfId="16" applyFont="1" applyBorder="1" applyAlignment="1">
      <alignment vertical="center"/>
    </xf>
    <xf numFmtId="49" fontId="1" fillId="0" borderId="0" xfId="16" applyNumberFormat="1" applyFont="1" applyAlignment="1">
      <alignment horizontal="center" vertical="center"/>
    </xf>
    <xf numFmtId="0" fontId="1" fillId="0" borderId="0" xfId="16" applyFont="1" applyAlignment="1">
      <alignment vertical="center" wrapText="1"/>
    </xf>
    <xf numFmtId="14" fontId="1" fillId="0" borderId="0" xfId="16" applyNumberFormat="1" applyFont="1" applyAlignment="1">
      <alignment vertical="center"/>
    </xf>
    <xf numFmtId="49" fontId="1" fillId="0" borderId="0" xfId="20" applyNumberFormat="1" applyFont="1" applyAlignment="1">
      <alignment horizontal="left" vertical="top"/>
    </xf>
    <xf numFmtId="0" fontId="2" fillId="0" borderId="0" xfId="16" applyFont="1" applyAlignment="1">
      <alignment vertical="center"/>
    </xf>
    <xf numFmtId="0" fontId="3" fillId="2" borderId="2" xfId="16" applyFont="1" applyFill="1" applyBorder="1" applyAlignment="1">
      <alignment horizontal="center" vertical="center"/>
    </xf>
    <xf numFmtId="0" fontId="3" fillId="2" borderId="15" xfId="16" applyFont="1" applyFill="1" applyBorder="1" applyAlignment="1">
      <alignment horizontal="center" vertical="center"/>
    </xf>
    <xf numFmtId="0" fontId="3" fillId="2" borderId="11" xfId="16" applyFont="1" applyFill="1" applyBorder="1" applyAlignment="1">
      <alignment horizontal="center" vertical="center"/>
    </xf>
    <xf numFmtId="0" fontId="3" fillId="2" borderId="16" xfId="16" applyFont="1" applyFill="1" applyBorder="1" applyAlignment="1">
      <alignment horizontal="center" vertical="center"/>
    </xf>
    <xf numFmtId="0" fontId="3" fillId="2" borderId="17" xfId="16" applyFont="1" applyFill="1" applyBorder="1" applyAlignment="1">
      <alignment horizontal="center" vertical="center"/>
    </xf>
    <xf numFmtId="0" fontId="3" fillId="2" borderId="18" xfId="16" applyFont="1" applyFill="1" applyBorder="1" applyAlignment="1">
      <alignment horizontal="center" vertical="center"/>
    </xf>
    <xf numFmtId="0" fontId="1" fillId="0" borderId="0" xfId="7" applyFont="1" applyAlignment="1">
      <alignment horizontal="center" vertical="center"/>
    </xf>
    <xf numFmtId="0" fontId="1" fillId="0" borderId="0" xfId="7" applyFont="1" applyAlignment="1">
      <alignment vertical="center"/>
    </xf>
    <xf numFmtId="0" fontId="1" fillId="0" borderId="0" xfId="19" applyFont="1">
      <alignment vertical="center"/>
    </xf>
    <xf numFmtId="0" fontId="1" fillId="2" borderId="2" xfId="7" applyFont="1" applyFill="1" applyBorder="1" applyAlignment="1">
      <alignment horizontal="center" vertical="center"/>
    </xf>
    <xf numFmtId="0" fontId="1" fillId="2" borderId="15" xfId="7" applyFont="1" applyFill="1" applyBorder="1" applyAlignment="1">
      <alignment horizontal="center" vertical="center"/>
    </xf>
    <xf numFmtId="0" fontId="1" fillId="2" borderId="11" xfId="7" applyFont="1" applyFill="1" applyBorder="1" applyAlignment="1">
      <alignment horizontal="center" vertical="center"/>
    </xf>
    <xf numFmtId="0" fontId="1" fillId="2" borderId="16" xfId="7" applyFont="1" applyFill="1" applyBorder="1" applyAlignment="1">
      <alignment horizontal="center" vertical="center"/>
    </xf>
    <xf numFmtId="0" fontId="1" fillId="2" borderId="17" xfId="7" applyFont="1" applyFill="1" applyBorder="1" applyAlignment="1">
      <alignment horizontal="center" vertical="center"/>
    </xf>
    <xf numFmtId="0" fontId="1" fillId="2" borderId="18" xfId="7" applyFont="1" applyFill="1" applyBorder="1" applyAlignment="1">
      <alignment horizontal="center" vertical="center"/>
    </xf>
    <xf numFmtId="0" fontId="1" fillId="0" borderId="15" xfId="7" applyFont="1" applyBorder="1" applyAlignment="1">
      <alignment horizontal="center" vertical="center"/>
    </xf>
    <xf numFmtId="0" fontId="1" fillId="0" borderId="15" xfId="13" applyFont="1" applyBorder="1">
      <alignment vertical="center"/>
    </xf>
    <xf numFmtId="0" fontId="1" fillId="0" borderId="16" xfId="13" applyFont="1" applyBorder="1">
      <alignment vertical="center"/>
    </xf>
    <xf numFmtId="0" fontId="1" fillId="0" borderId="1" xfId="13" applyFont="1" applyBorder="1">
      <alignment vertical="center"/>
    </xf>
    <xf numFmtId="0" fontId="1" fillId="0" borderId="15" xfId="19" applyFont="1" applyBorder="1">
      <alignment vertical="center"/>
    </xf>
    <xf numFmtId="0" fontId="1" fillId="0" borderId="19" xfId="19" applyFont="1" applyBorder="1">
      <alignment vertical="center"/>
    </xf>
    <xf numFmtId="0" fontId="1" fillId="0" borderId="2" xfId="19" applyFont="1" applyBorder="1">
      <alignment vertical="center"/>
    </xf>
    <xf numFmtId="0" fontId="1" fillId="0" borderId="17" xfId="7" applyFont="1" applyBorder="1" applyAlignment="1">
      <alignment vertical="center"/>
    </xf>
    <xf numFmtId="0" fontId="1" fillId="0" borderId="18" xfId="7" applyFont="1" applyBorder="1" applyAlignment="1">
      <alignment vertical="center"/>
    </xf>
    <xf numFmtId="0" fontId="1" fillId="0" borderId="15" xfId="7" applyFont="1" applyBorder="1" applyAlignment="1">
      <alignment vertical="center"/>
    </xf>
    <xf numFmtId="0" fontId="1" fillId="0" borderId="0" xfId="7" applyFont="1" applyAlignment="1">
      <alignment horizontal="right" vertical="center"/>
    </xf>
    <xf numFmtId="0" fontId="1" fillId="2" borderId="2" xfId="7" applyFont="1" applyFill="1" applyBorder="1" applyAlignment="1">
      <alignment vertical="center"/>
    </xf>
    <xf numFmtId="177" fontId="1" fillId="0" borderId="2" xfId="7" applyNumberFormat="1" applyFont="1" applyBorder="1" applyAlignment="1">
      <alignment vertical="center"/>
    </xf>
    <xf numFmtId="14" fontId="1" fillId="0" borderId="15" xfId="7" applyNumberFormat="1" applyFont="1" applyBorder="1" applyAlignment="1">
      <alignment horizontal="center" vertical="center"/>
    </xf>
    <xf numFmtId="0" fontId="1" fillId="0" borderId="3" xfId="13" applyFont="1" applyBorder="1">
      <alignment vertical="center"/>
    </xf>
    <xf numFmtId="0" fontId="1" fillId="0" borderId="2" xfId="13" applyFont="1" applyBorder="1">
      <alignment vertical="center"/>
    </xf>
    <xf numFmtId="0" fontId="1" fillId="0" borderId="1" xfId="19" applyFont="1" applyBorder="1" applyAlignment="1">
      <alignment vertical="center" wrapText="1"/>
    </xf>
    <xf numFmtId="0" fontId="1" fillId="0" borderId="3" xfId="19" applyFont="1" applyBorder="1" applyAlignment="1">
      <alignment vertical="center" wrapText="1"/>
    </xf>
    <xf numFmtId="0" fontId="1" fillId="0" borderId="2" xfId="19" applyFont="1" applyBorder="1" applyAlignment="1">
      <alignment vertical="center" wrapText="1"/>
    </xf>
    <xf numFmtId="49" fontId="1" fillId="0" borderId="15" xfId="7" applyNumberFormat="1" applyFont="1" applyBorder="1" applyAlignment="1">
      <alignment horizontal="center" vertical="center"/>
    </xf>
    <xf numFmtId="0" fontId="1" fillId="0" borderId="15" xfId="0" applyFont="1" applyBorder="1" applyAlignment="1">
      <alignment vertical="center" wrapText="1"/>
    </xf>
    <xf numFmtId="0" fontId="1" fillId="0" borderId="15" xfId="10" applyFont="1" applyBorder="1" applyAlignment="1">
      <alignment vertical="center" shrinkToFit="1"/>
    </xf>
    <xf numFmtId="0" fontId="1" fillId="0" borderId="0" xfId="10" applyFont="1" applyAlignment="1">
      <alignment vertical="center"/>
    </xf>
    <xf numFmtId="0" fontId="1" fillId="0" borderId="0" xfId="10" applyFont="1" applyAlignment="1">
      <alignment horizontal="center" vertical="center"/>
    </xf>
    <xf numFmtId="0" fontId="3" fillId="2" borderId="2" xfId="10" applyFont="1" applyFill="1" applyBorder="1" applyAlignment="1">
      <alignment horizontal="center" vertical="center"/>
    </xf>
    <xf numFmtId="0" fontId="3" fillId="2" borderId="15" xfId="10" applyFont="1" applyFill="1" applyBorder="1" applyAlignment="1">
      <alignment horizontal="center" vertical="center"/>
    </xf>
    <xf numFmtId="0" fontId="3" fillId="2" borderId="11" xfId="10" applyFont="1" applyFill="1" applyBorder="1" applyAlignment="1">
      <alignment horizontal="center" vertical="center"/>
    </xf>
    <xf numFmtId="0" fontId="3" fillId="2" borderId="16" xfId="10" applyFont="1" applyFill="1" applyBorder="1" applyAlignment="1">
      <alignment horizontal="center" vertical="center"/>
    </xf>
    <xf numFmtId="0" fontId="3" fillId="2" borderId="17" xfId="10" applyFont="1" applyFill="1" applyBorder="1" applyAlignment="1">
      <alignment horizontal="center" vertical="center"/>
    </xf>
    <xf numFmtId="0" fontId="3" fillId="2" borderId="18" xfId="10" applyFont="1" applyFill="1" applyBorder="1" applyAlignment="1">
      <alignment horizontal="center" vertical="center"/>
    </xf>
    <xf numFmtId="0" fontId="1" fillId="0" borderId="15" xfId="10" applyFont="1" applyBorder="1" applyAlignment="1">
      <alignment horizontal="center" vertical="center"/>
    </xf>
    <xf numFmtId="0" fontId="1" fillId="0" borderId="1" xfId="10" applyFont="1" applyBorder="1" applyAlignment="1">
      <alignment vertical="center"/>
    </xf>
    <xf numFmtId="0" fontId="1" fillId="0" borderId="17" xfId="10" applyFont="1" applyBorder="1" applyAlignment="1">
      <alignment vertical="center"/>
    </xf>
    <xf numFmtId="0" fontId="1" fillId="0" borderId="18" xfId="10" applyFont="1" applyBorder="1" applyAlignment="1">
      <alignment vertical="center"/>
    </xf>
    <xf numFmtId="0" fontId="1" fillId="0" borderId="15" xfId="10" applyFont="1" applyBorder="1" applyAlignment="1">
      <alignment vertical="center"/>
    </xf>
    <xf numFmtId="0" fontId="1" fillId="0" borderId="16" xfId="10" applyFont="1" applyBorder="1" applyAlignment="1">
      <alignment vertical="center"/>
    </xf>
    <xf numFmtId="0" fontId="1" fillId="2" borderId="2" xfId="10" applyFont="1" applyFill="1" applyBorder="1" applyAlignment="1">
      <alignment vertical="center"/>
    </xf>
    <xf numFmtId="177" fontId="1" fillId="0" borderId="2" xfId="10" applyNumberFormat="1" applyFont="1" applyBorder="1" applyAlignment="1">
      <alignment vertical="center"/>
    </xf>
    <xf numFmtId="14" fontId="1" fillId="0" borderId="15" xfId="10" applyNumberFormat="1" applyFont="1" applyBorder="1" applyAlignment="1">
      <alignment horizontal="center" vertical="center"/>
    </xf>
    <xf numFmtId="0" fontId="1" fillId="0" borderId="15" xfId="14" applyFont="1" applyBorder="1" applyAlignment="1">
      <alignment horizontal="center" vertical="center"/>
    </xf>
    <xf numFmtId="49" fontId="1" fillId="0" borderId="15" xfId="10" applyNumberFormat="1" applyFont="1" applyBorder="1" applyAlignment="1">
      <alignment horizontal="center" vertical="center"/>
    </xf>
    <xf numFmtId="0" fontId="1" fillId="0" borderId="3" xfId="10" applyFont="1" applyBorder="1" applyAlignment="1">
      <alignment vertical="center"/>
    </xf>
    <xf numFmtId="0" fontId="1" fillId="0" borderId="2" xfId="10" applyFont="1" applyBorder="1" applyAlignment="1">
      <alignment vertical="center"/>
    </xf>
    <xf numFmtId="0" fontId="1" fillId="0" borderId="1" xfId="10" applyFont="1" applyBorder="1" applyAlignment="1">
      <alignment vertical="center" wrapText="1"/>
    </xf>
    <xf numFmtId="0" fontId="1" fillId="0" borderId="3" xfId="10" applyFont="1" applyBorder="1" applyAlignment="1">
      <alignment vertical="center" wrapText="1"/>
    </xf>
    <xf numFmtId="0" fontId="1" fillId="0" borderId="2" xfId="10" applyFont="1" applyBorder="1" applyAlignment="1">
      <alignment vertical="center" wrapText="1"/>
    </xf>
    <xf numFmtId="0" fontId="1" fillId="0" borderId="0" xfId="10" applyFont="1" applyAlignment="1">
      <alignment vertical="center" wrapText="1"/>
    </xf>
    <xf numFmtId="14" fontId="1" fillId="0" borderId="0" xfId="10" applyNumberFormat="1" applyFont="1" applyAlignment="1">
      <alignment vertical="center"/>
    </xf>
    <xf numFmtId="49" fontId="1" fillId="0" borderId="0" xfId="21" applyNumberFormat="1" applyFont="1" applyAlignment="1">
      <alignment horizontal="left" vertical="top"/>
    </xf>
    <xf numFmtId="0" fontId="2" fillId="0" borderId="0" xfId="10" applyFont="1" applyAlignment="1">
      <alignment vertical="center"/>
    </xf>
    <xf numFmtId="0" fontId="1" fillId="2" borderId="2" xfId="10" applyFont="1" applyFill="1" applyBorder="1" applyAlignment="1">
      <alignment horizontal="center" vertical="center"/>
    </xf>
    <xf numFmtId="0" fontId="1" fillId="2" borderId="15" xfId="10" applyFont="1" applyFill="1" applyBorder="1" applyAlignment="1">
      <alignment horizontal="center" vertical="center"/>
    </xf>
    <xf numFmtId="0" fontId="1" fillId="2" borderId="11" xfId="10" applyFont="1" applyFill="1" applyBorder="1" applyAlignment="1">
      <alignment horizontal="center" vertical="center"/>
    </xf>
    <xf numFmtId="0" fontId="1" fillId="2" borderId="16" xfId="10" applyFont="1" applyFill="1" applyBorder="1" applyAlignment="1">
      <alignment horizontal="center" vertical="center"/>
    </xf>
    <xf numFmtId="0" fontId="1" fillId="2" borderId="17" xfId="10" applyFont="1" applyFill="1" applyBorder="1" applyAlignment="1">
      <alignment horizontal="center" vertical="center"/>
    </xf>
    <xf numFmtId="0" fontId="1" fillId="2" borderId="18" xfId="10" applyFont="1" applyFill="1" applyBorder="1" applyAlignment="1">
      <alignment horizontal="center" vertical="center"/>
    </xf>
    <xf numFmtId="0" fontId="1" fillId="0" borderId="9" xfId="26" applyFont="1" applyBorder="1" applyAlignment="1">
      <alignment vertical="center"/>
    </xf>
    <xf numFmtId="0" fontId="1" fillId="0" borderId="1" xfId="10" applyFont="1" applyBorder="1" applyAlignment="1">
      <alignment vertical="center" shrinkToFit="1"/>
    </xf>
    <xf numFmtId="49" fontId="1" fillId="0" borderId="0" xfId="10" applyNumberFormat="1" applyFont="1" applyAlignment="1">
      <alignment horizontal="center" vertical="center"/>
    </xf>
    <xf numFmtId="0" fontId="1" fillId="0" borderId="0" xfId="18" applyFont="1">
      <alignment vertical="center"/>
    </xf>
    <xf numFmtId="0" fontId="1" fillId="0" borderId="15" xfId="18" applyFont="1" applyBorder="1">
      <alignment vertical="center"/>
    </xf>
    <xf numFmtId="0" fontId="1" fillId="0" borderId="16" xfId="18" applyFont="1" applyBorder="1">
      <alignment vertical="center"/>
    </xf>
    <xf numFmtId="0" fontId="1" fillId="0" borderId="1" xfId="18" applyFont="1" applyBorder="1">
      <alignment vertical="center"/>
    </xf>
    <xf numFmtId="0" fontId="1" fillId="0" borderId="3" xfId="18" applyFont="1" applyBorder="1">
      <alignment vertical="center"/>
    </xf>
    <xf numFmtId="0" fontId="1" fillId="0" borderId="2" xfId="18" applyFont="1" applyBorder="1">
      <alignment vertical="center"/>
    </xf>
    <xf numFmtId="0" fontId="1" fillId="0" borderId="15" xfId="27" applyBorder="1" applyAlignment="1">
      <alignment vertical="center"/>
    </xf>
    <xf numFmtId="0" fontId="1" fillId="0" borderId="19" xfId="27" applyBorder="1" applyAlignment="1">
      <alignment vertical="center"/>
    </xf>
    <xf numFmtId="0" fontId="1" fillId="0" borderId="2" xfId="27" applyBorder="1" applyAlignment="1">
      <alignment vertical="center"/>
    </xf>
    <xf numFmtId="0" fontId="1" fillId="0" borderId="15" xfId="27" applyBorder="1" applyAlignment="1">
      <alignment vertical="center" wrapText="1"/>
    </xf>
    <xf numFmtId="0" fontId="1" fillId="0" borderId="21" xfId="10" applyFont="1" applyBorder="1" applyAlignment="1">
      <alignment vertical="center" wrapText="1"/>
    </xf>
    <xf numFmtId="0" fontId="1" fillId="0" borderId="21" xfId="10" applyFont="1" applyBorder="1" applyAlignment="1">
      <alignment vertical="center"/>
    </xf>
    <xf numFmtId="49" fontId="1" fillId="0" borderId="16" xfId="10" applyNumberFormat="1" applyFont="1" applyBorder="1" applyAlignment="1">
      <alignment vertical="center"/>
    </xf>
    <xf numFmtId="0" fontId="3" fillId="0" borderId="1" xfId="10" applyFont="1" applyBorder="1" applyAlignment="1">
      <alignment vertical="center" wrapText="1"/>
    </xf>
    <xf numFmtId="0" fontId="3" fillId="0" borderId="3" xfId="10" applyFont="1" applyBorder="1" applyAlignment="1">
      <alignment vertical="center" wrapText="1"/>
    </xf>
    <xf numFmtId="0" fontId="3" fillId="0" borderId="2" xfId="10" applyFont="1" applyBorder="1" applyAlignment="1">
      <alignment vertical="center" wrapText="1"/>
    </xf>
    <xf numFmtId="0" fontId="1" fillId="0" borderId="0" xfId="10" applyFont="1" applyAlignment="1">
      <alignment vertical="top"/>
    </xf>
    <xf numFmtId="0" fontId="1" fillId="0" borderId="0" xfId="10" applyFont="1"/>
    <xf numFmtId="0" fontId="1" fillId="0" borderId="0" xfId="10" applyFont="1" applyAlignment="1">
      <alignment horizontal="center"/>
    </xf>
    <xf numFmtId="0" fontId="1" fillId="0" borderId="15" xfId="10" applyFont="1" applyBorder="1" applyAlignment="1">
      <alignment horizontal="center" vertical="top"/>
    </xf>
    <xf numFmtId="0" fontId="1" fillId="0" borderId="15" xfId="0" applyFont="1" applyBorder="1" applyAlignment="1"/>
    <xf numFmtId="0" fontId="1" fillId="0" borderId="1" xfId="10" applyFont="1" applyBorder="1" applyAlignment="1">
      <alignment vertical="top"/>
    </xf>
    <xf numFmtId="0" fontId="1" fillId="0" borderId="16" xfId="10" applyFont="1" applyBorder="1" applyAlignment="1">
      <alignment vertical="top"/>
    </xf>
    <xf numFmtId="0" fontId="1" fillId="0" borderId="17" xfId="10" applyFont="1" applyBorder="1" applyAlignment="1">
      <alignment vertical="top"/>
    </xf>
    <xf numFmtId="0" fontId="1" fillId="0" borderId="18" xfId="10" applyFont="1" applyBorder="1" applyAlignment="1">
      <alignment vertical="top"/>
    </xf>
    <xf numFmtId="49" fontId="1" fillId="0" borderId="1" xfId="23" applyNumberFormat="1" applyFont="1" applyBorder="1" applyAlignment="1">
      <alignment horizontal="left" vertical="top"/>
    </xf>
    <xf numFmtId="0" fontId="1" fillId="0" borderId="1" xfId="0" applyFont="1" applyBorder="1" applyAlignment="1"/>
    <xf numFmtId="0" fontId="1" fillId="0" borderId="16" xfId="0" applyFont="1" applyBorder="1" applyAlignment="1"/>
    <xf numFmtId="0" fontId="1" fillId="0" borderId="15" xfId="0" applyFont="1" applyBorder="1" applyAlignment="1">
      <alignment vertical="top"/>
    </xf>
    <xf numFmtId="0" fontId="1" fillId="0" borderId="15" xfId="10" applyFont="1" applyBorder="1" applyAlignment="1">
      <alignment vertical="top" shrinkToFit="1"/>
    </xf>
    <xf numFmtId="0" fontId="1" fillId="0" borderId="15" xfId="10" applyFont="1" applyBorder="1" applyAlignment="1">
      <alignment vertical="top"/>
    </xf>
    <xf numFmtId="0" fontId="1" fillId="0" borderId="19" xfId="0" applyFont="1" applyBorder="1" applyAlignment="1">
      <alignment vertical="top"/>
    </xf>
    <xf numFmtId="0" fontId="1" fillId="0" borderId="2" xfId="0" applyFont="1" applyBorder="1" applyAlignment="1">
      <alignment vertical="top"/>
    </xf>
    <xf numFmtId="0" fontId="1" fillId="0" borderId="1" xfId="10" applyFont="1" applyBorder="1" applyAlignment="1">
      <alignment vertical="top" shrinkToFit="1"/>
    </xf>
    <xf numFmtId="49" fontId="1" fillId="0" borderId="15" xfId="10" applyNumberFormat="1" applyFont="1" applyBorder="1" applyAlignment="1">
      <alignment horizontal="center" vertical="top"/>
    </xf>
    <xf numFmtId="0" fontId="1" fillId="0" borderId="3" xfId="0" applyFont="1" applyBorder="1" applyAlignment="1"/>
    <xf numFmtId="0" fontId="1" fillId="0" borderId="2" xfId="0" applyFont="1" applyBorder="1" applyAlignment="1"/>
    <xf numFmtId="0" fontId="1" fillId="0" borderId="3" xfId="10" applyFont="1" applyBorder="1" applyAlignment="1">
      <alignment vertical="top"/>
    </xf>
    <xf numFmtId="0" fontId="1" fillId="0" borderId="2" xfId="10" applyFont="1" applyBorder="1" applyAlignment="1">
      <alignment vertical="top"/>
    </xf>
    <xf numFmtId="0" fontId="1" fillId="0" borderId="15" xfId="10" applyFont="1" applyBorder="1" applyAlignment="1">
      <alignment vertical="top" wrapText="1" shrinkToFit="1"/>
    </xf>
    <xf numFmtId="0" fontId="1" fillId="0" borderId="15" xfId="0" applyFont="1" applyBorder="1" applyAlignment="1">
      <alignment wrapText="1"/>
    </xf>
    <xf numFmtId="0" fontId="1" fillId="0" borderId="15" xfId="0" applyFont="1" applyBorder="1" applyAlignment="1">
      <alignment vertical="top" wrapText="1"/>
    </xf>
    <xf numFmtId="0" fontId="3" fillId="0" borderId="1" xfId="10" applyFont="1" applyBorder="1" applyAlignment="1">
      <alignment vertical="top" wrapText="1"/>
    </xf>
    <xf numFmtId="0" fontId="3" fillId="0" borderId="3" xfId="10" applyFont="1" applyBorder="1" applyAlignment="1">
      <alignment vertical="top" wrapText="1"/>
    </xf>
    <xf numFmtId="0" fontId="3" fillId="0" borderId="2" xfId="10" applyFont="1" applyBorder="1" applyAlignment="1">
      <alignment vertical="top" wrapText="1"/>
    </xf>
    <xf numFmtId="0" fontId="1" fillId="0" borderId="1" xfId="10" applyFont="1" applyBorder="1" applyAlignment="1">
      <alignment vertical="top" wrapText="1"/>
    </xf>
    <xf numFmtId="0" fontId="1" fillId="0" borderId="3" xfId="10" applyFont="1" applyBorder="1" applyAlignment="1">
      <alignment vertical="top" wrapText="1"/>
    </xf>
    <xf numFmtId="0" fontId="1" fillId="0" borderId="2" xfId="10" applyFont="1" applyBorder="1" applyAlignment="1">
      <alignment vertical="top" wrapText="1"/>
    </xf>
    <xf numFmtId="0" fontId="1" fillId="0" borderId="0" xfId="10" applyFont="1" applyAlignment="1">
      <alignment wrapText="1"/>
    </xf>
    <xf numFmtId="0" fontId="1" fillId="0" borderId="0" xfId="3" applyFont="1" applyAlignment="1">
      <alignment vertical="center"/>
    </xf>
    <xf numFmtId="0" fontId="1" fillId="0" borderId="0" xfId="3" applyFont="1" applyAlignment="1">
      <alignment horizontal="center" vertical="center"/>
    </xf>
    <xf numFmtId="0" fontId="1" fillId="0" borderId="0" xfId="6" applyFont="1">
      <alignment vertical="center"/>
    </xf>
    <xf numFmtId="0" fontId="3" fillId="2" borderId="2" xfId="3" applyFont="1" applyFill="1" applyBorder="1" applyAlignment="1">
      <alignment horizontal="center" vertical="center"/>
    </xf>
    <xf numFmtId="0" fontId="3" fillId="2" borderId="15" xfId="3" applyFont="1" applyFill="1" applyBorder="1" applyAlignment="1">
      <alignment horizontal="center" vertical="center"/>
    </xf>
    <xf numFmtId="0" fontId="3" fillId="2" borderId="11" xfId="3" applyFont="1" applyFill="1" applyBorder="1" applyAlignment="1">
      <alignment horizontal="center" vertical="center"/>
    </xf>
    <xf numFmtId="0" fontId="3" fillId="2" borderId="16" xfId="3" applyFont="1" applyFill="1" applyBorder="1" applyAlignment="1">
      <alignment horizontal="center" vertical="center"/>
    </xf>
    <xf numFmtId="0" fontId="3" fillId="2" borderId="17" xfId="3" applyFont="1" applyFill="1" applyBorder="1" applyAlignment="1">
      <alignment horizontal="center" vertical="center"/>
    </xf>
    <xf numFmtId="0" fontId="3" fillId="2" borderId="18" xfId="3" applyFont="1" applyFill="1" applyBorder="1" applyAlignment="1">
      <alignment horizontal="center" vertical="center"/>
    </xf>
    <xf numFmtId="0" fontId="1" fillId="0" borderId="15" xfId="3" applyFont="1" applyBorder="1" applyAlignment="1">
      <alignment horizontal="center" vertical="center"/>
    </xf>
    <xf numFmtId="0" fontId="1" fillId="0" borderId="15" xfId="6" applyFont="1" applyBorder="1">
      <alignment vertical="center"/>
    </xf>
    <xf numFmtId="0" fontId="1" fillId="0" borderId="1" xfId="3" applyFont="1" applyBorder="1" applyAlignment="1">
      <alignment vertical="center"/>
    </xf>
    <xf numFmtId="0" fontId="1" fillId="0" borderId="16" xfId="6" applyFont="1" applyBorder="1">
      <alignment vertical="center"/>
    </xf>
    <xf numFmtId="0" fontId="1" fillId="0" borderId="17" xfId="3" applyFont="1" applyBorder="1" applyAlignment="1">
      <alignment vertical="center"/>
    </xf>
    <xf numFmtId="0" fontId="1" fillId="0" borderId="18" xfId="3" applyFont="1" applyBorder="1" applyAlignment="1">
      <alignment vertical="center"/>
    </xf>
    <xf numFmtId="0" fontId="1" fillId="0" borderId="15" xfId="3" applyFont="1" applyBorder="1" applyAlignment="1">
      <alignment vertical="center"/>
    </xf>
    <xf numFmtId="0" fontId="1" fillId="0" borderId="16" xfId="3" applyFont="1" applyBorder="1" applyAlignment="1">
      <alignment vertical="center"/>
    </xf>
    <xf numFmtId="0" fontId="1" fillId="0" borderId="15" xfId="3" applyFont="1" applyBorder="1" applyAlignment="1">
      <alignment vertical="center" shrinkToFit="1"/>
    </xf>
    <xf numFmtId="0" fontId="1" fillId="0" borderId="1" xfId="6" applyFont="1" applyBorder="1">
      <alignment vertical="center"/>
    </xf>
    <xf numFmtId="0" fontId="1" fillId="0" borderId="15" xfId="6" applyFont="1" applyBorder="1" applyAlignment="1">
      <alignment vertical="center" wrapText="1"/>
    </xf>
    <xf numFmtId="0" fontId="1" fillId="0" borderId="19" xfId="6" applyFont="1" applyBorder="1">
      <alignment vertical="center"/>
    </xf>
    <xf numFmtId="0" fontId="1" fillId="0" borderId="2" xfId="6" applyFont="1" applyBorder="1">
      <alignment vertical="center"/>
    </xf>
    <xf numFmtId="0" fontId="1" fillId="0" borderId="15" xfId="28" applyFont="1" applyBorder="1" applyAlignment="1">
      <alignment vertical="center"/>
    </xf>
    <xf numFmtId="0" fontId="1" fillId="0" borderId="1" xfId="28" applyFont="1" applyBorder="1" applyAlignment="1">
      <alignment vertical="center"/>
    </xf>
    <xf numFmtId="0" fontId="1" fillId="2" borderId="2" xfId="3" applyFont="1" applyFill="1" applyBorder="1" applyAlignment="1">
      <alignment vertical="center"/>
    </xf>
    <xf numFmtId="177" fontId="1" fillId="0" borderId="2" xfId="3" applyNumberFormat="1" applyFont="1" applyBorder="1" applyAlignment="1">
      <alignment vertical="center"/>
    </xf>
    <xf numFmtId="14" fontId="1" fillId="0" borderId="15" xfId="3" applyNumberFormat="1" applyFont="1" applyBorder="1" applyAlignment="1">
      <alignment horizontal="center" vertical="center"/>
    </xf>
    <xf numFmtId="0" fontId="1" fillId="0" borderId="15" xfId="15" applyFont="1" applyBorder="1" applyAlignment="1">
      <alignment horizontal="center" vertical="center"/>
    </xf>
    <xf numFmtId="49" fontId="1" fillId="0" borderId="15" xfId="3" applyNumberFormat="1" applyFont="1" applyBorder="1" applyAlignment="1">
      <alignment horizontal="center" vertical="center"/>
    </xf>
    <xf numFmtId="0" fontId="1" fillId="0" borderId="1" xfId="3" applyFont="1" applyBorder="1" applyAlignment="1">
      <alignment vertical="center" wrapText="1"/>
    </xf>
    <xf numFmtId="0" fontId="1" fillId="0" borderId="3" xfId="3" applyFont="1" applyBorder="1" applyAlignment="1">
      <alignment vertical="center" wrapText="1"/>
    </xf>
    <xf numFmtId="0" fontId="1" fillId="0" borderId="2" xfId="3" applyFont="1" applyBorder="1" applyAlignment="1">
      <alignment vertical="center" wrapText="1"/>
    </xf>
    <xf numFmtId="0" fontId="1" fillId="0" borderId="0" xfId="3" applyFont="1" applyAlignment="1">
      <alignment vertical="center" wrapText="1"/>
    </xf>
    <xf numFmtId="0" fontId="1" fillId="0" borderId="3" xfId="3" applyFont="1" applyBorder="1" applyAlignment="1">
      <alignment vertical="center"/>
    </xf>
    <xf numFmtId="0" fontId="1" fillId="0" borderId="2" xfId="3" applyFont="1" applyBorder="1" applyAlignment="1">
      <alignment vertical="center"/>
    </xf>
    <xf numFmtId="49" fontId="1" fillId="0" borderId="0" xfId="23" applyNumberFormat="1" applyFont="1" applyAlignment="1">
      <alignment horizontal="left" vertical="center"/>
    </xf>
    <xf numFmtId="49" fontId="1" fillId="0" borderId="0" xfId="22" applyNumberFormat="1" applyFont="1" applyAlignment="1">
      <alignment horizontal="left" vertical="top"/>
    </xf>
    <xf numFmtId="49" fontId="1" fillId="0" borderId="1" xfId="23" applyNumberFormat="1" applyFont="1" applyBorder="1" applyAlignment="1">
      <alignment horizontal="left" vertical="center" wrapText="1"/>
    </xf>
    <xf numFmtId="0" fontId="6" fillId="0" borderId="15" xfId="10" applyFont="1" applyBorder="1" applyAlignment="1">
      <alignment horizontal="center" vertical="center"/>
    </xf>
    <xf numFmtId="0" fontId="1" fillId="0" borderId="15" xfId="8" applyFont="1" applyBorder="1" applyAlignment="1">
      <alignment vertical="center" shrinkToFit="1"/>
    </xf>
    <xf numFmtId="0" fontId="1" fillId="0" borderId="1" xfId="8" applyFont="1" applyBorder="1" applyAlignment="1">
      <alignment vertical="center"/>
    </xf>
    <xf numFmtId="0" fontId="1" fillId="0" borderId="16" xfId="8" applyFont="1" applyBorder="1" applyAlignment="1">
      <alignment vertical="center"/>
    </xf>
    <xf numFmtId="0" fontId="1" fillId="0" borderId="17" xfId="8" applyFont="1" applyBorder="1" applyAlignment="1">
      <alignment vertical="center"/>
    </xf>
    <xf numFmtId="0" fontId="1" fillId="0" borderId="18" xfId="8" applyFont="1" applyBorder="1" applyAlignment="1">
      <alignment vertical="center"/>
    </xf>
    <xf numFmtId="0" fontId="1" fillId="0" borderId="15" xfId="8" applyFont="1" applyBorder="1" applyAlignment="1">
      <alignment horizontal="center" vertical="center"/>
    </xf>
    <xf numFmtId="0" fontId="1" fillId="0" borderId="15" xfId="8" applyFont="1" applyBorder="1" applyAlignment="1">
      <alignment horizontal="left" vertical="center"/>
    </xf>
    <xf numFmtId="0" fontId="1" fillId="0" borderId="15" xfId="10" applyFont="1" applyBorder="1" applyAlignment="1">
      <alignment vertical="center" wrapText="1" shrinkToFit="1"/>
    </xf>
    <xf numFmtId="0" fontId="1" fillId="0" borderId="1" xfId="29" applyFont="1" applyBorder="1" applyAlignment="1">
      <alignment vertical="center"/>
    </xf>
    <xf numFmtId="0" fontId="5" fillId="0" borderId="21" xfId="0" applyFont="1" applyBorder="1">
      <alignment vertical="center"/>
    </xf>
    <xf numFmtId="0" fontId="5" fillId="0" borderId="0" xfId="0" applyFont="1">
      <alignment vertical="center"/>
    </xf>
    <xf numFmtId="0" fontId="4" fillId="0" borderId="17" xfId="10" applyFont="1" applyBorder="1" applyAlignment="1">
      <alignment vertical="center"/>
    </xf>
    <xf numFmtId="0" fontId="1" fillId="0" borderId="19" xfId="10" applyFont="1" applyBorder="1" applyAlignment="1">
      <alignment vertical="center"/>
    </xf>
    <xf numFmtId="0" fontId="1" fillId="3" borderId="15" xfId="10" applyFont="1" applyFill="1" applyBorder="1" applyAlignment="1">
      <alignment horizontal="center" vertical="center"/>
    </xf>
    <xf numFmtId="49" fontId="1" fillId="3" borderId="1" xfId="23" applyNumberFormat="1" applyFont="1" applyFill="1" applyBorder="1" applyAlignment="1">
      <alignment horizontal="left" vertical="center"/>
    </xf>
    <xf numFmtId="0" fontId="1" fillId="3" borderId="1" xfId="10" applyFont="1" applyFill="1" applyBorder="1" applyAlignment="1">
      <alignment vertical="center"/>
    </xf>
    <xf numFmtId="0" fontId="1" fillId="3" borderId="16" xfId="10" applyFont="1" applyFill="1" applyBorder="1" applyAlignment="1">
      <alignment vertical="center"/>
    </xf>
    <xf numFmtId="0" fontId="1" fillId="3" borderId="17" xfId="10" applyFont="1" applyFill="1" applyBorder="1" applyAlignment="1">
      <alignment vertical="center"/>
    </xf>
    <xf numFmtId="0" fontId="1" fillId="3" borderId="18" xfId="10" applyFont="1" applyFill="1" applyBorder="1" applyAlignment="1">
      <alignment vertical="center"/>
    </xf>
    <xf numFmtId="0" fontId="1" fillId="3" borderId="15" xfId="10" applyFont="1" applyFill="1" applyBorder="1" applyAlignment="1">
      <alignment vertical="center"/>
    </xf>
    <xf numFmtId="0" fontId="1" fillId="3" borderId="15" xfId="0" applyFont="1" applyFill="1" applyBorder="1">
      <alignment vertical="center"/>
    </xf>
    <xf numFmtId="0" fontId="1" fillId="3" borderId="1" xfId="10" applyFont="1" applyFill="1" applyBorder="1" applyAlignment="1">
      <alignment vertical="center" shrinkToFit="1"/>
    </xf>
    <xf numFmtId="49" fontId="1" fillId="3" borderId="15" xfId="10" applyNumberFormat="1" applyFont="1" applyFill="1" applyBorder="1" applyAlignment="1">
      <alignment horizontal="center" vertical="center"/>
    </xf>
    <xf numFmtId="0" fontId="1" fillId="3" borderId="0" xfId="10" applyFont="1" applyFill="1" applyAlignment="1">
      <alignment vertical="center"/>
    </xf>
    <xf numFmtId="0" fontId="1" fillId="3" borderId="15" xfId="10" applyFont="1" applyFill="1" applyBorder="1" applyAlignment="1">
      <alignment vertical="center" shrinkToFit="1"/>
    </xf>
    <xf numFmtId="0" fontId="1" fillId="3" borderId="1" xfId="0" applyFont="1" applyFill="1" applyBorder="1">
      <alignment vertical="center"/>
    </xf>
    <xf numFmtId="0" fontId="1" fillId="0" borderId="21" xfId="24" applyFont="1" applyBorder="1" applyAlignment="1">
      <alignment vertical="center" wrapText="1"/>
    </xf>
    <xf numFmtId="0" fontId="1" fillId="0" borderId="0" xfId="24" applyFont="1" applyAlignment="1">
      <alignment vertical="center" wrapText="1"/>
    </xf>
    <xf numFmtId="0" fontId="1" fillId="0" borderId="1" xfId="25" applyFont="1" applyBorder="1" applyAlignment="1">
      <alignment vertical="center"/>
    </xf>
    <xf numFmtId="49" fontId="1" fillId="0" borderId="1" xfId="23" applyNumberFormat="1" applyFont="1" applyBorder="1" applyAlignment="1">
      <alignment vertical="center"/>
    </xf>
    <xf numFmtId="0" fontId="5" fillId="0" borderId="0" xfId="12" applyFont="1"/>
    <xf numFmtId="0" fontId="7" fillId="2" borderId="15" xfId="12" applyFont="1" applyFill="1" applyBorder="1" applyAlignment="1">
      <alignment horizontal="center" vertical="center"/>
    </xf>
    <xf numFmtId="0" fontId="7" fillId="2" borderId="11" xfId="12" applyFont="1" applyFill="1" applyBorder="1" applyAlignment="1">
      <alignment horizontal="center" vertical="center"/>
    </xf>
    <xf numFmtId="0" fontId="7" fillId="0" borderId="15" xfId="12" applyFont="1" applyBorder="1" applyAlignment="1">
      <alignment vertical="top"/>
    </xf>
    <xf numFmtId="0" fontId="5" fillId="0" borderId="1" xfId="12" applyFont="1" applyBorder="1" applyAlignment="1">
      <alignment vertical="top"/>
    </xf>
    <xf numFmtId="0" fontId="5" fillId="0" borderId="16" xfId="12" applyFont="1" applyBorder="1" applyAlignment="1">
      <alignment vertical="top"/>
    </xf>
    <xf numFmtId="49" fontId="5" fillId="0" borderId="15" xfId="12" applyNumberFormat="1" applyFont="1" applyBorder="1" applyAlignment="1">
      <alignment vertical="top" wrapText="1"/>
    </xf>
    <xf numFmtId="0" fontId="5" fillId="0" borderId="15" xfId="12" applyFont="1" applyBorder="1" applyAlignment="1">
      <alignment vertical="top"/>
    </xf>
    <xf numFmtId="0" fontId="8" fillId="0" borderId="15" xfId="4" applyFont="1" applyBorder="1" applyAlignment="1" applyProtection="1">
      <alignment vertical="top"/>
    </xf>
    <xf numFmtId="0" fontId="5" fillId="4" borderId="15" xfId="12" applyFont="1" applyFill="1" applyBorder="1" applyAlignment="1">
      <alignment vertical="top"/>
    </xf>
    <xf numFmtId="0" fontId="8" fillId="4" borderId="15" xfId="4" applyFont="1" applyFill="1" applyBorder="1" applyAlignment="1" applyProtection="1">
      <alignment vertical="top"/>
    </xf>
    <xf numFmtId="0" fontId="5" fillId="4" borderId="1" xfId="12" applyFont="1" applyFill="1" applyBorder="1" applyAlignment="1">
      <alignment vertical="top"/>
    </xf>
    <xf numFmtId="0" fontId="5" fillId="4" borderId="16" xfId="12" applyFont="1" applyFill="1" applyBorder="1" applyAlignment="1">
      <alignment vertical="top"/>
    </xf>
    <xf numFmtId="49" fontId="5" fillId="4" borderId="15" xfId="12" applyNumberFormat="1" applyFont="1" applyFill="1" applyBorder="1" applyAlignment="1">
      <alignment vertical="top" wrapText="1"/>
    </xf>
    <xf numFmtId="0" fontId="8" fillId="0" borderId="0" xfId="4" applyFont="1" applyAlignment="1" applyProtection="1">
      <alignment vertical="top"/>
    </xf>
    <xf numFmtId="0" fontId="8" fillId="0" borderId="15" xfId="4" applyFont="1" applyFill="1" applyBorder="1" applyAlignment="1" applyProtection="1">
      <alignment vertical="top"/>
    </xf>
    <xf numFmtId="49" fontId="5" fillId="0" borderId="15" xfId="12" applyNumberFormat="1" applyFont="1" applyBorder="1" applyAlignment="1">
      <alignment vertical="top" wrapText="1" shrinkToFit="1"/>
    </xf>
    <xf numFmtId="0" fontId="9" fillId="0" borderId="15" xfId="4" applyFont="1" applyBorder="1" applyAlignment="1" applyProtection="1">
      <alignment vertical="top"/>
    </xf>
    <xf numFmtId="0" fontId="9" fillId="4" borderId="15" xfId="4" applyFont="1" applyFill="1" applyBorder="1" applyAlignment="1" applyProtection="1">
      <alignment vertical="top"/>
    </xf>
    <xf numFmtId="49" fontId="5" fillId="4" borderId="15" xfId="12" applyNumberFormat="1" applyFont="1" applyFill="1" applyBorder="1" applyAlignment="1">
      <alignment vertical="top" wrapText="1" shrinkToFit="1"/>
    </xf>
    <xf numFmtId="0" fontId="5" fillId="4" borderId="15" xfId="12" applyFont="1" applyFill="1" applyBorder="1"/>
    <xf numFmtId="0" fontId="10" fillId="0" borderId="15" xfId="4" applyBorder="1" applyAlignment="1" applyProtection="1">
      <alignment vertical="top"/>
    </xf>
    <xf numFmtId="0" fontId="9" fillId="0" borderId="15" xfId="4" applyFont="1" applyFill="1" applyBorder="1" applyAlignment="1" applyProtection="1">
      <alignment vertical="top"/>
    </xf>
    <xf numFmtId="0" fontId="7" fillId="2" borderId="1" xfId="12" applyFont="1" applyFill="1" applyBorder="1" applyAlignment="1">
      <alignment horizontal="center" vertical="center"/>
    </xf>
    <xf numFmtId="0" fontId="7" fillId="2" borderId="3" xfId="12" applyFont="1" applyFill="1" applyBorder="1" applyAlignment="1">
      <alignment horizontal="center" vertical="center"/>
    </xf>
    <xf numFmtId="0" fontId="7" fillId="2" borderId="12" xfId="12" applyFont="1" applyFill="1" applyBorder="1" applyAlignment="1">
      <alignment horizontal="center" vertical="center"/>
    </xf>
    <xf numFmtId="0" fontId="7" fillId="2" borderId="14" xfId="12" applyFont="1" applyFill="1" applyBorder="1" applyAlignment="1">
      <alignment horizontal="center" vertical="center"/>
    </xf>
    <xf numFmtId="0" fontId="7" fillId="2" borderId="23" xfId="12" applyFont="1" applyFill="1" applyBorder="1" applyAlignment="1">
      <alignment horizontal="center" vertical="center" wrapText="1"/>
    </xf>
    <xf numFmtId="0" fontId="7" fillId="2" borderId="24" xfId="12" applyFont="1" applyFill="1" applyBorder="1" applyAlignment="1">
      <alignment horizontal="center" vertical="center"/>
    </xf>
    <xf numFmtId="0" fontId="3" fillId="2" borderId="1" xfId="10" applyFont="1" applyFill="1" applyBorder="1" applyAlignment="1">
      <alignment horizontal="center" vertical="center"/>
    </xf>
    <xf numFmtId="0" fontId="3" fillId="2" borderId="2" xfId="10" applyFont="1" applyFill="1" applyBorder="1" applyAlignment="1">
      <alignment horizontal="center" vertical="center"/>
    </xf>
    <xf numFmtId="0" fontId="3" fillId="2" borderId="3" xfId="10" applyFont="1" applyFill="1" applyBorder="1" applyAlignment="1">
      <alignment horizontal="center" vertical="center"/>
    </xf>
    <xf numFmtId="0" fontId="1" fillId="0" borderId="4" xfId="10" applyFont="1" applyBorder="1" applyAlignment="1">
      <alignment horizontal="center" vertical="center"/>
    </xf>
    <xf numFmtId="0" fontId="1" fillId="0" borderId="5" xfId="10" applyFont="1" applyBorder="1" applyAlignment="1">
      <alignment horizontal="center" vertical="center"/>
    </xf>
    <xf numFmtId="0" fontId="1" fillId="0" borderId="6" xfId="10" applyFont="1" applyBorder="1" applyAlignment="1">
      <alignment horizontal="center" vertical="center"/>
    </xf>
    <xf numFmtId="0" fontId="1" fillId="0" borderId="7" xfId="10" applyFont="1" applyBorder="1" applyAlignment="1">
      <alignment horizontal="center" vertical="center"/>
    </xf>
    <xf numFmtId="0" fontId="1" fillId="0" borderId="8" xfId="10" applyFont="1" applyBorder="1" applyAlignment="1">
      <alignment horizontal="center" vertical="center"/>
    </xf>
    <xf numFmtId="0" fontId="1" fillId="0" borderId="9" xfId="10" applyFont="1" applyBorder="1" applyAlignment="1">
      <alignment horizontal="center" vertical="center"/>
    </xf>
    <xf numFmtId="0" fontId="1" fillId="0" borderId="10" xfId="10" applyFont="1" applyBorder="1" applyAlignment="1">
      <alignment horizontal="center" vertical="center"/>
    </xf>
    <xf numFmtId="0" fontId="1" fillId="0" borderId="11" xfId="10" applyFont="1" applyBorder="1" applyAlignment="1">
      <alignment horizontal="center" vertical="center"/>
    </xf>
    <xf numFmtId="0" fontId="3" fillId="2" borderId="13" xfId="10" applyFont="1" applyFill="1" applyBorder="1" applyAlignment="1">
      <alignment horizontal="center" vertical="center"/>
    </xf>
    <xf numFmtId="0" fontId="1" fillId="0" borderId="1" xfId="0" applyFont="1" applyBorder="1" applyAlignment="1">
      <alignment vertical="center" wrapText="1"/>
    </xf>
    <xf numFmtId="0" fontId="1" fillId="0" borderId="3" xfId="0" applyFont="1" applyBorder="1" applyAlignment="1">
      <alignment vertical="center" wrapText="1"/>
    </xf>
    <xf numFmtId="0" fontId="1" fillId="0" borderId="2" xfId="0" applyFont="1" applyBorder="1" applyAlignment="1">
      <alignment vertical="center" wrapText="1"/>
    </xf>
    <xf numFmtId="0" fontId="1" fillId="0" borderId="1" xfId="10" applyFont="1" applyBorder="1" applyAlignment="1">
      <alignment vertical="center"/>
    </xf>
    <xf numFmtId="0" fontId="1" fillId="0" borderId="3" xfId="10" applyFont="1" applyBorder="1" applyAlignment="1">
      <alignment vertical="center"/>
    </xf>
    <xf numFmtId="0" fontId="1" fillId="0" borderId="2" xfId="10" applyFont="1" applyBorder="1" applyAlignment="1">
      <alignment vertical="center"/>
    </xf>
    <xf numFmtId="0" fontId="1" fillId="0" borderId="1" xfId="0" quotePrefix="1" applyFont="1" applyBorder="1">
      <alignment vertical="center"/>
    </xf>
    <xf numFmtId="0" fontId="1" fillId="0" borderId="3" xfId="0" applyFont="1" applyBorder="1">
      <alignment vertical="center"/>
    </xf>
    <xf numFmtId="0" fontId="1" fillId="0" borderId="2" xfId="0" applyFont="1" applyBorder="1">
      <alignment vertical="center"/>
    </xf>
    <xf numFmtId="0" fontId="1" fillId="0" borderId="1" xfId="10" applyFont="1" applyBorder="1" applyAlignment="1">
      <alignment vertical="center" wrapText="1"/>
    </xf>
    <xf numFmtId="0" fontId="0" fillId="0" borderId="3" xfId="0" applyBorder="1" applyAlignment="1">
      <alignment vertical="center" wrapText="1"/>
    </xf>
    <xf numFmtId="0" fontId="0" fillId="0" borderId="2" xfId="0" applyBorder="1" applyAlignment="1">
      <alignment vertical="center" wrapText="1"/>
    </xf>
    <xf numFmtId="0" fontId="3" fillId="2" borderId="12" xfId="10" applyFont="1" applyFill="1" applyBorder="1" applyAlignment="1">
      <alignment horizontal="center" vertical="center"/>
    </xf>
    <xf numFmtId="0" fontId="3" fillId="2" borderId="14" xfId="10" applyFont="1" applyFill="1" applyBorder="1" applyAlignment="1">
      <alignment horizontal="center" vertical="center"/>
    </xf>
    <xf numFmtId="0" fontId="3" fillId="2" borderId="4" xfId="10" applyFont="1" applyFill="1" applyBorder="1" applyAlignment="1">
      <alignment horizontal="center" vertical="center"/>
    </xf>
    <xf numFmtId="0" fontId="3" fillId="2" borderId="20" xfId="10" applyFont="1" applyFill="1" applyBorder="1" applyAlignment="1">
      <alignment horizontal="center" vertical="center"/>
    </xf>
    <xf numFmtId="0" fontId="3" fillId="2" borderId="5" xfId="10" applyFon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1" fillId="0" borderId="3" xfId="10" applyFont="1" applyBorder="1" applyAlignment="1">
      <alignment vertical="center" wrapText="1"/>
    </xf>
    <xf numFmtId="0" fontId="1" fillId="0" borderId="2" xfId="10" applyFont="1" applyBorder="1" applyAlignment="1">
      <alignment vertical="center" wrapText="1"/>
    </xf>
    <xf numFmtId="0" fontId="1" fillId="0" borderId="1" xfId="9" applyFont="1" applyBorder="1" applyAlignment="1">
      <alignment vertical="center" wrapText="1"/>
    </xf>
    <xf numFmtId="0" fontId="1" fillId="0" borderId="3" xfId="9" applyFont="1" applyBorder="1" applyAlignment="1">
      <alignment vertical="center" wrapText="1"/>
    </xf>
    <xf numFmtId="0" fontId="1" fillId="0" borderId="2" xfId="9" applyFont="1" applyBorder="1" applyAlignment="1">
      <alignment vertical="center" wrapText="1"/>
    </xf>
    <xf numFmtId="0" fontId="1" fillId="0" borderId="1" xfId="9" applyFont="1" applyBorder="1" applyAlignment="1">
      <alignment vertical="center" wrapText="1" shrinkToFit="1"/>
    </xf>
    <xf numFmtId="0" fontId="1" fillId="0" borderId="3" xfId="9" applyFont="1" applyBorder="1" applyAlignment="1">
      <alignment vertical="center" wrapText="1" shrinkToFit="1"/>
    </xf>
    <xf numFmtId="0" fontId="1" fillId="0" borderId="2" xfId="9" applyFont="1" applyBorder="1" applyAlignment="1">
      <alignment vertical="center" wrapText="1" shrinkToFit="1"/>
    </xf>
    <xf numFmtId="0" fontId="5" fillId="0" borderId="1" xfId="0" applyFont="1" applyBorder="1" applyAlignment="1">
      <alignment vertical="center" wrapText="1"/>
    </xf>
    <xf numFmtId="0" fontId="5" fillId="0" borderId="3" xfId="0" applyFont="1" applyBorder="1" applyAlignment="1">
      <alignment vertical="center" wrapText="1"/>
    </xf>
    <xf numFmtId="0" fontId="5" fillId="0" borderId="2" xfId="0" applyFont="1" applyBorder="1" applyAlignment="1">
      <alignment vertical="center" wrapText="1"/>
    </xf>
    <xf numFmtId="0" fontId="1" fillId="0" borderId="1" xfId="24" applyFont="1" applyBorder="1" applyAlignment="1">
      <alignment vertical="center" wrapText="1"/>
    </xf>
    <xf numFmtId="0" fontId="1" fillId="0" borderId="3" xfId="24" applyFont="1" applyBorder="1" applyAlignment="1">
      <alignment vertical="center" wrapText="1"/>
    </xf>
    <xf numFmtId="0" fontId="1" fillId="0" borderId="2" xfId="24" applyFont="1" applyBorder="1" applyAlignment="1">
      <alignment vertical="center" wrapText="1"/>
    </xf>
    <xf numFmtId="0" fontId="3" fillId="2" borderId="9" xfId="10" applyFont="1" applyFill="1" applyBorder="1" applyAlignment="1">
      <alignment horizontal="center" vertical="center"/>
    </xf>
    <xf numFmtId="0" fontId="3" fillId="2" borderId="11" xfId="10" applyFont="1" applyFill="1" applyBorder="1" applyAlignment="1">
      <alignment horizontal="center" vertical="center"/>
    </xf>
    <xf numFmtId="0" fontId="3" fillId="2" borderId="10" xfId="10" applyFont="1" applyFill="1" applyBorder="1" applyAlignment="1">
      <alignment horizontal="center" vertical="center"/>
    </xf>
    <xf numFmtId="0" fontId="1" fillId="0" borderId="1" xfId="0" applyFont="1" applyBorder="1">
      <alignment vertical="center"/>
    </xf>
    <xf numFmtId="0" fontId="5" fillId="0" borderId="3" xfId="0" applyFont="1" applyBorder="1">
      <alignment vertical="center"/>
    </xf>
    <xf numFmtId="0" fontId="5" fillId="0" borderId="2" xfId="0" applyFont="1" applyBorder="1">
      <alignment vertical="center"/>
    </xf>
    <xf numFmtId="0" fontId="1" fillId="0" borderId="15" xfId="10" applyFont="1" applyBorder="1" applyAlignment="1">
      <alignment vertical="center" wrapText="1"/>
    </xf>
    <xf numFmtId="0" fontId="1" fillId="0" borderId="15" xfId="10" applyFont="1" applyBorder="1" applyAlignment="1">
      <alignment vertical="center"/>
    </xf>
    <xf numFmtId="0" fontId="1" fillId="0" borderId="1" xfId="17" applyFont="1" applyBorder="1" applyAlignment="1">
      <alignment vertical="center" wrapText="1"/>
    </xf>
    <xf numFmtId="0" fontId="1" fillId="3" borderId="1" xfId="10" applyFont="1" applyFill="1" applyBorder="1" applyAlignment="1">
      <alignment vertical="center" wrapText="1"/>
    </xf>
    <xf numFmtId="0" fontId="0" fillId="3" borderId="3" xfId="0" applyFill="1" applyBorder="1" applyAlignment="1">
      <alignment vertical="center" wrapText="1"/>
    </xf>
    <xf numFmtId="0" fontId="0" fillId="3" borderId="2" xfId="0" applyFill="1" applyBorder="1" applyAlignment="1">
      <alignment vertical="center" wrapText="1"/>
    </xf>
    <xf numFmtId="0" fontId="5" fillId="0" borderId="15" xfId="0" applyFont="1" applyBorder="1" applyAlignment="1">
      <alignment vertical="center" wrapText="1"/>
    </xf>
    <xf numFmtId="0" fontId="1" fillId="3" borderId="3" xfId="10" applyFont="1" applyFill="1" applyBorder="1" applyAlignment="1">
      <alignment vertical="center" wrapText="1"/>
    </xf>
    <xf numFmtId="0" fontId="1" fillId="3" borderId="2" xfId="10" applyFont="1" applyFill="1" applyBorder="1" applyAlignment="1">
      <alignment vertical="center" wrapText="1"/>
    </xf>
    <xf numFmtId="0" fontId="1" fillId="3" borderId="3" xfId="10" applyFont="1" applyFill="1" applyBorder="1" applyAlignment="1">
      <alignment vertical="center"/>
    </xf>
    <xf numFmtId="0" fontId="1" fillId="3" borderId="2" xfId="10" applyFont="1" applyFill="1" applyBorder="1" applyAlignment="1">
      <alignment vertical="center"/>
    </xf>
    <xf numFmtId="0" fontId="1" fillId="0" borderId="4" xfId="10" applyFont="1" applyBorder="1" applyAlignment="1">
      <alignment vertical="center" wrapText="1"/>
    </xf>
    <xf numFmtId="0" fontId="1" fillId="0" borderId="20" xfId="10" applyFont="1" applyBorder="1" applyAlignment="1">
      <alignment vertical="center" wrapText="1"/>
    </xf>
    <xf numFmtId="0" fontId="1" fillId="0" borderId="5" xfId="10" applyFont="1" applyBorder="1" applyAlignment="1">
      <alignment vertical="center" wrapText="1"/>
    </xf>
    <xf numFmtId="0" fontId="1" fillId="0" borderId="21" xfId="10" applyFont="1" applyBorder="1" applyAlignment="1">
      <alignment vertical="center" wrapText="1"/>
    </xf>
    <xf numFmtId="0" fontId="1" fillId="0" borderId="0" xfId="10" applyFont="1" applyAlignment="1">
      <alignment vertical="center" wrapText="1"/>
    </xf>
    <xf numFmtId="0" fontId="1" fillId="0" borderId="22" xfId="10" applyFont="1" applyBorder="1" applyAlignment="1">
      <alignment vertical="center" wrapText="1"/>
    </xf>
    <xf numFmtId="0" fontId="1" fillId="0" borderId="9" xfId="10" applyFont="1" applyBorder="1" applyAlignment="1">
      <alignment vertical="center" wrapText="1"/>
    </xf>
    <xf numFmtId="0" fontId="1" fillId="0" borderId="11" xfId="10" applyFont="1" applyBorder="1" applyAlignment="1">
      <alignment vertical="center" wrapText="1"/>
    </xf>
    <xf numFmtId="0" fontId="1" fillId="0" borderId="10" xfId="10" applyFont="1" applyBorder="1" applyAlignment="1">
      <alignment vertical="center" wrapText="1"/>
    </xf>
    <xf numFmtId="0" fontId="1" fillId="0" borderId="1" xfId="10" quotePrefix="1" applyFont="1" applyBorder="1" applyAlignment="1">
      <alignment vertical="center" wrapText="1"/>
    </xf>
    <xf numFmtId="0" fontId="1" fillId="0" borderId="1" xfId="16" applyFont="1" applyBorder="1" applyAlignment="1">
      <alignment vertical="center" wrapText="1"/>
    </xf>
    <xf numFmtId="0" fontId="1" fillId="0" borderId="3" xfId="16" applyFont="1" applyBorder="1" applyAlignment="1">
      <alignment vertical="center" wrapText="1"/>
    </xf>
    <xf numFmtId="0" fontId="1" fillId="0" borderId="2" xfId="16" applyFont="1" applyBorder="1" applyAlignment="1">
      <alignment vertical="center" wrapText="1"/>
    </xf>
    <xf numFmtId="20" fontId="1" fillId="0" borderId="1" xfId="0" applyNumberFormat="1" applyFont="1" applyBorder="1">
      <alignment vertical="center"/>
    </xf>
    <xf numFmtId="0" fontId="1" fillId="0" borderId="1" xfId="1" applyFont="1" applyBorder="1" applyAlignment="1">
      <alignment vertical="center" wrapText="1" shrinkToFit="1"/>
    </xf>
    <xf numFmtId="0" fontId="1" fillId="0" borderId="1" xfId="1" applyFont="1" applyBorder="1" applyAlignment="1">
      <alignment vertical="center" wrapText="1"/>
    </xf>
    <xf numFmtId="0" fontId="1" fillId="0" borderId="1" xfId="8" applyFont="1" applyBorder="1" applyAlignment="1">
      <alignment vertical="center"/>
    </xf>
    <xf numFmtId="0" fontId="1" fillId="0" borderId="3" xfId="8" applyFont="1" applyBorder="1" applyAlignment="1">
      <alignment vertical="center"/>
    </xf>
    <xf numFmtId="0" fontId="1" fillId="0" borderId="2" xfId="8" applyFont="1" applyBorder="1" applyAlignment="1">
      <alignment vertical="center"/>
    </xf>
    <xf numFmtId="0" fontId="1" fillId="0" borderId="1" xfId="0" applyFont="1" applyBorder="1" applyAlignment="1"/>
    <xf numFmtId="0" fontId="1" fillId="0" borderId="3" xfId="0" applyFont="1" applyBorder="1" applyAlignment="1"/>
    <xf numFmtId="0" fontId="1" fillId="0" borderId="2" xfId="0" applyFont="1" applyBorder="1" applyAlignment="1"/>
    <xf numFmtId="0" fontId="1" fillId="0" borderId="1" xfId="10" applyFont="1" applyBorder="1" applyAlignment="1">
      <alignment vertical="top" wrapText="1"/>
    </xf>
    <xf numFmtId="0" fontId="1" fillId="0" borderId="3" xfId="10" applyFont="1" applyBorder="1" applyAlignment="1">
      <alignment vertical="top" wrapText="1"/>
    </xf>
    <xf numFmtId="0" fontId="1" fillId="0" borderId="2" xfId="10" applyFont="1" applyBorder="1" applyAlignment="1">
      <alignment vertical="top" wrapText="1"/>
    </xf>
    <xf numFmtId="0" fontId="1" fillId="0" borderId="1" xfId="10" applyFont="1" applyBorder="1" applyAlignment="1">
      <alignment vertical="top"/>
    </xf>
    <xf numFmtId="0" fontId="1" fillId="0" borderId="3" xfId="10" applyFont="1" applyBorder="1" applyAlignment="1">
      <alignment vertical="top"/>
    </xf>
    <xf numFmtId="0" fontId="1" fillId="0" borderId="2" xfId="10" applyFont="1" applyBorder="1" applyAlignment="1">
      <alignment vertical="top"/>
    </xf>
    <xf numFmtId="0" fontId="1" fillId="0" borderId="1" xfId="0" applyFont="1" applyBorder="1" applyAlignment="1">
      <alignment vertical="top" wrapText="1"/>
    </xf>
    <xf numFmtId="0" fontId="1" fillId="0" borderId="3" xfId="0" applyFont="1" applyBorder="1" applyAlignment="1">
      <alignment vertical="top" wrapText="1"/>
    </xf>
    <xf numFmtId="0" fontId="1" fillId="0" borderId="2" xfId="0" applyFont="1" applyBorder="1" applyAlignment="1">
      <alignment vertical="top" wrapText="1"/>
    </xf>
    <xf numFmtId="0" fontId="1" fillId="3" borderId="6" xfId="10" applyFont="1" applyFill="1" applyBorder="1" applyAlignment="1">
      <alignment horizontal="center" vertical="center"/>
    </xf>
    <xf numFmtId="0" fontId="1" fillId="3" borderId="7" xfId="10" applyFont="1" applyFill="1" applyBorder="1" applyAlignment="1">
      <alignment horizontal="center" vertical="center"/>
    </xf>
    <xf numFmtId="0" fontId="1" fillId="3" borderId="8" xfId="10" applyFont="1" applyFill="1" applyBorder="1" applyAlignment="1">
      <alignment horizontal="center" vertical="center"/>
    </xf>
    <xf numFmtId="0" fontId="1" fillId="3" borderId="9" xfId="10" applyFont="1" applyFill="1" applyBorder="1" applyAlignment="1">
      <alignment horizontal="center" vertical="center"/>
    </xf>
    <xf numFmtId="0" fontId="1" fillId="3" borderId="11" xfId="10" applyFont="1" applyFill="1" applyBorder="1" applyAlignment="1">
      <alignment horizontal="center" vertical="center"/>
    </xf>
    <xf numFmtId="0" fontId="1" fillId="3" borderId="10" xfId="10" applyFont="1" applyFill="1" applyBorder="1" applyAlignment="1">
      <alignment horizontal="center" vertical="center"/>
    </xf>
    <xf numFmtId="0" fontId="1" fillId="0" borderId="1" xfId="0" applyFont="1" applyBorder="1" applyAlignment="1">
      <alignment wrapText="1"/>
    </xf>
    <xf numFmtId="0" fontId="1" fillId="0" borderId="3" xfId="0" applyFont="1" applyBorder="1" applyAlignment="1">
      <alignment wrapText="1"/>
    </xf>
    <xf numFmtId="0" fontId="1" fillId="0" borderId="2" xfId="0" applyFont="1" applyBorder="1" applyAlignment="1">
      <alignment wrapText="1"/>
    </xf>
    <xf numFmtId="0" fontId="3" fillId="0" borderId="1" xfId="10" applyFont="1" applyBorder="1" applyAlignment="1">
      <alignment vertical="top" wrapText="1"/>
    </xf>
    <xf numFmtId="0" fontId="3" fillId="0" borderId="3" xfId="10" applyFont="1" applyBorder="1" applyAlignment="1">
      <alignment vertical="top" wrapText="1"/>
    </xf>
    <xf numFmtId="0" fontId="3" fillId="0" borderId="2" xfId="10" applyFont="1" applyBorder="1" applyAlignment="1">
      <alignment vertical="top" wrapText="1"/>
    </xf>
    <xf numFmtId="0" fontId="3" fillId="0" borderId="1" xfId="10" applyFont="1" applyBorder="1" applyAlignment="1">
      <alignment vertical="center" wrapText="1"/>
    </xf>
    <xf numFmtId="0" fontId="3" fillId="0" borderId="3" xfId="10" applyFont="1" applyBorder="1" applyAlignment="1">
      <alignment vertical="center" wrapText="1"/>
    </xf>
    <xf numFmtId="0" fontId="3" fillId="0" borderId="2" xfId="10" applyFont="1" applyBorder="1" applyAlignment="1">
      <alignment vertical="center" wrapText="1"/>
    </xf>
    <xf numFmtId="0" fontId="3" fillId="2" borderId="1" xfId="3" applyFont="1" applyFill="1" applyBorder="1" applyAlignment="1">
      <alignment horizontal="center" vertical="center"/>
    </xf>
    <xf numFmtId="0" fontId="3" fillId="2" borderId="2" xfId="3" applyFont="1" applyFill="1" applyBorder="1" applyAlignment="1">
      <alignment horizontal="center" vertical="center"/>
    </xf>
    <xf numFmtId="0" fontId="3" fillId="2" borderId="3" xfId="3" applyFont="1" applyFill="1" applyBorder="1" applyAlignment="1">
      <alignment horizontal="center" vertical="center"/>
    </xf>
    <xf numFmtId="0" fontId="1" fillId="0" borderId="4" xfId="3" applyFont="1" applyBorder="1" applyAlignment="1">
      <alignment horizontal="center" vertical="center"/>
    </xf>
    <xf numFmtId="0" fontId="1" fillId="0" borderId="5" xfId="3" applyFont="1" applyBorder="1" applyAlignment="1">
      <alignment horizontal="center" vertical="center"/>
    </xf>
    <xf numFmtId="0" fontId="1" fillId="0" borderId="6" xfId="3" applyFont="1" applyBorder="1" applyAlignment="1">
      <alignment horizontal="center" vertical="center"/>
    </xf>
    <xf numFmtId="0" fontId="1" fillId="0" borderId="7" xfId="3" applyFont="1" applyBorder="1" applyAlignment="1">
      <alignment horizontal="center" vertical="center"/>
    </xf>
    <xf numFmtId="0" fontId="1" fillId="0" borderId="8" xfId="3" applyFont="1" applyBorder="1" applyAlignment="1">
      <alignment horizontal="center" vertical="center"/>
    </xf>
    <xf numFmtId="0" fontId="1" fillId="0" borderId="9" xfId="3" applyFont="1" applyBorder="1" applyAlignment="1">
      <alignment horizontal="center" vertical="center"/>
    </xf>
    <xf numFmtId="0" fontId="1" fillId="0" borderId="10" xfId="3" applyFont="1" applyBorder="1" applyAlignment="1">
      <alignment horizontal="center" vertical="center"/>
    </xf>
    <xf numFmtId="0" fontId="1" fillId="0" borderId="11" xfId="3" applyFont="1" applyBorder="1" applyAlignment="1">
      <alignment horizontal="center" vertical="center"/>
    </xf>
    <xf numFmtId="0" fontId="3" fillId="2" borderId="13" xfId="3" applyFont="1" applyFill="1" applyBorder="1" applyAlignment="1">
      <alignment horizontal="center" vertical="center"/>
    </xf>
    <xf numFmtId="0" fontId="1" fillId="0" borderId="1" xfId="6" applyFont="1" applyBorder="1">
      <alignment vertical="center"/>
    </xf>
    <xf numFmtId="0" fontId="1" fillId="0" borderId="3" xfId="6" applyFont="1" applyBorder="1">
      <alignment vertical="center"/>
    </xf>
    <xf numFmtId="0" fontId="1" fillId="0" borderId="2" xfId="6" applyFont="1" applyBorder="1">
      <alignment vertical="center"/>
    </xf>
    <xf numFmtId="0" fontId="1" fillId="0" borderId="1" xfId="3" applyFont="1" applyBorder="1" applyAlignment="1">
      <alignment vertical="center" wrapText="1"/>
    </xf>
    <xf numFmtId="0" fontId="1" fillId="0" borderId="3" xfId="3" applyFont="1" applyBorder="1" applyAlignment="1">
      <alignment vertical="center" wrapText="1"/>
    </xf>
    <xf numFmtId="0" fontId="1" fillId="0" borderId="2" xfId="3" applyFont="1" applyBorder="1" applyAlignment="1">
      <alignment vertical="center" wrapText="1"/>
    </xf>
    <xf numFmtId="0" fontId="1" fillId="0" borderId="1" xfId="6" applyFont="1" applyBorder="1" applyAlignment="1">
      <alignment vertical="center" wrapText="1"/>
    </xf>
    <xf numFmtId="0" fontId="1" fillId="0" borderId="3" xfId="6" applyFont="1" applyBorder="1" applyAlignment="1">
      <alignment vertical="center" wrapText="1"/>
    </xf>
    <xf numFmtId="0" fontId="1" fillId="0" borderId="2" xfId="6" applyFont="1" applyBorder="1" applyAlignment="1">
      <alignment vertical="center" wrapText="1"/>
    </xf>
    <xf numFmtId="0" fontId="1" fillId="0" borderId="1" xfId="3" applyFont="1" applyBorder="1" applyAlignment="1">
      <alignment vertical="center"/>
    </xf>
    <xf numFmtId="0" fontId="1" fillId="0" borderId="3" xfId="3" applyFont="1" applyBorder="1" applyAlignment="1">
      <alignment vertical="center"/>
    </xf>
    <xf numFmtId="0" fontId="1" fillId="0" borderId="2" xfId="3" applyFont="1" applyBorder="1" applyAlignment="1">
      <alignment vertical="center"/>
    </xf>
    <xf numFmtId="0" fontId="3" fillId="0" borderId="1" xfId="3" applyFont="1" applyBorder="1" applyAlignment="1">
      <alignment vertical="center" wrapText="1"/>
    </xf>
    <xf numFmtId="0" fontId="3" fillId="0" borderId="3" xfId="3" applyFont="1" applyBorder="1" applyAlignment="1">
      <alignment vertical="center" wrapText="1"/>
    </xf>
    <xf numFmtId="0" fontId="3" fillId="0" borderId="2" xfId="3" applyFont="1" applyBorder="1" applyAlignment="1">
      <alignment vertical="center" wrapText="1"/>
    </xf>
    <xf numFmtId="0" fontId="17" fillId="0" borderId="3" xfId="6" applyBorder="1" applyAlignment="1">
      <alignment vertical="center" wrapText="1"/>
    </xf>
    <xf numFmtId="0" fontId="17" fillId="0" borderId="2" xfId="6" applyBorder="1" applyAlignment="1">
      <alignment vertical="center" wrapText="1"/>
    </xf>
    <xf numFmtId="0" fontId="3" fillId="2" borderId="12" xfId="3" applyFont="1" applyFill="1" applyBorder="1" applyAlignment="1">
      <alignment horizontal="center" vertical="center"/>
    </xf>
    <xf numFmtId="0" fontId="3" fillId="2" borderId="14" xfId="3" applyFont="1" applyFill="1" applyBorder="1" applyAlignment="1">
      <alignment horizontal="center" vertical="center"/>
    </xf>
    <xf numFmtId="0" fontId="3" fillId="2" borderId="4" xfId="3" applyFont="1" applyFill="1" applyBorder="1" applyAlignment="1">
      <alignment horizontal="center" vertical="center"/>
    </xf>
    <xf numFmtId="0" fontId="3" fillId="2" borderId="20" xfId="3" applyFont="1" applyFill="1" applyBorder="1" applyAlignment="1">
      <alignment horizontal="center" vertical="center"/>
    </xf>
    <xf numFmtId="0" fontId="3" fillId="2" borderId="5" xfId="3" applyFont="1" applyFill="1" applyBorder="1" applyAlignment="1">
      <alignment horizontal="center" vertical="center"/>
    </xf>
    <xf numFmtId="0" fontId="3" fillId="2" borderId="9" xfId="3" applyFont="1" applyFill="1" applyBorder="1" applyAlignment="1">
      <alignment horizontal="center" vertical="center"/>
    </xf>
    <xf numFmtId="0" fontId="3" fillId="2" borderId="11" xfId="3" applyFont="1" applyFill="1" applyBorder="1" applyAlignment="1">
      <alignment horizontal="center" vertical="center"/>
    </xf>
    <xf numFmtId="0" fontId="3" fillId="2" borderId="10" xfId="3" applyFont="1" applyFill="1" applyBorder="1" applyAlignment="1">
      <alignment horizontal="center" vertical="center"/>
    </xf>
    <xf numFmtId="0" fontId="3" fillId="0" borderId="1" xfId="0" applyFont="1" applyBorder="1" applyAlignment="1">
      <alignment wrapText="1"/>
    </xf>
    <xf numFmtId="0" fontId="3" fillId="0" borderId="3" xfId="0" applyFont="1" applyBorder="1" applyAlignment="1">
      <alignment wrapText="1"/>
    </xf>
    <xf numFmtId="0" fontId="3" fillId="0" borderId="2" xfId="0" applyFont="1" applyBorder="1" applyAlignment="1">
      <alignment wrapText="1"/>
    </xf>
    <xf numFmtId="0" fontId="1" fillId="0" borderId="1" xfId="18" applyFont="1" applyBorder="1">
      <alignment vertical="center"/>
    </xf>
    <xf numFmtId="0" fontId="1" fillId="0" borderId="3" xfId="18" applyFont="1" applyBorder="1">
      <alignment vertical="center"/>
    </xf>
    <xf numFmtId="0" fontId="1" fillId="0" borderId="2" xfId="18" applyFont="1" applyBorder="1">
      <alignment vertical="center"/>
    </xf>
    <xf numFmtId="0" fontId="1" fillId="0" borderId="1" xfId="18" applyFont="1" applyBorder="1" applyAlignment="1">
      <alignment vertical="center" wrapText="1"/>
    </xf>
    <xf numFmtId="0" fontId="1" fillId="0" borderId="3" xfId="18" applyFont="1" applyBorder="1" applyAlignment="1">
      <alignment vertical="center" wrapText="1"/>
    </xf>
    <xf numFmtId="0" fontId="1" fillId="0" borderId="2" xfId="18" applyFont="1" applyBorder="1" applyAlignment="1">
      <alignment vertical="center" wrapText="1"/>
    </xf>
    <xf numFmtId="0" fontId="17" fillId="0" borderId="3" xfId="18" applyBorder="1" applyAlignment="1">
      <alignment vertical="center" wrapText="1"/>
    </xf>
    <xf numFmtId="0" fontId="17" fillId="0" borderId="2" xfId="18" applyBorder="1" applyAlignment="1">
      <alignment vertical="center" wrapText="1"/>
    </xf>
    <xf numFmtId="0" fontId="1" fillId="0" borderId="4" xfId="18" applyFont="1" applyBorder="1" applyAlignment="1">
      <alignment vertical="top" wrapText="1"/>
    </xf>
    <xf numFmtId="0" fontId="1" fillId="0" borderId="20" xfId="18" applyFont="1" applyBorder="1" applyAlignment="1">
      <alignment vertical="top" wrapText="1"/>
    </xf>
    <xf numFmtId="0" fontId="1" fillId="0" borderId="5" xfId="18" applyFont="1" applyBorder="1" applyAlignment="1">
      <alignment vertical="top" wrapText="1"/>
    </xf>
    <xf numFmtId="0" fontId="1" fillId="0" borderId="21" xfId="18" applyFont="1" applyBorder="1" applyAlignment="1">
      <alignment vertical="top" wrapText="1"/>
    </xf>
    <xf numFmtId="0" fontId="1" fillId="0" borderId="0" xfId="18" applyFont="1" applyAlignment="1">
      <alignment vertical="top" wrapText="1"/>
    </xf>
    <xf numFmtId="0" fontId="1" fillId="0" borderId="22" xfId="18" applyFont="1" applyBorder="1" applyAlignment="1">
      <alignment vertical="top" wrapText="1"/>
    </xf>
    <xf numFmtId="0" fontId="0" fillId="0" borderId="21" xfId="0" applyBorder="1" applyAlignment="1">
      <alignment vertical="top" wrapText="1"/>
    </xf>
    <xf numFmtId="0" fontId="0" fillId="0" borderId="0" xfId="0" applyAlignment="1">
      <alignment vertical="top" wrapText="1"/>
    </xf>
    <xf numFmtId="0" fontId="0" fillId="0" borderId="22" xfId="0" applyBorder="1" applyAlignment="1">
      <alignment vertical="top" wrapText="1"/>
    </xf>
    <xf numFmtId="0" fontId="0" fillId="0" borderId="9" xfId="0" applyBorder="1" applyAlignment="1">
      <alignment vertical="top" wrapText="1"/>
    </xf>
    <xf numFmtId="0" fontId="0" fillId="0" borderId="11" xfId="0" applyBorder="1" applyAlignment="1">
      <alignment vertical="top" wrapText="1"/>
    </xf>
    <xf numFmtId="0" fontId="0" fillId="0" borderId="10" xfId="0" applyBorder="1" applyAlignment="1">
      <alignment vertical="top" wrapText="1"/>
    </xf>
    <xf numFmtId="0" fontId="1" fillId="2" borderId="1" xfId="10" applyFont="1" applyFill="1" applyBorder="1" applyAlignment="1">
      <alignment horizontal="center" vertical="center"/>
    </xf>
    <xf numFmtId="0" fontId="1" fillId="2" borderId="2" xfId="10" applyFont="1" applyFill="1" applyBorder="1" applyAlignment="1">
      <alignment horizontal="center" vertical="center"/>
    </xf>
    <xf numFmtId="0" fontId="1" fillId="2" borderId="3" xfId="10" applyFont="1" applyFill="1" applyBorder="1" applyAlignment="1">
      <alignment horizontal="center" vertical="center"/>
    </xf>
    <xf numFmtId="0" fontId="1" fillId="2" borderId="13" xfId="10" applyFont="1" applyFill="1" applyBorder="1" applyAlignment="1">
      <alignment horizontal="center" vertical="center"/>
    </xf>
    <xf numFmtId="0" fontId="1" fillId="2" borderId="12" xfId="10" applyFont="1" applyFill="1" applyBorder="1" applyAlignment="1">
      <alignment horizontal="center" vertical="center"/>
    </xf>
    <xf numFmtId="0" fontId="1" fillId="2" borderId="14" xfId="10" applyFont="1" applyFill="1" applyBorder="1" applyAlignment="1">
      <alignment horizontal="center" vertical="center"/>
    </xf>
    <xf numFmtId="0" fontId="1" fillId="2" borderId="4" xfId="10" applyFont="1" applyFill="1" applyBorder="1" applyAlignment="1">
      <alignment horizontal="center" vertical="center"/>
    </xf>
    <xf numFmtId="0" fontId="1" fillId="2" borderId="20" xfId="10" applyFont="1" applyFill="1" applyBorder="1" applyAlignment="1">
      <alignment horizontal="center" vertical="center"/>
    </xf>
    <xf numFmtId="0" fontId="1" fillId="2" borderId="5" xfId="10" applyFont="1" applyFill="1" applyBorder="1" applyAlignment="1">
      <alignment horizontal="center" vertical="center"/>
    </xf>
    <xf numFmtId="0" fontId="1" fillId="2" borderId="9" xfId="10" applyFont="1" applyFill="1" applyBorder="1" applyAlignment="1">
      <alignment horizontal="center" vertical="center"/>
    </xf>
    <xf numFmtId="0" fontId="1" fillId="2" borderId="11" xfId="10" applyFont="1" applyFill="1" applyBorder="1" applyAlignment="1">
      <alignment horizontal="center" vertical="center"/>
    </xf>
    <xf numFmtId="0" fontId="1" fillId="2" borderId="10" xfId="10" applyFont="1" applyFill="1" applyBorder="1" applyAlignment="1">
      <alignment horizontal="center" vertical="center"/>
    </xf>
    <xf numFmtId="0" fontId="1" fillId="0" borderId="15" xfId="10" applyFont="1" applyBorder="1" applyAlignment="1">
      <alignment vertical="top" wrapText="1"/>
    </xf>
    <xf numFmtId="0" fontId="1" fillId="2" borderId="1" xfId="16" applyFont="1" applyFill="1" applyBorder="1" applyAlignment="1">
      <alignment horizontal="center" vertical="center"/>
    </xf>
    <xf numFmtId="0" fontId="1" fillId="2" borderId="2" xfId="16" applyFont="1" applyFill="1" applyBorder="1" applyAlignment="1">
      <alignment horizontal="center" vertical="center"/>
    </xf>
    <xf numFmtId="0" fontId="1" fillId="2" borderId="3" xfId="16" applyFont="1" applyFill="1" applyBorder="1" applyAlignment="1">
      <alignment horizontal="center" vertical="center"/>
    </xf>
    <xf numFmtId="0" fontId="1" fillId="0" borderId="4" xfId="16" applyFont="1" applyBorder="1" applyAlignment="1">
      <alignment horizontal="center" vertical="center"/>
    </xf>
    <xf numFmtId="0" fontId="1" fillId="0" borderId="5" xfId="16" applyFont="1" applyBorder="1" applyAlignment="1">
      <alignment horizontal="center" vertical="center"/>
    </xf>
    <xf numFmtId="0" fontId="1" fillId="0" borderId="6" xfId="16" applyFont="1" applyBorder="1" applyAlignment="1">
      <alignment horizontal="center" vertical="center"/>
    </xf>
    <xf numFmtId="0" fontId="1" fillId="0" borderId="7" xfId="16" applyFont="1" applyBorder="1" applyAlignment="1">
      <alignment horizontal="center" vertical="center"/>
    </xf>
    <xf numFmtId="0" fontId="1" fillId="0" borderId="8" xfId="16" applyFont="1" applyBorder="1" applyAlignment="1">
      <alignment horizontal="center" vertical="center"/>
    </xf>
    <xf numFmtId="0" fontId="1" fillId="0" borderId="9" xfId="16" applyFont="1" applyBorder="1" applyAlignment="1">
      <alignment horizontal="center" vertical="center"/>
    </xf>
    <xf numFmtId="0" fontId="1" fillId="0" borderId="10" xfId="16" applyFont="1" applyBorder="1" applyAlignment="1">
      <alignment horizontal="center" vertical="center"/>
    </xf>
    <xf numFmtId="0" fontId="1" fillId="0" borderId="11" xfId="16" applyFont="1" applyBorder="1" applyAlignment="1">
      <alignment horizontal="center" vertical="center"/>
    </xf>
    <xf numFmtId="0" fontId="1" fillId="2" borderId="13" xfId="16" applyFont="1" applyFill="1" applyBorder="1" applyAlignment="1">
      <alignment horizontal="center" vertical="center"/>
    </xf>
    <xf numFmtId="0" fontId="1" fillId="0" borderId="1" xfId="16" applyFont="1" applyBorder="1" applyAlignment="1">
      <alignment vertical="center"/>
    </xf>
    <xf numFmtId="0" fontId="1" fillId="0" borderId="3" xfId="16" applyFont="1" applyBorder="1" applyAlignment="1">
      <alignment vertical="center"/>
    </xf>
    <xf numFmtId="0" fontId="1" fillId="0" borderId="2" xfId="16" applyFont="1" applyBorder="1" applyAlignment="1">
      <alignment vertical="center"/>
    </xf>
    <xf numFmtId="0" fontId="1" fillId="2" borderId="12" xfId="16" applyFont="1" applyFill="1" applyBorder="1" applyAlignment="1">
      <alignment horizontal="center" vertical="center"/>
    </xf>
    <xf numFmtId="0" fontId="1" fillId="2" borderId="14" xfId="16" applyFont="1" applyFill="1" applyBorder="1" applyAlignment="1">
      <alignment horizontal="center" vertical="center"/>
    </xf>
    <xf numFmtId="0" fontId="1" fillId="2" borderId="4" xfId="16" applyFont="1" applyFill="1" applyBorder="1" applyAlignment="1">
      <alignment horizontal="center" vertical="center"/>
    </xf>
    <xf numFmtId="0" fontId="1" fillId="2" borderId="20" xfId="16" applyFont="1" applyFill="1" applyBorder="1" applyAlignment="1">
      <alignment horizontal="center" vertical="center"/>
    </xf>
    <xf numFmtId="0" fontId="1" fillId="2" borderId="5" xfId="16" applyFont="1" applyFill="1" applyBorder="1" applyAlignment="1">
      <alignment horizontal="center" vertical="center"/>
    </xf>
    <xf numFmtId="0" fontId="1" fillId="2" borderId="9" xfId="16" applyFont="1" applyFill="1" applyBorder="1" applyAlignment="1">
      <alignment horizontal="center" vertical="center"/>
    </xf>
    <xf numFmtId="0" fontId="1" fillId="2" borderId="11" xfId="16" applyFont="1" applyFill="1" applyBorder="1" applyAlignment="1">
      <alignment horizontal="center" vertical="center"/>
    </xf>
    <xf numFmtId="0" fontId="1" fillId="2" borderId="10" xfId="16" applyFont="1" applyFill="1" applyBorder="1" applyAlignment="1">
      <alignment horizontal="center" vertical="center"/>
    </xf>
    <xf numFmtId="0" fontId="1" fillId="2" borderId="1" xfId="7" applyFont="1" applyFill="1" applyBorder="1" applyAlignment="1">
      <alignment horizontal="center" vertical="center"/>
    </xf>
    <xf numFmtId="0" fontId="1" fillId="2" borderId="2" xfId="7" applyFont="1" applyFill="1" applyBorder="1" applyAlignment="1">
      <alignment horizontal="center" vertical="center"/>
    </xf>
    <xf numFmtId="0" fontId="1" fillId="2" borderId="3" xfId="7" applyFont="1" applyFill="1" applyBorder="1" applyAlignment="1">
      <alignment horizontal="center" vertical="center"/>
    </xf>
    <xf numFmtId="0" fontId="1" fillId="0" borderId="4" xfId="7" applyFont="1" applyBorder="1" applyAlignment="1">
      <alignment horizontal="center" vertical="center"/>
    </xf>
    <xf numFmtId="0" fontId="1" fillId="0" borderId="5" xfId="7" applyFont="1" applyBorder="1" applyAlignment="1">
      <alignment horizontal="center" vertical="center"/>
    </xf>
    <xf numFmtId="0" fontId="1" fillId="0" borderId="6" xfId="7" applyFont="1" applyBorder="1" applyAlignment="1">
      <alignment horizontal="center" vertical="center"/>
    </xf>
    <xf numFmtId="0" fontId="1" fillId="0" borderId="7" xfId="7" applyFont="1" applyBorder="1" applyAlignment="1">
      <alignment horizontal="center" vertical="center"/>
    </xf>
    <xf numFmtId="0" fontId="1" fillId="0" borderId="8" xfId="7" applyFont="1" applyBorder="1" applyAlignment="1">
      <alignment horizontal="center" vertical="center"/>
    </xf>
    <xf numFmtId="0" fontId="1" fillId="0" borderId="9" xfId="7" applyFont="1" applyBorder="1" applyAlignment="1">
      <alignment horizontal="center" vertical="center"/>
    </xf>
    <xf numFmtId="0" fontId="1" fillId="0" borderId="10" xfId="7" applyFont="1" applyBorder="1" applyAlignment="1">
      <alignment horizontal="center" vertical="center"/>
    </xf>
    <xf numFmtId="0" fontId="1" fillId="0" borderId="11" xfId="7" applyFont="1" applyBorder="1" applyAlignment="1">
      <alignment horizontal="center" vertical="center"/>
    </xf>
    <xf numFmtId="0" fontId="1" fillId="2" borderId="13" xfId="7" applyFont="1" applyFill="1" applyBorder="1" applyAlignment="1">
      <alignment horizontal="center" vertical="center"/>
    </xf>
    <xf numFmtId="0" fontId="1" fillId="0" borderId="1" xfId="13" applyFont="1" applyBorder="1">
      <alignment vertical="center"/>
    </xf>
    <xf numFmtId="0" fontId="1" fillId="0" borderId="3" xfId="13" applyFont="1" applyBorder="1">
      <alignment vertical="center"/>
    </xf>
    <xf numFmtId="0" fontId="1" fillId="0" borderId="2" xfId="13" applyFont="1" applyBorder="1">
      <alignment vertical="center"/>
    </xf>
    <xf numFmtId="0" fontId="1" fillId="0" borderId="1" xfId="13" applyFont="1" applyBorder="1" applyAlignment="1">
      <alignment vertical="center" wrapText="1"/>
    </xf>
    <xf numFmtId="0" fontId="4" fillId="0" borderId="3" xfId="13" applyBorder="1" applyAlignment="1">
      <alignment vertical="center" wrapText="1"/>
    </xf>
    <xf numFmtId="0" fontId="4" fillId="0" borderId="2" xfId="13" applyBorder="1" applyAlignment="1">
      <alignment vertical="center" wrapText="1"/>
    </xf>
    <xf numFmtId="0" fontId="1" fillId="0" borderId="3" xfId="13" applyFont="1" applyBorder="1" applyAlignment="1">
      <alignment vertical="center" wrapText="1"/>
    </xf>
    <xf numFmtId="0" fontId="1" fillId="0" borderId="2" xfId="13" applyFont="1" applyBorder="1" applyAlignment="1">
      <alignment vertical="center" wrapText="1"/>
    </xf>
    <xf numFmtId="0" fontId="1" fillId="2" borderId="12" xfId="7" applyFont="1" applyFill="1" applyBorder="1" applyAlignment="1">
      <alignment horizontal="center" vertical="center"/>
    </xf>
    <xf numFmtId="0" fontId="1" fillId="2" borderId="14" xfId="7" applyFont="1" applyFill="1" applyBorder="1" applyAlignment="1">
      <alignment horizontal="center" vertical="center"/>
    </xf>
    <xf numFmtId="0" fontId="1" fillId="2" borderId="4" xfId="7" applyFont="1" applyFill="1" applyBorder="1" applyAlignment="1">
      <alignment horizontal="center" vertical="center"/>
    </xf>
    <xf numFmtId="0" fontId="1" fillId="2" borderId="20" xfId="7" applyFont="1" applyFill="1" applyBorder="1" applyAlignment="1">
      <alignment horizontal="center" vertical="center"/>
    </xf>
    <xf numFmtId="0" fontId="1" fillId="2" borderId="5" xfId="7" applyFont="1" applyFill="1" applyBorder="1" applyAlignment="1">
      <alignment horizontal="center" vertical="center"/>
    </xf>
    <xf numFmtId="0" fontId="1" fillId="2" borderId="9" xfId="7" applyFont="1" applyFill="1" applyBorder="1" applyAlignment="1">
      <alignment horizontal="center" vertical="center"/>
    </xf>
    <xf numFmtId="0" fontId="1" fillId="2" borderId="11" xfId="7" applyFont="1" applyFill="1" applyBorder="1" applyAlignment="1">
      <alignment horizontal="center" vertical="center"/>
    </xf>
    <xf numFmtId="0" fontId="1" fillId="2" borderId="10" xfId="7" applyFont="1" applyFill="1" applyBorder="1" applyAlignment="1">
      <alignment horizontal="center" vertical="center"/>
    </xf>
    <xf numFmtId="0" fontId="3" fillId="2" borderId="1" xfId="16" applyFont="1" applyFill="1" applyBorder="1" applyAlignment="1">
      <alignment horizontal="center" vertical="center"/>
    </xf>
    <xf numFmtId="0" fontId="3" fillId="2" borderId="2" xfId="16" applyFont="1" applyFill="1" applyBorder="1" applyAlignment="1">
      <alignment horizontal="center" vertical="center"/>
    </xf>
    <xf numFmtId="0" fontId="3" fillId="2" borderId="3" xfId="16" applyFont="1" applyFill="1" applyBorder="1" applyAlignment="1">
      <alignment horizontal="center" vertical="center"/>
    </xf>
    <xf numFmtId="0" fontId="3" fillId="2" borderId="13" xfId="16" applyFont="1" applyFill="1" applyBorder="1" applyAlignment="1">
      <alignment horizontal="center" vertical="center"/>
    </xf>
    <xf numFmtId="0" fontId="1" fillId="0" borderId="15" xfId="16" applyFont="1" applyBorder="1" applyAlignment="1">
      <alignment vertical="center"/>
    </xf>
    <xf numFmtId="0" fontId="3" fillId="2" borderId="12" xfId="16" applyFont="1" applyFill="1" applyBorder="1" applyAlignment="1">
      <alignment horizontal="center" vertical="center"/>
    </xf>
    <xf numFmtId="0" fontId="3" fillId="2" borderId="14" xfId="16" applyFont="1" applyFill="1" applyBorder="1" applyAlignment="1">
      <alignment horizontal="center" vertical="center"/>
    </xf>
    <xf numFmtId="0" fontId="3" fillId="2" borderId="4" xfId="16" applyFont="1" applyFill="1" applyBorder="1" applyAlignment="1">
      <alignment horizontal="center" vertical="center"/>
    </xf>
    <xf numFmtId="0" fontId="3" fillId="2" borderId="20" xfId="16" applyFont="1" applyFill="1" applyBorder="1" applyAlignment="1">
      <alignment horizontal="center" vertical="center"/>
    </xf>
    <xf numFmtId="0" fontId="3" fillId="2" borderId="5" xfId="16" applyFont="1" applyFill="1" applyBorder="1" applyAlignment="1">
      <alignment horizontal="center" vertical="center"/>
    </xf>
    <xf numFmtId="0" fontId="3" fillId="2" borderId="9" xfId="16" applyFont="1" applyFill="1" applyBorder="1" applyAlignment="1">
      <alignment horizontal="center" vertical="center"/>
    </xf>
    <xf numFmtId="0" fontId="3" fillId="2" borderId="11" xfId="16" applyFont="1" applyFill="1" applyBorder="1" applyAlignment="1">
      <alignment horizontal="center" vertical="center"/>
    </xf>
    <xf numFmtId="0" fontId="3" fillId="2" borderId="10" xfId="16" applyFont="1" applyFill="1" applyBorder="1" applyAlignment="1">
      <alignment horizontal="center" vertical="center"/>
    </xf>
  </cellXfs>
  <cellStyles count="30">
    <cellStyle name="IBM(401K)" xfId="11" xr:uid="{00000000-0005-0000-0000-000039000000}"/>
    <cellStyle name="J401K" xfId="5" xr:uid="{00000000-0005-0000-0000-000018000000}"/>
    <cellStyle name="ハイパーリンク" xfId="4" builtinId="8"/>
    <cellStyle name="標準" xfId="0" builtinId="0"/>
    <cellStyle name="標準 2" xfId="13" xr:uid="{00000000-0005-0000-0000-00003C000000}"/>
    <cellStyle name="標準_01_テーブル定義書(ＣＲＭソリューション部)" xfId="14" xr:uid="{00000000-0005-0000-0000-00003D000000}"/>
    <cellStyle name="標準_01_テーブル定義書(ＣＲＭソリューション部) 2" xfId="2" xr:uid="{00000000-0005-0000-0000-000005000000}"/>
    <cellStyle name="標準_01_テーブル定義書(ＣＲＭソリューション部)_DB定義書(データ)最終確定版" xfId="15" xr:uid="{00000000-0005-0000-0000-00003E000000}"/>
    <cellStyle name="標準_01_テーブル定義書(ＣＲＭソリューション部)_DB定義書(マスタ)" xfId="10" xr:uid="{00000000-0005-0000-0000-000033000000}"/>
    <cellStyle name="標準_01_テーブル定義書(ＣＲＭソリューション部)_DB定義書(マスタ) 2" xfId="16" xr:uid="{00000000-0005-0000-0000-00003F000000}"/>
    <cellStyle name="標準_01_テーブル定義書(ＣＲＭソリューション部)_DB定義書(マスタ)_Book1" xfId="8" xr:uid="{00000000-0005-0000-0000-000024000000}"/>
    <cellStyle name="標準_01_テーブル定義書(ＣＲＭソリューション部)_DB定義書(マスタ)_DB定義書(データ)最終確定版" xfId="3" xr:uid="{00000000-0005-0000-0000-00000C000000}"/>
    <cellStyle name="標準_01_テーブル定義書(ＣＲＭソリューション部)_DB定義書(マスタ)_DB定義書(マスタ) 2" xfId="7" xr:uid="{00000000-0005-0000-0000-00001E000000}"/>
    <cellStyle name="標準_01_テーブル定義書(ＣＲＭソリューション部)_DB定義書(マスタ)_患者情報" xfId="9" xr:uid="{00000000-0005-0000-0000-000027000000}"/>
    <cellStyle name="標準_01_テーブル定義書(ＣＲＭソリューション部)_DB定義書(マスタ)_患者情報_Ver3.00_DB定義書(データ)" xfId="1" xr:uid="{00000000-0005-0000-0000-000002000000}"/>
    <cellStyle name="標準_01_テーブル定義書(ＣＲＭソリューション部)_DB定義書(マスタ)_検体属性情報" xfId="17" xr:uid="{00000000-0005-0000-0000-000040000000}"/>
    <cellStyle name="標準_01_テーブル定義書(ＣＲＭソリューション部)_Ver3.01_DB定義書(マスタ)" xfId="12" xr:uid="{00000000-0005-0000-0000-00003B000000}"/>
    <cellStyle name="標準_ＤＢ資料" xfId="6" xr:uid="{00000000-0005-0000-0000-00001C000000}"/>
    <cellStyle name="標準_DB定義書(データ)最終確定版(作業中)" xfId="18" xr:uid="{00000000-0005-0000-0000-000041000000}"/>
    <cellStyle name="標準_Ver3.02_DB定義書(マスタ)" xfId="19" xr:uid="{00000000-0005-0000-0000-000042000000}"/>
    <cellStyle name="標準_wp110_006_template01_1.1.1 データ受信_5.1.1 精度管理異常警告" xfId="20" xr:uid="{00000000-0005-0000-0000-000043000000}"/>
    <cellStyle name="標準_wp110_006_template01_1.1.1 データ受信_5.1.1 精度管理異常警告 2" xfId="21" xr:uid="{00000000-0005-0000-0000-000044000000}"/>
    <cellStyle name="標準_wp110_006_template01_1.1.1 データ受信_5.1.1 精度管理異常警告_報告管理情報" xfId="22" xr:uid="{00000000-0005-0000-0000-000045000000}"/>
    <cellStyle name="標準_ﾃｰﾌﾞﾙﾌｫｰﾏｯﾄ(Bubkup)" xfId="23" xr:uid="{00000000-0005-0000-0000-000046000000}"/>
    <cellStyle name="標準_患者情報" xfId="24" xr:uid="{00000000-0005-0000-0000-000047000000}"/>
    <cellStyle name="標準_治験拡張属性" xfId="25" xr:uid="{00000000-0005-0000-0000-000048000000}"/>
    <cellStyle name="標準_治験拡張属性 2" xfId="26" xr:uid="{00000000-0005-0000-0000-000049000000}"/>
    <cellStyle name="標準_集計_福" xfId="27" xr:uid="{00000000-0005-0000-0000-00004A000000}"/>
    <cellStyle name="標準_報告管理情報" xfId="28" xr:uid="{00000000-0005-0000-0000-00004B000000}"/>
    <cellStyle name="標準_履歴情報" xfId="29" xr:uid="{00000000-0005-0000-0000-00004C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247650</xdr:colOff>
      <xdr:row>26</xdr:row>
      <xdr:rowOff>0</xdr:rowOff>
    </xdr:from>
    <xdr:to>
      <xdr:col>12</xdr:col>
      <xdr:colOff>57150</xdr:colOff>
      <xdr:row>34</xdr:row>
      <xdr:rowOff>19050</xdr:rowOff>
    </xdr:to>
    <xdr:sp macro="" textlink="">
      <xdr:nvSpPr>
        <xdr:cNvPr id="2" name="Text Box 3">
          <a:extLst>
            <a:ext uri="{FF2B5EF4-FFF2-40B4-BE49-F238E27FC236}">
              <a16:creationId xmlns:a16="http://schemas.microsoft.com/office/drawing/2014/main" id="{00000000-0008-0000-2800-000002000000}"/>
            </a:ext>
          </a:extLst>
        </xdr:cNvPr>
        <xdr:cNvSpPr txBox="1">
          <a:spLocks noChangeArrowheads="1"/>
        </xdr:cNvSpPr>
      </xdr:nvSpPr>
      <xdr:spPr>
        <a:xfrm>
          <a:off x="542925" y="5381625"/>
          <a:ext cx="7886700" cy="12382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45720" tIns="27432" rIns="0" bIns="27432" anchor="ctr" upright="1"/>
        <a:lstStyle/>
        <a:p>
          <a:pPr algn="l" rtl="0">
            <a:lnSpc>
              <a:spcPts val="2300"/>
            </a:lnSpc>
            <a:defRPr sz="1000"/>
          </a:pPr>
          <a:r>
            <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rPr>
            <a:t>※LT報告不可リストを出力するための一時テーブル</a:t>
          </a:r>
        </a:p>
        <a:p>
          <a:pPr algn="l" rtl="0">
            <a:lnSpc>
              <a:spcPts val="2300"/>
            </a:lnSpc>
            <a:defRPr sz="1000"/>
          </a:pPr>
          <a:endPar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endParaRPr>
        </a:p>
        <a:p>
          <a:pPr algn="l" rtl="0">
            <a:lnSpc>
              <a:spcPts val="2200"/>
            </a:lnSpc>
            <a:defRPr sz="1000"/>
          </a:pPr>
          <a:r>
            <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rPr>
            <a:t>（LT報告不可リスト画面で検索時に、DELETE&amp;INSERTされる。）</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dcpsv01\&#12481;&#12540;&#12512;&#12456;&#12522;&#12450;\My%20Documents\401k\&#12510;&#12463;&#12525;&#12385;&#12419;&#12435;\df&#19968;&#35239;h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005s-mummy\projects\&#26032;&#35215;Microsoft%20Excel%20&#65436;&#65392;&#65400;&#65404;&#65392;&#654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1.103.44\public_html\Documents%20and%20Settings\nag\&#12487;&#12473;&#12463;&#12488;&#12483;&#12503;\IP3\IP3&#25104;&#26524;&#29289;\12_&#25104;&#26524;&#29289;&#23450;&#32681;_&#22522;&#26412;&#35373;&#35336;_DO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データ項目"/>
      <sheetName val="PR"/>
      <sheetName val="支払指図書データ（退職）(5.2.1.1)"/>
      <sheetName val="支払指図書データ（税引後）(5.2.1.2)"/>
      <sheetName val="支払指図書データ（困窮時）(5.2.1.3)"/>
      <sheetName val="支払指図書データ（一時払）(5.2.1.4)"/>
      <sheetName val="RO指図書データ（RO証明書）(5.2.1.5)"/>
      <sheetName val="RO指図書データ（RO取崩）(5.2.1.6)"/>
      <sheetName val="支払指図書データ（プラン外年金）(5.2.1.7)"/>
      <sheetName val="異動情報(5.2.1.11)"/>
      <sheetName val="RO移管払出適格証明請求情報(5.2.2)"/>
      <sheetName val="退職通知書情報(5.2.3.1)"/>
      <sheetName val="個人型受給者情報(5.2.3.2)"/>
      <sheetName val="売却情報(5.2.4.1)"/>
      <sheetName val="33260(3.2.2.3)"/>
      <sheetName val="33260(3.2.2.７)"/>
      <sheetName val="ローン内容登録情報（変更異動）(9.1.1)"/>
      <sheetName val="売却情報1(9.1.2)"/>
      <sheetName val="売却指図情報(9.1.2)"/>
      <sheetName val="実行ステータス情報(9.2.1)"/>
      <sheetName val="売却完了情報(9.2.1)"/>
      <sheetName val="売却完了情報(9.2.2)"/>
      <sheetName val="実行ステータス情報(9.2.3)"/>
      <sheetName val="一括返済額情報(9.3.1)"/>
      <sheetName val="入金予定額情報（一括時のみ）(9.3.3)"/>
      <sheetName val="売却時情報(9.3.5)"/>
      <sheetName val="33403(3.4)"/>
      <sheetName val="33518(3.5.4)"/>
      <sheetName val="33519(3.5.5)"/>
      <sheetName val="33602(3.6)"/>
      <sheetName val="24201(4.2.1)"/>
      <sheetName val="24235(4.2.2)"/>
      <sheetName val="24215(4.2.4)"/>
      <sheetName val="24322(4.3.4)"/>
      <sheetName val="24323(4.3.4)"/>
      <sheetName val="24404(4.4.2)"/>
      <sheetName val="24422(4.4.2)"/>
      <sheetName val="24409(4.4.3)"/>
      <sheetName val="24410(4.4.3)"/>
      <sheetName val="24411(4.4.4)"/>
      <sheetName val="24424(4.4.4)"/>
      <sheetName val="24502(4.5)"/>
      <sheetName val="保有数量(5.2.3.3)"/>
      <sheetName val="売却商品(5.2.4.4)"/>
      <sheetName val="資産処分明細情報(5.3)"/>
      <sheetName val="支払完了ｽﾃｰﾀｽ(5.3.2)"/>
      <sheetName val="加入者別商品売却情報(6.1.1)"/>
      <sheetName val="発注情報(6.1.2)"/>
      <sheetName val="発注情報(6.1.4)"/>
      <sheetName val="個人型売却結果(6.2.4)"/>
      <sheetName val="加入者別商品売却情報(6.3.2)"/>
      <sheetName val="約定済情報(6.3.2)"/>
      <sheetName val="加入者別商品売却情報(6.3.3)"/>
      <sheetName val="売却結果按分情報(6.3.3)"/>
      <sheetName val="売却結果按分情報(6.3.4)"/>
      <sheetName val="約定済情報(6.3.4)"/>
      <sheetName val="加入者別商品売却情報(6.4.1)"/>
      <sheetName val="加入者別対象残高(7.2)"/>
      <sheetName val="個人型収益明細情報 (7.3.5)"/>
      <sheetName val="対象残高（按分用）(7.3.6)"/>
      <sheetName val="加入者別収益明細情報(7.3.6)"/>
      <sheetName val="加入者別収益明細情報(7.3.7)"/>
      <sheetName val="加入者別収益情報(7.3.8)"/>
      <sheetName val="個人型収益情報(7.4)"/>
      <sheetName val="個人型買付指図情報(7.4)"/>
      <sheetName val="対象残高（按分用）(7.5.1)"/>
      <sheetName val="再投資結果按分情報(7.5.1)"/>
      <sheetName val="買付取引明細(9.3.5)"/>
      <sheetName val="加入者別売却指図取引明細（10.3）"/>
      <sheetName val="資産売却情報（加入者別)(10.5.1)"/>
      <sheetName val="移管済ステータス(10.5.6)"/>
      <sheetName val="33515(3.5.3)"/>
      <sheetName val="33516(3.5.4)"/>
      <sheetName val="指図書データ（プラン単位）(10.2)"/>
      <sheetName val="売却指図(10.3)"/>
      <sheetName val="売却指図"/>
      <sheetName val="移行先情報(10.5.1)"/>
      <sheetName val="加入者証変更情報(2.1.2.3)"/>
      <sheetName val="加入者口座存在有無(2.2)"/>
      <sheetName val="加入者口座登録情報(2.3.1.1.3)"/>
      <sheetName val="加入者証発行区分(2.3.1.6)"/>
      <sheetName val="加入者証発行区分(2.3.1.6) (2)"/>
      <sheetName val="加入者口座変更(2.3.1.2.3)"/>
      <sheetName val="加入者口座変更 (2.3.1.2.3)(2)"/>
      <sheetName val="加入者拠出金変更(2.3.1.3.2)"/>
      <sheetName val="加入者拠出金変更 (2.3.1.3.2)(2)"/>
      <sheetName val="ＲＯ加入者口座登録情報(2.3.1.5.3)"/>
      <sheetName val="加入者口座情報(2.3.3)"/>
      <sheetName val="33112(3.1.1.4)"/>
      <sheetName val="33151(3.1.2.1)"/>
      <sheetName val="33153(3.12.2)"/>
      <sheetName val="33165(3.1.2.5)"/>
      <sheetName val="33253(3.2.2.1)"/>
      <sheetName val="33334(3.3.7)"/>
      <sheetName val="加入者ｽﾃｰﾀｽ等(5.1.1)"/>
      <sheetName val="加入者ｽﾃｰﾀｽ等 (5.1.2) "/>
      <sheetName val="発送済フラグ"/>
      <sheetName val="加入者ｽﾃｰﾀｽ等(5.1.3) "/>
      <sheetName val="加入者ｽﾃｰﾀｽ区分(5.2.1)"/>
      <sheetName val="加入者ｽﾃｰﾀｽ区分(5.2.3.1)"/>
      <sheetName val="加入者ｽﾃｰﾀｽ区分 (5.2.3.2)"/>
      <sheetName val="支払済ｽﾃｰﾀｽ（5.3.2）"/>
      <sheetName val="受取人情報（5.3.3）"/>
      <sheetName val="加入者口座情報(6.1.4)"/>
      <sheetName val="有効プラン加入者(7.1.2)"/>
      <sheetName val="加入者キー情報(8.3.1)"/>
      <sheetName val="ローン要件情報(加入者）(9.1.1)"/>
      <sheetName val="決済口座情報(9.2.2)"/>
      <sheetName val="返済順序方法(9.3.5)"/>
      <sheetName val="加入者口座属性情報(10.5.2)"/>
      <sheetName val="加入者口座属性情報(10.5.4)"/>
      <sheetName val="従業員名寄せ情報(2.1.1.1)"/>
      <sheetName val="加入者属性登録情報(2.1.1.3)"/>
      <sheetName val="変更前従業員属性情報(2.1.2.1)"/>
      <sheetName val="従業員確認書情報(2.1.2.2)"/>
      <sheetName val="加入者属性変更情報(2.1.2.3)"/>
      <sheetName val="加入者証情報(2.1.2.3)"/>
      <sheetName val="従業員属性情報(2.1.3)"/>
      <sheetName val="募集用加入通知書情報(2.2)"/>
      <sheetName val="加入者存在有無(2.3.1.1.1)"/>
      <sheetName val="加入者属性登録情報(2.3.1.1.2)"/>
      <sheetName val="加入者属性変更(2.3.1.2)"/>
      <sheetName val="加入者属性変更(2.3.1.2) (2)"/>
      <sheetName val="加入者名情報(2.3.1.3.2)"/>
      <sheetName val="加入者名情報(2.3.1.6)"/>
      <sheetName val="33139(3.1.1..4)"/>
      <sheetName val="33503(3.5.1)"/>
      <sheetName val="33603(3.6)"/>
      <sheetName val="24213(4.2.4)"/>
      <sheetName val="24229(4.2.5)"/>
      <sheetName val="生年月日・現況区分(5.1.1)"/>
      <sheetName val="生年月日・現況区分 (5.1.2)"/>
      <sheetName val="生年月日・現況区分(5.1.3) "/>
      <sheetName val="加入者属性情報(5.2.1)"/>
      <sheetName val="加入者属性情報(5.2.2)"/>
      <sheetName val="退職事由等(5.2.3.1)"/>
      <sheetName val="退職事由等(5.2.3.2) (2)"/>
      <sheetName val="加入者属性情報(5.2.3)"/>
      <sheetName val="加入者属性情報(5.3.1)"/>
      <sheetName val="ﾌﾟﾗﾝ脱退情報(5.3.2)"/>
      <sheetName val="加入者属性情報(5.3.3.1)"/>
      <sheetName val="加入者属性情報(5.3.3.2)"/>
      <sheetName val="加入者属性情報(5.3.4.3)"/>
      <sheetName val="企業情報(6.1.2)"/>
      <sheetName val="加入者属性情報(6.1.4)"/>
      <sheetName val="加入者属性情報(6.1.5)"/>
      <sheetName val="加入者属性情報(7.1.2)"/>
      <sheetName val="加入属性情報(9.1.1)"/>
      <sheetName val="加入者属性(9.2.3)"/>
      <sheetName val="延滞情報(9.4.1)"/>
      <sheetName val="対象加入者属性情報(10.1.4)"/>
      <sheetName val="加入者属性情報(10.5.2)"/>
      <sheetName val="加入者属性情報(10.5.4)"/>
      <sheetName val="加入者属性情報(10.5.5)"/>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新規Microsoft Excel ﾜｰｸｼｰﾄ"/>
      <sheetName val="機能仕様関連"/>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2-02画面定義書"/>
      <sheetName val="D2-02サンプル　画面定義書(画面一覧)"/>
      <sheetName val="D2-02サンプル　画面定義書(画面遷移図)"/>
      <sheetName val="D2-02サンプル　画面定義書(画面仕様書)"/>
      <sheetName val="D2-02サンプル　画面定義書(データ項目定義書)"/>
      <sheetName val="D2-02サンプル　画面定義書(WEBプログラム仕様)"/>
      <sheetName val="D2-03帳票定義書 "/>
      <sheetName val="D2-03サンプル　帳票定義書(帳票一覧)"/>
      <sheetName val="D2-03サンプル　帳票定義書(レイアウト)"/>
      <sheetName val="D2-03サンプル　帳票定義書(編集仕様)"/>
      <sheetName val="D2-03サンプル　帳票定義書(データ取得仕様)"/>
      <sheetName val="D2-05処理フロー図"/>
      <sheetName val="D2-05サンプル　処理フロー図"/>
      <sheetName val="D2-08データベース設計書"/>
      <sheetName val="D2-08サンプル　データベース設計書(テーブル一覧)"/>
      <sheetName val="D2-08サンプル　データベース設計書(インデックス一覧)"/>
      <sheetName val="D2-08サンプル　データベース設計書(テーブル定義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2" Type="http://schemas.openxmlformats.org/officeDocument/2006/relationships/comments" Target="../comments38.xml"/><Relationship Id="rId1" Type="http://schemas.openxmlformats.org/officeDocument/2006/relationships/vmlDrawing" Target="../drawings/vmlDrawing38.vml"/></Relationships>
</file>

<file path=xl/worksheets/_rels/sheet40.xml.rels><?xml version="1.0" encoding="UTF-8" standalone="yes"?>
<Relationships xmlns="http://schemas.openxmlformats.org/package/2006/relationships"><Relationship Id="rId2" Type="http://schemas.openxmlformats.org/officeDocument/2006/relationships/comments" Target="../comments39.xml"/><Relationship Id="rId1"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40.xml"/></Relationships>
</file>

<file path=xl/worksheets/_rels/sheet42.xml.rels><?xml version="1.0" encoding="UTF-8" standalone="yes"?>
<Relationships xmlns="http://schemas.openxmlformats.org/package/2006/relationships"><Relationship Id="rId2" Type="http://schemas.openxmlformats.org/officeDocument/2006/relationships/comments" Target="../comments41.xml"/><Relationship Id="rId1" Type="http://schemas.openxmlformats.org/officeDocument/2006/relationships/vmlDrawing" Target="../drawings/vmlDrawing41.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42.xml"/><Relationship Id="rId1" Type="http://schemas.openxmlformats.org/officeDocument/2006/relationships/vmlDrawing" Target="../drawings/vmlDrawing42.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43.xml"/><Relationship Id="rId1" Type="http://schemas.openxmlformats.org/officeDocument/2006/relationships/vmlDrawing" Target="../drawings/vmlDrawing4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F62"/>
  <sheetViews>
    <sheetView showGridLines="0" topLeftCell="A16" workbookViewId="0">
      <selection activeCell="B40" sqref="B40"/>
    </sheetView>
  </sheetViews>
  <sheetFormatPr defaultColWidth="9" defaultRowHeight="12" customHeight="1"/>
  <cols>
    <col min="1" max="1" width="4" style="230" customWidth="1"/>
    <col min="2" max="2" width="24.25" style="230" customWidth="1"/>
    <col min="3" max="3" width="16.25" style="230" customWidth="1"/>
    <col min="4" max="4" width="14.25" style="230" customWidth="1"/>
    <col min="5" max="5" width="77.625" style="230" customWidth="1"/>
    <col min="6" max="6" width="42" style="230" customWidth="1"/>
    <col min="7" max="16384" width="9" style="230"/>
  </cols>
  <sheetData>
    <row r="1" spans="1:6" ht="12" customHeight="1">
      <c r="A1" s="255" t="s">
        <v>0</v>
      </c>
      <c r="B1" s="253" t="s">
        <v>1</v>
      </c>
      <c r="C1" s="254"/>
      <c r="D1" s="257" t="s">
        <v>2</v>
      </c>
      <c r="E1" s="255" t="s">
        <v>3</v>
      </c>
      <c r="F1" s="255" t="s">
        <v>4</v>
      </c>
    </row>
    <row r="2" spans="1:6" ht="12" customHeight="1">
      <c r="A2" s="256"/>
      <c r="B2" s="231" t="s">
        <v>5</v>
      </c>
      <c r="C2" s="232" t="s">
        <v>6</v>
      </c>
      <c r="D2" s="258"/>
      <c r="E2" s="256"/>
      <c r="F2" s="256"/>
    </row>
    <row r="3" spans="1:6" ht="12" customHeight="1">
      <c r="A3" s="233" t="s">
        <v>7</v>
      </c>
      <c r="B3" s="234"/>
      <c r="C3" s="234"/>
      <c r="D3" s="235"/>
      <c r="E3" s="236"/>
      <c r="F3" s="236"/>
    </row>
    <row r="4" spans="1:6">
      <c r="A4" s="237">
        <v>1</v>
      </c>
      <c r="B4" s="238" t="str">
        <f>HYPERLINK("#治験拡張属性!A1","治験拡張属性")</f>
        <v>治験拡張属性</v>
      </c>
      <c r="C4" s="234" t="s">
        <v>8</v>
      </c>
      <c r="D4" s="235" t="s">
        <v>9</v>
      </c>
      <c r="E4" s="236" t="s">
        <v>10</v>
      </c>
      <c r="F4" s="236" t="s">
        <v>11</v>
      </c>
    </row>
    <row r="5" spans="1:6">
      <c r="A5" s="237">
        <v>2</v>
      </c>
      <c r="B5" s="238" t="str">
        <f>HYPERLINK("#患者情報!A1","患者情報")</f>
        <v>患者情報</v>
      </c>
      <c r="C5" s="234" t="s">
        <v>12</v>
      </c>
      <c r="D5" s="235" t="s">
        <v>13</v>
      </c>
      <c r="E5" s="236" t="s">
        <v>14</v>
      </c>
      <c r="F5" s="236"/>
    </row>
    <row r="6" spans="1:6" ht="24">
      <c r="A6" s="237">
        <v>3</v>
      </c>
      <c r="B6" s="238" t="str">
        <f>HYPERLINK("#検体属性情報!A1","検体属性情報")</f>
        <v>検体属性情報</v>
      </c>
      <c r="C6" s="234" t="s">
        <v>15</v>
      </c>
      <c r="D6" s="235" t="s">
        <v>13</v>
      </c>
      <c r="E6" s="236" t="s">
        <v>16</v>
      </c>
      <c r="F6" s="236" t="s">
        <v>17</v>
      </c>
    </row>
    <row r="7" spans="1:6">
      <c r="A7" s="239">
        <v>4</v>
      </c>
      <c r="B7" s="240" t="str">
        <f>HYPERLINK("#検体項目紐付け情報!A1","検体項目紐付け情報")</f>
        <v>検体項目紐付け情報</v>
      </c>
      <c r="C7" s="241" t="s">
        <v>18</v>
      </c>
      <c r="D7" s="242" t="s">
        <v>19</v>
      </c>
      <c r="E7" s="243" t="s">
        <v>20</v>
      </c>
      <c r="F7" s="243"/>
    </row>
    <row r="8" spans="1:6" ht="36">
      <c r="A8" s="237">
        <v>5</v>
      </c>
      <c r="B8" s="238" t="str">
        <f>HYPERLINK("#依頼情報!A1","依頼情報")</f>
        <v>依頼情報</v>
      </c>
      <c r="C8" s="234" t="s">
        <v>21</v>
      </c>
      <c r="D8" s="235" t="s">
        <v>22</v>
      </c>
      <c r="E8" s="236" t="s">
        <v>23</v>
      </c>
      <c r="F8" s="236" t="s">
        <v>24</v>
      </c>
    </row>
    <row r="9" spans="1:6" ht="24">
      <c r="A9" s="237">
        <v>6</v>
      </c>
      <c r="B9" s="238" t="str">
        <f>HYPERLINK("#分注結果情報!A1","分注結果情報")</f>
        <v>分注結果情報</v>
      </c>
      <c r="C9" s="234" t="s">
        <v>25</v>
      </c>
      <c r="D9" s="235" t="s">
        <v>22</v>
      </c>
      <c r="E9" s="236" t="s">
        <v>26</v>
      </c>
      <c r="F9" s="236"/>
    </row>
    <row r="10" spans="1:6" ht="24">
      <c r="A10" s="237">
        <v>7</v>
      </c>
      <c r="B10" s="238" t="str">
        <f>HYPERLINK("#検体認識情報!A1","検体認識情報")</f>
        <v>検体認識情報</v>
      </c>
      <c r="C10" s="234" t="s">
        <v>27</v>
      </c>
      <c r="D10" s="235" t="s">
        <v>13</v>
      </c>
      <c r="E10" s="236" t="s">
        <v>16</v>
      </c>
      <c r="F10" s="236" t="s">
        <v>28</v>
      </c>
    </row>
    <row r="11" spans="1:6" ht="24">
      <c r="A11" s="237">
        <v>8</v>
      </c>
      <c r="B11" s="238" t="str">
        <f>HYPERLINK("#検査オーダー情報!A1","検査オーダー情報")</f>
        <v>検査オーダー情報</v>
      </c>
      <c r="C11" s="234" t="s">
        <v>29</v>
      </c>
      <c r="D11" s="235" t="s">
        <v>22</v>
      </c>
      <c r="E11" s="236" t="s">
        <v>30</v>
      </c>
      <c r="F11" s="236" t="s">
        <v>31</v>
      </c>
    </row>
    <row r="12" spans="1:6" ht="24">
      <c r="A12" s="237">
        <v>9</v>
      </c>
      <c r="B12" s="244" t="str">
        <f>HYPERLINK("#即時チェック情報!A1","即時チェック情報")</f>
        <v>即時チェック情報</v>
      </c>
      <c r="C12" s="234" t="s">
        <v>32</v>
      </c>
      <c r="D12" s="235" t="s">
        <v>22</v>
      </c>
      <c r="E12" s="236" t="s">
        <v>30</v>
      </c>
      <c r="F12" s="236" t="s">
        <v>33</v>
      </c>
    </row>
    <row r="13" spans="1:6" ht="24">
      <c r="A13" s="237">
        <v>10</v>
      </c>
      <c r="B13" s="238" t="str">
        <f>HYPERLINK("#検査結果情報!A1","検査結果情報")</f>
        <v>検査結果情報</v>
      </c>
      <c r="C13" s="234" t="s">
        <v>34</v>
      </c>
      <c r="D13" s="235" t="s">
        <v>22</v>
      </c>
      <c r="E13" s="236" t="s">
        <v>35</v>
      </c>
      <c r="F13" s="236" t="s">
        <v>36</v>
      </c>
    </row>
    <row r="14" spans="1:6">
      <c r="A14" s="239">
        <v>11</v>
      </c>
      <c r="B14" s="240" t="str">
        <f>HYPERLINK("#検査結果詳細情報!A1","検査結果詳細情報")</f>
        <v>検査結果詳細情報</v>
      </c>
      <c r="C14" s="241" t="s">
        <v>37</v>
      </c>
      <c r="D14" s="242" t="s">
        <v>38</v>
      </c>
      <c r="E14" s="243" t="s">
        <v>39</v>
      </c>
      <c r="F14" s="243"/>
    </row>
    <row r="15" spans="1:6">
      <c r="A15" s="239">
        <v>12</v>
      </c>
      <c r="B15" s="240" t="str">
        <f>HYPERLINK("#相関情報!A1","相関情報")</f>
        <v>相関情報</v>
      </c>
      <c r="C15" s="241" t="s">
        <v>40</v>
      </c>
      <c r="D15" s="242" t="s">
        <v>38</v>
      </c>
      <c r="E15" s="243" t="s">
        <v>39</v>
      </c>
      <c r="F15" s="243"/>
    </row>
    <row r="16" spans="1:6" ht="24">
      <c r="A16" s="237">
        <v>13</v>
      </c>
      <c r="B16" s="238" t="str">
        <f>HYPERLINK("#履歴情報!A1","履歴情報")</f>
        <v>履歴情報</v>
      </c>
      <c r="C16" s="234" t="s">
        <v>41</v>
      </c>
      <c r="D16" s="235" t="s">
        <v>42</v>
      </c>
      <c r="E16" s="236" t="s">
        <v>43</v>
      </c>
      <c r="F16" s="236" t="s">
        <v>44</v>
      </c>
    </row>
    <row r="17" spans="1:6">
      <c r="A17" s="239">
        <v>14</v>
      </c>
      <c r="B17" s="240" t="str">
        <f>HYPERLINK("#異常者データ情報!A1","異常者データ情報")</f>
        <v>異常者データ情報</v>
      </c>
      <c r="C17" s="241" t="s">
        <v>45</v>
      </c>
      <c r="D17" s="242" t="s">
        <v>38</v>
      </c>
      <c r="E17" s="243" t="s">
        <v>39</v>
      </c>
      <c r="F17" s="243"/>
    </row>
    <row r="18" spans="1:6" ht="24">
      <c r="A18" s="237">
        <v>15</v>
      </c>
      <c r="B18" s="245" t="str">
        <f>HYPERLINK("#Ｘ－Ｍ情報!A1","Ｘ－Ｍ情報")</f>
        <v>Ｘ－Ｍ情報</v>
      </c>
      <c r="C18" s="234" t="s">
        <v>46</v>
      </c>
      <c r="D18" s="235" t="s">
        <v>13</v>
      </c>
      <c r="E18" s="236" t="s">
        <v>47</v>
      </c>
      <c r="F18" s="236"/>
    </row>
    <row r="19" spans="1:6">
      <c r="A19" s="239">
        <v>16</v>
      </c>
      <c r="B19" s="240" t="str">
        <f>HYPERLINK("#コントロール管理情報!A1","コントロール管理情報")</f>
        <v>コントロール管理情報</v>
      </c>
      <c r="C19" s="241" t="s">
        <v>48</v>
      </c>
      <c r="D19" s="242" t="s">
        <v>38</v>
      </c>
      <c r="E19" s="243" t="s">
        <v>39</v>
      </c>
      <c r="F19" s="243"/>
    </row>
    <row r="20" spans="1:6" ht="24">
      <c r="A20" s="237">
        <v>17</v>
      </c>
      <c r="B20" s="238" t="str">
        <f>HYPERLINK("#コントロール結果情報!A1","コントロール結果情報")</f>
        <v>コントロール結果情報</v>
      </c>
      <c r="C20" s="234" t="s">
        <v>49</v>
      </c>
      <c r="D20" s="235" t="s">
        <v>50</v>
      </c>
      <c r="E20" s="236" t="s">
        <v>51</v>
      </c>
      <c r="F20" s="236"/>
    </row>
    <row r="21" spans="1:6">
      <c r="A21" s="239">
        <v>18</v>
      </c>
      <c r="B21" s="240" t="str">
        <f>HYPERLINK("#スタンダード情報!A1","スタンダード情報")</f>
        <v>スタンダード情報</v>
      </c>
      <c r="C21" s="241" t="s">
        <v>52</v>
      </c>
      <c r="D21" s="242" t="s">
        <v>38</v>
      </c>
      <c r="E21" s="243" t="s">
        <v>39</v>
      </c>
      <c r="F21" s="243"/>
    </row>
    <row r="22" spans="1:6">
      <c r="A22" s="239">
        <v>19</v>
      </c>
      <c r="B22" s="240" t="str">
        <f>HYPERLINK("#バッチ管理情報!A1","バッチ管理情報")</f>
        <v>バッチ管理情報</v>
      </c>
      <c r="C22" s="241" t="s">
        <v>53</v>
      </c>
      <c r="D22" s="242" t="s">
        <v>38</v>
      </c>
      <c r="E22" s="243" t="s">
        <v>39</v>
      </c>
      <c r="F22" s="243"/>
    </row>
    <row r="23" spans="1:6">
      <c r="A23" s="239">
        <v>20</v>
      </c>
      <c r="B23" s="240" t="str">
        <f>HYPERLINK("#トレー管理情報!A1","トレー管理情報")</f>
        <v>トレー管理情報</v>
      </c>
      <c r="C23" s="241" t="s">
        <v>54</v>
      </c>
      <c r="D23" s="242" t="s">
        <v>38</v>
      </c>
      <c r="E23" s="243" t="s">
        <v>39</v>
      </c>
      <c r="F23" s="243"/>
    </row>
    <row r="24" spans="1:6">
      <c r="A24" s="239">
        <v>21</v>
      </c>
      <c r="B24" s="240" t="str">
        <f>HYPERLINK("#アッセイラック管理情報!A1","アッセイラック管理情報")</f>
        <v>アッセイラック管理情報</v>
      </c>
      <c r="C24" s="241" t="s">
        <v>55</v>
      </c>
      <c r="D24" s="242" t="s">
        <v>38</v>
      </c>
      <c r="E24" s="243" t="s">
        <v>39</v>
      </c>
      <c r="F24" s="243"/>
    </row>
    <row r="25" spans="1:6" ht="24">
      <c r="A25" s="237">
        <v>22</v>
      </c>
      <c r="B25" s="238" t="str">
        <f>HYPERLINK("#検体ポジション情報!A1","検体ポジション情報")</f>
        <v>検体ポジション情報</v>
      </c>
      <c r="C25" s="234" t="s">
        <v>56</v>
      </c>
      <c r="D25" s="235" t="s">
        <v>50</v>
      </c>
      <c r="E25" s="236" t="s">
        <v>57</v>
      </c>
      <c r="F25" s="236" t="s">
        <v>58</v>
      </c>
    </row>
    <row r="26" spans="1:6">
      <c r="A26" s="237">
        <v>23</v>
      </c>
      <c r="B26" s="238" t="str">
        <f>HYPERLINK("#ワークシートＳＥＱ管理情報!A1","ワークシートＳＥＱ管理情報")</f>
        <v>ワークシートＳＥＱ管理情報</v>
      </c>
      <c r="C26" s="234" t="s">
        <v>59</v>
      </c>
      <c r="D26" s="235" t="s">
        <v>60</v>
      </c>
      <c r="E26" s="236" t="s">
        <v>61</v>
      </c>
      <c r="F26" s="236"/>
    </row>
    <row r="27" spans="1:6" ht="24">
      <c r="A27" s="237">
        <v>24</v>
      </c>
      <c r="B27" s="238" t="str">
        <f>HYPERLINK("#検査SEQ採番管理情報!A1","検査SEQ採番管理情報")</f>
        <v>検査SEQ採番管理情報</v>
      </c>
      <c r="C27" s="234" t="s">
        <v>62</v>
      </c>
      <c r="D27" s="235" t="s">
        <v>19</v>
      </c>
      <c r="E27" s="236" t="s">
        <v>63</v>
      </c>
      <c r="F27" s="236" t="s">
        <v>64</v>
      </c>
    </row>
    <row r="28" spans="1:6">
      <c r="A28" s="237">
        <v>25</v>
      </c>
      <c r="B28" s="238" t="str">
        <f>HYPERLINK("#報告管理情報!A1","報告管理情報")</f>
        <v>報告管理情報</v>
      </c>
      <c r="C28" s="234" t="s">
        <v>65</v>
      </c>
      <c r="D28" s="235" t="s">
        <v>66</v>
      </c>
      <c r="E28" s="236" t="s">
        <v>67</v>
      </c>
      <c r="F28" s="236"/>
    </row>
    <row r="29" spans="1:6">
      <c r="A29" s="239">
        <v>26</v>
      </c>
      <c r="B29" s="240" t="str">
        <f>HYPERLINK("#スライド情報!A1","スライド情報")</f>
        <v>スライド情報</v>
      </c>
      <c r="C29" s="241" t="s">
        <v>68</v>
      </c>
      <c r="D29" s="242" t="s">
        <v>38</v>
      </c>
      <c r="E29" s="243" t="s">
        <v>39</v>
      </c>
      <c r="F29" s="243"/>
    </row>
    <row r="30" spans="1:6">
      <c r="A30" s="239">
        <v>27</v>
      </c>
      <c r="B30" s="240" t="str">
        <f>HYPERLINK("#ＸＥ分析機フラグ情報!A1","ＸＥ分析機フラグ情報")</f>
        <v>ＸＥ分析機フラグ情報</v>
      </c>
      <c r="C30" s="241" t="s">
        <v>69</v>
      </c>
      <c r="D30" s="242" t="s">
        <v>38</v>
      </c>
      <c r="E30" s="243" t="s">
        <v>39</v>
      </c>
      <c r="F30" s="243"/>
    </row>
    <row r="31" spans="1:6">
      <c r="A31" s="239">
        <v>28</v>
      </c>
      <c r="B31" s="240" t="str">
        <f>HYPERLINK("#検体ID不明結果情報!A1","検体ID不明結果情報")</f>
        <v>検体ID不明結果情報</v>
      </c>
      <c r="C31" s="241" t="s">
        <v>70</v>
      </c>
      <c r="D31" s="242" t="s">
        <v>38</v>
      </c>
      <c r="E31" s="243" t="s">
        <v>39</v>
      </c>
      <c r="F31" s="243"/>
    </row>
    <row r="32" spans="1:6">
      <c r="A32" s="239">
        <v>29</v>
      </c>
      <c r="B32" s="240" t="str">
        <f>HYPERLINK("#トレーラック紐付け情報!A1","トレーラック紐付け情報")</f>
        <v>トレーラック紐付け情報</v>
      </c>
      <c r="C32" s="241" t="s">
        <v>71</v>
      </c>
      <c r="D32" s="242" t="s">
        <v>38</v>
      </c>
      <c r="E32" s="243" t="s">
        <v>39</v>
      </c>
      <c r="F32" s="243"/>
    </row>
    <row r="33" spans="1:6" ht="24">
      <c r="A33" s="237">
        <v>30</v>
      </c>
      <c r="B33" s="245" t="str">
        <f>HYPERLINK("#ログ情報!A1","ログ情報")</f>
        <v>ログ情報</v>
      </c>
      <c r="C33" s="234" t="s">
        <v>72</v>
      </c>
      <c r="D33" s="235" t="s">
        <v>13</v>
      </c>
      <c r="E33" s="236" t="s">
        <v>73</v>
      </c>
      <c r="F33" s="236"/>
    </row>
    <row r="34" spans="1:6">
      <c r="A34" s="239">
        <v>31</v>
      </c>
      <c r="B34" s="240" t="str">
        <f>HYPERLINK("#別紙属性情報!A1","別紙属性情報")</f>
        <v>別紙属性情報</v>
      </c>
      <c r="C34" s="241" t="s">
        <v>74</v>
      </c>
      <c r="D34" s="242" t="s">
        <v>38</v>
      </c>
      <c r="E34" s="243" t="s">
        <v>39</v>
      </c>
      <c r="F34" s="243"/>
    </row>
    <row r="35" spans="1:6">
      <c r="A35" s="239">
        <v>32</v>
      </c>
      <c r="B35" s="240" t="str">
        <f>HYPERLINK("#別紙結果情報!A1","別紙結果情報")</f>
        <v>別紙結果情報</v>
      </c>
      <c r="C35" s="241" t="s">
        <v>75</v>
      </c>
      <c r="D35" s="242" t="s">
        <v>38</v>
      </c>
      <c r="E35" s="243" t="s">
        <v>39</v>
      </c>
      <c r="F35" s="243"/>
    </row>
    <row r="36" spans="1:6">
      <c r="A36" s="237">
        <v>33</v>
      </c>
      <c r="B36" s="238" t="str">
        <f>HYPERLINK("#表示項目情報!A1","表示項目情報")</f>
        <v>表示項目情報</v>
      </c>
      <c r="C36" s="234" t="s">
        <v>76</v>
      </c>
      <c r="D36" s="235" t="s">
        <v>19</v>
      </c>
      <c r="E36" s="236" t="s">
        <v>77</v>
      </c>
      <c r="F36" s="236"/>
    </row>
    <row r="37" spans="1:6">
      <c r="A37" s="239">
        <v>34</v>
      </c>
      <c r="B37" s="240" t="str">
        <f>HYPERLINK("#緊急ロット情報!A1","緊急ロット情報")</f>
        <v>緊急ロット情報</v>
      </c>
      <c r="C37" s="241" t="s">
        <v>78</v>
      </c>
      <c r="D37" s="242" t="s">
        <v>38</v>
      </c>
      <c r="E37" s="243" t="s">
        <v>39</v>
      </c>
      <c r="F37" s="243"/>
    </row>
    <row r="38" spans="1:6">
      <c r="A38" s="239">
        <v>35</v>
      </c>
      <c r="B38" s="240" t="str">
        <f>HYPERLINK("#項目別テスト数集計!A1","項目別テスト数集計")</f>
        <v>項目別テスト数集計</v>
      </c>
      <c r="C38" s="241" t="s">
        <v>79</v>
      </c>
      <c r="D38" s="242" t="s">
        <v>38</v>
      </c>
      <c r="E38" s="243" t="s">
        <v>80</v>
      </c>
      <c r="F38" s="243"/>
    </row>
    <row r="39" spans="1:6" ht="24">
      <c r="A39" s="237">
        <v>36</v>
      </c>
      <c r="B39" s="238" t="str">
        <f>HYPERLINK("#検査進行状況集計!A1","検査進行状況集計")</f>
        <v>検査進行状況集計</v>
      </c>
      <c r="C39" s="234" t="s">
        <v>81</v>
      </c>
      <c r="D39" s="235" t="s">
        <v>82</v>
      </c>
      <c r="E39" s="246" t="s">
        <v>83</v>
      </c>
      <c r="F39" s="246"/>
    </row>
    <row r="40" spans="1:6" ht="24">
      <c r="A40" s="237">
        <v>37</v>
      </c>
      <c r="B40" s="238" t="str">
        <f>HYPERLINK("#保留依頼情報!A1","保留依頼情報")</f>
        <v>保留依頼情報</v>
      </c>
      <c r="C40" s="234" t="s">
        <v>84</v>
      </c>
      <c r="D40" s="235" t="s">
        <v>85</v>
      </c>
      <c r="E40" s="246" t="s">
        <v>86</v>
      </c>
      <c r="F40" s="246"/>
    </row>
    <row r="41" spans="1:6" ht="24">
      <c r="A41" s="237">
        <v>38</v>
      </c>
      <c r="B41" s="247" t="str">
        <f>HYPERLINK("#他サテライト検査結果情報!A1","他サテライト検査結果情報")</f>
        <v>他サテライト検査結果情報</v>
      </c>
      <c r="C41" s="234" t="s">
        <v>87</v>
      </c>
      <c r="D41" s="235" t="s">
        <v>19</v>
      </c>
      <c r="E41" s="246" t="s">
        <v>88</v>
      </c>
      <c r="F41" s="246"/>
    </row>
    <row r="42" spans="1:6">
      <c r="A42" s="239">
        <v>39</v>
      </c>
      <c r="B42" s="248"/>
      <c r="C42" s="241" t="s">
        <v>89</v>
      </c>
      <c r="D42" s="242" t="s">
        <v>19</v>
      </c>
      <c r="E42" s="249" t="s">
        <v>90</v>
      </c>
      <c r="F42" s="249" t="s">
        <v>91</v>
      </c>
    </row>
    <row r="43" spans="1:6">
      <c r="A43" s="237">
        <v>40</v>
      </c>
      <c r="B43" s="247" t="str">
        <f>HYPERLINK("#結果変換管理情報!A1","結果変換管理情報")</f>
        <v>結果変換管理情報</v>
      </c>
      <c r="C43" s="234" t="s">
        <v>92</v>
      </c>
      <c r="D43" s="235" t="s">
        <v>85</v>
      </c>
      <c r="E43" s="246" t="s">
        <v>93</v>
      </c>
      <c r="F43" s="246"/>
    </row>
    <row r="44" spans="1:6">
      <c r="A44" s="239">
        <v>41</v>
      </c>
      <c r="B44" s="250"/>
      <c r="C44" s="241" t="s">
        <v>94</v>
      </c>
      <c r="D44" s="242" t="s">
        <v>38</v>
      </c>
      <c r="E44" s="249" t="s">
        <v>95</v>
      </c>
      <c r="F44" s="249" t="s">
        <v>96</v>
      </c>
    </row>
    <row r="45" spans="1:6">
      <c r="A45" s="237">
        <v>42</v>
      </c>
      <c r="B45" s="238" t="str">
        <f>HYPERLINK("#LT報告不可情報!A1","LT報告不可情報")</f>
        <v>LT報告不可情報</v>
      </c>
      <c r="C45" s="234" t="s">
        <v>97</v>
      </c>
      <c r="D45" s="235"/>
      <c r="E45" s="246" t="s">
        <v>98</v>
      </c>
      <c r="F45" s="246"/>
    </row>
    <row r="46" spans="1:6">
      <c r="A46" s="237">
        <v>43</v>
      </c>
      <c r="B46" s="247" t="str">
        <f>HYPERLINK("#翌日通常切り分け情報!A1","翌日通常切り分け情報")</f>
        <v>翌日通常切り分け情報</v>
      </c>
      <c r="C46" s="234" t="s">
        <v>99</v>
      </c>
      <c r="D46" s="235"/>
      <c r="E46" s="246" t="s">
        <v>100</v>
      </c>
      <c r="F46" s="246"/>
    </row>
    <row r="47" spans="1:6">
      <c r="A47" s="237">
        <v>44</v>
      </c>
      <c r="B47" s="247" t="str">
        <f>HYPERLINK("#分析機問合せラック情報!A1","分析機問合せラック情報")</f>
        <v>分析機問合せラック情報</v>
      </c>
      <c r="C47" s="234" t="s">
        <v>101</v>
      </c>
      <c r="D47" s="235"/>
      <c r="E47" s="246" t="s">
        <v>102</v>
      </c>
      <c r="F47" s="246"/>
    </row>
    <row r="48" spans="1:6">
      <c r="A48" s="237">
        <v>45</v>
      </c>
      <c r="B48" s="247" t="str">
        <f>HYPERLINK("#未報告検体情報!A1","未報告検体情報")</f>
        <v>未報告検体情報</v>
      </c>
      <c r="C48" s="234" t="s">
        <v>103</v>
      </c>
      <c r="D48" s="235" t="s">
        <v>82</v>
      </c>
      <c r="E48" s="246" t="s">
        <v>104</v>
      </c>
      <c r="F48" s="246"/>
    </row>
    <row r="49" spans="1:6" ht="36">
      <c r="A49" s="237">
        <v>46</v>
      </c>
      <c r="B49" s="247" t="str">
        <f>HYPERLINK("#コントロール結果情報!A1","累積用コントロール結果情報")</f>
        <v>累積用コントロール結果情報</v>
      </c>
      <c r="C49" s="234" t="s">
        <v>105</v>
      </c>
      <c r="D49" s="235" t="s">
        <v>106</v>
      </c>
      <c r="E49" s="236" t="s">
        <v>107</v>
      </c>
      <c r="F49" s="236" t="s">
        <v>108</v>
      </c>
    </row>
    <row r="50" spans="1:6" ht="24">
      <c r="A50" s="237">
        <v>47</v>
      </c>
      <c r="B50" s="247" t="str">
        <f>HYPERLINK("#治験拡張属性!A1","累積治験拡張属性")</f>
        <v>累積治験拡張属性</v>
      </c>
      <c r="C50" s="234" t="s">
        <v>109</v>
      </c>
      <c r="D50" s="235" t="s">
        <v>106</v>
      </c>
      <c r="E50" s="236" t="s">
        <v>110</v>
      </c>
      <c r="F50" s="236" t="s">
        <v>111</v>
      </c>
    </row>
    <row r="51" spans="1:6" ht="36">
      <c r="A51" s="237">
        <v>48</v>
      </c>
      <c r="B51" s="247" t="str">
        <f>HYPERLINK("#患者情報!A1","累積患者情報")</f>
        <v>累積患者情報</v>
      </c>
      <c r="C51" s="234" t="s">
        <v>112</v>
      </c>
      <c r="D51" s="235" t="s">
        <v>106</v>
      </c>
      <c r="E51" s="236" t="s">
        <v>113</v>
      </c>
      <c r="F51" s="236" t="s">
        <v>114</v>
      </c>
    </row>
    <row r="52" spans="1:6" ht="36">
      <c r="A52" s="237">
        <v>49</v>
      </c>
      <c r="B52" s="247" t="str">
        <f>HYPERLINK("#検体属性情報!A1","累積検体属性情報")</f>
        <v>累積検体属性情報</v>
      </c>
      <c r="C52" s="234" t="s">
        <v>115</v>
      </c>
      <c r="D52" s="235" t="s">
        <v>106</v>
      </c>
      <c r="E52" s="236" t="s">
        <v>116</v>
      </c>
      <c r="F52" s="236" t="s">
        <v>114</v>
      </c>
    </row>
    <row r="53" spans="1:6" ht="36">
      <c r="A53" s="237">
        <v>50</v>
      </c>
      <c r="B53" s="247" t="str">
        <f>HYPERLINK("#依頼情報!A1","累積依頼情報")</f>
        <v>累積依頼情報</v>
      </c>
      <c r="C53" s="234" t="s">
        <v>117</v>
      </c>
      <c r="D53" s="235" t="s">
        <v>106</v>
      </c>
      <c r="E53" s="236" t="s">
        <v>118</v>
      </c>
      <c r="F53" s="236" t="s">
        <v>114</v>
      </c>
    </row>
    <row r="54" spans="1:6" ht="36">
      <c r="A54" s="237">
        <v>51</v>
      </c>
      <c r="B54" s="247" t="str">
        <f>HYPERLINK("#分注結果情報!A1","累積分注結果情報")</f>
        <v>累積分注結果情報</v>
      </c>
      <c r="C54" s="234" t="s">
        <v>119</v>
      </c>
      <c r="D54" s="235" t="s">
        <v>106</v>
      </c>
      <c r="E54" s="236" t="s">
        <v>120</v>
      </c>
      <c r="F54" s="236" t="s">
        <v>121</v>
      </c>
    </row>
    <row r="55" spans="1:6" ht="36">
      <c r="A55" s="237">
        <v>52</v>
      </c>
      <c r="B55" s="247" t="str">
        <f>HYPERLINK("#検体認識情報!A1","累積検体認識情報")</f>
        <v>累積検体認識情報</v>
      </c>
      <c r="C55" s="234" t="s">
        <v>122</v>
      </c>
      <c r="D55" s="235" t="s">
        <v>106</v>
      </c>
      <c r="E55" s="236" t="s">
        <v>123</v>
      </c>
      <c r="F55" s="236" t="s">
        <v>114</v>
      </c>
    </row>
    <row r="56" spans="1:6" ht="36">
      <c r="A56" s="237">
        <v>53</v>
      </c>
      <c r="B56" s="247" t="str">
        <f>HYPERLINK("#検査オーダー情報!A1","累積検査オーダー情報")</f>
        <v>累積検査オーダー情報</v>
      </c>
      <c r="C56" s="234" t="s">
        <v>124</v>
      </c>
      <c r="D56" s="235" t="s">
        <v>106</v>
      </c>
      <c r="E56" s="236" t="s">
        <v>125</v>
      </c>
      <c r="F56" s="236" t="s">
        <v>114</v>
      </c>
    </row>
    <row r="57" spans="1:6" ht="36">
      <c r="A57" s="237">
        <v>54</v>
      </c>
      <c r="B57" s="251" t="str">
        <f>HYPERLINK("#検査結果情報!A1","累積検査結果情報")</f>
        <v>累積検査結果情報</v>
      </c>
      <c r="C57" s="234" t="s">
        <v>126</v>
      </c>
      <c r="D57" s="235" t="s">
        <v>106</v>
      </c>
      <c r="E57" s="236" t="s">
        <v>127</v>
      </c>
      <c r="F57" s="236" t="s">
        <v>114</v>
      </c>
    </row>
    <row r="58" spans="1:6" ht="24">
      <c r="A58" s="237">
        <v>55</v>
      </c>
      <c r="B58" s="247" t="str">
        <f>HYPERLINK("#報告管理情報!A1","累積報告管理情報")</f>
        <v>累積報告管理情報</v>
      </c>
      <c r="C58" s="234" t="s">
        <v>128</v>
      </c>
      <c r="D58" s="235"/>
      <c r="E58" s="236" t="s">
        <v>125</v>
      </c>
      <c r="F58" s="236" t="s">
        <v>129</v>
      </c>
    </row>
    <row r="59" spans="1:6" ht="24">
      <c r="A59" s="237">
        <v>56</v>
      </c>
      <c r="B59" s="247" t="str">
        <f>HYPERLINK("#結果変換管理情報!A1","累積結果変換管理情報")</f>
        <v>累積結果変換管理情報</v>
      </c>
      <c r="C59" s="234" t="s">
        <v>130</v>
      </c>
      <c r="D59" s="235" t="s">
        <v>106</v>
      </c>
      <c r="E59" s="236" t="s">
        <v>131</v>
      </c>
      <c r="F59" s="236" t="s">
        <v>132</v>
      </c>
    </row>
    <row r="60" spans="1:6" ht="24">
      <c r="A60" s="237">
        <v>57</v>
      </c>
      <c r="B60" s="252" t="str">
        <f>HYPERLINK("#Ｘ－Ｍ情報!A1","累積Ｘ－Ｍ情報")</f>
        <v>累積Ｘ－Ｍ情報</v>
      </c>
      <c r="C60" s="234" t="s">
        <v>133</v>
      </c>
      <c r="D60" s="235" t="s">
        <v>106</v>
      </c>
      <c r="E60" s="236" t="s">
        <v>134</v>
      </c>
      <c r="F60" s="236" t="s">
        <v>132</v>
      </c>
    </row>
    <row r="62" spans="1:6" ht="12" customHeight="1">
      <c r="B62" s="230" t="s">
        <v>135</v>
      </c>
    </row>
  </sheetData>
  <mergeCells count="5">
    <mergeCell ref="B1:C1"/>
    <mergeCell ref="A1:A2"/>
    <mergeCell ref="D1:D2"/>
    <mergeCell ref="E1:E2"/>
    <mergeCell ref="F1:F2"/>
  </mergeCells>
  <phoneticPr fontId="22"/>
  <pageMargins left="0.59027777777777801" right="0.59027777777777801" top="0.78680555555555598" bottom="0.196527777777778" header="0.31458333333333299" footer="0.196527777777778"/>
  <pageSetup paperSize="9" scale="79" fitToHeight="0" orientation="landscape"/>
  <headerFooter alignWithMargins="0">
    <oddFooter>&amp;C&amp;10&amp;P/&amp;N&amp;R&amp;10&amp;A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Q109"/>
  <sheetViews>
    <sheetView showGridLines="0" workbookViewId="0">
      <pane ySplit="6" topLeftCell="A7" activePane="bottomLeft" state="frozen"/>
      <selection pane="bottomLeft" activeCell="A18" sqref="A18:XFD1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139</v>
      </c>
      <c r="D3" s="265"/>
      <c r="E3" s="265"/>
      <c r="F3" s="265"/>
      <c r="G3" s="266"/>
      <c r="H3" s="259" t="s">
        <v>140</v>
      </c>
      <c r="I3" s="260"/>
      <c r="J3" s="90">
        <f>COUNT(A7:A100)</f>
        <v>31</v>
      </c>
      <c r="K3" s="78" t="s">
        <v>141</v>
      </c>
      <c r="L3" s="91">
        <v>38644</v>
      </c>
      <c r="M3" s="92" t="s">
        <v>142</v>
      </c>
      <c r="O3" s="75" t="s">
        <v>143</v>
      </c>
      <c r="P3" s="75" t="s">
        <v>144</v>
      </c>
    </row>
    <row r="4" spans="1:16" ht="12" customHeight="1">
      <c r="A4" s="267" t="s">
        <v>145</v>
      </c>
      <c r="B4" s="268"/>
      <c r="C4" s="267" t="s">
        <v>8</v>
      </c>
      <c r="D4" s="269"/>
      <c r="E4" s="269"/>
      <c r="F4" s="269"/>
      <c r="G4" s="268"/>
      <c r="H4" s="259" t="s">
        <v>146</v>
      </c>
      <c r="I4" s="260"/>
      <c r="J4" s="90">
        <f>SUM(G7:G100)</f>
        <v>157</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288"/>
      <c r="L6" s="289"/>
      <c r="M6" s="290"/>
      <c r="P6" s="75" t="s">
        <v>161</v>
      </c>
    </row>
    <row r="7" spans="1:16" ht="12" customHeight="1">
      <c r="A7" s="83">
        <v>1</v>
      </c>
      <c r="B7" s="228" t="s">
        <v>162</v>
      </c>
      <c r="C7" s="22" t="s">
        <v>163</v>
      </c>
      <c r="D7" s="30" t="s">
        <v>164</v>
      </c>
      <c r="E7" s="85"/>
      <c r="F7" s="86"/>
      <c r="G7" s="87">
        <f>IF(D7="DATE",4,IF(D7="CHAR",E7,IF(D7="SMALLINT",2,IF(D7="INTEGER",4,IF(D7="TIMESTAMP",10,IF(D7="TIME",3,0))))))</f>
        <v>4</v>
      </c>
      <c r="H7" s="83" t="s">
        <v>149</v>
      </c>
      <c r="I7" s="83" t="s">
        <v>149</v>
      </c>
      <c r="J7" s="93"/>
      <c r="K7" s="271"/>
      <c r="L7" s="272"/>
      <c r="M7" s="273"/>
      <c r="P7" s="75" t="s">
        <v>165</v>
      </c>
    </row>
    <row r="8" spans="1:16" ht="12" customHeight="1">
      <c r="A8" s="83">
        <f t="shared" ref="A8:A41" si="0">IF(B8=""," ",A7+1)</f>
        <v>2</v>
      </c>
      <c r="B8" s="11" t="s">
        <v>166</v>
      </c>
      <c r="C8" s="228" t="s">
        <v>167</v>
      </c>
      <c r="D8" s="88" t="s">
        <v>150</v>
      </c>
      <c r="E8" s="85">
        <v>11</v>
      </c>
      <c r="F8" s="86"/>
      <c r="G8" s="87">
        <f t="shared" ref="G8:G37" si="1">IF(D8="DATE",4,IF(D8="CHAR",E8,IF(D8="SMALLINT",2,IF(D8="INTEGER",4,IF(D8="TIMESTAMP",10,IF(D8="TIME",3,0))))))</f>
        <v>11</v>
      </c>
      <c r="H8" s="83" t="s">
        <v>149</v>
      </c>
      <c r="I8" s="83" t="s">
        <v>149</v>
      </c>
      <c r="J8" s="93"/>
      <c r="K8" s="274"/>
      <c r="L8" s="275"/>
      <c r="M8" s="276"/>
      <c r="P8" s="75" t="s">
        <v>168</v>
      </c>
    </row>
    <row r="9" spans="1:16" ht="27" customHeight="1">
      <c r="A9" s="83">
        <f t="shared" si="0"/>
        <v>3</v>
      </c>
      <c r="B9" s="11" t="s">
        <v>169</v>
      </c>
      <c r="C9" s="19" t="s">
        <v>170</v>
      </c>
      <c r="D9" s="88" t="s">
        <v>150</v>
      </c>
      <c r="E9" s="85">
        <v>1</v>
      </c>
      <c r="F9" s="86"/>
      <c r="G9" s="87">
        <f t="shared" si="1"/>
        <v>1</v>
      </c>
      <c r="H9" s="83" t="s">
        <v>149</v>
      </c>
      <c r="I9" s="83"/>
      <c r="J9" s="93"/>
      <c r="K9" s="271" t="s">
        <v>171</v>
      </c>
      <c r="L9" s="272"/>
      <c r="M9" s="273"/>
    </row>
    <row r="10" spans="1:16" ht="12" customHeight="1">
      <c r="A10" s="83">
        <f t="shared" si="0"/>
        <v>4</v>
      </c>
      <c r="B10" s="11" t="s">
        <v>172</v>
      </c>
      <c r="C10" s="19" t="s">
        <v>173</v>
      </c>
      <c r="D10" s="88" t="s">
        <v>174</v>
      </c>
      <c r="E10" s="85"/>
      <c r="F10" s="86"/>
      <c r="G10" s="87">
        <f t="shared" si="1"/>
        <v>2</v>
      </c>
      <c r="H10" s="83" t="s">
        <v>149</v>
      </c>
      <c r="I10" s="83" t="s">
        <v>149</v>
      </c>
      <c r="J10" s="93"/>
      <c r="K10" s="277" t="s">
        <v>175</v>
      </c>
      <c r="L10" s="278"/>
      <c r="M10" s="279"/>
    </row>
    <row r="11" spans="1:16" ht="12" customHeight="1">
      <c r="A11" s="83">
        <f t="shared" si="0"/>
        <v>5</v>
      </c>
      <c r="B11" s="11" t="s">
        <v>176</v>
      </c>
      <c r="C11" s="22" t="s">
        <v>177</v>
      </c>
      <c r="D11" s="30" t="s">
        <v>150</v>
      </c>
      <c r="E11" s="85">
        <v>11</v>
      </c>
      <c r="F11" s="86"/>
      <c r="G11" s="87">
        <f t="shared" si="1"/>
        <v>11</v>
      </c>
      <c r="H11" s="83" t="s">
        <v>149</v>
      </c>
      <c r="I11" s="83"/>
      <c r="J11" s="93"/>
      <c r="K11" s="271"/>
      <c r="L11" s="272"/>
      <c r="M11" s="273"/>
      <c r="P11" s="75" t="s">
        <v>164</v>
      </c>
    </row>
    <row r="12" spans="1:16" ht="12" customHeight="1">
      <c r="A12" s="83">
        <f t="shared" si="0"/>
        <v>6</v>
      </c>
      <c r="B12" s="11" t="s">
        <v>178</v>
      </c>
      <c r="C12" s="22" t="s">
        <v>179</v>
      </c>
      <c r="D12" s="30" t="s">
        <v>150</v>
      </c>
      <c r="E12" s="85">
        <v>7</v>
      </c>
      <c r="F12" s="86"/>
      <c r="G12" s="87">
        <f t="shared" si="1"/>
        <v>7</v>
      </c>
      <c r="H12" s="83" t="s">
        <v>149</v>
      </c>
      <c r="I12" s="83"/>
      <c r="J12" s="93"/>
      <c r="K12" s="271"/>
      <c r="L12" s="272"/>
      <c r="M12" s="273"/>
    </row>
    <row r="13" spans="1:16" ht="12" customHeight="1">
      <c r="A13" s="83">
        <f t="shared" si="0"/>
        <v>7</v>
      </c>
      <c r="B13" s="11" t="s">
        <v>180</v>
      </c>
      <c r="C13" s="110" t="s">
        <v>181</v>
      </c>
      <c r="D13" s="88" t="s">
        <v>150</v>
      </c>
      <c r="E13" s="85">
        <v>4</v>
      </c>
      <c r="F13" s="86"/>
      <c r="G13" s="87">
        <f t="shared" si="1"/>
        <v>4</v>
      </c>
      <c r="H13" s="83" t="s">
        <v>149</v>
      </c>
      <c r="I13" s="83"/>
      <c r="J13" s="93"/>
      <c r="K13" s="274"/>
      <c r="L13" s="275"/>
      <c r="M13" s="276"/>
    </row>
    <row r="14" spans="1:16" ht="12" customHeight="1">
      <c r="A14" s="83">
        <f t="shared" si="0"/>
        <v>8</v>
      </c>
      <c r="B14" s="11" t="s">
        <v>182</v>
      </c>
      <c r="C14" s="22" t="s">
        <v>183</v>
      </c>
      <c r="D14" s="30" t="s">
        <v>150</v>
      </c>
      <c r="E14" s="85">
        <v>5</v>
      </c>
      <c r="F14" s="86"/>
      <c r="G14" s="87">
        <f t="shared" si="1"/>
        <v>5</v>
      </c>
      <c r="H14" s="83" t="s">
        <v>149</v>
      </c>
      <c r="I14" s="83"/>
      <c r="J14" s="93"/>
      <c r="K14" s="271"/>
      <c r="L14" s="272"/>
      <c r="M14" s="273"/>
    </row>
    <row r="15" spans="1:16" ht="12" customHeight="1">
      <c r="A15" s="83">
        <f t="shared" si="0"/>
        <v>9</v>
      </c>
      <c r="B15" s="11" t="s">
        <v>184</v>
      </c>
      <c r="C15" s="84" t="s">
        <v>185</v>
      </c>
      <c r="D15" s="88" t="s">
        <v>150</v>
      </c>
      <c r="E15" s="85">
        <v>3</v>
      </c>
      <c r="F15" s="86"/>
      <c r="G15" s="87">
        <f t="shared" si="1"/>
        <v>3</v>
      </c>
      <c r="H15" s="83" t="s">
        <v>149</v>
      </c>
      <c r="I15" s="83"/>
      <c r="J15" s="93"/>
      <c r="K15" s="274"/>
      <c r="L15" s="275"/>
      <c r="M15" s="276"/>
    </row>
    <row r="16" spans="1:16" ht="12" customHeight="1">
      <c r="A16" s="83">
        <f t="shared" si="0"/>
        <v>10</v>
      </c>
      <c r="B16" s="229" t="s">
        <v>186</v>
      </c>
      <c r="C16" s="84" t="s">
        <v>187</v>
      </c>
      <c r="D16" s="88" t="s">
        <v>150</v>
      </c>
      <c r="E16" s="85">
        <v>4</v>
      </c>
      <c r="F16" s="86"/>
      <c r="G16" s="87">
        <f t="shared" si="1"/>
        <v>4</v>
      </c>
      <c r="H16" s="83" t="s">
        <v>149</v>
      </c>
      <c r="I16" s="83"/>
      <c r="J16" s="93"/>
      <c r="K16" s="274"/>
      <c r="L16" s="275"/>
      <c r="M16" s="276"/>
    </row>
    <row r="17" spans="1:16" ht="27" customHeight="1">
      <c r="A17" s="83">
        <f t="shared" si="0"/>
        <v>11</v>
      </c>
      <c r="B17" s="11" t="s">
        <v>188</v>
      </c>
      <c r="C17" s="84" t="s">
        <v>189</v>
      </c>
      <c r="D17" s="88" t="s">
        <v>150</v>
      </c>
      <c r="E17" s="85">
        <v>1</v>
      </c>
      <c r="F17" s="86"/>
      <c r="G17" s="87">
        <f t="shared" si="1"/>
        <v>1</v>
      </c>
      <c r="H17" s="83" t="s">
        <v>149</v>
      </c>
      <c r="I17" s="83"/>
      <c r="J17" s="93"/>
      <c r="K17" s="280" t="s">
        <v>190</v>
      </c>
      <c r="L17" s="281"/>
      <c r="M17" s="282"/>
      <c r="P17" s="75" t="s">
        <v>174</v>
      </c>
    </row>
    <row r="18" spans="1:16" ht="12" customHeight="1">
      <c r="A18" s="83">
        <f t="shared" si="0"/>
        <v>12</v>
      </c>
      <c r="B18" s="229" t="s">
        <v>191</v>
      </c>
      <c r="C18" s="84" t="s">
        <v>192</v>
      </c>
      <c r="D18" s="88" t="s">
        <v>174</v>
      </c>
      <c r="E18" s="85"/>
      <c r="F18" s="86"/>
      <c r="G18" s="87">
        <f t="shared" si="1"/>
        <v>2</v>
      </c>
      <c r="H18" s="83" t="s">
        <v>149</v>
      </c>
      <c r="I18" s="83"/>
      <c r="J18" s="93"/>
      <c r="K18" s="274"/>
      <c r="L18" s="275"/>
      <c r="M18" s="276"/>
    </row>
    <row r="19" spans="1:16" ht="12" customHeight="1">
      <c r="A19" s="83">
        <f t="shared" si="0"/>
        <v>13</v>
      </c>
      <c r="B19" s="11" t="s">
        <v>193</v>
      </c>
      <c r="C19" s="84" t="s">
        <v>194</v>
      </c>
      <c r="D19" s="88" t="s">
        <v>174</v>
      </c>
      <c r="E19" s="85"/>
      <c r="F19" s="86"/>
      <c r="G19" s="87">
        <f t="shared" si="1"/>
        <v>2</v>
      </c>
      <c r="H19" s="83" t="s">
        <v>149</v>
      </c>
      <c r="I19" s="83"/>
      <c r="J19" s="93"/>
      <c r="K19" s="274"/>
      <c r="L19" s="275"/>
      <c r="M19" s="276"/>
      <c r="P19" s="75" t="s">
        <v>195</v>
      </c>
    </row>
    <row r="20" spans="1:16" ht="12" customHeight="1">
      <c r="A20" s="83">
        <f t="shared" si="0"/>
        <v>14</v>
      </c>
      <c r="B20" s="11" t="s">
        <v>196</v>
      </c>
      <c r="C20" s="84" t="s">
        <v>197</v>
      </c>
      <c r="D20" s="88" t="s">
        <v>150</v>
      </c>
      <c r="E20" s="85">
        <v>2</v>
      </c>
      <c r="F20" s="86"/>
      <c r="G20" s="87">
        <f t="shared" si="1"/>
        <v>2</v>
      </c>
      <c r="H20" s="83" t="s">
        <v>149</v>
      </c>
      <c r="I20" s="83"/>
      <c r="J20" s="93"/>
      <c r="K20" s="274"/>
      <c r="L20" s="275"/>
      <c r="M20" s="276"/>
    </row>
    <row r="21" spans="1:16" ht="12" customHeight="1">
      <c r="A21" s="83">
        <f t="shared" si="0"/>
        <v>15</v>
      </c>
      <c r="B21" s="229" t="s">
        <v>198</v>
      </c>
      <c r="C21" s="84" t="s">
        <v>199</v>
      </c>
      <c r="D21" s="88" t="s">
        <v>150</v>
      </c>
      <c r="E21" s="85">
        <v>5</v>
      </c>
      <c r="F21" s="86"/>
      <c r="G21" s="87">
        <f t="shared" si="1"/>
        <v>5</v>
      </c>
      <c r="H21" s="83" t="s">
        <v>149</v>
      </c>
      <c r="I21" s="83"/>
      <c r="J21" s="93"/>
      <c r="K21" s="274"/>
      <c r="L21" s="275"/>
      <c r="M21" s="276"/>
    </row>
    <row r="22" spans="1:16" ht="12" customHeight="1">
      <c r="A22" s="83">
        <f t="shared" si="0"/>
        <v>16</v>
      </c>
      <c r="B22" s="11" t="s">
        <v>200</v>
      </c>
      <c r="C22" s="84" t="s">
        <v>201</v>
      </c>
      <c r="D22" s="88" t="s">
        <v>150</v>
      </c>
      <c r="E22" s="85">
        <v>5</v>
      </c>
      <c r="F22" s="86"/>
      <c r="G22" s="87">
        <f t="shared" si="1"/>
        <v>5</v>
      </c>
      <c r="H22" s="83" t="s">
        <v>149</v>
      </c>
      <c r="I22" s="83"/>
      <c r="J22" s="93"/>
      <c r="K22" s="274"/>
      <c r="L22" s="275"/>
      <c r="M22" s="276"/>
    </row>
    <row r="23" spans="1:16" ht="12" customHeight="1">
      <c r="A23" s="83">
        <f t="shared" si="0"/>
        <v>17</v>
      </c>
      <c r="B23" s="229" t="s">
        <v>202</v>
      </c>
      <c r="C23" s="84" t="s">
        <v>203</v>
      </c>
      <c r="D23" s="88" t="s">
        <v>150</v>
      </c>
      <c r="E23" s="85">
        <v>5</v>
      </c>
      <c r="F23" s="86"/>
      <c r="G23" s="87">
        <f t="shared" si="1"/>
        <v>5</v>
      </c>
      <c r="H23" s="83" t="s">
        <v>149</v>
      </c>
      <c r="I23" s="83"/>
      <c r="J23" s="93"/>
      <c r="K23" s="274"/>
      <c r="L23" s="275"/>
      <c r="M23" s="276"/>
    </row>
    <row r="24" spans="1:16" ht="12" customHeight="1">
      <c r="A24" s="83">
        <f t="shared" si="0"/>
        <v>18</v>
      </c>
      <c r="B24" s="229" t="s">
        <v>204</v>
      </c>
      <c r="C24" s="84" t="s">
        <v>205</v>
      </c>
      <c r="D24" s="88" t="s">
        <v>150</v>
      </c>
      <c r="E24" s="85">
        <v>5</v>
      </c>
      <c r="F24" s="86"/>
      <c r="G24" s="87">
        <f t="shared" si="1"/>
        <v>5</v>
      </c>
      <c r="H24" s="83" t="s">
        <v>149</v>
      </c>
      <c r="I24" s="83"/>
      <c r="J24" s="93"/>
      <c r="K24" s="274"/>
      <c r="L24" s="275"/>
      <c r="M24" s="276"/>
    </row>
    <row r="25" spans="1:16" ht="12" customHeight="1">
      <c r="A25" s="83">
        <f t="shared" si="0"/>
        <v>19</v>
      </c>
      <c r="B25" s="229" t="s">
        <v>206</v>
      </c>
      <c r="C25" s="84" t="s">
        <v>207</v>
      </c>
      <c r="D25" s="88" t="s">
        <v>150</v>
      </c>
      <c r="E25" s="85">
        <v>5</v>
      </c>
      <c r="F25" s="86"/>
      <c r="G25" s="87">
        <f t="shared" si="1"/>
        <v>5</v>
      </c>
      <c r="H25" s="83" t="s">
        <v>149</v>
      </c>
      <c r="I25" s="83"/>
      <c r="J25" s="93"/>
      <c r="K25" s="274"/>
      <c r="L25" s="275"/>
      <c r="M25" s="276"/>
    </row>
    <row r="26" spans="1:16" ht="12" customHeight="1">
      <c r="A26" s="83">
        <f t="shared" si="0"/>
        <v>20</v>
      </c>
      <c r="B26" s="229" t="s">
        <v>208</v>
      </c>
      <c r="C26" s="84" t="s">
        <v>209</v>
      </c>
      <c r="D26" s="88" t="s">
        <v>150</v>
      </c>
      <c r="E26" s="85">
        <v>5</v>
      </c>
      <c r="F26" s="86"/>
      <c r="G26" s="87">
        <f t="shared" si="1"/>
        <v>5</v>
      </c>
      <c r="H26" s="83" t="s">
        <v>149</v>
      </c>
      <c r="I26" s="83"/>
      <c r="J26" s="93"/>
      <c r="K26" s="274"/>
      <c r="L26" s="275"/>
      <c r="M26" s="276"/>
    </row>
    <row r="27" spans="1:16" ht="12" customHeight="1">
      <c r="A27" s="83">
        <f t="shared" si="0"/>
        <v>21</v>
      </c>
      <c r="B27" s="74" t="s">
        <v>210</v>
      </c>
      <c r="C27" s="84" t="s">
        <v>211</v>
      </c>
      <c r="D27" s="88" t="s">
        <v>150</v>
      </c>
      <c r="E27" s="85">
        <v>2</v>
      </c>
      <c r="F27" s="86"/>
      <c r="G27" s="87">
        <f t="shared" si="1"/>
        <v>2</v>
      </c>
      <c r="H27" s="83" t="s">
        <v>149</v>
      </c>
      <c r="I27" s="83"/>
      <c r="J27" s="93"/>
      <c r="K27" s="274"/>
      <c r="L27" s="275"/>
      <c r="M27" s="276"/>
    </row>
    <row r="28" spans="1:16" ht="12" customHeight="1">
      <c r="A28" s="83">
        <f t="shared" si="0"/>
        <v>22</v>
      </c>
      <c r="B28" s="74" t="s">
        <v>212</v>
      </c>
      <c r="C28" s="84" t="s">
        <v>213</v>
      </c>
      <c r="D28" s="88" t="s">
        <v>150</v>
      </c>
      <c r="E28" s="85">
        <v>2</v>
      </c>
      <c r="F28" s="86"/>
      <c r="G28" s="87">
        <f t="shared" si="1"/>
        <v>2</v>
      </c>
      <c r="H28" s="83" t="s">
        <v>149</v>
      </c>
      <c r="I28" s="83"/>
      <c r="J28" s="93"/>
      <c r="K28" s="274"/>
      <c r="L28" s="275"/>
      <c r="M28" s="276"/>
    </row>
    <row r="29" spans="1:16" ht="12" customHeight="1">
      <c r="A29" s="83">
        <f t="shared" si="0"/>
        <v>23</v>
      </c>
      <c r="B29" s="74" t="s">
        <v>214</v>
      </c>
      <c r="C29" s="84" t="s">
        <v>215</v>
      </c>
      <c r="D29" s="88" t="s">
        <v>150</v>
      </c>
      <c r="E29" s="85">
        <v>2</v>
      </c>
      <c r="F29" s="86"/>
      <c r="G29" s="87">
        <f t="shared" si="1"/>
        <v>2</v>
      </c>
      <c r="H29" s="83" t="s">
        <v>149</v>
      </c>
      <c r="I29" s="83"/>
      <c r="J29" s="93"/>
      <c r="K29" s="274"/>
      <c r="L29" s="275"/>
      <c r="M29" s="276"/>
    </row>
    <row r="30" spans="1:16" ht="12" customHeight="1">
      <c r="A30" s="83">
        <f t="shared" si="0"/>
        <v>24</v>
      </c>
      <c r="B30" s="74" t="s">
        <v>216</v>
      </c>
      <c r="C30" s="84" t="s">
        <v>217</v>
      </c>
      <c r="D30" s="88" t="s">
        <v>150</v>
      </c>
      <c r="E30" s="85">
        <v>2</v>
      </c>
      <c r="F30" s="86"/>
      <c r="G30" s="87">
        <f t="shared" si="1"/>
        <v>2</v>
      </c>
      <c r="H30" s="83" t="s">
        <v>149</v>
      </c>
      <c r="I30" s="83"/>
      <c r="J30" s="93"/>
      <c r="K30" s="274"/>
      <c r="L30" s="275"/>
      <c r="M30" s="276"/>
    </row>
    <row r="31" spans="1:16" ht="12" customHeight="1">
      <c r="A31" s="83">
        <f t="shared" si="0"/>
        <v>25</v>
      </c>
      <c r="B31" s="74" t="s">
        <v>218</v>
      </c>
      <c r="C31" s="84" t="s">
        <v>219</v>
      </c>
      <c r="D31" s="88" t="s">
        <v>150</v>
      </c>
      <c r="E31" s="85">
        <v>2</v>
      </c>
      <c r="F31" s="86"/>
      <c r="G31" s="87">
        <f t="shared" si="1"/>
        <v>2</v>
      </c>
      <c r="H31" s="83" t="s">
        <v>149</v>
      </c>
      <c r="I31" s="83"/>
      <c r="J31" s="93"/>
      <c r="K31" s="274"/>
      <c r="L31" s="275"/>
      <c r="M31" s="276"/>
    </row>
    <row r="32" spans="1:16" ht="12" customHeight="1">
      <c r="A32" s="83">
        <f t="shared" si="0"/>
        <v>26</v>
      </c>
      <c r="B32" s="74" t="s">
        <v>220</v>
      </c>
      <c r="C32" s="84" t="s">
        <v>221</v>
      </c>
      <c r="D32" s="88" t="s">
        <v>150</v>
      </c>
      <c r="E32" s="85">
        <v>2</v>
      </c>
      <c r="F32" s="86"/>
      <c r="G32" s="87">
        <f t="shared" si="1"/>
        <v>2</v>
      </c>
      <c r="H32" s="83" t="s">
        <v>149</v>
      </c>
      <c r="I32" s="83"/>
      <c r="J32" s="93"/>
      <c r="K32" s="274"/>
      <c r="L32" s="275"/>
      <c r="M32" s="276"/>
    </row>
    <row r="33" spans="1:13" ht="12" customHeight="1">
      <c r="A33" s="83">
        <f t="shared" si="0"/>
        <v>27</v>
      </c>
      <c r="B33" s="74" t="s">
        <v>222</v>
      </c>
      <c r="C33" s="84" t="s">
        <v>223</v>
      </c>
      <c r="D33" s="88" t="s">
        <v>150</v>
      </c>
      <c r="E33" s="85">
        <v>4</v>
      </c>
      <c r="F33" s="86"/>
      <c r="G33" s="87">
        <f t="shared" si="1"/>
        <v>4</v>
      </c>
      <c r="H33" s="83" t="s">
        <v>149</v>
      </c>
      <c r="I33" s="83"/>
      <c r="J33" s="93"/>
      <c r="K33" s="274"/>
      <c r="L33" s="275"/>
      <c r="M33" s="276"/>
    </row>
    <row r="34" spans="1:13" ht="39.950000000000003" customHeight="1">
      <c r="A34" s="83">
        <f t="shared" si="0"/>
        <v>28</v>
      </c>
      <c r="B34" s="74" t="s">
        <v>224</v>
      </c>
      <c r="C34" s="84" t="s">
        <v>225</v>
      </c>
      <c r="D34" s="88" t="s">
        <v>150</v>
      </c>
      <c r="E34" s="85">
        <v>1</v>
      </c>
      <c r="F34" s="86"/>
      <c r="G34" s="87">
        <f t="shared" si="1"/>
        <v>1</v>
      </c>
      <c r="H34" s="83" t="s">
        <v>149</v>
      </c>
      <c r="I34" s="83"/>
      <c r="J34" s="93"/>
      <c r="K34" s="280" t="s">
        <v>226</v>
      </c>
      <c r="L34" s="281"/>
      <c r="M34" s="282"/>
    </row>
    <row r="35" spans="1:13" ht="39.950000000000003" customHeight="1">
      <c r="A35" s="83">
        <f t="shared" si="0"/>
        <v>29</v>
      </c>
      <c r="B35" s="74" t="s">
        <v>227</v>
      </c>
      <c r="C35" s="84" t="s">
        <v>228</v>
      </c>
      <c r="D35" s="88" t="s">
        <v>150</v>
      </c>
      <c r="E35" s="85">
        <v>1</v>
      </c>
      <c r="F35" s="86"/>
      <c r="G35" s="87">
        <f t="shared" si="1"/>
        <v>1</v>
      </c>
      <c r="H35" s="83" t="s">
        <v>149</v>
      </c>
      <c r="I35" s="83"/>
      <c r="J35" s="93"/>
      <c r="K35" s="280" t="s">
        <v>229</v>
      </c>
      <c r="L35" s="281"/>
      <c r="M35" s="282"/>
    </row>
    <row r="36" spans="1:13" ht="12" customHeight="1">
      <c r="A36" s="83">
        <f t="shared" si="0"/>
        <v>30</v>
      </c>
      <c r="B36" s="74" t="s">
        <v>230</v>
      </c>
      <c r="C36" s="84" t="s">
        <v>231</v>
      </c>
      <c r="D36" s="88" t="s">
        <v>150</v>
      </c>
      <c r="E36" s="85">
        <v>40</v>
      </c>
      <c r="F36" s="86"/>
      <c r="G36" s="87">
        <f t="shared" si="1"/>
        <v>40</v>
      </c>
      <c r="H36" s="83" t="s">
        <v>149</v>
      </c>
      <c r="I36" s="83"/>
      <c r="J36" s="93"/>
      <c r="K36" s="274"/>
      <c r="L36" s="275"/>
      <c r="M36" s="276"/>
    </row>
    <row r="37" spans="1:13" ht="12" customHeight="1">
      <c r="A37" s="83">
        <f t="shared" si="0"/>
        <v>31</v>
      </c>
      <c r="B37" s="74" t="s">
        <v>232</v>
      </c>
      <c r="C37" s="84" t="s">
        <v>233</v>
      </c>
      <c r="D37" s="88" t="s">
        <v>234</v>
      </c>
      <c r="E37" s="85"/>
      <c r="F37" s="86"/>
      <c r="G37" s="87">
        <f t="shared" si="1"/>
        <v>10</v>
      </c>
      <c r="H37" s="83" t="s">
        <v>149</v>
      </c>
      <c r="I37" s="83"/>
      <c r="J37" s="93"/>
      <c r="K37" s="274"/>
      <c r="L37" s="275"/>
      <c r="M37" s="276"/>
    </row>
    <row r="38" spans="1:13" ht="12" customHeight="1">
      <c r="A38" s="83" t="str">
        <f t="shared" si="0"/>
        <v xml:space="preserve"> </v>
      </c>
      <c r="B38" s="74"/>
      <c r="C38" s="84"/>
      <c r="D38" s="88"/>
      <c r="E38" s="85"/>
      <c r="F38" s="86"/>
      <c r="G38" s="87"/>
      <c r="H38" s="83"/>
      <c r="I38" s="83"/>
      <c r="J38" s="93"/>
      <c r="K38" s="274"/>
      <c r="L38" s="275"/>
      <c r="M38" s="276"/>
    </row>
    <row r="39" spans="1:13" ht="12" customHeight="1">
      <c r="A39" s="83" t="str">
        <f t="shared" si="0"/>
        <v xml:space="preserve"> </v>
      </c>
      <c r="B39" s="74"/>
      <c r="C39" s="84"/>
      <c r="D39" s="88"/>
      <c r="E39" s="85"/>
      <c r="F39" s="86"/>
      <c r="G39" s="87"/>
      <c r="H39" s="83"/>
      <c r="I39" s="83"/>
      <c r="J39" s="93"/>
      <c r="K39" s="274"/>
      <c r="L39" s="275"/>
      <c r="M39" s="276"/>
    </row>
    <row r="40" spans="1:13" ht="12" customHeight="1">
      <c r="A40" s="83" t="str">
        <f t="shared" si="0"/>
        <v xml:space="preserve"> </v>
      </c>
      <c r="B40" s="74"/>
      <c r="C40" s="84"/>
      <c r="D40" s="88"/>
      <c r="E40" s="85"/>
      <c r="F40" s="86"/>
      <c r="G40" s="87"/>
      <c r="H40" s="83"/>
      <c r="I40" s="83"/>
      <c r="J40" s="93"/>
      <c r="K40" s="274"/>
      <c r="L40" s="275"/>
      <c r="M40" s="276"/>
    </row>
    <row r="41" spans="1:13" ht="12" customHeight="1">
      <c r="A41" s="83" t="str">
        <f t="shared" si="0"/>
        <v xml:space="preserve"> </v>
      </c>
      <c r="B41" s="74"/>
      <c r="C41" s="84"/>
      <c r="D41" s="88"/>
      <c r="E41" s="85"/>
      <c r="F41" s="86"/>
      <c r="G41" s="87"/>
      <c r="H41" s="83"/>
      <c r="I41" s="83"/>
      <c r="J41" s="93"/>
      <c r="K41" s="274"/>
      <c r="L41" s="275"/>
      <c r="M41" s="276"/>
    </row>
    <row r="42" spans="1:13" ht="12" customHeight="1">
      <c r="A42" s="83" t="str">
        <f t="shared" ref="A42:A73" si="2">IF(B42=""," ",A41+1)</f>
        <v xml:space="preserve"> </v>
      </c>
      <c r="B42" s="74"/>
      <c r="C42" s="84"/>
      <c r="D42" s="88"/>
      <c r="E42" s="85"/>
      <c r="F42" s="86"/>
      <c r="G42" s="87"/>
      <c r="H42" s="83"/>
      <c r="I42" s="83"/>
      <c r="J42" s="93"/>
      <c r="K42" s="274"/>
      <c r="L42" s="275"/>
      <c r="M42" s="276"/>
    </row>
    <row r="43" spans="1:13" ht="12" customHeight="1">
      <c r="A43" s="83" t="str">
        <f t="shared" si="2"/>
        <v xml:space="preserve"> </v>
      </c>
      <c r="B43" s="74"/>
      <c r="C43" s="84"/>
      <c r="D43" s="88"/>
      <c r="E43" s="85"/>
      <c r="F43" s="86"/>
      <c r="G43" s="87"/>
      <c r="H43" s="83"/>
      <c r="I43" s="83"/>
      <c r="J43" s="93"/>
      <c r="K43" s="274"/>
      <c r="L43" s="275"/>
      <c r="M43" s="276"/>
    </row>
    <row r="44" spans="1:13" ht="12" customHeight="1">
      <c r="A44" s="83" t="str">
        <f t="shared" si="2"/>
        <v xml:space="preserve"> </v>
      </c>
      <c r="B44" s="74"/>
      <c r="C44" s="84"/>
      <c r="D44" s="88"/>
      <c r="E44" s="85"/>
      <c r="F44" s="86"/>
      <c r="G44" s="87"/>
      <c r="H44" s="83"/>
      <c r="I44" s="83"/>
      <c r="J44" s="93"/>
      <c r="K44" s="274"/>
      <c r="L44" s="275"/>
      <c r="M44" s="276"/>
    </row>
    <row r="45" spans="1:13" ht="12" customHeight="1">
      <c r="A45" s="83" t="str">
        <f t="shared" si="2"/>
        <v xml:space="preserve"> </v>
      </c>
      <c r="B45" s="74"/>
      <c r="C45" s="84"/>
      <c r="D45" s="88"/>
      <c r="E45" s="85"/>
      <c r="F45" s="86"/>
      <c r="G45" s="87"/>
      <c r="H45" s="83"/>
      <c r="I45" s="83"/>
      <c r="J45" s="93"/>
      <c r="K45" s="274"/>
      <c r="L45" s="275"/>
      <c r="M45" s="276"/>
    </row>
    <row r="46" spans="1:13" ht="12" customHeight="1">
      <c r="A46" s="83" t="str">
        <f t="shared" si="2"/>
        <v xml:space="preserve"> </v>
      </c>
      <c r="B46" s="74"/>
      <c r="C46" s="84"/>
      <c r="D46" s="88"/>
      <c r="E46" s="85"/>
      <c r="F46" s="86"/>
      <c r="G46" s="87"/>
      <c r="H46" s="83"/>
      <c r="I46" s="83"/>
      <c r="J46" s="93"/>
      <c r="K46" s="274"/>
      <c r="L46" s="275"/>
      <c r="M46" s="276"/>
    </row>
    <row r="47" spans="1:13" ht="12" customHeight="1">
      <c r="A47" s="83" t="str">
        <f t="shared" si="2"/>
        <v xml:space="preserve"> </v>
      </c>
      <c r="B47" s="74"/>
      <c r="C47" s="84"/>
      <c r="D47" s="88"/>
      <c r="E47" s="85"/>
      <c r="F47" s="86"/>
      <c r="G47" s="87"/>
      <c r="H47" s="83"/>
      <c r="I47" s="83"/>
      <c r="J47" s="93"/>
      <c r="K47" s="274"/>
      <c r="L47" s="275"/>
      <c r="M47" s="276"/>
    </row>
    <row r="48" spans="1:13" ht="12" customHeight="1">
      <c r="A48" s="83" t="str">
        <f t="shared" si="2"/>
        <v xml:space="preserve"> </v>
      </c>
      <c r="B48" s="74"/>
      <c r="C48" s="84"/>
      <c r="D48" s="88"/>
      <c r="E48" s="85"/>
      <c r="F48" s="86"/>
      <c r="G48" s="87"/>
      <c r="H48" s="83"/>
      <c r="I48" s="83"/>
      <c r="J48" s="93"/>
      <c r="K48" s="274"/>
      <c r="L48" s="275"/>
      <c r="M48" s="276"/>
    </row>
    <row r="49" spans="1:13" ht="12" customHeight="1">
      <c r="A49" s="83" t="str">
        <f t="shared" si="2"/>
        <v xml:space="preserve"> </v>
      </c>
      <c r="B49" s="74"/>
      <c r="C49" s="84"/>
      <c r="D49" s="88"/>
      <c r="E49" s="85"/>
      <c r="F49" s="86"/>
      <c r="G49" s="87"/>
      <c r="H49" s="83"/>
      <c r="I49" s="83"/>
      <c r="J49" s="93"/>
      <c r="K49" s="274"/>
      <c r="L49" s="275"/>
      <c r="M49" s="276"/>
    </row>
    <row r="50" spans="1:13" ht="12" customHeight="1">
      <c r="A50" s="83" t="str">
        <f t="shared" si="2"/>
        <v xml:space="preserve"> </v>
      </c>
      <c r="B50" s="74"/>
      <c r="C50" s="84"/>
      <c r="D50" s="88"/>
      <c r="E50" s="85"/>
      <c r="F50" s="86"/>
      <c r="G50" s="87"/>
      <c r="H50" s="83"/>
      <c r="I50" s="83"/>
      <c r="J50" s="93"/>
      <c r="K50" s="274"/>
      <c r="L50" s="275"/>
      <c r="M50" s="276"/>
    </row>
    <row r="51" spans="1:13" ht="12" customHeight="1">
      <c r="A51" s="83" t="str">
        <f t="shared" si="2"/>
        <v xml:space="preserve"> </v>
      </c>
      <c r="B51" s="74"/>
      <c r="C51" s="84"/>
      <c r="D51" s="88"/>
      <c r="E51" s="85"/>
      <c r="F51" s="86"/>
      <c r="G51" s="87"/>
      <c r="H51" s="83"/>
      <c r="I51" s="83"/>
      <c r="J51" s="93"/>
      <c r="K51" s="274"/>
      <c r="L51" s="275"/>
      <c r="M51" s="276"/>
    </row>
    <row r="52" spans="1:13" ht="12" customHeight="1">
      <c r="A52" s="83" t="str">
        <f t="shared" si="2"/>
        <v xml:space="preserve"> </v>
      </c>
      <c r="B52" s="74"/>
      <c r="C52" s="84"/>
      <c r="D52" s="88"/>
      <c r="E52" s="85"/>
      <c r="F52" s="86"/>
      <c r="G52" s="87"/>
      <c r="H52" s="83"/>
      <c r="I52" s="83"/>
      <c r="J52" s="93"/>
      <c r="K52" s="274"/>
      <c r="L52" s="275"/>
      <c r="M52" s="276"/>
    </row>
    <row r="53" spans="1:13" ht="12" customHeight="1">
      <c r="A53" s="83" t="str">
        <f t="shared" si="2"/>
        <v xml:space="preserve"> </v>
      </c>
      <c r="B53" s="74"/>
      <c r="C53" s="84"/>
      <c r="D53" s="88"/>
      <c r="E53" s="85"/>
      <c r="F53" s="86"/>
      <c r="G53" s="87"/>
      <c r="H53" s="83"/>
      <c r="I53" s="83"/>
      <c r="J53" s="93"/>
      <c r="K53" s="274"/>
      <c r="L53" s="275"/>
      <c r="M53" s="276"/>
    </row>
    <row r="54" spans="1:13" ht="12" customHeight="1">
      <c r="A54" s="83" t="str">
        <f t="shared" si="2"/>
        <v xml:space="preserve"> </v>
      </c>
      <c r="B54" s="74"/>
      <c r="C54" s="84"/>
      <c r="D54" s="88"/>
      <c r="E54" s="85"/>
      <c r="F54" s="86"/>
      <c r="G54" s="87"/>
      <c r="H54" s="83"/>
      <c r="I54" s="83"/>
      <c r="J54" s="93"/>
      <c r="K54" s="274"/>
      <c r="L54" s="275"/>
      <c r="M54" s="276"/>
    </row>
    <row r="55" spans="1:13" ht="12" customHeight="1">
      <c r="A55" s="83" t="str">
        <f t="shared" si="2"/>
        <v xml:space="preserve"> </v>
      </c>
      <c r="B55" s="74"/>
      <c r="C55" s="84"/>
      <c r="D55" s="88"/>
      <c r="E55" s="85"/>
      <c r="F55" s="86"/>
      <c r="G55" s="87"/>
      <c r="H55" s="83"/>
      <c r="I55" s="83"/>
      <c r="J55" s="93"/>
      <c r="K55" s="274"/>
      <c r="L55" s="275"/>
      <c r="M55" s="276"/>
    </row>
    <row r="56" spans="1:13" ht="12" customHeight="1">
      <c r="A56" s="83" t="str">
        <f t="shared" si="2"/>
        <v xml:space="preserve"> </v>
      </c>
      <c r="B56" s="74"/>
      <c r="C56" s="84"/>
      <c r="D56" s="88"/>
      <c r="E56" s="85"/>
      <c r="F56" s="86"/>
      <c r="G56" s="87"/>
      <c r="H56" s="83"/>
      <c r="I56" s="83"/>
      <c r="J56" s="93"/>
      <c r="K56" s="274"/>
      <c r="L56" s="275"/>
      <c r="M56" s="276"/>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si="2"/>
        <v xml:space="preserve"> </v>
      </c>
      <c r="B72" s="74"/>
      <c r="C72" s="84"/>
      <c r="D72" s="88"/>
      <c r="E72" s="85"/>
      <c r="F72" s="86"/>
      <c r="G72" s="87"/>
      <c r="H72" s="83"/>
      <c r="I72" s="83"/>
      <c r="J72" s="93"/>
      <c r="K72" s="84"/>
      <c r="L72" s="94"/>
      <c r="M72" s="95"/>
    </row>
    <row r="73" spans="1:13" ht="12" customHeight="1">
      <c r="A73" s="83" t="str">
        <f t="shared" si="2"/>
        <v xml:space="preserve"> </v>
      </c>
      <c r="B73" s="74"/>
      <c r="C73" s="84"/>
      <c r="D73" s="88"/>
      <c r="E73" s="85"/>
      <c r="F73" s="86"/>
      <c r="G73" s="87"/>
      <c r="H73" s="83"/>
      <c r="I73" s="83"/>
      <c r="J73" s="93"/>
      <c r="K73" s="84"/>
      <c r="L73" s="94"/>
      <c r="M73" s="95"/>
    </row>
    <row r="74" spans="1:13" ht="12" customHeight="1">
      <c r="A74" s="83" t="str">
        <f t="shared" ref="A74:A81" si="3">IF(B74=""," ",A73+1)</f>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ref="A82:A100" si="4">IF(B82=""," ",A81+1)</f>
        <v xml:space="preserve"> </v>
      </c>
      <c r="B82" s="74"/>
      <c r="C82" s="84"/>
      <c r="D82" s="88"/>
      <c r="E82" s="85"/>
      <c r="F82" s="86"/>
      <c r="G82" s="87"/>
      <c r="H82" s="83"/>
      <c r="I82" s="83"/>
      <c r="J82" s="93"/>
      <c r="K82" s="84"/>
      <c r="L82" s="94"/>
      <c r="M82" s="95"/>
    </row>
    <row r="83" spans="1:13" ht="12" customHeight="1">
      <c r="A83" s="83" t="str">
        <f t="shared" si="4"/>
        <v xml:space="preserve"> </v>
      </c>
      <c r="B83" s="74"/>
      <c r="C83" s="84"/>
      <c r="D83" s="88"/>
      <c r="E83" s="85"/>
      <c r="F83" s="86"/>
      <c r="G83" s="87"/>
      <c r="H83" s="83"/>
      <c r="I83" s="83"/>
      <c r="J83" s="93"/>
      <c r="K83" s="84"/>
      <c r="L83" s="94"/>
      <c r="M83" s="95"/>
    </row>
    <row r="84" spans="1:13" ht="12" customHeight="1">
      <c r="A84" s="83" t="str">
        <f t="shared" si="4"/>
        <v xml:space="preserve"> </v>
      </c>
      <c r="B84" s="74"/>
      <c r="C84" s="84"/>
      <c r="D84" s="88"/>
      <c r="E84" s="85"/>
      <c r="F84" s="86"/>
      <c r="G84" s="87"/>
      <c r="H84" s="83"/>
      <c r="I84" s="83"/>
      <c r="J84" s="93"/>
      <c r="K84" s="84"/>
      <c r="L84" s="94"/>
      <c r="M84" s="95"/>
    </row>
    <row r="85" spans="1:13" ht="12" customHeight="1">
      <c r="A85" s="83" t="str">
        <f t="shared" si="4"/>
        <v xml:space="preserve"> </v>
      </c>
      <c r="B85" s="74"/>
      <c r="C85" s="84"/>
      <c r="D85" s="88"/>
      <c r="E85" s="85"/>
      <c r="F85" s="86"/>
      <c r="G85" s="87"/>
      <c r="H85" s="83"/>
      <c r="I85" s="83"/>
      <c r="J85" s="93"/>
      <c r="K85" s="84"/>
      <c r="L85" s="94"/>
      <c r="M85" s="95"/>
    </row>
    <row r="86" spans="1:13" ht="12" customHeight="1">
      <c r="A86" s="83" t="str">
        <f t="shared" si="4"/>
        <v xml:space="preserve"> </v>
      </c>
      <c r="B86" s="74"/>
      <c r="C86" s="84"/>
      <c r="D86" s="88"/>
      <c r="E86" s="85"/>
      <c r="F86" s="86"/>
      <c r="G86" s="87"/>
      <c r="H86" s="83"/>
      <c r="I86" s="83"/>
      <c r="J86" s="93"/>
      <c r="K86" s="84"/>
      <c r="L86" s="94"/>
      <c r="M86" s="95"/>
    </row>
    <row r="87" spans="1:13" ht="12" customHeight="1">
      <c r="A87" s="83" t="str">
        <f t="shared" si="4"/>
        <v xml:space="preserve"> </v>
      </c>
      <c r="B87" s="74"/>
      <c r="C87" s="84"/>
      <c r="D87" s="88"/>
      <c r="E87" s="85"/>
      <c r="F87" s="86"/>
      <c r="G87" s="87"/>
      <c r="H87" s="83"/>
      <c r="I87" s="83"/>
      <c r="J87" s="93"/>
      <c r="K87" s="84"/>
      <c r="L87" s="94"/>
      <c r="M87" s="95"/>
    </row>
    <row r="88" spans="1:13" ht="12" customHeight="1">
      <c r="A88" s="83" t="str">
        <f t="shared" si="4"/>
        <v xml:space="preserve"> </v>
      </c>
      <c r="B88" s="74"/>
      <c r="C88" s="84"/>
      <c r="D88" s="88"/>
      <c r="E88" s="85"/>
      <c r="F88" s="86"/>
      <c r="G88" s="87"/>
      <c r="H88" s="83"/>
      <c r="I88" s="83"/>
      <c r="J88" s="93"/>
      <c r="K88" s="84"/>
      <c r="L88" s="94"/>
      <c r="M88" s="95"/>
    </row>
    <row r="89" spans="1:13" ht="12" customHeight="1">
      <c r="A89" s="83" t="str">
        <f t="shared" si="4"/>
        <v xml:space="preserve"> </v>
      </c>
      <c r="B89" s="74"/>
      <c r="C89" s="84"/>
      <c r="D89" s="88"/>
      <c r="E89" s="85"/>
      <c r="F89" s="86"/>
      <c r="G89" s="87"/>
      <c r="H89" s="83"/>
      <c r="I89" s="83"/>
      <c r="J89" s="93"/>
      <c r="K89" s="84"/>
      <c r="L89" s="94"/>
      <c r="M89" s="95"/>
    </row>
    <row r="90" spans="1:13" ht="12" customHeight="1">
      <c r="A90" s="83" t="str">
        <f t="shared" si="4"/>
        <v xml:space="preserve"> </v>
      </c>
      <c r="B90" s="74"/>
      <c r="C90" s="84"/>
      <c r="D90" s="88"/>
      <c r="E90" s="85"/>
      <c r="F90" s="86"/>
      <c r="G90" s="87"/>
      <c r="H90" s="83"/>
      <c r="I90" s="83"/>
      <c r="J90" s="93"/>
      <c r="K90" s="84"/>
      <c r="L90" s="94"/>
      <c r="M90" s="95"/>
    </row>
    <row r="91" spans="1:13" ht="12" customHeight="1">
      <c r="A91" s="83" t="str">
        <f t="shared" si="4"/>
        <v xml:space="preserve"> </v>
      </c>
      <c r="B91" s="74"/>
      <c r="C91" s="84"/>
      <c r="D91" s="88"/>
      <c r="E91" s="85"/>
      <c r="F91" s="86"/>
      <c r="G91" s="87"/>
      <c r="H91" s="83"/>
      <c r="I91" s="83"/>
      <c r="J91" s="93"/>
      <c r="K91" s="84"/>
      <c r="L91" s="94"/>
      <c r="M91" s="95"/>
    </row>
    <row r="92" spans="1:13" ht="12" customHeight="1">
      <c r="A92" s="83" t="str">
        <f t="shared" si="4"/>
        <v xml:space="preserve"> </v>
      </c>
      <c r="B92" s="74"/>
      <c r="C92" s="84"/>
      <c r="D92" s="88"/>
      <c r="E92" s="85"/>
      <c r="F92" s="86"/>
      <c r="G92" s="87"/>
      <c r="H92" s="83"/>
      <c r="I92" s="83"/>
      <c r="J92" s="93"/>
      <c r="K92" s="84"/>
      <c r="L92" s="94"/>
      <c r="M92" s="95"/>
    </row>
    <row r="93" spans="1:13" ht="12" customHeight="1">
      <c r="A93" s="83" t="str">
        <f t="shared" si="4"/>
        <v xml:space="preserve"> </v>
      </c>
      <c r="B93" s="74"/>
      <c r="C93" s="84"/>
      <c r="D93" s="88"/>
      <c r="E93" s="85"/>
      <c r="F93" s="86"/>
      <c r="G93" s="87"/>
      <c r="H93" s="83"/>
      <c r="I93" s="83"/>
      <c r="J93" s="93"/>
      <c r="K93" s="84"/>
      <c r="L93" s="94"/>
      <c r="M93" s="95"/>
    </row>
    <row r="94" spans="1:13" ht="12" customHeight="1">
      <c r="A94" s="83" t="str">
        <f t="shared" si="4"/>
        <v xml:space="preserve"> </v>
      </c>
      <c r="B94" s="74"/>
      <c r="C94" s="84"/>
      <c r="D94" s="88"/>
      <c r="E94" s="85"/>
      <c r="F94" s="86"/>
      <c r="G94" s="87"/>
      <c r="H94" s="83"/>
      <c r="I94" s="83"/>
      <c r="J94" s="93"/>
      <c r="K94" s="84"/>
      <c r="L94" s="94"/>
      <c r="M94" s="95"/>
    </row>
    <row r="95" spans="1:13" ht="12" customHeight="1">
      <c r="A95" s="83" t="str">
        <f t="shared" si="4"/>
        <v xml:space="preserve"> </v>
      </c>
      <c r="B95" s="74"/>
      <c r="C95" s="84"/>
      <c r="D95" s="88"/>
      <c r="E95" s="85"/>
      <c r="F95" s="86"/>
      <c r="G95" s="87"/>
      <c r="H95" s="83"/>
      <c r="I95" s="83"/>
      <c r="J95" s="93"/>
      <c r="K95" s="84"/>
      <c r="L95" s="94"/>
      <c r="M95" s="95"/>
    </row>
    <row r="96" spans="1:13"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 t="shared" si="4"/>
        <v xml:space="preserve"> </v>
      </c>
      <c r="B99" s="74"/>
      <c r="C99" s="84"/>
      <c r="D99" s="88"/>
      <c r="E99" s="85"/>
      <c r="F99" s="86"/>
      <c r="G99" s="87"/>
      <c r="H99" s="83"/>
      <c r="I99" s="83"/>
      <c r="J99" s="93"/>
      <c r="K99" s="84"/>
      <c r="L99" s="94"/>
      <c r="M99" s="95"/>
    </row>
    <row r="100" spans="1:13" ht="12" customHeight="1">
      <c r="A100" s="83" t="str">
        <f t="shared" si="4"/>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238</v>
      </c>
    </row>
    <row r="108" spans="1:13">
      <c r="B108" s="75" t="s">
        <v>239</v>
      </c>
      <c r="C108" s="75" t="s">
        <v>240</v>
      </c>
    </row>
    <row r="109" spans="1:13">
      <c r="C109" s="75" t="s">
        <v>241</v>
      </c>
    </row>
  </sheetData>
  <mergeCells count="64">
    <mergeCell ref="K5:M6"/>
    <mergeCell ref="K52:M52"/>
    <mergeCell ref="K53:M53"/>
    <mergeCell ref="K54:M54"/>
    <mergeCell ref="K55:M55"/>
    <mergeCell ref="K56:M56"/>
    <mergeCell ref="K47:M47"/>
    <mergeCell ref="K48:M48"/>
    <mergeCell ref="K49:M49"/>
    <mergeCell ref="K50:M50"/>
    <mergeCell ref="K51:M51"/>
    <mergeCell ref="K42:M42"/>
    <mergeCell ref="K43:M43"/>
    <mergeCell ref="K44:M44"/>
    <mergeCell ref="K45:M45"/>
    <mergeCell ref="K46:M46"/>
    <mergeCell ref="K37:M37"/>
    <mergeCell ref="K38:M38"/>
    <mergeCell ref="K39:M39"/>
    <mergeCell ref="K40:M40"/>
    <mergeCell ref="K41:M41"/>
    <mergeCell ref="K32:M32"/>
    <mergeCell ref="K33:M33"/>
    <mergeCell ref="K34:M34"/>
    <mergeCell ref="K35:M35"/>
    <mergeCell ref="K36:M36"/>
    <mergeCell ref="K27:M27"/>
    <mergeCell ref="K28:M28"/>
    <mergeCell ref="K29:M29"/>
    <mergeCell ref="K30:M30"/>
    <mergeCell ref="K31:M31"/>
    <mergeCell ref="K22:M22"/>
    <mergeCell ref="K23:M23"/>
    <mergeCell ref="K24:M24"/>
    <mergeCell ref="K25:M25"/>
    <mergeCell ref="K26:M26"/>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5:A6"/>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Q115"/>
  <sheetViews>
    <sheetView showGridLines="0" workbookViewId="0">
      <pane ySplit="6" topLeftCell="A27" activePane="bottomLeft" state="frozen"/>
      <selection pane="bottomLeft" activeCell="B97" sqref="B97"/>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242</v>
      </c>
      <c r="D3" s="265"/>
      <c r="E3" s="265"/>
      <c r="F3" s="265"/>
      <c r="G3" s="266"/>
      <c r="H3" s="259" t="s">
        <v>140</v>
      </c>
      <c r="I3" s="260"/>
      <c r="J3" s="90">
        <f>COUNT(A7:A100)</f>
        <v>89</v>
      </c>
      <c r="K3" s="78" t="s">
        <v>141</v>
      </c>
      <c r="L3" s="91">
        <v>38644</v>
      </c>
      <c r="M3" s="92" t="s">
        <v>142</v>
      </c>
      <c r="O3" s="75" t="s">
        <v>143</v>
      </c>
      <c r="P3" s="75" t="s">
        <v>144</v>
      </c>
    </row>
    <row r="4" spans="1:16" ht="12" customHeight="1">
      <c r="A4" s="267" t="s">
        <v>145</v>
      </c>
      <c r="B4" s="268"/>
      <c r="C4" s="267" t="s">
        <v>12</v>
      </c>
      <c r="D4" s="269"/>
      <c r="E4" s="269"/>
      <c r="F4" s="269"/>
      <c r="G4" s="268"/>
      <c r="H4" s="259" t="s">
        <v>146</v>
      </c>
      <c r="I4" s="260"/>
      <c r="J4" s="90">
        <f>SUM(G7:G100)</f>
        <v>1080</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22" t="s">
        <v>163</v>
      </c>
      <c r="D7" s="30" t="s">
        <v>164</v>
      </c>
      <c r="E7" s="85"/>
      <c r="F7" s="86"/>
      <c r="G7" s="87">
        <f>IF(D7="DATE",4,IF(D7="CHAR",E7,IF(D7="SMALLINT",2,IF(D7="INTEGER",4,IF(D7="TIMESTAMP",10,IF(D7="TIME",3,0))))))</f>
        <v>4</v>
      </c>
      <c r="H7" s="83" t="s">
        <v>149</v>
      </c>
      <c r="I7" s="83" t="s">
        <v>149</v>
      </c>
      <c r="J7" s="93"/>
      <c r="K7" s="271"/>
      <c r="L7" s="272"/>
      <c r="M7" s="273"/>
      <c r="P7" s="75" t="s">
        <v>165</v>
      </c>
    </row>
    <row r="8" spans="1:16" ht="12" customHeight="1">
      <c r="A8" s="83">
        <f t="shared" ref="A8:A29" si="0">IF(B8=""," ",A7+1)</f>
        <v>2</v>
      </c>
      <c r="B8" s="11" t="s">
        <v>166</v>
      </c>
      <c r="C8" s="22" t="s">
        <v>167</v>
      </c>
      <c r="D8" s="30" t="s">
        <v>150</v>
      </c>
      <c r="E8" s="85">
        <v>11</v>
      </c>
      <c r="F8" s="86"/>
      <c r="G8" s="87">
        <f>IF(D8="DATE",4,IF(D8="CHAR",E8,IF(D8="SMALLINT",2,IF(D8="INTEGER",4,IF(D8="TIMESTAMP",10,IF(D8="TIME",3,0))))))</f>
        <v>11</v>
      </c>
      <c r="H8" s="83" t="s">
        <v>149</v>
      </c>
      <c r="I8" s="83" t="s">
        <v>149</v>
      </c>
      <c r="J8" s="93"/>
      <c r="K8" s="271"/>
      <c r="L8" s="272"/>
      <c r="M8" s="273"/>
      <c r="P8" s="75" t="s">
        <v>168</v>
      </c>
    </row>
    <row r="9" spans="1:16" ht="27" customHeight="1">
      <c r="A9" s="83">
        <f t="shared" si="0"/>
        <v>3</v>
      </c>
      <c r="B9" s="11" t="s">
        <v>169</v>
      </c>
      <c r="C9" s="19" t="s">
        <v>170</v>
      </c>
      <c r="D9" s="88" t="s">
        <v>150</v>
      </c>
      <c r="E9" s="85">
        <v>1</v>
      </c>
      <c r="F9" s="86"/>
      <c r="G9" s="87">
        <f>IF(D9="DATE",4,IF(D9="CHAR",E9,IF(D9="SMALLINT",2,IF(D9="INTEGER",4,IF(D9="TIMESTAMP",10,IF(D9="TIME",3,0))))))</f>
        <v>1</v>
      </c>
      <c r="H9" s="83" t="s">
        <v>149</v>
      </c>
      <c r="I9" s="83"/>
      <c r="J9" s="93"/>
      <c r="K9" s="271" t="s">
        <v>171</v>
      </c>
      <c r="L9" s="272"/>
      <c r="M9" s="273"/>
    </row>
    <row r="10" spans="1:16" ht="12" customHeight="1">
      <c r="A10" s="83">
        <f t="shared" si="0"/>
        <v>4</v>
      </c>
      <c r="B10" s="11" t="s">
        <v>172</v>
      </c>
      <c r="C10" s="22" t="s">
        <v>173</v>
      </c>
      <c r="D10" s="13" t="s">
        <v>174</v>
      </c>
      <c r="E10" s="85"/>
      <c r="F10" s="86"/>
      <c r="G10" s="87">
        <f>IF(D10="DATE",4,IF(D10="CHAR",E10,IF(D10="SMALLINT",2,IF(D10="INTEGER",4,IF(D10="TIMESTAMP",10,IF(D10="TIME",3,0))))))</f>
        <v>2</v>
      </c>
      <c r="H10" s="83" t="s">
        <v>149</v>
      </c>
      <c r="I10" s="83" t="s">
        <v>149</v>
      </c>
      <c r="J10" s="93"/>
      <c r="K10" s="277" t="s">
        <v>175</v>
      </c>
      <c r="L10" s="278"/>
      <c r="M10" s="279"/>
      <c r="P10" s="75" t="s">
        <v>164</v>
      </c>
    </row>
    <row r="11" spans="1:16" ht="12" customHeight="1">
      <c r="A11" s="83">
        <f t="shared" si="0"/>
        <v>5</v>
      </c>
      <c r="B11" s="11" t="s">
        <v>243</v>
      </c>
      <c r="C11" s="84" t="s">
        <v>244</v>
      </c>
      <c r="D11" s="88" t="s">
        <v>150</v>
      </c>
      <c r="E11" s="85">
        <v>7</v>
      </c>
      <c r="F11" s="86"/>
      <c r="G11" s="87">
        <f t="shared" ref="G11:G76" si="1">IF(D11="DATE",4,IF(D11="CHAR",E11,IF(D11="SMALLINT",2,IF(D11="INTEGER",4,IF(D11="TIMESTAMP",10,IF(D11="TIME",3,0))))))</f>
        <v>7</v>
      </c>
      <c r="H11" s="83" t="s">
        <v>149</v>
      </c>
      <c r="I11" s="83"/>
      <c r="J11" s="93"/>
      <c r="K11" s="274"/>
      <c r="L11" s="275"/>
      <c r="M11" s="276"/>
    </row>
    <row r="12" spans="1:16" ht="12" customHeight="1">
      <c r="A12" s="83">
        <f t="shared" si="0"/>
        <v>6</v>
      </c>
      <c r="B12" s="11" t="s">
        <v>245</v>
      </c>
      <c r="C12" s="84" t="s">
        <v>246</v>
      </c>
      <c r="D12" s="88" t="s">
        <v>150</v>
      </c>
      <c r="E12" s="85">
        <v>4</v>
      </c>
      <c r="F12" s="86"/>
      <c r="G12" s="87">
        <f t="shared" si="1"/>
        <v>4</v>
      </c>
      <c r="H12" s="83" t="s">
        <v>149</v>
      </c>
      <c r="I12" s="83"/>
      <c r="J12" s="93"/>
      <c r="K12" s="274"/>
      <c r="L12" s="275"/>
      <c r="M12" s="276"/>
    </row>
    <row r="13" spans="1:16" ht="32.25" customHeight="1">
      <c r="A13" s="83">
        <f t="shared" si="0"/>
        <v>7</v>
      </c>
      <c r="B13" s="11" t="s">
        <v>247</v>
      </c>
      <c r="C13" s="84" t="s">
        <v>248</v>
      </c>
      <c r="D13" s="88" t="s">
        <v>150</v>
      </c>
      <c r="E13" s="85">
        <v>2</v>
      </c>
      <c r="F13" s="86"/>
      <c r="G13" s="87">
        <f t="shared" si="1"/>
        <v>2</v>
      </c>
      <c r="H13" s="83" t="s">
        <v>149</v>
      </c>
      <c r="I13" s="83"/>
      <c r="J13" s="93"/>
      <c r="K13" s="280" t="s">
        <v>249</v>
      </c>
      <c r="L13" s="291"/>
      <c r="M13" s="292"/>
    </row>
    <row r="14" spans="1:16" ht="30.75" customHeight="1">
      <c r="A14" s="83">
        <f t="shared" si="0"/>
        <v>8</v>
      </c>
      <c r="B14" s="11" t="s">
        <v>250</v>
      </c>
      <c r="C14" s="84" t="s">
        <v>251</v>
      </c>
      <c r="D14" s="88" t="s">
        <v>150</v>
      </c>
      <c r="E14" s="85">
        <v>2</v>
      </c>
      <c r="F14" s="86"/>
      <c r="G14" s="87">
        <f t="shared" si="1"/>
        <v>2</v>
      </c>
      <c r="H14" s="83" t="s">
        <v>149</v>
      </c>
      <c r="I14" s="83"/>
      <c r="J14" s="93"/>
      <c r="K14" s="280" t="s">
        <v>252</v>
      </c>
      <c r="L14" s="291"/>
      <c r="M14" s="292"/>
    </row>
    <row r="15" spans="1:16" ht="12" customHeight="1">
      <c r="A15" s="83">
        <f t="shared" si="0"/>
        <v>9</v>
      </c>
      <c r="B15" s="11" t="s">
        <v>253</v>
      </c>
      <c r="C15" s="84" t="s">
        <v>254</v>
      </c>
      <c r="D15" s="88" t="s">
        <v>150</v>
      </c>
      <c r="E15" s="85">
        <v>40</v>
      </c>
      <c r="F15" s="86"/>
      <c r="G15" s="87">
        <f t="shared" si="1"/>
        <v>40</v>
      </c>
      <c r="H15" s="83" t="s">
        <v>149</v>
      </c>
      <c r="I15" s="83"/>
      <c r="J15" s="93"/>
      <c r="K15" s="274"/>
      <c r="L15" s="275"/>
      <c r="M15" s="276"/>
    </row>
    <row r="16" spans="1:16" ht="12" customHeight="1">
      <c r="A16" s="83">
        <f t="shared" si="0"/>
        <v>10</v>
      </c>
      <c r="B16" s="11" t="s">
        <v>255</v>
      </c>
      <c r="C16" s="84" t="s">
        <v>256</v>
      </c>
      <c r="D16" s="88" t="s">
        <v>150</v>
      </c>
      <c r="E16" s="85">
        <v>3</v>
      </c>
      <c r="F16" s="86"/>
      <c r="G16" s="87">
        <f t="shared" si="1"/>
        <v>3</v>
      </c>
      <c r="H16" s="83" t="s">
        <v>149</v>
      </c>
      <c r="I16" s="83"/>
      <c r="J16" s="93"/>
      <c r="K16" s="274"/>
      <c r="L16" s="275"/>
      <c r="M16" s="276"/>
      <c r="N16" s="123"/>
    </row>
    <row r="17" spans="1:14" ht="12" customHeight="1">
      <c r="A17" s="83">
        <f t="shared" si="0"/>
        <v>11</v>
      </c>
      <c r="B17" s="11" t="s">
        <v>257</v>
      </c>
      <c r="C17" s="84" t="s">
        <v>258</v>
      </c>
      <c r="D17" s="88" t="s">
        <v>150</v>
      </c>
      <c r="E17" s="85">
        <v>30</v>
      </c>
      <c r="F17" s="86"/>
      <c r="G17" s="87">
        <f t="shared" si="1"/>
        <v>30</v>
      </c>
      <c r="H17" s="83" t="s">
        <v>149</v>
      </c>
      <c r="I17" s="83"/>
      <c r="J17" s="93"/>
      <c r="K17" s="274"/>
      <c r="L17" s="275"/>
      <c r="M17" s="276"/>
      <c r="N17" s="123"/>
    </row>
    <row r="18" spans="1:14" ht="12" customHeight="1">
      <c r="A18" s="83">
        <f t="shared" si="0"/>
        <v>12</v>
      </c>
      <c r="B18" s="11" t="s">
        <v>259</v>
      </c>
      <c r="C18" s="84" t="s">
        <v>260</v>
      </c>
      <c r="D18" s="88" t="s">
        <v>150</v>
      </c>
      <c r="E18" s="85">
        <v>8</v>
      </c>
      <c r="F18" s="86"/>
      <c r="G18" s="87">
        <f t="shared" si="1"/>
        <v>8</v>
      </c>
      <c r="H18" s="83" t="s">
        <v>149</v>
      </c>
      <c r="I18" s="83"/>
      <c r="J18" s="93"/>
      <c r="K18" s="274"/>
      <c r="L18" s="275"/>
      <c r="M18" s="276"/>
      <c r="N18" s="123"/>
    </row>
    <row r="19" spans="1:14" ht="12" customHeight="1">
      <c r="A19" s="83">
        <f t="shared" si="0"/>
        <v>13</v>
      </c>
      <c r="B19" s="11" t="s">
        <v>261</v>
      </c>
      <c r="C19" s="84" t="s">
        <v>262</v>
      </c>
      <c r="D19" s="88" t="s">
        <v>150</v>
      </c>
      <c r="E19" s="85">
        <v>40</v>
      </c>
      <c r="F19" s="86"/>
      <c r="G19" s="87">
        <f t="shared" si="1"/>
        <v>40</v>
      </c>
      <c r="H19" s="83" t="s">
        <v>149</v>
      </c>
      <c r="I19" s="83"/>
      <c r="J19" s="93"/>
      <c r="K19" s="274"/>
      <c r="L19" s="275"/>
      <c r="M19" s="276"/>
      <c r="N19" s="123"/>
    </row>
    <row r="20" spans="1:14" ht="12" customHeight="1">
      <c r="A20" s="83">
        <f t="shared" si="0"/>
        <v>14</v>
      </c>
      <c r="B20" s="11" t="s">
        <v>263</v>
      </c>
      <c r="C20" s="84" t="s">
        <v>264</v>
      </c>
      <c r="D20" s="88" t="s">
        <v>150</v>
      </c>
      <c r="E20" s="85">
        <v>8</v>
      </c>
      <c r="F20" s="86"/>
      <c r="G20" s="87">
        <f t="shared" si="1"/>
        <v>8</v>
      </c>
      <c r="H20" s="83" t="s">
        <v>149</v>
      </c>
      <c r="I20" s="83"/>
      <c r="J20" s="93"/>
      <c r="K20" s="274"/>
      <c r="L20" s="275"/>
      <c r="M20" s="276"/>
      <c r="N20" s="123"/>
    </row>
    <row r="21" spans="1:14" ht="12" customHeight="1">
      <c r="A21" s="83">
        <f t="shared" si="0"/>
        <v>15</v>
      </c>
      <c r="B21" s="11" t="s">
        <v>265</v>
      </c>
      <c r="C21" s="84" t="s">
        <v>266</v>
      </c>
      <c r="D21" s="88" t="s">
        <v>150</v>
      </c>
      <c r="E21" s="85">
        <v>40</v>
      </c>
      <c r="F21" s="86"/>
      <c r="G21" s="87">
        <f t="shared" si="1"/>
        <v>40</v>
      </c>
      <c r="H21" s="83" t="s">
        <v>149</v>
      </c>
      <c r="I21" s="83"/>
      <c r="J21" s="93"/>
      <c r="K21" s="274"/>
      <c r="L21" s="275"/>
      <c r="M21" s="276"/>
      <c r="N21" s="123"/>
    </row>
    <row r="22" spans="1:14" ht="12" customHeight="1">
      <c r="A22" s="83">
        <f t="shared" si="0"/>
        <v>16</v>
      </c>
      <c r="B22" s="11" t="s">
        <v>267</v>
      </c>
      <c r="C22" s="84" t="s">
        <v>268</v>
      </c>
      <c r="D22" s="88" t="s">
        <v>150</v>
      </c>
      <c r="E22" s="85">
        <v>8</v>
      </c>
      <c r="F22" s="86"/>
      <c r="G22" s="87">
        <f t="shared" si="1"/>
        <v>8</v>
      </c>
      <c r="H22" s="83" t="s">
        <v>149</v>
      </c>
      <c r="I22" s="83"/>
      <c r="J22" s="93"/>
      <c r="K22" s="274"/>
      <c r="L22" s="275"/>
      <c r="M22" s="276"/>
      <c r="N22" s="123"/>
    </row>
    <row r="23" spans="1:14" ht="12" customHeight="1">
      <c r="A23" s="83">
        <f t="shared" si="0"/>
        <v>17</v>
      </c>
      <c r="B23" s="11" t="s">
        <v>269</v>
      </c>
      <c r="C23" s="84" t="s">
        <v>270</v>
      </c>
      <c r="D23" s="88" t="s">
        <v>150</v>
      </c>
      <c r="E23" s="85">
        <v>40</v>
      </c>
      <c r="F23" s="86"/>
      <c r="G23" s="87">
        <f t="shared" si="1"/>
        <v>40</v>
      </c>
      <c r="H23" s="83" t="s">
        <v>149</v>
      </c>
      <c r="I23" s="83"/>
      <c r="J23" s="93"/>
      <c r="K23" s="274"/>
      <c r="L23" s="275"/>
      <c r="M23" s="276"/>
      <c r="N23" s="123"/>
    </row>
    <row r="24" spans="1:14" ht="12" customHeight="1">
      <c r="A24" s="83">
        <f t="shared" si="0"/>
        <v>18</v>
      </c>
      <c r="B24" s="11" t="s">
        <v>271</v>
      </c>
      <c r="C24" s="84" t="s">
        <v>272</v>
      </c>
      <c r="D24" s="88" t="s">
        <v>150</v>
      </c>
      <c r="E24" s="85">
        <v>40</v>
      </c>
      <c r="F24" s="86"/>
      <c r="G24" s="87">
        <f t="shared" si="1"/>
        <v>40</v>
      </c>
      <c r="H24" s="83" t="s">
        <v>149</v>
      </c>
      <c r="I24" s="83"/>
      <c r="J24" s="93"/>
      <c r="K24" s="274"/>
      <c r="L24" s="275"/>
      <c r="M24" s="276"/>
      <c r="N24" s="123"/>
    </row>
    <row r="25" spans="1:14" ht="12" customHeight="1">
      <c r="A25" s="83">
        <f t="shared" si="0"/>
        <v>19</v>
      </c>
      <c r="B25" s="11" t="s">
        <v>273</v>
      </c>
      <c r="C25" s="84" t="s">
        <v>274</v>
      </c>
      <c r="D25" s="88" t="s">
        <v>150</v>
      </c>
      <c r="E25" s="85">
        <v>15</v>
      </c>
      <c r="F25" s="86"/>
      <c r="G25" s="87">
        <f t="shared" si="1"/>
        <v>15</v>
      </c>
      <c r="H25" s="83" t="s">
        <v>149</v>
      </c>
      <c r="I25" s="83"/>
      <c r="J25" s="93"/>
      <c r="K25" s="274"/>
      <c r="L25" s="275"/>
      <c r="M25" s="276"/>
      <c r="N25" s="123"/>
    </row>
    <row r="26" spans="1:14" ht="79.5" customHeight="1">
      <c r="A26" s="83">
        <f t="shared" si="0"/>
        <v>20</v>
      </c>
      <c r="B26" s="11" t="s">
        <v>275</v>
      </c>
      <c r="C26" s="84" t="s">
        <v>276</v>
      </c>
      <c r="D26" s="88" t="s">
        <v>150</v>
      </c>
      <c r="E26" s="85">
        <v>60</v>
      </c>
      <c r="F26" s="86"/>
      <c r="G26" s="87">
        <f t="shared" si="1"/>
        <v>60</v>
      </c>
      <c r="H26" s="83" t="s">
        <v>149</v>
      </c>
      <c r="I26" s="83"/>
      <c r="J26" s="93"/>
      <c r="K26" s="293" t="s">
        <v>277</v>
      </c>
      <c r="L26" s="294"/>
      <c r="M26" s="295"/>
      <c r="N26" s="123"/>
    </row>
    <row r="27" spans="1:14" ht="62.25" customHeight="1">
      <c r="A27" s="83">
        <f t="shared" si="0"/>
        <v>21</v>
      </c>
      <c r="B27" s="11" t="s">
        <v>278</v>
      </c>
      <c r="C27" s="84" t="s">
        <v>279</v>
      </c>
      <c r="D27" s="88" t="s">
        <v>150</v>
      </c>
      <c r="E27" s="85">
        <v>30</v>
      </c>
      <c r="F27" s="86"/>
      <c r="G27" s="87">
        <f t="shared" si="1"/>
        <v>30</v>
      </c>
      <c r="H27" s="83" t="s">
        <v>149</v>
      </c>
      <c r="I27" s="83"/>
      <c r="J27" s="93"/>
      <c r="K27" s="293" t="s">
        <v>280</v>
      </c>
      <c r="L27" s="294"/>
      <c r="M27" s="295"/>
      <c r="N27" s="123"/>
    </row>
    <row r="28" spans="1:14" ht="46.5" customHeight="1">
      <c r="A28" s="83">
        <f t="shared" si="0"/>
        <v>22</v>
      </c>
      <c r="B28" s="11" t="s">
        <v>281</v>
      </c>
      <c r="C28" s="84" t="s">
        <v>282</v>
      </c>
      <c r="D28" s="88" t="s">
        <v>150</v>
      </c>
      <c r="E28" s="85">
        <v>60</v>
      </c>
      <c r="F28" s="86"/>
      <c r="G28" s="87">
        <f t="shared" si="1"/>
        <v>60</v>
      </c>
      <c r="H28" s="83" t="s">
        <v>149</v>
      </c>
      <c r="I28" s="83"/>
      <c r="J28" s="93"/>
      <c r="K28" s="296" t="s">
        <v>283</v>
      </c>
      <c r="L28" s="297"/>
      <c r="M28" s="298"/>
      <c r="N28" s="123"/>
    </row>
    <row r="29" spans="1:14" ht="39" customHeight="1">
      <c r="A29" s="83">
        <f t="shared" si="0"/>
        <v>23</v>
      </c>
      <c r="B29" s="11" t="s">
        <v>284</v>
      </c>
      <c r="C29" s="84" t="s">
        <v>285</v>
      </c>
      <c r="D29" s="88" t="s">
        <v>150</v>
      </c>
      <c r="E29" s="85">
        <v>5</v>
      </c>
      <c r="F29" s="86"/>
      <c r="G29" s="87">
        <f t="shared" si="1"/>
        <v>5</v>
      </c>
      <c r="H29" s="83" t="s">
        <v>149</v>
      </c>
      <c r="I29" s="83"/>
      <c r="J29" s="93"/>
      <c r="K29" s="274"/>
      <c r="L29" s="275"/>
      <c r="M29" s="276"/>
      <c r="N29" s="123"/>
    </row>
    <row r="30" spans="1:14" ht="12" customHeight="1">
      <c r="A30" s="83">
        <f t="shared" ref="A30:A63" si="2">IF(B30=""," ",A29+1)</f>
        <v>24</v>
      </c>
      <c r="B30" s="11" t="s">
        <v>286</v>
      </c>
      <c r="C30" s="84" t="s">
        <v>287</v>
      </c>
      <c r="D30" s="88" t="s">
        <v>150</v>
      </c>
      <c r="E30" s="85">
        <v>5</v>
      </c>
      <c r="F30" s="86"/>
      <c r="G30" s="87">
        <f t="shared" si="1"/>
        <v>5</v>
      </c>
      <c r="H30" s="83" t="s">
        <v>149</v>
      </c>
      <c r="I30" s="83"/>
      <c r="J30" s="93"/>
      <c r="K30" s="274"/>
      <c r="L30" s="275"/>
      <c r="M30" s="276"/>
      <c r="N30" s="123"/>
    </row>
    <row r="31" spans="1:14" ht="12" customHeight="1">
      <c r="A31" s="83">
        <f t="shared" si="2"/>
        <v>25</v>
      </c>
      <c r="B31" s="11" t="s">
        <v>288</v>
      </c>
      <c r="C31" s="84" t="s">
        <v>289</v>
      </c>
      <c r="D31" s="88" t="s">
        <v>150</v>
      </c>
      <c r="E31" s="85">
        <v>1</v>
      </c>
      <c r="F31" s="86"/>
      <c r="G31" s="87">
        <f t="shared" si="1"/>
        <v>1</v>
      </c>
      <c r="H31" s="83" t="s">
        <v>149</v>
      </c>
      <c r="I31" s="83"/>
      <c r="J31" s="93"/>
      <c r="K31" s="274" t="s">
        <v>290</v>
      </c>
      <c r="L31" s="275"/>
      <c r="M31" s="276"/>
      <c r="N31" s="123"/>
    </row>
    <row r="32" spans="1:14" ht="12" customHeight="1">
      <c r="A32" s="83">
        <f t="shared" si="2"/>
        <v>26</v>
      </c>
      <c r="B32" s="73" t="s">
        <v>291</v>
      </c>
      <c r="C32" s="84" t="s">
        <v>292</v>
      </c>
      <c r="D32" s="88" t="s">
        <v>150</v>
      </c>
      <c r="E32" s="85">
        <v>1</v>
      </c>
      <c r="F32" s="86"/>
      <c r="G32" s="87">
        <f t="shared" si="1"/>
        <v>1</v>
      </c>
      <c r="H32" s="83" t="s">
        <v>149</v>
      </c>
      <c r="I32" s="83"/>
      <c r="J32" s="93"/>
      <c r="K32" s="280" t="s">
        <v>293</v>
      </c>
      <c r="L32" s="291"/>
      <c r="M32" s="292"/>
      <c r="N32" s="123"/>
    </row>
    <row r="33" spans="1:16" ht="27" customHeight="1">
      <c r="A33" s="83">
        <f t="shared" si="2"/>
        <v>27</v>
      </c>
      <c r="B33" s="11" t="s">
        <v>294</v>
      </c>
      <c r="C33" s="84" t="s">
        <v>295</v>
      </c>
      <c r="D33" s="88" t="s">
        <v>150</v>
      </c>
      <c r="E33" s="85">
        <v>8</v>
      </c>
      <c r="F33" s="86"/>
      <c r="G33" s="87">
        <f t="shared" si="1"/>
        <v>8</v>
      </c>
      <c r="H33" s="83" t="s">
        <v>149</v>
      </c>
      <c r="I33" s="83"/>
      <c r="J33" s="93"/>
      <c r="K33" s="280" t="s">
        <v>296</v>
      </c>
      <c r="L33" s="291"/>
      <c r="M33" s="292"/>
      <c r="N33" s="122"/>
      <c r="O33" s="99"/>
      <c r="P33" s="99"/>
    </row>
    <row r="34" spans="1:16" ht="27.75" customHeight="1">
      <c r="A34" s="83">
        <f t="shared" si="2"/>
        <v>28</v>
      </c>
      <c r="B34" s="11" t="s">
        <v>297</v>
      </c>
      <c r="C34" s="84" t="s">
        <v>298</v>
      </c>
      <c r="D34" s="88" t="s">
        <v>150</v>
      </c>
      <c r="E34" s="85">
        <v>1</v>
      </c>
      <c r="F34" s="86"/>
      <c r="G34" s="87">
        <f t="shared" si="1"/>
        <v>1</v>
      </c>
      <c r="H34" s="83" t="s">
        <v>149</v>
      </c>
      <c r="I34" s="83"/>
      <c r="J34" s="93"/>
      <c r="K34" s="299" t="s">
        <v>299</v>
      </c>
      <c r="L34" s="300"/>
      <c r="M34" s="301"/>
      <c r="N34" s="123"/>
    </row>
    <row r="35" spans="1:16" ht="27.75" customHeight="1">
      <c r="A35" s="83">
        <f t="shared" si="2"/>
        <v>29</v>
      </c>
      <c r="B35" s="11" t="s">
        <v>300</v>
      </c>
      <c r="C35" s="84" t="s">
        <v>301</v>
      </c>
      <c r="D35" s="88" t="s">
        <v>150</v>
      </c>
      <c r="E35" s="85">
        <v>3</v>
      </c>
      <c r="F35" s="86"/>
      <c r="G35" s="87">
        <f t="shared" si="1"/>
        <v>3</v>
      </c>
      <c r="H35" s="83" t="s">
        <v>149</v>
      </c>
      <c r="I35" s="83"/>
      <c r="J35" s="93"/>
      <c r="K35" s="299" t="s">
        <v>302</v>
      </c>
      <c r="L35" s="300"/>
      <c r="M35" s="301"/>
      <c r="N35" s="209"/>
      <c r="O35" s="210"/>
      <c r="P35" s="210"/>
    </row>
    <row r="36" spans="1:16" ht="27.75" customHeight="1">
      <c r="A36" s="83">
        <f t="shared" si="2"/>
        <v>30</v>
      </c>
      <c r="B36" s="73" t="s">
        <v>303</v>
      </c>
      <c r="C36" s="84" t="s">
        <v>304</v>
      </c>
      <c r="D36" s="88" t="s">
        <v>150</v>
      </c>
      <c r="E36" s="85">
        <v>1</v>
      </c>
      <c r="F36" s="86"/>
      <c r="G36" s="87">
        <f t="shared" si="1"/>
        <v>1</v>
      </c>
      <c r="H36" s="83" t="s">
        <v>149</v>
      </c>
      <c r="I36" s="83"/>
      <c r="J36" s="93"/>
      <c r="K36" s="280" t="s">
        <v>305</v>
      </c>
      <c r="L36" s="291"/>
      <c r="M36" s="292"/>
      <c r="N36" s="209"/>
      <c r="O36" s="210"/>
      <c r="P36" s="210"/>
    </row>
    <row r="37" spans="1:16" ht="27" customHeight="1">
      <c r="A37" s="83">
        <f t="shared" si="2"/>
        <v>31</v>
      </c>
      <c r="B37" s="11" t="s">
        <v>306</v>
      </c>
      <c r="C37" s="84" t="s">
        <v>307</v>
      </c>
      <c r="D37" s="88" t="s">
        <v>150</v>
      </c>
      <c r="E37" s="85">
        <v>10</v>
      </c>
      <c r="F37" s="86"/>
      <c r="G37" s="87">
        <f t="shared" si="1"/>
        <v>10</v>
      </c>
      <c r="H37" s="83" t="s">
        <v>149</v>
      </c>
      <c r="I37" s="83"/>
      <c r="J37" s="93"/>
      <c r="K37" s="274"/>
      <c r="L37" s="275"/>
      <c r="M37" s="276"/>
      <c r="N37" s="122"/>
      <c r="O37" s="99"/>
      <c r="P37" s="99"/>
    </row>
    <row r="38" spans="1:16" ht="12" customHeight="1">
      <c r="A38" s="83">
        <f t="shared" si="2"/>
        <v>32</v>
      </c>
      <c r="B38" s="11" t="s">
        <v>308</v>
      </c>
      <c r="C38" s="84" t="s">
        <v>309</v>
      </c>
      <c r="D38" s="88" t="s">
        <v>150</v>
      </c>
      <c r="E38" s="85">
        <v>30</v>
      </c>
      <c r="F38" s="86"/>
      <c r="G38" s="87">
        <f t="shared" si="1"/>
        <v>30</v>
      </c>
      <c r="H38" s="83" t="s">
        <v>149</v>
      </c>
      <c r="I38" s="83"/>
      <c r="J38" s="93"/>
      <c r="K38" s="274"/>
      <c r="L38" s="275"/>
      <c r="M38" s="276"/>
      <c r="N38" s="123"/>
    </row>
    <row r="39" spans="1:16" ht="12" customHeight="1">
      <c r="A39" s="83">
        <f t="shared" si="2"/>
        <v>33</v>
      </c>
      <c r="B39" s="11" t="s">
        <v>310</v>
      </c>
      <c r="C39" s="84" t="s">
        <v>311</v>
      </c>
      <c r="D39" s="88" t="s">
        <v>150</v>
      </c>
      <c r="E39" s="85">
        <v>2</v>
      </c>
      <c r="F39" s="86"/>
      <c r="G39" s="87">
        <f t="shared" si="1"/>
        <v>2</v>
      </c>
      <c r="H39" s="83" t="s">
        <v>149</v>
      </c>
      <c r="I39" s="83"/>
      <c r="J39" s="93"/>
      <c r="K39" s="274"/>
      <c r="L39" s="275"/>
      <c r="M39" s="276"/>
      <c r="N39" s="123"/>
    </row>
    <row r="40" spans="1:16" ht="12" customHeight="1">
      <c r="A40" s="83">
        <f t="shared" si="2"/>
        <v>34</v>
      </c>
      <c r="B40" s="11" t="s">
        <v>312</v>
      </c>
      <c r="C40" s="84" t="s">
        <v>313</v>
      </c>
      <c r="D40" s="88" t="s">
        <v>150</v>
      </c>
      <c r="E40" s="85">
        <v>2</v>
      </c>
      <c r="F40" s="86"/>
      <c r="G40" s="87">
        <f t="shared" si="1"/>
        <v>2</v>
      </c>
      <c r="H40" s="83" t="s">
        <v>149</v>
      </c>
      <c r="I40" s="83"/>
      <c r="J40" s="93"/>
      <c r="K40" s="274"/>
      <c r="L40" s="275"/>
      <c r="M40" s="276"/>
      <c r="N40" s="123"/>
    </row>
    <row r="41" spans="1:16" ht="12" customHeight="1">
      <c r="A41" s="83">
        <f t="shared" si="2"/>
        <v>35</v>
      </c>
      <c r="B41" s="11" t="s">
        <v>314</v>
      </c>
      <c r="C41" s="84" t="s">
        <v>315</v>
      </c>
      <c r="D41" s="88" t="s">
        <v>150</v>
      </c>
      <c r="E41" s="85">
        <v>2</v>
      </c>
      <c r="F41" s="86"/>
      <c r="G41" s="87">
        <f t="shared" si="1"/>
        <v>2</v>
      </c>
      <c r="H41" s="83" t="s">
        <v>149</v>
      </c>
      <c r="I41" s="83"/>
      <c r="J41" s="93"/>
      <c r="K41" s="274"/>
      <c r="L41" s="275"/>
      <c r="M41" s="276"/>
      <c r="N41" s="123"/>
    </row>
    <row r="42" spans="1:16" ht="12" customHeight="1">
      <c r="A42" s="83">
        <f t="shared" si="2"/>
        <v>36</v>
      </c>
      <c r="B42" s="11" t="s">
        <v>316</v>
      </c>
      <c r="C42" s="84" t="s">
        <v>317</v>
      </c>
      <c r="D42" s="88" t="s">
        <v>150</v>
      </c>
      <c r="E42" s="85">
        <v>70</v>
      </c>
      <c r="F42" s="86"/>
      <c r="G42" s="87">
        <f t="shared" si="1"/>
        <v>70</v>
      </c>
      <c r="H42" s="83" t="s">
        <v>149</v>
      </c>
      <c r="I42" s="83"/>
      <c r="J42" s="93"/>
      <c r="K42" s="274"/>
      <c r="L42" s="275"/>
      <c r="M42" s="276"/>
      <c r="N42" s="123"/>
    </row>
    <row r="43" spans="1:16" ht="12" customHeight="1">
      <c r="A43" s="83">
        <f t="shared" si="2"/>
        <v>37</v>
      </c>
      <c r="B43" s="11" t="s">
        <v>318</v>
      </c>
      <c r="C43" s="84" t="s">
        <v>319</v>
      </c>
      <c r="D43" s="88" t="s">
        <v>150</v>
      </c>
      <c r="E43" s="85">
        <v>70</v>
      </c>
      <c r="F43" s="86"/>
      <c r="G43" s="87">
        <f t="shared" si="1"/>
        <v>70</v>
      </c>
      <c r="H43" s="83" t="s">
        <v>149</v>
      </c>
      <c r="I43" s="83"/>
      <c r="J43" s="93"/>
      <c r="K43" s="274"/>
      <c r="L43" s="275"/>
      <c r="M43" s="276"/>
      <c r="N43" s="123"/>
    </row>
    <row r="44" spans="1:16" ht="28.5" customHeight="1">
      <c r="A44" s="83">
        <f t="shared" si="2"/>
        <v>38</v>
      </c>
      <c r="B44" s="11" t="s">
        <v>320</v>
      </c>
      <c r="C44" s="84" t="s">
        <v>321</v>
      </c>
      <c r="D44" s="88" t="s">
        <v>150</v>
      </c>
      <c r="E44" s="85">
        <v>1</v>
      </c>
      <c r="F44" s="86"/>
      <c r="G44" s="87">
        <f t="shared" si="1"/>
        <v>1</v>
      </c>
      <c r="H44" s="83" t="s">
        <v>149</v>
      </c>
      <c r="I44" s="83"/>
      <c r="J44" s="93"/>
      <c r="K44" s="302" t="s">
        <v>322</v>
      </c>
      <c r="L44" s="303"/>
      <c r="M44" s="304"/>
      <c r="N44" s="123"/>
    </row>
    <row r="45" spans="1:16">
      <c r="A45" s="83">
        <f t="shared" si="2"/>
        <v>39</v>
      </c>
      <c r="B45" s="73" t="s">
        <v>323</v>
      </c>
      <c r="C45" s="84" t="s">
        <v>324</v>
      </c>
      <c r="D45" s="88" t="s">
        <v>150</v>
      </c>
      <c r="E45" s="85">
        <v>1</v>
      </c>
      <c r="F45" s="86"/>
      <c r="G45" s="87">
        <f t="shared" si="1"/>
        <v>1</v>
      </c>
      <c r="H45" s="83" t="s">
        <v>149</v>
      </c>
      <c r="I45" s="83"/>
      <c r="J45" s="93"/>
      <c r="K45" s="280" t="s">
        <v>325</v>
      </c>
      <c r="L45" s="291"/>
      <c r="M45" s="292"/>
      <c r="N45" s="226"/>
      <c r="O45" s="227"/>
      <c r="P45" s="227"/>
    </row>
    <row r="46" spans="1:16" ht="12" customHeight="1">
      <c r="A46" s="83">
        <f t="shared" si="2"/>
        <v>40</v>
      </c>
      <c r="B46" s="11" t="s">
        <v>326</v>
      </c>
      <c r="C46" s="84" t="s">
        <v>327</v>
      </c>
      <c r="D46" s="88" t="s">
        <v>150</v>
      </c>
      <c r="E46" s="85">
        <v>2</v>
      </c>
      <c r="F46" s="86"/>
      <c r="G46" s="87">
        <f t="shared" si="1"/>
        <v>2</v>
      </c>
      <c r="H46" s="83" t="s">
        <v>149</v>
      </c>
      <c r="I46" s="83"/>
      <c r="J46" s="93"/>
      <c r="K46" s="274"/>
      <c r="L46" s="275"/>
      <c r="M46" s="276"/>
      <c r="N46" s="122"/>
      <c r="O46" s="99"/>
      <c r="P46" s="99"/>
    </row>
    <row r="47" spans="1:16" ht="12" customHeight="1">
      <c r="A47" s="83">
        <f t="shared" si="2"/>
        <v>41</v>
      </c>
      <c r="B47" s="73" t="s">
        <v>328</v>
      </c>
      <c r="C47" s="84" t="s">
        <v>329</v>
      </c>
      <c r="D47" s="88" t="s">
        <v>150</v>
      </c>
      <c r="E47" s="85">
        <v>1</v>
      </c>
      <c r="F47" s="86"/>
      <c r="G47" s="87">
        <f t="shared" si="1"/>
        <v>1</v>
      </c>
      <c r="H47" s="83" t="s">
        <v>149</v>
      </c>
      <c r="I47" s="83"/>
      <c r="J47" s="93"/>
      <c r="K47" s="280"/>
      <c r="L47" s="291"/>
      <c r="M47" s="292"/>
      <c r="N47" s="123"/>
    </row>
    <row r="48" spans="1:16" ht="12" customHeight="1">
      <c r="A48" s="83">
        <f t="shared" si="2"/>
        <v>42</v>
      </c>
      <c r="B48" s="11" t="s">
        <v>330</v>
      </c>
      <c r="C48" s="84" t="s">
        <v>331</v>
      </c>
      <c r="D48" s="88" t="s">
        <v>150</v>
      </c>
      <c r="E48" s="85">
        <v>2</v>
      </c>
      <c r="F48" s="86"/>
      <c r="G48" s="87">
        <f t="shared" si="1"/>
        <v>2</v>
      </c>
      <c r="H48" s="83" t="s">
        <v>149</v>
      </c>
      <c r="I48" s="83"/>
      <c r="J48" s="93"/>
      <c r="K48" s="274"/>
      <c r="L48" s="275"/>
      <c r="M48" s="276"/>
      <c r="N48" s="123"/>
    </row>
    <row r="49" spans="1:14" ht="12" customHeight="1">
      <c r="A49" s="83">
        <f t="shared" si="2"/>
        <v>43</v>
      </c>
      <c r="B49" s="11" t="s">
        <v>332</v>
      </c>
      <c r="C49" s="84" t="s">
        <v>333</v>
      </c>
      <c r="D49" s="88" t="s">
        <v>164</v>
      </c>
      <c r="E49" s="85"/>
      <c r="F49" s="86"/>
      <c r="G49" s="87">
        <f t="shared" si="1"/>
        <v>4</v>
      </c>
      <c r="H49" s="83" t="s">
        <v>149</v>
      </c>
      <c r="I49" s="83"/>
      <c r="J49" s="93"/>
      <c r="K49" s="274"/>
      <c r="L49" s="275"/>
      <c r="M49" s="276"/>
      <c r="N49" s="123"/>
    </row>
    <row r="50" spans="1:14" ht="60.75" customHeight="1">
      <c r="A50" s="83">
        <f t="shared" si="2"/>
        <v>44</v>
      </c>
      <c r="B50" s="11" t="s">
        <v>334</v>
      </c>
      <c r="C50" s="84" t="s">
        <v>335</v>
      </c>
      <c r="D50" s="88" t="s">
        <v>150</v>
      </c>
      <c r="E50" s="85">
        <v>1</v>
      </c>
      <c r="F50" s="86"/>
      <c r="G50" s="87">
        <f t="shared" si="1"/>
        <v>1</v>
      </c>
      <c r="H50" s="83" t="s">
        <v>149</v>
      </c>
      <c r="I50" s="83"/>
      <c r="J50" s="93"/>
      <c r="K50" s="280" t="s">
        <v>336</v>
      </c>
      <c r="L50" s="291"/>
      <c r="M50" s="292"/>
      <c r="N50" s="123"/>
    </row>
    <row r="51" spans="1:14" ht="34.5" customHeight="1">
      <c r="A51" s="83">
        <f t="shared" si="2"/>
        <v>45</v>
      </c>
      <c r="B51" s="11" t="s">
        <v>337</v>
      </c>
      <c r="C51" s="84" t="s">
        <v>338</v>
      </c>
      <c r="D51" s="88" t="s">
        <v>150</v>
      </c>
      <c r="E51" s="85">
        <v>1</v>
      </c>
      <c r="F51" s="86"/>
      <c r="G51" s="87">
        <f t="shared" si="1"/>
        <v>1</v>
      </c>
      <c r="H51" s="83" t="s">
        <v>149</v>
      </c>
      <c r="I51" s="83"/>
      <c r="J51" s="93"/>
      <c r="K51" s="280" t="s">
        <v>339</v>
      </c>
      <c r="L51" s="291"/>
      <c r="M51" s="292"/>
      <c r="N51" s="123"/>
    </row>
    <row r="52" spans="1:14" ht="44.25" customHeight="1">
      <c r="A52" s="83">
        <f t="shared" si="2"/>
        <v>46</v>
      </c>
      <c r="B52" s="11" t="s">
        <v>340</v>
      </c>
      <c r="C52" s="84" t="s">
        <v>341</v>
      </c>
      <c r="D52" s="88" t="s">
        <v>150</v>
      </c>
      <c r="E52" s="85">
        <v>1</v>
      </c>
      <c r="F52" s="86"/>
      <c r="G52" s="87">
        <f t="shared" si="1"/>
        <v>1</v>
      </c>
      <c r="H52" s="83" t="s">
        <v>149</v>
      </c>
      <c r="I52" s="83"/>
      <c r="J52" s="93"/>
      <c r="K52" s="280" t="s">
        <v>342</v>
      </c>
      <c r="L52" s="291"/>
      <c r="M52" s="292"/>
    </row>
    <row r="53" spans="1:14" ht="47.25" customHeight="1">
      <c r="A53" s="83">
        <f t="shared" si="2"/>
        <v>47</v>
      </c>
      <c r="B53" s="11" t="s">
        <v>343</v>
      </c>
      <c r="C53" s="84" t="s">
        <v>344</v>
      </c>
      <c r="D53" s="88" t="s">
        <v>150</v>
      </c>
      <c r="E53" s="85">
        <v>1</v>
      </c>
      <c r="F53" s="86"/>
      <c r="G53" s="87">
        <f t="shared" si="1"/>
        <v>1</v>
      </c>
      <c r="H53" s="83" t="s">
        <v>149</v>
      </c>
      <c r="I53" s="83"/>
      <c r="J53" s="93"/>
      <c r="K53" s="280" t="s">
        <v>345</v>
      </c>
      <c r="L53" s="291"/>
      <c r="M53" s="292"/>
    </row>
    <row r="54" spans="1:14" ht="65.25" customHeight="1">
      <c r="A54" s="83">
        <f t="shared" si="2"/>
        <v>48</v>
      </c>
      <c r="B54" s="11" t="s">
        <v>346</v>
      </c>
      <c r="C54" s="84" t="s">
        <v>347</v>
      </c>
      <c r="D54" s="88" t="s">
        <v>150</v>
      </c>
      <c r="E54" s="85">
        <v>1</v>
      </c>
      <c r="F54" s="86"/>
      <c r="G54" s="87">
        <f t="shared" si="1"/>
        <v>1</v>
      </c>
      <c r="H54" s="83" t="s">
        <v>149</v>
      </c>
      <c r="I54" s="83"/>
      <c r="J54" s="93"/>
      <c r="K54" s="280" t="s">
        <v>348</v>
      </c>
      <c r="L54" s="291"/>
      <c r="M54" s="292"/>
    </row>
    <row r="55" spans="1:14" ht="33.75" customHeight="1">
      <c r="A55" s="83">
        <f t="shared" si="2"/>
        <v>49</v>
      </c>
      <c r="B55" s="11" t="s">
        <v>349</v>
      </c>
      <c r="C55" s="84" t="s">
        <v>350</v>
      </c>
      <c r="D55" s="88" t="s">
        <v>150</v>
      </c>
      <c r="E55" s="85">
        <v>1</v>
      </c>
      <c r="F55" s="86"/>
      <c r="G55" s="87">
        <f t="shared" si="1"/>
        <v>1</v>
      </c>
      <c r="H55" s="83" t="s">
        <v>149</v>
      </c>
      <c r="I55" s="83"/>
      <c r="J55" s="93"/>
      <c r="K55" s="280" t="s">
        <v>351</v>
      </c>
      <c r="L55" s="291"/>
      <c r="M55" s="292"/>
    </row>
    <row r="56" spans="1:14" ht="31.5" customHeight="1">
      <c r="A56" s="83">
        <f t="shared" si="2"/>
        <v>50</v>
      </c>
      <c r="B56" s="11" t="s">
        <v>352</v>
      </c>
      <c r="C56" s="84" t="s">
        <v>353</v>
      </c>
      <c r="D56" s="88" t="s">
        <v>150</v>
      </c>
      <c r="E56" s="85">
        <v>1</v>
      </c>
      <c r="F56" s="86"/>
      <c r="G56" s="87">
        <f t="shared" si="1"/>
        <v>1</v>
      </c>
      <c r="H56" s="83" t="s">
        <v>149</v>
      </c>
      <c r="I56" s="83"/>
      <c r="J56" s="93"/>
      <c r="K56" s="280" t="s">
        <v>354</v>
      </c>
      <c r="L56" s="291"/>
      <c r="M56" s="292"/>
    </row>
    <row r="57" spans="1:14" ht="51.75" customHeight="1">
      <c r="A57" s="83">
        <f t="shared" si="2"/>
        <v>51</v>
      </c>
      <c r="B57" s="11" t="s">
        <v>355</v>
      </c>
      <c r="C57" s="84" t="s">
        <v>356</v>
      </c>
      <c r="D57" s="88" t="s">
        <v>150</v>
      </c>
      <c r="E57" s="85">
        <v>1</v>
      </c>
      <c r="F57" s="86"/>
      <c r="G57" s="87">
        <f t="shared" si="1"/>
        <v>1</v>
      </c>
      <c r="H57" s="83" t="s">
        <v>149</v>
      </c>
      <c r="I57" s="83"/>
      <c r="J57" s="93"/>
      <c r="K57" s="280" t="s">
        <v>357</v>
      </c>
      <c r="L57" s="291"/>
      <c r="M57" s="292"/>
    </row>
    <row r="58" spans="1:14" ht="30" customHeight="1">
      <c r="A58" s="83">
        <f t="shared" si="2"/>
        <v>52</v>
      </c>
      <c r="B58" s="11" t="s">
        <v>358</v>
      </c>
      <c r="C58" s="84" t="s">
        <v>359</v>
      </c>
      <c r="D58" s="88" t="s">
        <v>150</v>
      </c>
      <c r="E58" s="85">
        <v>1</v>
      </c>
      <c r="F58" s="86"/>
      <c r="G58" s="87">
        <f t="shared" si="1"/>
        <v>1</v>
      </c>
      <c r="H58" s="83" t="s">
        <v>149</v>
      </c>
      <c r="I58" s="83"/>
      <c r="J58" s="93"/>
      <c r="K58" s="280" t="s">
        <v>360</v>
      </c>
      <c r="L58" s="291"/>
      <c r="M58" s="292"/>
    </row>
    <row r="59" spans="1:14" ht="27.75" customHeight="1">
      <c r="A59" s="83">
        <f t="shared" si="2"/>
        <v>53</v>
      </c>
      <c r="B59" s="73" t="s">
        <v>361</v>
      </c>
      <c r="C59" s="84" t="s">
        <v>362</v>
      </c>
      <c r="D59" s="88" t="s">
        <v>195</v>
      </c>
      <c r="E59" s="85"/>
      <c r="F59" s="86"/>
      <c r="G59" s="87">
        <f t="shared" si="1"/>
        <v>3</v>
      </c>
      <c r="H59" s="83" t="s">
        <v>149</v>
      </c>
      <c r="I59" s="83"/>
      <c r="J59" s="93"/>
      <c r="K59" s="280"/>
      <c r="L59" s="291"/>
      <c r="M59" s="292"/>
    </row>
    <row r="60" spans="1:14" ht="12" customHeight="1">
      <c r="A60" s="83">
        <f t="shared" si="2"/>
        <v>54</v>
      </c>
      <c r="B60" s="73" t="s">
        <v>363</v>
      </c>
      <c r="C60" s="84" t="s">
        <v>364</v>
      </c>
      <c r="D60" s="88" t="s">
        <v>164</v>
      </c>
      <c r="E60" s="85"/>
      <c r="F60" s="86"/>
      <c r="G60" s="87">
        <f t="shared" si="1"/>
        <v>4</v>
      </c>
      <c r="H60" s="83" t="s">
        <v>149</v>
      </c>
      <c r="I60" s="83"/>
      <c r="J60" s="93"/>
      <c r="K60" s="280"/>
      <c r="L60" s="291"/>
      <c r="M60" s="292"/>
    </row>
    <row r="61" spans="1:14" ht="12" customHeight="1">
      <c r="A61" s="83">
        <f t="shared" si="2"/>
        <v>55</v>
      </c>
      <c r="B61" s="11" t="s">
        <v>365</v>
      </c>
      <c r="C61" s="84" t="s">
        <v>366</v>
      </c>
      <c r="D61" s="88" t="s">
        <v>150</v>
      </c>
      <c r="E61" s="85">
        <v>11</v>
      </c>
      <c r="F61" s="86"/>
      <c r="G61" s="87">
        <f t="shared" si="1"/>
        <v>11</v>
      </c>
      <c r="H61" s="83" t="s">
        <v>149</v>
      </c>
      <c r="I61" s="83"/>
      <c r="J61" s="93"/>
      <c r="K61" s="274"/>
      <c r="L61" s="275"/>
      <c r="M61" s="276"/>
    </row>
    <row r="62" spans="1:14" ht="12" customHeight="1">
      <c r="A62" s="83">
        <f t="shared" si="2"/>
        <v>56</v>
      </c>
      <c r="B62" s="11" t="s">
        <v>367</v>
      </c>
      <c r="C62" s="84" t="s">
        <v>368</v>
      </c>
      <c r="D62" s="88" t="s">
        <v>150</v>
      </c>
      <c r="E62" s="85">
        <v>3</v>
      </c>
      <c r="F62" s="86"/>
      <c r="G62" s="87">
        <f t="shared" si="1"/>
        <v>3</v>
      </c>
      <c r="H62" s="83" t="s">
        <v>149</v>
      </c>
      <c r="I62" s="83"/>
      <c r="J62" s="93"/>
      <c r="K62" s="274"/>
      <c r="L62" s="275"/>
      <c r="M62" s="276"/>
    </row>
    <row r="63" spans="1:14" ht="12" customHeight="1">
      <c r="A63" s="83">
        <f t="shared" si="2"/>
        <v>57</v>
      </c>
      <c r="B63" s="11" t="s">
        <v>369</v>
      </c>
      <c r="C63" s="84" t="s">
        <v>370</v>
      </c>
      <c r="D63" s="88" t="s">
        <v>150</v>
      </c>
      <c r="E63" s="85">
        <v>3</v>
      </c>
      <c r="F63" s="86"/>
      <c r="G63" s="87">
        <f t="shared" si="1"/>
        <v>3</v>
      </c>
      <c r="H63" s="83" t="s">
        <v>149</v>
      </c>
      <c r="I63" s="83"/>
      <c r="J63" s="93"/>
      <c r="K63" s="274"/>
      <c r="L63" s="275"/>
      <c r="M63" s="276"/>
    </row>
    <row r="64" spans="1:14" ht="12" customHeight="1">
      <c r="A64" s="83">
        <f t="shared" ref="A64:A98" si="3">IF(B64=""," ",A63+1)</f>
        <v>58</v>
      </c>
      <c r="B64" s="11" t="s">
        <v>371</v>
      </c>
      <c r="C64" s="84" t="s">
        <v>372</v>
      </c>
      <c r="D64" s="88" t="s">
        <v>150</v>
      </c>
      <c r="E64" s="85">
        <v>3</v>
      </c>
      <c r="F64" s="86"/>
      <c r="G64" s="87">
        <f t="shared" si="1"/>
        <v>3</v>
      </c>
      <c r="H64" s="83" t="s">
        <v>149</v>
      </c>
      <c r="I64" s="83"/>
      <c r="J64" s="93"/>
      <c r="K64" s="274"/>
      <c r="L64" s="275"/>
      <c r="M64" s="276"/>
    </row>
    <row r="65" spans="1:13" ht="12" customHeight="1">
      <c r="A65" s="83">
        <f t="shared" si="3"/>
        <v>59</v>
      </c>
      <c r="B65" s="73" t="s">
        <v>373</v>
      </c>
      <c r="C65" s="84" t="s">
        <v>374</v>
      </c>
      <c r="D65" s="88" t="s">
        <v>150</v>
      </c>
      <c r="E65" s="85">
        <v>3</v>
      </c>
      <c r="F65" s="86"/>
      <c r="G65" s="87">
        <f t="shared" si="1"/>
        <v>3</v>
      </c>
      <c r="H65" s="83" t="s">
        <v>149</v>
      </c>
      <c r="I65" s="83"/>
      <c r="J65" s="93"/>
      <c r="K65" s="274"/>
      <c r="L65" s="275"/>
      <c r="M65" s="276"/>
    </row>
    <row r="66" spans="1:13" ht="42" customHeight="1">
      <c r="A66" s="83">
        <f t="shared" si="3"/>
        <v>60</v>
      </c>
      <c r="B66" s="11" t="s">
        <v>375</v>
      </c>
      <c r="C66" s="84" t="s">
        <v>376</v>
      </c>
      <c r="D66" s="88" t="s">
        <v>150</v>
      </c>
      <c r="E66" s="85">
        <v>1</v>
      </c>
      <c r="F66" s="86"/>
      <c r="G66" s="87">
        <f t="shared" si="1"/>
        <v>1</v>
      </c>
      <c r="H66" s="83" t="s">
        <v>149</v>
      </c>
      <c r="I66" s="83"/>
      <c r="J66" s="93"/>
      <c r="K66" s="280" t="s">
        <v>377</v>
      </c>
      <c r="L66" s="291"/>
      <c r="M66" s="292"/>
    </row>
    <row r="67" spans="1:13" ht="39" customHeight="1">
      <c r="A67" s="83">
        <f t="shared" si="3"/>
        <v>61</v>
      </c>
      <c r="B67" s="11" t="s">
        <v>375</v>
      </c>
      <c r="C67" s="84" t="s">
        <v>378</v>
      </c>
      <c r="D67" s="88" t="s">
        <v>195</v>
      </c>
      <c r="E67" s="85"/>
      <c r="F67" s="86"/>
      <c r="G67" s="87">
        <f t="shared" si="1"/>
        <v>3</v>
      </c>
      <c r="H67" s="83" t="s">
        <v>149</v>
      </c>
      <c r="I67" s="83"/>
      <c r="J67" s="93"/>
      <c r="K67" s="280" t="s">
        <v>379</v>
      </c>
      <c r="L67" s="291"/>
      <c r="M67" s="292"/>
    </row>
    <row r="68" spans="1:13" ht="38.25" customHeight="1">
      <c r="A68" s="83">
        <f t="shared" si="3"/>
        <v>62</v>
      </c>
      <c r="B68" s="11" t="s">
        <v>380</v>
      </c>
      <c r="C68" s="84" t="s">
        <v>381</v>
      </c>
      <c r="D68" s="88" t="s">
        <v>150</v>
      </c>
      <c r="E68" s="85">
        <v>3</v>
      </c>
      <c r="F68" s="86"/>
      <c r="G68" s="87">
        <f t="shared" si="1"/>
        <v>3</v>
      </c>
      <c r="H68" s="83" t="s">
        <v>149</v>
      </c>
      <c r="I68" s="83"/>
      <c r="J68" s="93"/>
      <c r="K68" s="274"/>
      <c r="L68" s="275"/>
      <c r="M68" s="276"/>
    </row>
    <row r="69" spans="1:13" ht="12" customHeight="1">
      <c r="A69" s="83">
        <f t="shared" si="3"/>
        <v>63</v>
      </c>
      <c r="B69" s="11" t="s">
        <v>382</v>
      </c>
      <c r="C69" s="84" t="s">
        <v>383</v>
      </c>
      <c r="D69" s="88" t="s">
        <v>150</v>
      </c>
      <c r="E69" s="85">
        <v>2</v>
      </c>
      <c r="F69" s="86"/>
      <c r="G69" s="87">
        <f t="shared" si="1"/>
        <v>2</v>
      </c>
      <c r="H69" s="83" t="s">
        <v>149</v>
      </c>
      <c r="I69" s="83"/>
      <c r="J69" s="93"/>
      <c r="K69" s="274"/>
      <c r="L69" s="275"/>
      <c r="M69" s="276"/>
    </row>
    <row r="70" spans="1:13" ht="54.75" customHeight="1">
      <c r="A70" s="83">
        <f t="shared" si="3"/>
        <v>64</v>
      </c>
      <c r="B70" s="11" t="s">
        <v>384</v>
      </c>
      <c r="C70" s="84" t="s">
        <v>385</v>
      </c>
      <c r="D70" s="88" t="s">
        <v>150</v>
      </c>
      <c r="E70" s="85">
        <v>40</v>
      </c>
      <c r="F70" s="86"/>
      <c r="G70" s="87">
        <f t="shared" si="1"/>
        <v>40</v>
      </c>
      <c r="H70" s="83" t="s">
        <v>149</v>
      </c>
      <c r="I70" s="83"/>
      <c r="J70" s="93"/>
      <c r="K70" s="280" t="s">
        <v>386</v>
      </c>
      <c r="L70" s="291"/>
      <c r="M70" s="292"/>
    </row>
    <row r="71" spans="1:13" ht="51.75" customHeight="1">
      <c r="A71" s="83">
        <f t="shared" si="3"/>
        <v>65</v>
      </c>
      <c r="B71" s="11" t="s">
        <v>387</v>
      </c>
      <c r="C71" s="84" t="s">
        <v>388</v>
      </c>
      <c r="D71" s="88" t="s">
        <v>150</v>
      </c>
      <c r="E71" s="85">
        <v>40</v>
      </c>
      <c r="F71" s="86"/>
      <c r="G71" s="87">
        <f t="shared" si="1"/>
        <v>40</v>
      </c>
      <c r="H71" s="83" t="s">
        <v>149</v>
      </c>
      <c r="I71" s="83"/>
      <c r="J71" s="93"/>
      <c r="K71" s="274"/>
      <c r="L71" s="275"/>
      <c r="M71" s="276"/>
    </row>
    <row r="72" spans="1:13">
      <c r="A72" s="83">
        <f t="shared" si="3"/>
        <v>66</v>
      </c>
      <c r="B72" s="11" t="s">
        <v>389</v>
      </c>
      <c r="C72" s="84" t="s">
        <v>390</v>
      </c>
      <c r="D72" s="88" t="s">
        <v>150</v>
      </c>
      <c r="E72" s="85">
        <v>20</v>
      </c>
      <c r="F72" s="86"/>
      <c r="G72" s="87">
        <f t="shared" si="1"/>
        <v>20</v>
      </c>
      <c r="H72" s="83" t="s">
        <v>149</v>
      </c>
      <c r="I72" s="83"/>
      <c r="J72" s="93"/>
      <c r="K72" s="274" t="s">
        <v>391</v>
      </c>
      <c r="L72" s="275"/>
      <c r="M72" s="276"/>
    </row>
    <row r="73" spans="1:13">
      <c r="A73" s="83">
        <f t="shared" si="3"/>
        <v>67</v>
      </c>
      <c r="B73" s="11" t="s">
        <v>392</v>
      </c>
      <c r="C73" s="84" t="s">
        <v>393</v>
      </c>
      <c r="D73" s="88" t="s">
        <v>150</v>
      </c>
      <c r="E73" s="85">
        <v>20</v>
      </c>
      <c r="F73" s="86"/>
      <c r="G73" s="87">
        <f t="shared" si="1"/>
        <v>20</v>
      </c>
      <c r="H73" s="83" t="s">
        <v>149</v>
      </c>
      <c r="I73" s="83"/>
      <c r="J73" s="93"/>
      <c r="K73" s="274"/>
      <c r="L73" s="275"/>
      <c r="M73" s="276"/>
    </row>
    <row r="74" spans="1:13">
      <c r="A74" s="83">
        <f t="shared" si="3"/>
        <v>68</v>
      </c>
      <c r="B74" s="11" t="s">
        <v>394</v>
      </c>
      <c r="C74" s="84" t="s">
        <v>395</v>
      </c>
      <c r="D74" s="88" t="s">
        <v>150</v>
      </c>
      <c r="E74" s="85">
        <v>2</v>
      </c>
      <c r="F74" s="86"/>
      <c r="G74" s="87">
        <f t="shared" si="1"/>
        <v>2</v>
      </c>
      <c r="H74" s="83" t="s">
        <v>149</v>
      </c>
      <c r="I74" s="83"/>
      <c r="J74" s="93"/>
      <c r="K74" s="274"/>
      <c r="L74" s="275"/>
      <c r="M74" s="276"/>
    </row>
    <row r="75" spans="1:13" ht="53.25" customHeight="1">
      <c r="A75" s="83">
        <f t="shared" si="3"/>
        <v>69</v>
      </c>
      <c r="B75" s="11" t="s">
        <v>396</v>
      </c>
      <c r="C75" s="84" t="s">
        <v>397</v>
      </c>
      <c r="D75" s="88" t="s">
        <v>150</v>
      </c>
      <c r="E75" s="85">
        <v>1</v>
      </c>
      <c r="F75" s="86"/>
      <c r="G75" s="87">
        <f t="shared" si="1"/>
        <v>1</v>
      </c>
      <c r="H75" s="83" t="s">
        <v>149</v>
      </c>
      <c r="I75" s="83"/>
      <c r="J75" s="93"/>
      <c r="K75" s="280" t="s">
        <v>398</v>
      </c>
      <c r="L75" s="291"/>
      <c r="M75" s="292"/>
    </row>
    <row r="76" spans="1:13" ht="50.25" customHeight="1">
      <c r="A76" s="83">
        <f t="shared" si="3"/>
        <v>70</v>
      </c>
      <c r="B76" s="73" t="s">
        <v>399</v>
      </c>
      <c r="C76" s="84" t="s">
        <v>400</v>
      </c>
      <c r="D76" s="88" t="s">
        <v>150</v>
      </c>
      <c r="E76" s="85">
        <v>2</v>
      </c>
      <c r="F76" s="86"/>
      <c r="G76" s="87">
        <f t="shared" si="1"/>
        <v>2</v>
      </c>
      <c r="H76" s="83" t="s">
        <v>149</v>
      </c>
      <c r="I76" s="83"/>
      <c r="J76" s="93"/>
      <c r="K76" s="280" t="s">
        <v>401</v>
      </c>
      <c r="L76" s="291"/>
      <c r="M76" s="292"/>
    </row>
    <row r="77" spans="1:13" ht="52.5" customHeight="1">
      <c r="A77" s="83">
        <f t="shared" si="3"/>
        <v>71</v>
      </c>
      <c r="B77" s="11" t="s">
        <v>402</v>
      </c>
      <c r="C77" s="84" t="s">
        <v>403</v>
      </c>
      <c r="D77" s="88" t="s">
        <v>174</v>
      </c>
      <c r="E77" s="85"/>
      <c r="F77" s="86"/>
      <c r="G77" s="87">
        <f t="shared" ref="G77:G95" si="4">IF(D77="DATE",4,IF(D77="CHAR",E77,IF(D77="SMALLINT",2,IF(D77="INTEGER",4,IF(D77="TIMESTAMP",10,IF(D77="TIME",3,0))))))</f>
        <v>2</v>
      </c>
      <c r="H77" s="83" t="s">
        <v>149</v>
      </c>
      <c r="I77" s="83"/>
      <c r="J77" s="93"/>
      <c r="K77" s="280" t="s">
        <v>404</v>
      </c>
      <c r="L77" s="291"/>
      <c r="M77" s="292"/>
    </row>
    <row r="78" spans="1:13" ht="26.25" customHeight="1">
      <c r="A78" s="83">
        <f t="shared" si="3"/>
        <v>72</v>
      </c>
      <c r="B78" s="11" t="s">
        <v>405</v>
      </c>
      <c r="C78" s="84" t="s">
        <v>406</v>
      </c>
      <c r="D78" s="88" t="s">
        <v>150</v>
      </c>
      <c r="E78" s="85">
        <v>50</v>
      </c>
      <c r="F78" s="86"/>
      <c r="G78" s="87">
        <f t="shared" si="4"/>
        <v>50</v>
      </c>
      <c r="H78" s="83" t="s">
        <v>149</v>
      </c>
      <c r="I78" s="83"/>
      <c r="J78" s="93"/>
      <c r="K78" s="274"/>
      <c r="L78" s="275"/>
      <c r="M78" s="276"/>
    </row>
    <row r="79" spans="1:13" ht="25.5" customHeight="1">
      <c r="A79" s="83">
        <f t="shared" si="3"/>
        <v>73</v>
      </c>
      <c r="B79" s="74" t="s">
        <v>407</v>
      </c>
      <c r="C79" s="84" t="s">
        <v>408</v>
      </c>
      <c r="D79" s="88" t="s">
        <v>150</v>
      </c>
      <c r="E79" s="85">
        <v>2</v>
      </c>
      <c r="F79" s="86"/>
      <c r="G79" s="87">
        <f t="shared" si="4"/>
        <v>2</v>
      </c>
      <c r="H79" s="83" t="s">
        <v>149</v>
      </c>
      <c r="I79" s="83"/>
      <c r="J79" s="93"/>
      <c r="K79" s="280" t="s">
        <v>409</v>
      </c>
      <c r="L79" s="291"/>
      <c r="M79" s="292"/>
    </row>
    <row r="80" spans="1:13" ht="41.25" customHeight="1">
      <c r="A80" s="83">
        <f t="shared" si="3"/>
        <v>74</v>
      </c>
      <c r="B80" s="74" t="s">
        <v>410</v>
      </c>
      <c r="C80" s="84" t="s">
        <v>411</v>
      </c>
      <c r="D80" s="88" t="s">
        <v>150</v>
      </c>
      <c r="E80" s="85">
        <v>1</v>
      </c>
      <c r="F80" s="86"/>
      <c r="G80" s="87">
        <f t="shared" si="4"/>
        <v>1</v>
      </c>
      <c r="H80" s="83" t="s">
        <v>149</v>
      </c>
      <c r="I80" s="83"/>
      <c r="J80" s="93"/>
      <c r="K80" s="280" t="s">
        <v>412</v>
      </c>
      <c r="L80" s="291"/>
      <c r="M80" s="292"/>
    </row>
    <row r="81" spans="1:13" ht="39.950000000000003" customHeight="1">
      <c r="A81" s="83">
        <f t="shared" si="3"/>
        <v>75</v>
      </c>
      <c r="B81" s="74" t="s">
        <v>413</v>
      </c>
      <c r="C81" s="84" t="s">
        <v>414</v>
      </c>
      <c r="D81" s="88" t="s">
        <v>150</v>
      </c>
      <c r="E81" s="85">
        <v>1</v>
      </c>
      <c r="F81" s="86"/>
      <c r="G81" s="87">
        <f t="shared" si="4"/>
        <v>1</v>
      </c>
      <c r="H81" s="83" t="s">
        <v>149</v>
      </c>
      <c r="I81" s="83"/>
      <c r="J81" s="93"/>
      <c r="K81" s="274"/>
      <c r="L81" s="275"/>
      <c r="M81" s="276"/>
    </row>
    <row r="82" spans="1:13" ht="34.5" customHeight="1">
      <c r="A82" s="83">
        <f t="shared" si="3"/>
        <v>76</v>
      </c>
      <c r="B82" s="74" t="s">
        <v>415</v>
      </c>
      <c r="C82" s="84" t="s">
        <v>416</v>
      </c>
      <c r="D82" s="88" t="s">
        <v>150</v>
      </c>
      <c r="E82" s="85">
        <v>1</v>
      </c>
      <c r="F82" s="86"/>
      <c r="G82" s="87">
        <f t="shared" si="4"/>
        <v>1</v>
      </c>
      <c r="H82" s="83" t="s">
        <v>149</v>
      </c>
      <c r="I82" s="83"/>
      <c r="J82" s="93"/>
      <c r="K82" s="280" t="s">
        <v>417</v>
      </c>
      <c r="L82" s="291"/>
      <c r="M82" s="292"/>
    </row>
    <row r="83" spans="1:13" ht="27" customHeight="1">
      <c r="A83" s="83">
        <f t="shared" si="3"/>
        <v>77</v>
      </c>
      <c r="B83" s="74" t="s">
        <v>418</v>
      </c>
      <c r="C83" s="84" t="s">
        <v>419</v>
      </c>
      <c r="D83" s="88" t="s">
        <v>150</v>
      </c>
      <c r="E83" s="85">
        <v>13</v>
      </c>
      <c r="F83" s="86"/>
      <c r="G83" s="87">
        <f t="shared" si="4"/>
        <v>13</v>
      </c>
      <c r="H83" s="83" t="s">
        <v>149</v>
      </c>
      <c r="I83" s="83"/>
      <c r="J83" s="93"/>
      <c r="K83" s="274"/>
      <c r="L83" s="275"/>
      <c r="M83" s="276"/>
    </row>
    <row r="84" spans="1:13" ht="12" customHeight="1">
      <c r="A84" s="83">
        <f t="shared" si="3"/>
        <v>78</v>
      </c>
      <c r="B84" s="74" t="s">
        <v>420</v>
      </c>
      <c r="C84" s="84" t="s">
        <v>421</v>
      </c>
      <c r="D84" s="88" t="s">
        <v>150</v>
      </c>
      <c r="E84" s="85">
        <v>20</v>
      </c>
      <c r="F84" s="86"/>
      <c r="G84" s="87">
        <f t="shared" si="4"/>
        <v>20</v>
      </c>
      <c r="H84" s="83" t="s">
        <v>149</v>
      </c>
      <c r="I84" s="83"/>
      <c r="J84" s="93"/>
      <c r="K84" s="274"/>
      <c r="L84" s="275"/>
      <c r="M84" s="276"/>
    </row>
    <row r="85" spans="1:13" ht="12" customHeight="1">
      <c r="A85" s="83">
        <f t="shared" si="3"/>
        <v>79</v>
      </c>
      <c r="B85" s="74" t="s">
        <v>422</v>
      </c>
      <c r="C85" s="84" t="s">
        <v>423</v>
      </c>
      <c r="D85" s="88" t="s">
        <v>150</v>
      </c>
      <c r="E85" s="85">
        <v>20</v>
      </c>
      <c r="F85" s="86"/>
      <c r="G85" s="87">
        <f t="shared" si="4"/>
        <v>20</v>
      </c>
      <c r="H85" s="83" t="s">
        <v>149</v>
      </c>
      <c r="I85" s="83"/>
      <c r="J85" s="93"/>
      <c r="K85" s="274"/>
      <c r="L85" s="275"/>
      <c r="M85" s="276"/>
    </row>
    <row r="86" spans="1:13" ht="12" customHeight="1">
      <c r="A86" s="83">
        <f t="shared" si="3"/>
        <v>80</v>
      </c>
      <c r="B86" s="74" t="s">
        <v>424</v>
      </c>
      <c r="C86" s="84" t="s">
        <v>425</v>
      </c>
      <c r="D86" s="88" t="s">
        <v>150</v>
      </c>
      <c r="E86" s="85">
        <v>20</v>
      </c>
      <c r="F86" s="86"/>
      <c r="G86" s="87">
        <f t="shared" si="4"/>
        <v>20</v>
      </c>
      <c r="H86" s="83" t="s">
        <v>149</v>
      </c>
      <c r="I86" s="83"/>
      <c r="J86" s="93"/>
      <c r="K86" s="274"/>
      <c r="L86" s="275"/>
      <c r="M86" s="276"/>
    </row>
    <row r="87" spans="1:13" ht="12" customHeight="1">
      <c r="A87" s="83">
        <f t="shared" si="3"/>
        <v>81</v>
      </c>
      <c r="B87" s="74" t="s">
        <v>426</v>
      </c>
      <c r="C87" s="84" t="s">
        <v>427</v>
      </c>
      <c r="D87" s="88" t="s">
        <v>150</v>
      </c>
      <c r="E87" s="85">
        <v>20</v>
      </c>
      <c r="F87" s="86"/>
      <c r="G87" s="87">
        <f t="shared" si="4"/>
        <v>20</v>
      </c>
      <c r="H87" s="83" t="s">
        <v>149</v>
      </c>
      <c r="I87" s="83"/>
      <c r="J87" s="93"/>
      <c r="K87" s="274"/>
      <c r="L87" s="275"/>
      <c r="M87" s="276"/>
    </row>
    <row r="88" spans="1:13" ht="12" customHeight="1">
      <c r="A88" s="83">
        <f t="shared" si="3"/>
        <v>82</v>
      </c>
      <c r="B88" s="74" t="s">
        <v>428</v>
      </c>
      <c r="C88" s="84" t="s">
        <v>429</v>
      </c>
      <c r="D88" s="88" t="s">
        <v>234</v>
      </c>
      <c r="E88" s="85"/>
      <c r="F88" s="86"/>
      <c r="G88" s="87">
        <f t="shared" si="4"/>
        <v>10</v>
      </c>
      <c r="H88" s="83" t="s">
        <v>149</v>
      </c>
      <c r="I88" s="83"/>
      <c r="J88" s="93"/>
      <c r="K88" s="274" t="s">
        <v>430</v>
      </c>
      <c r="L88" s="275"/>
      <c r="M88" s="276"/>
    </row>
    <row r="89" spans="1:13" ht="12" customHeight="1">
      <c r="A89" s="83">
        <f t="shared" si="3"/>
        <v>83</v>
      </c>
      <c r="B89" s="74" t="s">
        <v>431</v>
      </c>
      <c r="C89" s="84" t="s">
        <v>432</v>
      </c>
      <c r="D89" s="88" t="s">
        <v>234</v>
      </c>
      <c r="E89" s="85"/>
      <c r="F89" s="86"/>
      <c r="G89" s="87">
        <f t="shared" si="4"/>
        <v>10</v>
      </c>
      <c r="H89" s="83" t="s">
        <v>149</v>
      </c>
      <c r="I89" s="83"/>
      <c r="J89" s="93"/>
      <c r="K89" s="274" t="s">
        <v>430</v>
      </c>
      <c r="L89" s="275"/>
      <c r="M89" s="276"/>
    </row>
    <row r="90" spans="1:13" ht="12" customHeight="1">
      <c r="A90" s="83">
        <f t="shared" si="3"/>
        <v>84</v>
      </c>
      <c r="B90" s="74" t="s">
        <v>433</v>
      </c>
      <c r="C90" s="84" t="s">
        <v>434</v>
      </c>
      <c r="D90" s="88" t="s">
        <v>234</v>
      </c>
      <c r="E90" s="85" t="s">
        <v>435</v>
      </c>
      <c r="F90" s="86"/>
      <c r="G90" s="87">
        <f t="shared" si="4"/>
        <v>10</v>
      </c>
      <c r="H90" s="83" t="s">
        <v>149</v>
      </c>
      <c r="I90" s="83"/>
      <c r="J90" s="93"/>
      <c r="K90" s="274" t="s">
        <v>436</v>
      </c>
      <c r="L90" s="275"/>
      <c r="M90" s="276"/>
    </row>
    <row r="91" spans="1:13" ht="12" customHeight="1">
      <c r="A91" s="83">
        <f t="shared" si="3"/>
        <v>85</v>
      </c>
      <c r="B91" s="74" t="s">
        <v>437</v>
      </c>
      <c r="C91" s="84" t="s">
        <v>438</v>
      </c>
      <c r="D91" s="88" t="s">
        <v>150</v>
      </c>
      <c r="E91" s="85">
        <v>15</v>
      </c>
      <c r="F91" s="86"/>
      <c r="G91" s="87">
        <f t="shared" si="4"/>
        <v>15</v>
      </c>
      <c r="H91" s="83" t="s">
        <v>149</v>
      </c>
      <c r="I91" s="83"/>
      <c r="J91" s="93"/>
      <c r="K91" s="274" t="s">
        <v>439</v>
      </c>
      <c r="L91" s="275"/>
      <c r="M91" s="276"/>
    </row>
    <row r="92" spans="1:13" ht="12" customHeight="1">
      <c r="A92" s="83">
        <f t="shared" si="3"/>
        <v>86</v>
      </c>
      <c r="B92" s="74" t="s">
        <v>440</v>
      </c>
      <c r="C92" s="84" t="s">
        <v>441</v>
      </c>
      <c r="D92" s="88" t="s">
        <v>150</v>
      </c>
      <c r="E92" s="85">
        <v>8</v>
      </c>
      <c r="F92" s="86"/>
      <c r="G92" s="87">
        <f t="shared" si="4"/>
        <v>8</v>
      </c>
      <c r="H92" s="83" t="s">
        <v>149</v>
      </c>
      <c r="I92" s="83"/>
      <c r="J92" s="93"/>
      <c r="K92" s="274" t="s">
        <v>442</v>
      </c>
      <c r="L92" s="275"/>
      <c r="M92" s="276"/>
    </row>
    <row r="93" spans="1:13" ht="12" customHeight="1">
      <c r="A93" s="83">
        <f t="shared" si="3"/>
        <v>87</v>
      </c>
      <c r="B93" s="74" t="s">
        <v>232</v>
      </c>
      <c r="C93" s="84" t="s">
        <v>233</v>
      </c>
      <c r="D93" s="88" t="s">
        <v>234</v>
      </c>
      <c r="E93" s="85"/>
      <c r="F93" s="86"/>
      <c r="G93" s="87">
        <f t="shared" si="4"/>
        <v>10</v>
      </c>
      <c r="H93" s="83" t="s">
        <v>149</v>
      </c>
      <c r="I93" s="83"/>
      <c r="J93" s="93"/>
      <c r="K93" s="274" t="s">
        <v>443</v>
      </c>
      <c r="L93" s="275"/>
      <c r="M93" s="276"/>
    </row>
    <row r="94" spans="1:13" ht="12" customHeight="1">
      <c r="A94" s="83">
        <f t="shared" si="3"/>
        <v>88</v>
      </c>
      <c r="B94" s="74" t="s">
        <v>444</v>
      </c>
      <c r="C94" s="84" t="s">
        <v>445</v>
      </c>
      <c r="D94" s="88" t="s">
        <v>150</v>
      </c>
      <c r="E94" s="85">
        <v>7</v>
      </c>
      <c r="F94" s="86"/>
      <c r="G94" s="87">
        <f t="shared" si="4"/>
        <v>7</v>
      </c>
      <c r="H94" s="83" t="s">
        <v>149</v>
      </c>
      <c r="I94" s="83"/>
      <c r="J94" s="93"/>
      <c r="K94" s="274" t="s">
        <v>446</v>
      </c>
      <c r="L94" s="275"/>
      <c r="M94" s="276"/>
    </row>
    <row r="95" spans="1:13" ht="12" customHeight="1">
      <c r="A95" s="83">
        <f t="shared" si="3"/>
        <v>89</v>
      </c>
      <c r="B95" s="74" t="s">
        <v>447</v>
      </c>
      <c r="C95" s="84" t="s">
        <v>448</v>
      </c>
      <c r="D95" s="88" t="s">
        <v>234</v>
      </c>
      <c r="E95" s="85"/>
      <c r="F95" s="86"/>
      <c r="G95" s="87">
        <f t="shared" si="4"/>
        <v>10</v>
      </c>
      <c r="H95" s="83" t="s">
        <v>149</v>
      </c>
      <c r="I95" s="83"/>
      <c r="J95" s="93"/>
      <c r="K95" s="274" t="s">
        <v>449</v>
      </c>
      <c r="L95" s="275"/>
      <c r="M95" s="276"/>
    </row>
    <row r="96" spans="1:13" ht="12" customHeight="1">
      <c r="A96" s="83" t="str">
        <f t="shared" si="3"/>
        <v xml:space="preserve"> </v>
      </c>
      <c r="B96" s="74"/>
      <c r="C96" s="84"/>
      <c r="D96" s="88"/>
      <c r="E96" s="85"/>
      <c r="F96" s="86"/>
      <c r="G96" s="87"/>
      <c r="H96" s="83"/>
      <c r="I96" s="83"/>
      <c r="J96" s="93"/>
      <c r="K96" s="274"/>
      <c r="L96" s="275"/>
      <c r="M96" s="276"/>
    </row>
    <row r="97" spans="1:13" ht="12" customHeight="1">
      <c r="A97" s="83" t="str">
        <f t="shared" si="3"/>
        <v xml:space="preserve"> </v>
      </c>
      <c r="B97" s="74"/>
      <c r="C97" s="84"/>
      <c r="D97" s="88"/>
      <c r="E97" s="85"/>
      <c r="F97" s="86"/>
      <c r="G97" s="87"/>
      <c r="H97" s="83"/>
      <c r="I97" s="83"/>
      <c r="J97" s="93"/>
      <c r="K97" s="274"/>
      <c r="L97" s="275"/>
      <c r="M97" s="276"/>
    </row>
    <row r="98" spans="1:13" ht="12" customHeight="1">
      <c r="A98" s="83" t="str">
        <f t="shared" si="3"/>
        <v xml:space="preserve"> </v>
      </c>
      <c r="B98" s="74"/>
      <c r="C98" s="84"/>
      <c r="D98" s="88"/>
      <c r="E98" s="85"/>
      <c r="F98" s="86"/>
      <c r="G98" s="87"/>
      <c r="H98" s="83"/>
      <c r="I98" s="83"/>
      <c r="J98" s="93"/>
      <c r="K98" s="274"/>
      <c r="L98" s="275"/>
      <c r="M98" s="276"/>
    </row>
    <row r="99" spans="1:13" ht="12" customHeight="1">
      <c r="A99" s="83"/>
      <c r="B99" s="74"/>
      <c r="C99" s="84"/>
      <c r="D99" s="88"/>
      <c r="E99" s="85"/>
      <c r="F99" s="86"/>
      <c r="G99" s="87"/>
      <c r="H99" s="83"/>
      <c r="I99" s="83"/>
      <c r="J99" s="93"/>
      <c r="K99" s="274"/>
      <c r="L99" s="275"/>
      <c r="M99" s="276"/>
    </row>
    <row r="100" spans="1:13" ht="12" customHeight="1">
      <c r="A100" s="83"/>
      <c r="B100" s="74"/>
      <c r="C100" s="84"/>
      <c r="D100" s="88"/>
      <c r="E100" s="85"/>
      <c r="F100" s="86"/>
      <c r="G100" s="87"/>
      <c r="H100" s="83"/>
      <c r="I100" s="83"/>
      <c r="J100" s="93"/>
      <c r="K100" s="274"/>
      <c r="L100" s="275"/>
      <c r="M100" s="276"/>
    </row>
    <row r="102" spans="1:13">
      <c r="B102" s="75" t="s">
        <v>235</v>
      </c>
    </row>
    <row r="104" spans="1:13">
      <c r="B104" s="75" t="s">
        <v>236</v>
      </c>
      <c r="C104" s="75" t="s">
        <v>237</v>
      </c>
    </row>
    <row r="106" spans="1:13">
      <c r="B106" s="75" t="s">
        <v>450</v>
      </c>
      <c r="C106" s="75" t="s">
        <v>451</v>
      </c>
    </row>
    <row r="108" spans="1:13">
      <c r="B108" s="75" t="s">
        <v>239</v>
      </c>
      <c r="C108" s="75" t="s">
        <v>240</v>
      </c>
    </row>
    <row r="109" spans="1:13">
      <c r="C109" s="75" t="s">
        <v>241</v>
      </c>
    </row>
    <row r="111" spans="1:13">
      <c r="B111" s="75" t="s">
        <v>452</v>
      </c>
      <c r="C111" s="75" t="s">
        <v>453</v>
      </c>
    </row>
    <row r="113" spans="2:6">
      <c r="B113" s="75" t="s">
        <v>454</v>
      </c>
      <c r="C113" s="75" t="s">
        <v>455</v>
      </c>
      <c r="D113" s="102"/>
      <c r="E113" s="102"/>
      <c r="F113" s="102"/>
    </row>
    <row r="115" spans="2:6">
      <c r="B115" s="75" t="s">
        <v>456</v>
      </c>
      <c r="C115" s="75" t="s">
        <v>457</v>
      </c>
      <c r="D115" s="75" t="s">
        <v>458</v>
      </c>
    </row>
  </sheetData>
  <mergeCells count="108">
    <mergeCell ref="K94:M94"/>
    <mergeCell ref="K95:M95"/>
    <mergeCell ref="K96:M96"/>
    <mergeCell ref="K97:M97"/>
    <mergeCell ref="K98:M98"/>
    <mergeCell ref="K99:M99"/>
    <mergeCell ref="K100:M100"/>
    <mergeCell ref="A5:A6"/>
    <mergeCell ref="K5:M6"/>
    <mergeCell ref="K85:M85"/>
    <mergeCell ref="K86:M86"/>
    <mergeCell ref="K87:M87"/>
    <mergeCell ref="K88:M88"/>
    <mergeCell ref="K89:M89"/>
    <mergeCell ref="K90:M90"/>
    <mergeCell ref="K91:M91"/>
    <mergeCell ref="K92:M92"/>
    <mergeCell ref="K93:M93"/>
    <mergeCell ref="K76:M76"/>
    <mergeCell ref="K77:M77"/>
    <mergeCell ref="K78:M78"/>
    <mergeCell ref="K79:M79"/>
    <mergeCell ref="K80:M80"/>
    <mergeCell ref="K81:M81"/>
    <mergeCell ref="K82:M82"/>
    <mergeCell ref="K83:M83"/>
    <mergeCell ref="K84:M84"/>
    <mergeCell ref="K67:M67"/>
    <mergeCell ref="K68:M68"/>
    <mergeCell ref="K69:M69"/>
    <mergeCell ref="K70:M70"/>
    <mergeCell ref="K71:M71"/>
    <mergeCell ref="K72:M72"/>
    <mergeCell ref="K73:M73"/>
    <mergeCell ref="K74:M74"/>
    <mergeCell ref="K75:M75"/>
    <mergeCell ref="K58:M58"/>
    <mergeCell ref="K59:M59"/>
    <mergeCell ref="K60:M60"/>
    <mergeCell ref="K61:M61"/>
    <mergeCell ref="K62:M62"/>
    <mergeCell ref="K63:M63"/>
    <mergeCell ref="K64:M64"/>
    <mergeCell ref="K65:M65"/>
    <mergeCell ref="K66:M66"/>
    <mergeCell ref="K49:M49"/>
    <mergeCell ref="K50:M50"/>
    <mergeCell ref="K51:M51"/>
    <mergeCell ref="K52:M52"/>
    <mergeCell ref="K53:M53"/>
    <mergeCell ref="K54:M54"/>
    <mergeCell ref="K55:M55"/>
    <mergeCell ref="K56:M56"/>
    <mergeCell ref="K57:M57"/>
    <mergeCell ref="K40:M40"/>
    <mergeCell ref="K41:M41"/>
    <mergeCell ref="K42:M42"/>
    <mergeCell ref="K43:M43"/>
    <mergeCell ref="K44:M44"/>
    <mergeCell ref="K45:M45"/>
    <mergeCell ref="K46:M46"/>
    <mergeCell ref="K47:M47"/>
    <mergeCell ref="K48:M48"/>
    <mergeCell ref="K31:M31"/>
    <mergeCell ref="K32:M32"/>
    <mergeCell ref="K33:M33"/>
    <mergeCell ref="K34:M34"/>
    <mergeCell ref="K35:M35"/>
    <mergeCell ref="K36:M36"/>
    <mergeCell ref="K37:M37"/>
    <mergeCell ref="K38:M38"/>
    <mergeCell ref="K39:M39"/>
    <mergeCell ref="K22:M22"/>
    <mergeCell ref="K23:M23"/>
    <mergeCell ref="K24:M24"/>
    <mergeCell ref="K25:M25"/>
    <mergeCell ref="K26:M26"/>
    <mergeCell ref="K27:M27"/>
    <mergeCell ref="K28:M28"/>
    <mergeCell ref="K29:M29"/>
    <mergeCell ref="K30:M30"/>
    <mergeCell ref="K13:M13"/>
    <mergeCell ref="K14:M14"/>
    <mergeCell ref="K15:M15"/>
    <mergeCell ref="K16:M16"/>
    <mergeCell ref="K17:M17"/>
    <mergeCell ref="K18:M18"/>
    <mergeCell ref="K19:M19"/>
    <mergeCell ref="K20:M20"/>
    <mergeCell ref="K21:M21"/>
    <mergeCell ref="B5:C5"/>
    <mergeCell ref="D5:H5"/>
    <mergeCell ref="I5:J5"/>
    <mergeCell ref="K7:M7"/>
    <mergeCell ref="K8:M8"/>
    <mergeCell ref="K9:M9"/>
    <mergeCell ref="K10:M10"/>
    <mergeCell ref="K11:M11"/>
    <mergeCell ref="K12:M12"/>
    <mergeCell ref="A2:B2"/>
    <mergeCell ref="C2:G2"/>
    <mergeCell ref="H2:J2"/>
    <mergeCell ref="A3:B3"/>
    <mergeCell ref="C3:G3"/>
    <mergeCell ref="H3:I3"/>
    <mergeCell ref="A4:B4"/>
    <mergeCell ref="C4:G4"/>
    <mergeCell ref="H4:I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Q117"/>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459</v>
      </c>
      <c r="D3" s="265"/>
      <c r="E3" s="265"/>
      <c r="F3" s="265"/>
      <c r="G3" s="266"/>
      <c r="H3" s="259" t="s">
        <v>140</v>
      </c>
      <c r="I3" s="260"/>
      <c r="J3" s="90">
        <f>COUNT(A7:A100)</f>
        <v>56</v>
      </c>
      <c r="K3" s="78" t="s">
        <v>141</v>
      </c>
      <c r="L3" s="91">
        <v>38644</v>
      </c>
      <c r="M3" s="92" t="s">
        <v>142</v>
      </c>
      <c r="O3" s="75" t="s">
        <v>143</v>
      </c>
      <c r="P3" s="75" t="s">
        <v>144</v>
      </c>
    </row>
    <row r="4" spans="1:16" ht="12" customHeight="1">
      <c r="A4" s="267" t="s">
        <v>145</v>
      </c>
      <c r="B4" s="268"/>
      <c r="C4" s="267" t="s">
        <v>15</v>
      </c>
      <c r="D4" s="269"/>
      <c r="E4" s="269"/>
      <c r="F4" s="269"/>
      <c r="G4" s="268"/>
      <c r="H4" s="259" t="s">
        <v>146</v>
      </c>
      <c r="I4" s="260"/>
      <c r="J4" s="90">
        <f>SUM(G7:G100)</f>
        <v>311</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22" t="s">
        <v>163</v>
      </c>
      <c r="D7" s="30" t="s">
        <v>164</v>
      </c>
      <c r="E7" s="85"/>
      <c r="F7" s="86"/>
      <c r="G7" s="87">
        <f>IF(D7="DATE",4,IF(D7="CHAR",E7,IF(D7="SMALLINT",2,IF(D7="INTEGER",4,IF(D7="TIMESTAMP",10,IF(D7="TIME",3,0))))))</f>
        <v>4</v>
      </c>
      <c r="H7" s="83" t="s">
        <v>149</v>
      </c>
      <c r="I7" s="83"/>
      <c r="J7" s="93"/>
      <c r="K7" s="21"/>
      <c r="L7" s="29"/>
      <c r="M7" s="30"/>
      <c r="P7" s="75" t="s">
        <v>165</v>
      </c>
    </row>
    <row r="8" spans="1:16" ht="12" customHeight="1">
      <c r="A8" s="83">
        <f>IF(B8=""," ",A7+1)</f>
        <v>2</v>
      </c>
      <c r="B8" s="11" t="s">
        <v>166</v>
      </c>
      <c r="C8" s="22" t="s">
        <v>167</v>
      </c>
      <c r="D8" s="30" t="s">
        <v>150</v>
      </c>
      <c r="E8" s="85">
        <v>11</v>
      </c>
      <c r="F8" s="86"/>
      <c r="G8" s="87">
        <f t="shared" ref="G8:G62" si="0">IF(D8="DATE",4,IF(D8="CHAR",E8,IF(D8="SMALLINT",2,IF(D8="INTEGER",4,IF(D8="TIMESTAMP",10,IF(D8="TIME",3,0))))))</f>
        <v>11</v>
      </c>
      <c r="H8" s="83" t="s">
        <v>149</v>
      </c>
      <c r="I8" s="83"/>
      <c r="J8" s="93"/>
      <c r="K8" s="21"/>
      <c r="L8" s="29"/>
      <c r="M8" s="30"/>
      <c r="P8" s="75" t="s">
        <v>168</v>
      </c>
    </row>
    <row r="9" spans="1:16" ht="27" customHeight="1">
      <c r="A9" s="83">
        <f t="shared" ref="A9:A64" si="1">IF(B9=""," ",A8+1)</f>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c r="J10" s="93"/>
      <c r="K10" s="308"/>
      <c r="L10" s="278"/>
      <c r="M10" s="279"/>
    </row>
    <row r="11" spans="1:16" ht="12" customHeight="1">
      <c r="A11" s="83">
        <f t="shared" si="1"/>
        <v>5</v>
      </c>
      <c r="B11" s="11" t="s">
        <v>460</v>
      </c>
      <c r="C11" s="21" t="s">
        <v>461</v>
      </c>
      <c r="D11" s="13" t="s">
        <v>164</v>
      </c>
      <c r="E11" s="85"/>
      <c r="F11" s="86"/>
      <c r="G11" s="87">
        <f t="shared" si="0"/>
        <v>4</v>
      </c>
      <c r="H11" s="83" t="s">
        <v>149</v>
      </c>
      <c r="I11" s="83" t="s">
        <v>149</v>
      </c>
      <c r="J11" s="93"/>
      <c r="K11" s="21"/>
      <c r="L11" s="29"/>
      <c r="M11" s="30"/>
    </row>
    <row r="12" spans="1:16" ht="12" customHeight="1">
      <c r="A12" s="83">
        <f t="shared" si="1"/>
        <v>6</v>
      </c>
      <c r="B12" s="11" t="s">
        <v>462</v>
      </c>
      <c r="C12" s="21" t="s">
        <v>463</v>
      </c>
      <c r="D12" s="13" t="s">
        <v>150</v>
      </c>
      <c r="E12" s="85">
        <v>13</v>
      </c>
      <c r="F12" s="86"/>
      <c r="G12" s="87">
        <f t="shared" si="0"/>
        <v>13</v>
      </c>
      <c r="H12" s="83" t="s">
        <v>149</v>
      </c>
      <c r="I12" s="83" t="s">
        <v>149</v>
      </c>
      <c r="J12" s="93"/>
      <c r="K12" s="21"/>
      <c r="L12" s="29"/>
      <c r="M12" s="30"/>
      <c r="P12" s="75" t="s">
        <v>164</v>
      </c>
    </row>
    <row r="13" spans="1:16" ht="27" customHeight="1">
      <c r="A13" s="83">
        <f t="shared" si="1"/>
        <v>7</v>
      </c>
      <c r="B13" s="11" t="s">
        <v>464</v>
      </c>
      <c r="C13" s="19" t="s">
        <v>465</v>
      </c>
      <c r="D13" s="88" t="s">
        <v>150</v>
      </c>
      <c r="E13" s="85">
        <v>1</v>
      </c>
      <c r="F13" s="86"/>
      <c r="G13" s="87">
        <f t="shared" si="0"/>
        <v>1</v>
      </c>
      <c r="H13" s="83" t="s">
        <v>149</v>
      </c>
      <c r="I13" s="83"/>
      <c r="J13" s="93"/>
      <c r="K13" s="271" t="s">
        <v>171</v>
      </c>
      <c r="L13" s="272"/>
      <c r="M13" s="273"/>
    </row>
    <row r="14" spans="1:16" ht="12" customHeight="1">
      <c r="A14" s="83">
        <f t="shared" si="1"/>
        <v>8</v>
      </c>
      <c r="B14" s="11" t="s">
        <v>466</v>
      </c>
      <c r="C14" s="21" t="s">
        <v>467</v>
      </c>
      <c r="D14" s="13" t="s">
        <v>150</v>
      </c>
      <c r="E14" s="85">
        <v>3</v>
      </c>
      <c r="F14" s="86"/>
      <c r="G14" s="87">
        <f t="shared" si="0"/>
        <v>3</v>
      </c>
      <c r="H14" s="83" t="s">
        <v>149</v>
      </c>
      <c r="I14" s="83" t="s">
        <v>149</v>
      </c>
      <c r="J14" s="93"/>
      <c r="K14" s="21"/>
      <c r="L14" s="29"/>
      <c r="M14" s="30"/>
    </row>
    <row r="15" spans="1:16" ht="12" customHeight="1">
      <c r="A15" s="83">
        <f t="shared" si="1"/>
        <v>9</v>
      </c>
      <c r="B15" s="11" t="s">
        <v>468</v>
      </c>
      <c r="C15" s="84" t="s">
        <v>469</v>
      </c>
      <c r="D15" s="88" t="s">
        <v>174</v>
      </c>
      <c r="E15" s="85"/>
      <c r="F15" s="86"/>
      <c r="G15" s="87">
        <f t="shared" si="0"/>
        <v>2</v>
      </c>
      <c r="H15" s="83" t="s">
        <v>149</v>
      </c>
      <c r="I15" s="83" t="s">
        <v>149</v>
      </c>
      <c r="J15" s="93"/>
      <c r="K15" s="277" t="s">
        <v>175</v>
      </c>
      <c r="L15" s="278"/>
      <c r="M15" s="279"/>
    </row>
    <row r="16" spans="1:16" ht="12" customHeight="1">
      <c r="A16" s="83">
        <f t="shared" si="1"/>
        <v>10</v>
      </c>
      <c r="B16" s="11" t="s">
        <v>470</v>
      </c>
      <c r="C16" s="84" t="s">
        <v>471</v>
      </c>
      <c r="D16" s="88" t="s">
        <v>164</v>
      </c>
      <c r="E16" s="85"/>
      <c r="F16" s="86"/>
      <c r="G16" s="87">
        <f t="shared" si="0"/>
        <v>4</v>
      </c>
      <c r="H16" s="83" t="s">
        <v>149</v>
      </c>
      <c r="I16" s="83"/>
      <c r="J16" s="93"/>
      <c r="K16" s="84"/>
      <c r="L16" s="94"/>
      <c r="M16" s="95"/>
    </row>
    <row r="17" spans="1:13" ht="26.25" customHeight="1">
      <c r="A17" s="83">
        <f t="shared" si="1"/>
        <v>11</v>
      </c>
      <c r="B17" s="11" t="s">
        <v>472</v>
      </c>
      <c r="C17" s="84" t="s">
        <v>473</v>
      </c>
      <c r="D17" s="88" t="s">
        <v>150</v>
      </c>
      <c r="E17" s="85">
        <v>2</v>
      </c>
      <c r="F17" s="86"/>
      <c r="G17" s="87">
        <f t="shared" si="0"/>
        <v>2</v>
      </c>
      <c r="H17" s="83" t="s">
        <v>149</v>
      </c>
      <c r="I17" s="83"/>
      <c r="J17" s="93"/>
      <c r="K17" s="280" t="s">
        <v>474</v>
      </c>
      <c r="L17" s="300"/>
      <c r="M17" s="301"/>
    </row>
    <row r="18" spans="1:13" ht="12" customHeight="1">
      <c r="A18" s="83">
        <f t="shared" si="1"/>
        <v>12</v>
      </c>
      <c r="B18" s="11" t="s">
        <v>475</v>
      </c>
      <c r="C18" s="84" t="s">
        <v>476</v>
      </c>
      <c r="D18" s="88" t="s">
        <v>150</v>
      </c>
      <c r="E18" s="85">
        <v>5</v>
      </c>
      <c r="F18" s="86"/>
      <c r="G18" s="87">
        <f t="shared" si="0"/>
        <v>5</v>
      </c>
      <c r="H18" s="83" t="s">
        <v>149</v>
      </c>
      <c r="I18" s="83"/>
      <c r="J18" s="93"/>
      <c r="K18" s="84" t="s">
        <v>477</v>
      </c>
      <c r="L18" s="94"/>
      <c r="M18" s="95"/>
    </row>
    <row r="19" spans="1:13" ht="27.75" customHeight="1">
      <c r="A19" s="83">
        <f t="shared" si="1"/>
        <v>13</v>
      </c>
      <c r="B19" s="11" t="s">
        <v>478</v>
      </c>
      <c r="C19" s="84" t="s">
        <v>479</v>
      </c>
      <c r="D19" s="88" t="s">
        <v>150</v>
      </c>
      <c r="E19" s="85">
        <v>1</v>
      </c>
      <c r="F19" s="86"/>
      <c r="G19" s="87">
        <f t="shared" si="0"/>
        <v>1</v>
      </c>
      <c r="H19" s="83" t="s">
        <v>149</v>
      </c>
      <c r="I19" s="83"/>
      <c r="J19" s="93"/>
      <c r="K19" s="280" t="s">
        <v>480</v>
      </c>
      <c r="L19" s="300"/>
      <c r="M19" s="301"/>
    </row>
    <row r="20" spans="1:13" ht="52.5" customHeight="1">
      <c r="A20" s="83">
        <f t="shared" si="1"/>
        <v>14</v>
      </c>
      <c r="B20" s="11" t="s">
        <v>481</v>
      </c>
      <c r="C20" s="84" t="s">
        <v>482</v>
      </c>
      <c r="D20" s="88" t="s">
        <v>150</v>
      </c>
      <c r="E20" s="85">
        <v>5</v>
      </c>
      <c r="F20" s="86"/>
      <c r="G20" s="87">
        <f t="shared" si="0"/>
        <v>5</v>
      </c>
      <c r="H20" s="83" t="s">
        <v>149</v>
      </c>
      <c r="I20" s="83"/>
      <c r="J20" s="93"/>
      <c r="K20" s="280" t="s">
        <v>483</v>
      </c>
      <c r="L20" s="300"/>
      <c r="M20" s="301"/>
    </row>
    <row r="21" spans="1:13" ht="12" customHeight="1">
      <c r="A21" s="83">
        <f t="shared" si="1"/>
        <v>15</v>
      </c>
      <c r="B21" s="11" t="s">
        <v>484</v>
      </c>
      <c r="C21" s="84" t="s">
        <v>485</v>
      </c>
      <c r="D21" s="88" t="s">
        <v>150</v>
      </c>
      <c r="E21" s="85">
        <v>1</v>
      </c>
      <c r="F21" s="86"/>
      <c r="G21" s="87">
        <f t="shared" si="0"/>
        <v>1</v>
      </c>
      <c r="H21" s="83" t="s">
        <v>149</v>
      </c>
      <c r="I21" s="83"/>
      <c r="J21" s="93"/>
      <c r="K21" s="84" t="s">
        <v>486</v>
      </c>
      <c r="L21" s="94"/>
      <c r="M21" s="95"/>
    </row>
    <row r="22" spans="1:13" ht="12" customHeight="1">
      <c r="A22" s="83">
        <f t="shared" si="1"/>
        <v>16</v>
      </c>
      <c r="B22" s="11" t="s">
        <v>487</v>
      </c>
      <c r="C22" s="84" t="s">
        <v>488</v>
      </c>
      <c r="D22" s="88" t="s">
        <v>150</v>
      </c>
      <c r="E22" s="85">
        <v>4</v>
      </c>
      <c r="F22" s="86"/>
      <c r="G22" s="87">
        <f t="shared" si="0"/>
        <v>4</v>
      </c>
      <c r="H22" s="83" t="s">
        <v>149</v>
      </c>
      <c r="I22" s="83"/>
      <c r="J22" s="93"/>
      <c r="K22" s="84" t="s">
        <v>489</v>
      </c>
      <c r="L22" s="94"/>
      <c r="M22" s="95"/>
    </row>
    <row r="23" spans="1:13" ht="12" customHeight="1">
      <c r="A23" s="83">
        <f t="shared" si="1"/>
        <v>17</v>
      </c>
      <c r="B23" s="11" t="s">
        <v>399</v>
      </c>
      <c r="C23" s="84" t="s">
        <v>400</v>
      </c>
      <c r="D23" s="88" t="s">
        <v>150</v>
      </c>
      <c r="E23" s="85">
        <v>2</v>
      </c>
      <c r="F23" s="86"/>
      <c r="G23" s="87">
        <f t="shared" si="0"/>
        <v>2</v>
      </c>
      <c r="H23" s="83" t="s">
        <v>149</v>
      </c>
      <c r="I23" s="83"/>
      <c r="J23" s="93"/>
      <c r="K23" s="84"/>
      <c r="L23" s="94"/>
      <c r="M23" s="95"/>
    </row>
    <row r="24" spans="1:13" ht="12" customHeight="1">
      <c r="A24" s="83">
        <f t="shared" si="1"/>
        <v>18</v>
      </c>
      <c r="B24" s="11" t="s">
        <v>490</v>
      </c>
      <c r="C24" s="84" t="s">
        <v>491</v>
      </c>
      <c r="D24" s="88" t="s">
        <v>150</v>
      </c>
      <c r="E24" s="85">
        <v>20</v>
      </c>
      <c r="F24" s="86"/>
      <c r="G24" s="87">
        <f t="shared" si="0"/>
        <v>20</v>
      </c>
      <c r="H24" s="83" t="s">
        <v>149</v>
      </c>
      <c r="I24" s="83"/>
      <c r="J24" s="93"/>
      <c r="K24" s="84"/>
      <c r="L24" s="94"/>
      <c r="M24" s="95"/>
    </row>
    <row r="25" spans="1:13" ht="26.25" customHeight="1">
      <c r="A25" s="83">
        <f t="shared" si="1"/>
        <v>19</v>
      </c>
      <c r="B25" s="11" t="s">
        <v>492</v>
      </c>
      <c r="C25" s="84" t="s">
        <v>493</v>
      </c>
      <c r="D25" s="88" t="s">
        <v>150</v>
      </c>
      <c r="E25" s="85">
        <v>1</v>
      </c>
      <c r="F25" s="86"/>
      <c r="G25" s="87">
        <f t="shared" si="0"/>
        <v>1</v>
      </c>
      <c r="H25" s="83" t="s">
        <v>149</v>
      </c>
      <c r="I25" s="83"/>
      <c r="J25" s="93"/>
      <c r="K25" s="280" t="s">
        <v>494</v>
      </c>
      <c r="L25" s="300"/>
      <c r="M25" s="301"/>
    </row>
    <row r="26" spans="1:13" ht="25.5" customHeight="1">
      <c r="A26" s="83">
        <f t="shared" si="1"/>
        <v>20</v>
      </c>
      <c r="B26" s="11" t="s">
        <v>495</v>
      </c>
      <c r="C26" s="84" t="s">
        <v>496</v>
      </c>
      <c r="D26" s="88" t="s">
        <v>150</v>
      </c>
      <c r="E26" s="85">
        <v>1</v>
      </c>
      <c r="F26" s="86"/>
      <c r="G26" s="87">
        <f t="shared" si="0"/>
        <v>1</v>
      </c>
      <c r="H26" s="83" t="s">
        <v>149</v>
      </c>
      <c r="I26" s="83"/>
      <c r="J26" s="93"/>
      <c r="K26" s="280" t="s">
        <v>497</v>
      </c>
      <c r="L26" s="300"/>
      <c r="M26" s="301"/>
    </row>
    <row r="27" spans="1:13" ht="51" customHeight="1">
      <c r="A27" s="83">
        <f t="shared" si="1"/>
        <v>21</v>
      </c>
      <c r="B27" s="11" t="s">
        <v>498</v>
      </c>
      <c r="C27" s="84" t="s">
        <v>499</v>
      </c>
      <c r="D27" s="88" t="s">
        <v>150</v>
      </c>
      <c r="E27" s="85">
        <v>1</v>
      </c>
      <c r="F27" s="86"/>
      <c r="G27" s="87">
        <f t="shared" si="0"/>
        <v>1</v>
      </c>
      <c r="H27" s="83" t="s">
        <v>149</v>
      </c>
      <c r="I27" s="83"/>
      <c r="J27" s="93"/>
      <c r="K27" s="280" t="s">
        <v>500</v>
      </c>
      <c r="L27" s="300"/>
      <c r="M27" s="301"/>
    </row>
    <row r="28" spans="1:13" ht="12" customHeight="1">
      <c r="A28" s="83">
        <f t="shared" si="1"/>
        <v>22</v>
      </c>
      <c r="B28" s="11" t="s">
        <v>501</v>
      </c>
      <c r="C28" s="84" t="s">
        <v>502</v>
      </c>
      <c r="D28" s="88" t="s">
        <v>150</v>
      </c>
      <c r="E28" s="85">
        <v>4</v>
      </c>
      <c r="F28" s="86"/>
      <c r="G28" s="87">
        <f t="shared" si="0"/>
        <v>4</v>
      </c>
      <c r="H28" s="83" t="s">
        <v>149</v>
      </c>
      <c r="I28" s="83"/>
      <c r="J28" s="93"/>
      <c r="K28" s="84" t="s">
        <v>503</v>
      </c>
      <c r="L28" s="94"/>
      <c r="M28" s="95"/>
    </row>
    <row r="29" spans="1:13" ht="12" customHeight="1">
      <c r="A29" s="83">
        <f t="shared" si="1"/>
        <v>23</v>
      </c>
      <c r="B29" s="11" t="s">
        <v>504</v>
      </c>
      <c r="C29" s="84" t="s">
        <v>505</v>
      </c>
      <c r="D29" s="88" t="s">
        <v>150</v>
      </c>
      <c r="E29" s="85">
        <v>4</v>
      </c>
      <c r="F29" s="86"/>
      <c r="G29" s="87">
        <f t="shared" si="0"/>
        <v>4</v>
      </c>
      <c r="H29" s="83" t="s">
        <v>149</v>
      </c>
      <c r="I29" s="83"/>
      <c r="J29" s="93"/>
      <c r="K29" s="84" t="s">
        <v>506</v>
      </c>
      <c r="L29" s="94"/>
      <c r="M29" s="95"/>
    </row>
    <row r="30" spans="1:13" ht="37.5" customHeight="1">
      <c r="A30" s="83">
        <f t="shared" si="1"/>
        <v>24</v>
      </c>
      <c r="B30" s="11" t="s">
        <v>507</v>
      </c>
      <c r="C30" s="84" t="s">
        <v>508</v>
      </c>
      <c r="D30" s="88" t="s">
        <v>150</v>
      </c>
      <c r="E30" s="85">
        <v>1</v>
      </c>
      <c r="F30" s="86"/>
      <c r="G30" s="87">
        <f t="shared" si="0"/>
        <v>1</v>
      </c>
      <c r="H30" s="83" t="s">
        <v>149</v>
      </c>
      <c r="I30" s="83"/>
      <c r="J30" s="93"/>
      <c r="K30" s="280" t="s">
        <v>509</v>
      </c>
      <c r="L30" s="309"/>
      <c r="M30" s="310"/>
    </row>
    <row r="31" spans="1:13" ht="26.25" customHeight="1">
      <c r="A31" s="83">
        <f t="shared" si="1"/>
        <v>25</v>
      </c>
      <c r="B31" s="11" t="s">
        <v>510</v>
      </c>
      <c r="C31" s="84" t="s">
        <v>511</v>
      </c>
      <c r="D31" s="88" t="s">
        <v>150</v>
      </c>
      <c r="E31" s="85">
        <v>1</v>
      </c>
      <c r="F31" s="86"/>
      <c r="G31" s="87">
        <f t="shared" si="0"/>
        <v>1</v>
      </c>
      <c r="H31" s="83" t="s">
        <v>149</v>
      </c>
      <c r="I31" s="83"/>
      <c r="J31" s="93"/>
      <c r="K31" s="280" t="s">
        <v>512</v>
      </c>
      <c r="L31" s="309"/>
      <c r="M31" s="310"/>
    </row>
    <row r="32" spans="1:13" ht="27" customHeight="1">
      <c r="A32" s="83">
        <f t="shared" si="1"/>
        <v>26</v>
      </c>
      <c r="B32" s="11" t="s">
        <v>513</v>
      </c>
      <c r="C32" s="84" t="s">
        <v>514</v>
      </c>
      <c r="D32" s="88" t="s">
        <v>150</v>
      </c>
      <c r="E32" s="85">
        <v>1</v>
      </c>
      <c r="F32" s="86"/>
      <c r="G32" s="87">
        <f t="shared" si="0"/>
        <v>1</v>
      </c>
      <c r="H32" s="83" t="s">
        <v>149</v>
      </c>
      <c r="I32" s="83"/>
      <c r="J32" s="93"/>
      <c r="K32" s="280" t="s">
        <v>515</v>
      </c>
      <c r="L32" s="300"/>
      <c r="M32" s="301"/>
    </row>
    <row r="33" spans="1:16" ht="51" customHeight="1">
      <c r="A33" s="83">
        <f t="shared" si="1"/>
        <v>27</v>
      </c>
      <c r="B33" s="11" t="s">
        <v>516</v>
      </c>
      <c r="C33" s="84" t="s">
        <v>517</v>
      </c>
      <c r="D33" s="88" t="s">
        <v>150</v>
      </c>
      <c r="E33" s="85">
        <v>1</v>
      </c>
      <c r="F33" s="86"/>
      <c r="G33" s="87">
        <f t="shared" si="0"/>
        <v>1</v>
      </c>
      <c r="H33" s="83" t="s">
        <v>149</v>
      </c>
      <c r="I33" s="83"/>
      <c r="J33" s="93"/>
      <c r="K33" s="311" t="s">
        <v>518</v>
      </c>
      <c r="L33" s="312"/>
      <c r="M33" s="312"/>
    </row>
    <row r="34" spans="1:16" ht="12" customHeight="1">
      <c r="A34" s="83">
        <f t="shared" si="1"/>
        <v>28</v>
      </c>
      <c r="B34" s="11" t="s">
        <v>519</v>
      </c>
      <c r="C34" s="84" t="s">
        <v>520</v>
      </c>
      <c r="D34" s="88" t="s">
        <v>234</v>
      </c>
      <c r="E34" s="85"/>
      <c r="F34" s="86"/>
      <c r="G34" s="87">
        <f t="shared" si="0"/>
        <v>10</v>
      </c>
      <c r="H34" s="83" t="s">
        <v>149</v>
      </c>
      <c r="I34" s="83"/>
      <c r="J34" s="93"/>
      <c r="K34" s="274" t="s">
        <v>430</v>
      </c>
      <c r="L34" s="275"/>
      <c r="M34" s="276"/>
    </row>
    <row r="35" spans="1:16" ht="12" customHeight="1">
      <c r="A35" s="83">
        <f t="shared" si="1"/>
        <v>29</v>
      </c>
      <c r="B35" s="11" t="s">
        <v>521</v>
      </c>
      <c r="C35" s="84" t="s">
        <v>522</v>
      </c>
      <c r="D35" s="88" t="s">
        <v>234</v>
      </c>
      <c r="E35" s="85"/>
      <c r="F35" s="86"/>
      <c r="G35" s="87">
        <f t="shared" si="0"/>
        <v>10</v>
      </c>
      <c r="H35" s="83" t="s">
        <v>149</v>
      </c>
      <c r="I35" s="83"/>
      <c r="J35" s="93"/>
      <c r="K35" s="274" t="s">
        <v>430</v>
      </c>
      <c r="L35" s="275"/>
      <c r="M35" s="276"/>
    </row>
    <row r="36" spans="1:16" ht="12" customHeight="1">
      <c r="A36" s="83">
        <f t="shared" si="1"/>
        <v>30</v>
      </c>
      <c r="B36" s="11" t="s">
        <v>523</v>
      </c>
      <c r="C36" s="84" t="s">
        <v>524</v>
      </c>
      <c r="D36" s="88" t="s">
        <v>234</v>
      </c>
      <c r="E36" s="85"/>
      <c r="F36" s="86"/>
      <c r="G36" s="87">
        <f t="shared" si="0"/>
        <v>10</v>
      </c>
      <c r="H36" s="83" t="s">
        <v>149</v>
      </c>
      <c r="I36" s="83"/>
      <c r="J36" s="93"/>
      <c r="K36" s="274" t="s">
        <v>525</v>
      </c>
      <c r="L36" s="275"/>
      <c r="M36" s="276"/>
    </row>
    <row r="37" spans="1:16" ht="12" customHeight="1">
      <c r="A37" s="83">
        <f t="shared" si="1"/>
        <v>31</v>
      </c>
      <c r="B37" s="11" t="s">
        <v>526</v>
      </c>
      <c r="C37" s="84" t="s">
        <v>527</v>
      </c>
      <c r="D37" s="88" t="s">
        <v>150</v>
      </c>
      <c r="E37" s="85">
        <v>15</v>
      </c>
      <c r="F37" s="86"/>
      <c r="G37" s="87">
        <f t="shared" si="0"/>
        <v>15</v>
      </c>
      <c r="H37" s="83" t="s">
        <v>149</v>
      </c>
      <c r="I37" s="83"/>
      <c r="J37" s="93"/>
      <c r="K37" s="274" t="s">
        <v>528</v>
      </c>
      <c r="L37" s="275"/>
      <c r="M37" s="276"/>
    </row>
    <row r="38" spans="1:16" ht="12" customHeight="1">
      <c r="A38" s="83">
        <f t="shared" si="1"/>
        <v>32</v>
      </c>
      <c r="B38" s="11" t="s">
        <v>529</v>
      </c>
      <c r="C38" s="84" t="s">
        <v>530</v>
      </c>
      <c r="D38" s="88" t="s">
        <v>150</v>
      </c>
      <c r="E38" s="85">
        <v>8</v>
      </c>
      <c r="F38" s="86"/>
      <c r="G38" s="87">
        <f t="shared" si="0"/>
        <v>8</v>
      </c>
      <c r="H38" s="83" t="s">
        <v>149</v>
      </c>
      <c r="I38" s="83"/>
      <c r="J38" s="93"/>
      <c r="K38" s="274" t="s">
        <v>531</v>
      </c>
      <c r="L38" s="275"/>
      <c r="M38" s="276"/>
    </row>
    <row r="39" spans="1:16" ht="26.25" customHeight="1">
      <c r="A39" s="83">
        <f t="shared" si="1"/>
        <v>33</v>
      </c>
      <c r="B39" s="11" t="s">
        <v>532</v>
      </c>
      <c r="C39" s="84" t="s">
        <v>533</v>
      </c>
      <c r="D39" s="88" t="s">
        <v>150</v>
      </c>
      <c r="E39" s="85">
        <v>1</v>
      </c>
      <c r="F39" s="86"/>
      <c r="G39" s="87">
        <f t="shared" si="0"/>
        <v>1</v>
      </c>
      <c r="H39" s="83" t="s">
        <v>149</v>
      </c>
      <c r="I39" s="83"/>
      <c r="J39" s="93"/>
      <c r="K39" s="280" t="s">
        <v>534</v>
      </c>
      <c r="L39" s="300"/>
      <c r="M39" s="301"/>
    </row>
    <row r="40" spans="1:16" ht="12" customHeight="1">
      <c r="A40" s="83">
        <f t="shared" si="1"/>
        <v>34</v>
      </c>
      <c r="B40" s="11" t="s">
        <v>535</v>
      </c>
      <c r="C40" s="84" t="s">
        <v>536</v>
      </c>
      <c r="D40" s="88" t="s">
        <v>150</v>
      </c>
      <c r="E40" s="85">
        <v>4</v>
      </c>
      <c r="F40" s="86"/>
      <c r="G40" s="87">
        <f t="shared" si="0"/>
        <v>4</v>
      </c>
      <c r="H40" s="83" t="s">
        <v>149</v>
      </c>
      <c r="I40" s="83"/>
      <c r="J40" s="93"/>
      <c r="K40" s="21"/>
      <c r="L40" s="29"/>
      <c r="M40" s="30"/>
    </row>
    <row r="41" spans="1:16" ht="12" customHeight="1">
      <c r="A41" s="83">
        <f t="shared" si="1"/>
        <v>35</v>
      </c>
      <c r="B41" s="11" t="s">
        <v>537</v>
      </c>
      <c r="C41" s="84" t="s">
        <v>538</v>
      </c>
      <c r="D41" s="88" t="s">
        <v>195</v>
      </c>
      <c r="E41" s="85"/>
      <c r="F41" s="86"/>
      <c r="G41" s="87">
        <f t="shared" si="0"/>
        <v>3</v>
      </c>
      <c r="H41" s="83" t="s">
        <v>149</v>
      </c>
      <c r="I41" s="83"/>
      <c r="J41" s="93"/>
      <c r="K41" s="84"/>
      <c r="L41" s="94"/>
      <c r="M41" s="95"/>
    </row>
    <row r="42" spans="1:16" ht="12" customHeight="1">
      <c r="A42" s="83">
        <f t="shared" si="1"/>
        <v>36</v>
      </c>
      <c r="B42" s="11" t="s">
        <v>539</v>
      </c>
      <c r="C42" s="84" t="s">
        <v>540</v>
      </c>
      <c r="D42" s="88" t="s">
        <v>164</v>
      </c>
      <c r="E42" s="85"/>
      <c r="F42" s="86"/>
      <c r="G42" s="87">
        <f t="shared" si="0"/>
        <v>4</v>
      </c>
      <c r="H42" s="83" t="s">
        <v>149</v>
      </c>
      <c r="I42" s="83"/>
      <c r="J42" s="93"/>
      <c r="K42" s="84"/>
      <c r="L42" s="94"/>
      <c r="M42" s="95"/>
      <c r="P42" s="75" t="s">
        <v>174</v>
      </c>
    </row>
    <row r="43" spans="1:16" ht="12" customHeight="1">
      <c r="A43" s="83">
        <f t="shared" si="1"/>
        <v>37</v>
      </c>
      <c r="B43" s="11" t="s">
        <v>541</v>
      </c>
      <c r="C43" s="84" t="s">
        <v>542</v>
      </c>
      <c r="D43" s="88" t="s">
        <v>150</v>
      </c>
      <c r="E43" s="85">
        <v>4</v>
      </c>
      <c r="F43" s="86"/>
      <c r="G43" s="87">
        <f t="shared" si="0"/>
        <v>4</v>
      </c>
      <c r="H43" s="83" t="s">
        <v>149</v>
      </c>
      <c r="I43" s="83"/>
      <c r="J43" s="93"/>
      <c r="K43" s="84"/>
      <c r="L43" s="94"/>
      <c r="M43" s="95"/>
    </row>
    <row r="44" spans="1:16" ht="12" customHeight="1">
      <c r="A44" s="83">
        <f t="shared" si="1"/>
        <v>38</v>
      </c>
      <c r="B44" s="11" t="s">
        <v>543</v>
      </c>
      <c r="C44" s="84" t="s">
        <v>544</v>
      </c>
      <c r="D44" s="88" t="s">
        <v>150</v>
      </c>
      <c r="E44" s="85">
        <v>1</v>
      </c>
      <c r="F44" s="86"/>
      <c r="G44" s="87">
        <f t="shared" si="0"/>
        <v>1</v>
      </c>
      <c r="H44" s="83" t="s">
        <v>149</v>
      </c>
      <c r="I44" s="83"/>
      <c r="J44" s="93"/>
      <c r="K44" s="84" t="s">
        <v>545</v>
      </c>
      <c r="L44" s="94"/>
      <c r="M44" s="95"/>
      <c r="P44" s="75" t="s">
        <v>195</v>
      </c>
    </row>
    <row r="45" spans="1:16" ht="12" customHeight="1">
      <c r="A45" s="83">
        <f t="shared" si="1"/>
        <v>39</v>
      </c>
      <c r="B45" s="11" t="s">
        <v>546</v>
      </c>
      <c r="C45" s="84" t="s">
        <v>547</v>
      </c>
      <c r="D45" s="88" t="s">
        <v>150</v>
      </c>
      <c r="E45" s="85">
        <v>5</v>
      </c>
      <c r="F45" s="86"/>
      <c r="G45" s="87">
        <f t="shared" si="0"/>
        <v>5</v>
      </c>
      <c r="H45" s="83" t="s">
        <v>149</v>
      </c>
      <c r="I45" s="83"/>
      <c r="J45" s="93"/>
      <c r="K45" s="84"/>
      <c r="L45" s="94"/>
      <c r="M45" s="95"/>
    </row>
    <row r="46" spans="1:16" ht="12" customHeight="1">
      <c r="A46" s="83">
        <f t="shared" si="1"/>
        <v>40</v>
      </c>
      <c r="B46" s="11" t="s">
        <v>548</v>
      </c>
      <c r="C46" s="84" t="s">
        <v>549</v>
      </c>
      <c r="D46" s="88" t="s">
        <v>150</v>
      </c>
      <c r="E46" s="85">
        <v>1</v>
      </c>
      <c r="F46" s="86"/>
      <c r="G46" s="87">
        <f t="shared" si="0"/>
        <v>1</v>
      </c>
      <c r="H46" s="83" t="s">
        <v>149</v>
      </c>
      <c r="I46" s="83"/>
      <c r="J46" s="93"/>
      <c r="K46" s="84" t="s">
        <v>550</v>
      </c>
      <c r="L46" s="94"/>
      <c r="M46" s="95"/>
    </row>
    <row r="47" spans="1:16" ht="12" customHeight="1">
      <c r="A47" s="83">
        <f t="shared" si="1"/>
        <v>41</v>
      </c>
      <c r="B47" s="11" t="s">
        <v>551</v>
      </c>
      <c r="C47" s="84" t="s">
        <v>552</v>
      </c>
      <c r="D47" s="88" t="s">
        <v>150</v>
      </c>
      <c r="E47" s="85">
        <v>20</v>
      </c>
      <c r="F47" s="86"/>
      <c r="G47" s="87">
        <f t="shared" si="0"/>
        <v>20</v>
      </c>
      <c r="H47" s="83" t="s">
        <v>149</v>
      </c>
      <c r="I47" s="83"/>
      <c r="J47" s="93"/>
      <c r="K47" s="84"/>
      <c r="L47" s="94"/>
      <c r="M47" s="95"/>
    </row>
    <row r="48" spans="1:16" ht="12" customHeight="1">
      <c r="A48" s="83">
        <f t="shared" si="1"/>
        <v>42</v>
      </c>
      <c r="B48" s="11" t="s">
        <v>553</v>
      </c>
      <c r="C48" s="84" t="s">
        <v>554</v>
      </c>
      <c r="D48" s="88" t="s">
        <v>150</v>
      </c>
      <c r="E48" s="85">
        <v>20</v>
      </c>
      <c r="F48" s="86"/>
      <c r="G48" s="87">
        <f t="shared" si="0"/>
        <v>20</v>
      </c>
      <c r="H48" s="83" t="s">
        <v>149</v>
      </c>
      <c r="I48" s="83"/>
      <c r="J48" s="93"/>
      <c r="K48" s="84"/>
      <c r="L48" s="94"/>
      <c r="M48" s="95"/>
    </row>
    <row r="49" spans="1:13" ht="27" customHeight="1">
      <c r="A49" s="83">
        <f t="shared" si="1"/>
        <v>43</v>
      </c>
      <c r="B49" s="11" t="s">
        <v>555</v>
      </c>
      <c r="C49" s="84" t="s">
        <v>556</v>
      </c>
      <c r="D49" s="88" t="s">
        <v>150</v>
      </c>
      <c r="E49" s="85">
        <v>2</v>
      </c>
      <c r="F49" s="86"/>
      <c r="G49" s="87">
        <f t="shared" si="0"/>
        <v>2</v>
      </c>
      <c r="H49" s="83" t="s">
        <v>149</v>
      </c>
      <c r="I49" s="83"/>
      <c r="J49" s="93"/>
      <c r="K49" s="280" t="s">
        <v>557</v>
      </c>
      <c r="L49" s="300"/>
      <c r="M49" s="301"/>
    </row>
    <row r="50" spans="1:13" ht="12" customHeight="1">
      <c r="A50" s="83">
        <f t="shared" si="1"/>
        <v>44</v>
      </c>
      <c r="B50" s="11" t="s">
        <v>558</v>
      </c>
      <c r="C50" s="84" t="s">
        <v>559</v>
      </c>
      <c r="D50" s="88" t="s">
        <v>164</v>
      </c>
      <c r="E50" s="85"/>
      <c r="F50" s="86"/>
      <c r="G50" s="87">
        <f t="shared" si="0"/>
        <v>4</v>
      </c>
      <c r="H50" s="83" t="s">
        <v>149</v>
      </c>
      <c r="I50" s="83"/>
      <c r="J50" s="93"/>
      <c r="K50" s="84" t="s">
        <v>560</v>
      </c>
      <c r="L50" s="94"/>
      <c r="M50" s="95"/>
    </row>
    <row r="51" spans="1:13" ht="12" customHeight="1">
      <c r="A51" s="83">
        <f t="shared" si="1"/>
        <v>45</v>
      </c>
      <c r="B51" s="11" t="s">
        <v>561</v>
      </c>
      <c r="C51" s="84" t="s">
        <v>562</v>
      </c>
      <c r="D51" s="88" t="s">
        <v>150</v>
      </c>
      <c r="E51" s="85">
        <v>13</v>
      </c>
      <c r="F51" s="86"/>
      <c r="G51" s="87">
        <f t="shared" si="0"/>
        <v>13</v>
      </c>
      <c r="H51" s="83" t="s">
        <v>149</v>
      </c>
      <c r="I51" s="83"/>
      <c r="J51" s="93"/>
      <c r="K51" s="84" t="s">
        <v>563</v>
      </c>
      <c r="L51" s="94"/>
      <c r="M51" s="95"/>
    </row>
    <row r="52" spans="1:13" ht="12" customHeight="1">
      <c r="A52" s="83">
        <f t="shared" si="1"/>
        <v>46</v>
      </c>
      <c r="B52" s="11" t="s">
        <v>564</v>
      </c>
      <c r="C52" s="84" t="s">
        <v>565</v>
      </c>
      <c r="D52" s="88" t="s">
        <v>150</v>
      </c>
      <c r="E52" s="85">
        <v>10</v>
      </c>
      <c r="F52" s="86"/>
      <c r="G52" s="87">
        <f t="shared" si="0"/>
        <v>10</v>
      </c>
      <c r="H52" s="83" t="s">
        <v>149</v>
      </c>
      <c r="I52" s="83"/>
      <c r="J52" s="93"/>
      <c r="K52" s="84" t="s">
        <v>566</v>
      </c>
      <c r="L52" s="94"/>
      <c r="M52" s="95"/>
    </row>
    <row r="53" spans="1:13" ht="12" customHeight="1">
      <c r="A53" s="83">
        <f t="shared" si="1"/>
        <v>47</v>
      </c>
      <c r="B53" s="20" t="s">
        <v>567</v>
      </c>
      <c r="C53" s="84" t="s">
        <v>568</v>
      </c>
      <c r="D53" s="88" t="s">
        <v>174</v>
      </c>
      <c r="E53" s="85"/>
      <c r="F53" s="86"/>
      <c r="G53" s="87">
        <f t="shared" si="0"/>
        <v>2</v>
      </c>
      <c r="H53" s="83" t="s">
        <v>149</v>
      </c>
      <c r="I53" s="83"/>
      <c r="J53" s="93"/>
      <c r="K53" s="84"/>
      <c r="L53" s="94"/>
      <c r="M53" s="95"/>
    </row>
    <row r="54" spans="1:13" ht="51" customHeight="1">
      <c r="A54" s="83">
        <f t="shared" si="1"/>
        <v>48</v>
      </c>
      <c r="B54" s="11" t="s">
        <v>569</v>
      </c>
      <c r="C54" s="84" t="s">
        <v>570</v>
      </c>
      <c r="D54" s="88" t="s">
        <v>150</v>
      </c>
      <c r="E54" s="85">
        <v>10</v>
      </c>
      <c r="F54" s="86"/>
      <c r="G54" s="87">
        <f t="shared" si="0"/>
        <v>10</v>
      </c>
      <c r="H54" s="83" t="s">
        <v>149</v>
      </c>
      <c r="I54" s="83"/>
      <c r="J54" s="93"/>
      <c r="K54" s="313" t="s">
        <v>571</v>
      </c>
      <c r="L54" s="300"/>
      <c r="M54" s="301"/>
    </row>
    <row r="55" spans="1:13" ht="12" customHeight="1">
      <c r="A55" s="83">
        <f t="shared" si="1"/>
        <v>49</v>
      </c>
      <c r="B55" s="11" t="s">
        <v>572</v>
      </c>
      <c r="C55" s="84" t="s">
        <v>573</v>
      </c>
      <c r="D55" s="88" t="s">
        <v>174</v>
      </c>
      <c r="E55" s="85"/>
      <c r="F55" s="86"/>
      <c r="G55" s="87">
        <f t="shared" si="0"/>
        <v>2</v>
      </c>
      <c r="H55" s="83" t="s">
        <v>149</v>
      </c>
      <c r="I55" s="83"/>
      <c r="J55" s="93"/>
      <c r="K55" s="84"/>
      <c r="L55" s="94"/>
      <c r="M55" s="95"/>
    </row>
    <row r="56" spans="1:13" ht="12" customHeight="1">
      <c r="A56" s="83">
        <f t="shared" si="1"/>
        <v>50</v>
      </c>
      <c r="B56" s="11" t="s">
        <v>574</v>
      </c>
      <c r="C56" s="21" t="s">
        <v>575</v>
      </c>
      <c r="D56" s="13" t="s">
        <v>150</v>
      </c>
      <c r="E56" s="85">
        <v>10</v>
      </c>
      <c r="F56" s="86"/>
      <c r="G56" s="87">
        <f t="shared" si="0"/>
        <v>10</v>
      </c>
      <c r="H56" s="83" t="s">
        <v>149</v>
      </c>
      <c r="I56" s="83"/>
      <c r="J56" s="93"/>
      <c r="K56" s="84" t="s">
        <v>576</v>
      </c>
      <c r="L56" s="94"/>
      <c r="M56" s="95"/>
    </row>
    <row r="57" spans="1:13" ht="12" customHeight="1">
      <c r="A57" s="83">
        <f t="shared" si="1"/>
        <v>51</v>
      </c>
      <c r="B57" s="74" t="s">
        <v>577</v>
      </c>
      <c r="C57" s="84" t="s">
        <v>578</v>
      </c>
      <c r="D57" s="88" t="s">
        <v>150</v>
      </c>
      <c r="E57" s="85">
        <v>10</v>
      </c>
      <c r="F57" s="86"/>
      <c r="G57" s="87">
        <f t="shared" si="0"/>
        <v>10</v>
      </c>
      <c r="H57" s="83" t="s">
        <v>149</v>
      </c>
      <c r="I57" s="83"/>
      <c r="J57" s="93"/>
      <c r="K57" s="84" t="s">
        <v>579</v>
      </c>
      <c r="L57" s="94"/>
      <c r="M57" s="95"/>
    </row>
    <row r="58" spans="1:13" ht="38.25" customHeight="1">
      <c r="A58" s="83">
        <f t="shared" si="1"/>
        <v>52</v>
      </c>
      <c r="B58" s="11" t="s">
        <v>580</v>
      </c>
      <c r="C58" s="21" t="s">
        <v>581</v>
      </c>
      <c r="D58" s="13" t="s">
        <v>150</v>
      </c>
      <c r="E58" s="85">
        <v>1</v>
      </c>
      <c r="F58" s="86"/>
      <c r="G58" s="87">
        <f t="shared" si="0"/>
        <v>1</v>
      </c>
      <c r="H58" s="83" t="s">
        <v>149</v>
      </c>
      <c r="I58" s="83"/>
      <c r="J58" s="93"/>
      <c r="K58" s="271" t="s">
        <v>582</v>
      </c>
      <c r="L58" s="281"/>
      <c r="M58" s="282"/>
    </row>
    <row r="59" spans="1:13" ht="27" customHeight="1">
      <c r="A59" s="83">
        <f t="shared" si="1"/>
        <v>53</v>
      </c>
      <c r="B59" s="11" t="s">
        <v>583</v>
      </c>
      <c r="C59" s="84" t="s">
        <v>584</v>
      </c>
      <c r="D59" s="88" t="s">
        <v>150</v>
      </c>
      <c r="E59" s="85">
        <v>1</v>
      </c>
      <c r="F59" s="86"/>
      <c r="G59" s="87">
        <f t="shared" si="0"/>
        <v>1</v>
      </c>
      <c r="H59" s="83" t="s">
        <v>149</v>
      </c>
      <c r="I59" s="83"/>
      <c r="J59" s="93"/>
      <c r="K59" s="271" t="s">
        <v>585</v>
      </c>
      <c r="L59" s="281"/>
      <c r="M59" s="282"/>
    </row>
    <row r="60" spans="1:13" ht="12" customHeight="1">
      <c r="A60" s="83">
        <f t="shared" si="1"/>
        <v>54</v>
      </c>
      <c r="B60" s="74" t="s">
        <v>586</v>
      </c>
      <c r="C60" s="84" t="s">
        <v>587</v>
      </c>
      <c r="D60" s="88" t="s">
        <v>234</v>
      </c>
      <c r="E60" s="85"/>
      <c r="F60" s="86"/>
      <c r="G60" s="87">
        <f t="shared" si="0"/>
        <v>10</v>
      </c>
      <c r="H60" s="83" t="s">
        <v>149</v>
      </c>
      <c r="I60" s="83"/>
      <c r="J60" s="93"/>
      <c r="K60" s="84"/>
      <c r="L60" s="94"/>
      <c r="M60" s="95"/>
    </row>
    <row r="61" spans="1:13" ht="12" customHeight="1">
      <c r="A61" s="83">
        <f t="shared" si="1"/>
        <v>55</v>
      </c>
      <c r="B61" s="74" t="s">
        <v>232</v>
      </c>
      <c r="C61" s="84" t="s">
        <v>233</v>
      </c>
      <c r="D61" s="88" t="s">
        <v>234</v>
      </c>
      <c r="E61" s="85"/>
      <c r="F61" s="86"/>
      <c r="G61" s="87">
        <f t="shared" si="0"/>
        <v>10</v>
      </c>
      <c r="H61" s="83" t="s">
        <v>149</v>
      </c>
      <c r="I61" s="83"/>
      <c r="J61" s="93"/>
      <c r="K61" s="84"/>
      <c r="L61" s="94"/>
      <c r="M61" s="95"/>
    </row>
    <row r="62" spans="1:13" ht="12" customHeight="1">
      <c r="A62" s="83">
        <f t="shared" si="1"/>
        <v>56</v>
      </c>
      <c r="B62" s="74" t="s">
        <v>447</v>
      </c>
      <c r="C62" s="84" t="s">
        <v>448</v>
      </c>
      <c r="D62" s="88" t="s">
        <v>234</v>
      </c>
      <c r="E62" s="85"/>
      <c r="F62" s="86"/>
      <c r="G62" s="87">
        <f t="shared" si="0"/>
        <v>10</v>
      </c>
      <c r="H62" s="83" t="s">
        <v>149</v>
      </c>
      <c r="I62" s="83"/>
      <c r="J62" s="93"/>
      <c r="K62" s="84" t="s">
        <v>449</v>
      </c>
      <c r="L62" s="94"/>
      <c r="M62" s="95"/>
    </row>
    <row r="63" spans="1:13" ht="12" customHeight="1">
      <c r="A63" s="83" t="str">
        <f t="shared" si="1"/>
        <v xml:space="preserve"> </v>
      </c>
      <c r="B63" s="74"/>
      <c r="C63" s="84"/>
      <c r="D63" s="88"/>
      <c r="E63" s="85"/>
      <c r="F63" s="86"/>
      <c r="G63" s="87"/>
      <c r="H63" s="83"/>
      <c r="I63" s="83"/>
      <c r="J63" s="93"/>
      <c r="K63" s="84"/>
      <c r="L63" s="94"/>
      <c r="M63" s="95"/>
    </row>
    <row r="64" spans="1:13" ht="12" customHeight="1">
      <c r="A64" s="83" t="str">
        <f t="shared" si="1"/>
        <v xml:space="preserve"> </v>
      </c>
      <c r="B64" s="74"/>
      <c r="C64" s="84"/>
      <c r="D64" s="88"/>
      <c r="E64" s="85"/>
      <c r="F64" s="86"/>
      <c r="G64" s="87"/>
      <c r="H64" s="83"/>
      <c r="I64" s="83"/>
      <c r="J64" s="93"/>
      <c r="K64" s="84"/>
      <c r="L64" s="94"/>
      <c r="M64" s="95"/>
    </row>
    <row r="65" spans="1:13" ht="12" customHeight="1">
      <c r="A65" s="83" t="str">
        <f>IF(B65=""," ",#REF!+1)</f>
        <v xml:space="preserve"> </v>
      </c>
      <c r="B65" s="74"/>
      <c r="C65" s="84"/>
      <c r="D65" s="88"/>
      <c r="E65" s="85"/>
      <c r="F65" s="86"/>
      <c r="G65" s="87"/>
      <c r="H65" s="83"/>
      <c r="I65" s="83"/>
      <c r="J65" s="93"/>
      <c r="K65" s="84"/>
      <c r="L65" s="94"/>
      <c r="M65" s="95"/>
    </row>
    <row r="66" spans="1:13" ht="12" customHeight="1">
      <c r="A66" s="83" t="str">
        <f t="shared" ref="A66:A100" si="2">IF(B66=""," ",A65+1)</f>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si="2"/>
        <v xml:space="preserve"> </v>
      </c>
      <c r="B72" s="74"/>
      <c r="C72" s="84"/>
      <c r="D72" s="88"/>
      <c r="E72" s="85"/>
      <c r="F72" s="86"/>
      <c r="G72" s="87"/>
      <c r="H72" s="83"/>
      <c r="I72" s="83"/>
      <c r="J72" s="93"/>
      <c r="K72" s="84"/>
      <c r="L72" s="94"/>
      <c r="M72" s="95"/>
    </row>
    <row r="73" spans="1:13" ht="12" customHeight="1">
      <c r="A73" s="83" t="str">
        <f t="shared" si="2"/>
        <v xml:space="preserve"> </v>
      </c>
      <c r="B73" s="74"/>
      <c r="C73" s="84"/>
      <c r="D73" s="88"/>
      <c r="E73" s="85"/>
      <c r="F73" s="86"/>
      <c r="G73" s="87"/>
      <c r="H73" s="83"/>
      <c r="I73" s="83"/>
      <c r="J73" s="93"/>
      <c r="K73" s="84"/>
      <c r="L73" s="94"/>
      <c r="M73" s="95"/>
    </row>
    <row r="74" spans="1:13" ht="12" customHeight="1">
      <c r="A74" s="83" t="str">
        <f t="shared" si="2"/>
        <v xml:space="preserve"> </v>
      </c>
      <c r="B74" s="74"/>
      <c r="C74" s="84"/>
      <c r="D74" s="88"/>
      <c r="E74" s="85"/>
      <c r="F74" s="86"/>
      <c r="G74" s="87"/>
      <c r="H74" s="83"/>
      <c r="I74" s="83"/>
      <c r="J74" s="93"/>
      <c r="K74" s="84"/>
      <c r="L74" s="94"/>
      <c r="M74" s="95"/>
    </row>
    <row r="75" spans="1:13" ht="12" customHeight="1">
      <c r="A75" s="83" t="str">
        <f t="shared" si="2"/>
        <v xml:space="preserve"> </v>
      </c>
      <c r="B75" s="74"/>
      <c r="C75" s="84"/>
      <c r="D75" s="88"/>
      <c r="E75" s="85"/>
      <c r="F75" s="86"/>
      <c r="G75" s="87"/>
      <c r="H75" s="83"/>
      <c r="I75" s="83"/>
      <c r="J75" s="93"/>
      <c r="K75" s="84"/>
      <c r="L75" s="94"/>
      <c r="M75" s="95"/>
    </row>
    <row r="76" spans="1:13" ht="12" customHeight="1">
      <c r="A76" s="83" t="str">
        <f t="shared" si="2"/>
        <v xml:space="preserve"> </v>
      </c>
      <c r="B76" s="74"/>
      <c r="C76" s="84"/>
      <c r="D76" s="88"/>
      <c r="E76" s="85"/>
      <c r="F76" s="86"/>
      <c r="G76" s="87"/>
      <c r="H76" s="83"/>
      <c r="I76" s="83"/>
      <c r="J76" s="93"/>
      <c r="K76" s="84"/>
      <c r="L76" s="94"/>
      <c r="M76" s="95"/>
    </row>
    <row r="77" spans="1:13" ht="12" customHeight="1">
      <c r="A77" s="83" t="str">
        <f t="shared" si="2"/>
        <v xml:space="preserve"> </v>
      </c>
      <c r="B77" s="74"/>
      <c r="C77" s="84"/>
      <c r="D77" s="88"/>
      <c r="E77" s="85"/>
      <c r="F77" s="86"/>
      <c r="G77" s="87"/>
      <c r="H77" s="83"/>
      <c r="I77" s="83"/>
      <c r="J77" s="93"/>
      <c r="K77" s="84"/>
      <c r="L77" s="94"/>
      <c r="M77" s="95"/>
    </row>
    <row r="78" spans="1:13" ht="12" customHeight="1">
      <c r="A78" s="83" t="str">
        <f t="shared" si="2"/>
        <v xml:space="preserve"> </v>
      </c>
      <c r="B78" s="74"/>
      <c r="C78" s="84"/>
      <c r="D78" s="88"/>
      <c r="E78" s="85"/>
      <c r="F78" s="86"/>
      <c r="G78" s="87"/>
      <c r="H78" s="83"/>
      <c r="I78" s="83"/>
      <c r="J78" s="93"/>
      <c r="K78" s="84"/>
      <c r="L78" s="94"/>
      <c r="M78" s="95"/>
    </row>
    <row r="79" spans="1:13" ht="12" customHeight="1">
      <c r="A79" s="83" t="str">
        <f t="shared" si="2"/>
        <v xml:space="preserve"> </v>
      </c>
      <c r="B79" s="74"/>
      <c r="C79" s="84"/>
      <c r="D79" s="88"/>
      <c r="E79" s="85"/>
      <c r="F79" s="86"/>
      <c r="G79" s="87"/>
      <c r="H79" s="83"/>
      <c r="I79" s="83"/>
      <c r="J79" s="93"/>
      <c r="K79" s="84"/>
      <c r="L79" s="94"/>
      <c r="M79" s="95"/>
    </row>
    <row r="80" spans="1:13" ht="12" customHeight="1">
      <c r="A80" s="83" t="str">
        <f t="shared" si="2"/>
        <v xml:space="preserve"> </v>
      </c>
      <c r="B80" s="74"/>
      <c r="C80" s="84"/>
      <c r="D80" s="88"/>
      <c r="E80" s="85"/>
      <c r="F80" s="86"/>
      <c r="G80" s="87"/>
      <c r="H80" s="83"/>
      <c r="I80" s="83"/>
      <c r="J80" s="93"/>
      <c r="K80" s="84"/>
      <c r="L80" s="94"/>
      <c r="M80" s="95"/>
    </row>
    <row r="81" spans="1:13" ht="12" customHeight="1">
      <c r="A81" s="83" t="str">
        <f t="shared" si="2"/>
        <v xml:space="preserve"> </v>
      </c>
      <c r="B81" s="74"/>
      <c r="C81" s="84"/>
      <c r="D81" s="88"/>
      <c r="E81" s="85"/>
      <c r="F81" s="86"/>
      <c r="G81" s="87"/>
      <c r="H81" s="83"/>
      <c r="I81" s="83"/>
      <c r="J81" s="93"/>
      <c r="K81" s="84"/>
      <c r="L81" s="94"/>
      <c r="M81" s="95"/>
    </row>
    <row r="82" spans="1:13" ht="12" customHeight="1">
      <c r="A82" s="83" t="str">
        <f t="shared" si="2"/>
        <v xml:space="preserve"> </v>
      </c>
      <c r="B82" s="74"/>
      <c r="C82" s="84"/>
      <c r="D82" s="88"/>
      <c r="E82" s="85"/>
      <c r="F82" s="86"/>
      <c r="G82" s="87"/>
      <c r="H82" s="83"/>
      <c r="I82" s="83"/>
      <c r="J82" s="93"/>
      <c r="K82" s="84"/>
      <c r="L82" s="94"/>
      <c r="M82" s="95"/>
    </row>
    <row r="83" spans="1:13" ht="12" customHeight="1">
      <c r="A83" s="83" t="str">
        <f t="shared" si="2"/>
        <v xml:space="preserve"> </v>
      </c>
      <c r="B83" s="74"/>
      <c r="C83" s="84"/>
      <c r="D83" s="88"/>
      <c r="E83" s="85"/>
      <c r="F83" s="86"/>
      <c r="G83" s="87"/>
      <c r="H83" s="83"/>
      <c r="I83" s="83"/>
      <c r="J83" s="93"/>
      <c r="K83" s="84"/>
      <c r="L83" s="94"/>
      <c r="M83" s="95"/>
    </row>
    <row r="84" spans="1:13" ht="12" customHeight="1">
      <c r="A84" s="83" t="str">
        <f t="shared" si="2"/>
        <v xml:space="preserve"> </v>
      </c>
      <c r="B84" s="74"/>
      <c r="C84" s="84"/>
      <c r="D84" s="88"/>
      <c r="E84" s="85"/>
      <c r="F84" s="86"/>
      <c r="G84" s="87"/>
      <c r="H84" s="83"/>
      <c r="I84" s="83"/>
      <c r="J84" s="93"/>
      <c r="K84" s="84"/>
      <c r="L84" s="94"/>
      <c r="M84" s="95"/>
    </row>
    <row r="85" spans="1:13" ht="12" customHeight="1">
      <c r="A85" s="83" t="str">
        <f t="shared" si="2"/>
        <v xml:space="preserve"> </v>
      </c>
      <c r="B85" s="74"/>
      <c r="C85" s="84"/>
      <c r="D85" s="88"/>
      <c r="E85" s="85"/>
      <c r="F85" s="86"/>
      <c r="G85" s="87"/>
      <c r="H85" s="83"/>
      <c r="I85" s="83"/>
      <c r="J85" s="93"/>
      <c r="K85" s="84"/>
      <c r="L85" s="94"/>
      <c r="M85" s="95"/>
    </row>
    <row r="86" spans="1:13" ht="12" customHeight="1">
      <c r="A86" s="83" t="str">
        <f t="shared" si="2"/>
        <v xml:space="preserve"> </v>
      </c>
      <c r="B86" s="74"/>
      <c r="C86" s="84"/>
      <c r="D86" s="88"/>
      <c r="E86" s="85"/>
      <c r="F86" s="86"/>
      <c r="G86" s="87"/>
      <c r="H86" s="83"/>
      <c r="I86" s="83"/>
      <c r="J86" s="93"/>
      <c r="K86" s="84"/>
      <c r="L86" s="94"/>
      <c r="M86" s="95"/>
    </row>
    <row r="87" spans="1:13" ht="12" customHeight="1">
      <c r="A87" s="83" t="str">
        <f t="shared" si="2"/>
        <v xml:space="preserve"> </v>
      </c>
      <c r="B87" s="74"/>
      <c r="C87" s="84"/>
      <c r="D87" s="88"/>
      <c r="E87" s="85"/>
      <c r="F87" s="86"/>
      <c r="G87" s="87"/>
      <c r="H87" s="83"/>
      <c r="I87" s="83"/>
      <c r="J87" s="93"/>
      <c r="K87" s="84"/>
      <c r="L87" s="94"/>
      <c r="M87" s="95"/>
    </row>
    <row r="88" spans="1:13" ht="12" customHeight="1">
      <c r="A88" s="83" t="str">
        <f t="shared" si="2"/>
        <v xml:space="preserve"> </v>
      </c>
      <c r="B88" s="74"/>
      <c r="C88" s="84"/>
      <c r="D88" s="88"/>
      <c r="E88" s="85"/>
      <c r="F88" s="86"/>
      <c r="G88" s="87"/>
      <c r="H88" s="83"/>
      <c r="I88" s="83"/>
      <c r="J88" s="93"/>
      <c r="K88" s="84"/>
      <c r="L88" s="94"/>
      <c r="M88" s="95"/>
    </row>
    <row r="89" spans="1:13" ht="12" customHeight="1">
      <c r="A89" s="83" t="str">
        <f t="shared" si="2"/>
        <v xml:space="preserve"> </v>
      </c>
      <c r="B89" s="74"/>
      <c r="C89" s="84"/>
      <c r="D89" s="88"/>
      <c r="E89" s="85"/>
      <c r="F89" s="86"/>
      <c r="G89" s="87"/>
      <c r="H89" s="83"/>
      <c r="I89" s="83"/>
      <c r="J89" s="93"/>
      <c r="K89" s="84"/>
      <c r="L89" s="94"/>
      <c r="M89" s="95"/>
    </row>
    <row r="90" spans="1:13" ht="12" customHeight="1">
      <c r="A90" s="83" t="str">
        <f t="shared" si="2"/>
        <v xml:space="preserve"> </v>
      </c>
      <c r="B90" s="74"/>
      <c r="C90" s="84"/>
      <c r="D90" s="88"/>
      <c r="E90" s="85"/>
      <c r="F90" s="86"/>
      <c r="G90" s="87"/>
      <c r="H90" s="83"/>
      <c r="I90" s="83"/>
      <c r="J90" s="93"/>
      <c r="K90" s="84"/>
      <c r="L90" s="94"/>
      <c r="M90" s="95"/>
    </row>
    <row r="91" spans="1:13" ht="12" customHeight="1">
      <c r="A91" s="83" t="str">
        <f t="shared" si="2"/>
        <v xml:space="preserve"> </v>
      </c>
      <c r="B91" s="74"/>
      <c r="C91" s="84"/>
      <c r="D91" s="88"/>
      <c r="E91" s="85"/>
      <c r="F91" s="86"/>
      <c r="G91" s="87"/>
      <c r="H91" s="83"/>
      <c r="I91" s="83"/>
      <c r="J91" s="93"/>
      <c r="K91" s="84"/>
      <c r="L91" s="94"/>
      <c r="M91" s="95"/>
    </row>
    <row r="92" spans="1:13" ht="12" customHeight="1">
      <c r="A92" s="83" t="str">
        <f t="shared" si="2"/>
        <v xml:space="preserve"> </v>
      </c>
      <c r="B92" s="74"/>
      <c r="C92" s="84"/>
      <c r="D92" s="88"/>
      <c r="E92" s="85"/>
      <c r="F92" s="86"/>
      <c r="G92" s="87"/>
      <c r="H92" s="83"/>
      <c r="I92" s="83"/>
      <c r="J92" s="93"/>
      <c r="K92" s="84"/>
      <c r="L92" s="94"/>
      <c r="M92" s="95"/>
    </row>
    <row r="93" spans="1:13" ht="12" customHeight="1">
      <c r="A93" s="83" t="str">
        <f t="shared" si="2"/>
        <v xml:space="preserve"> </v>
      </c>
      <c r="B93" s="74"/>
      <c r="C93" s="84"/>
      <c r="D93" s="88"/>
      <c r="E93" s="85"/>
      <c r="F93" s="86"/>
      <c r="G93" s="87"/>
      <c r="H93" s="83"/>
      <c r="I93" s="83"/>
      <c r="J93" s="93"/>
      <c r="K93" s="84"/>
      <c r="L93" s="94"/>
      <c r="M93" s="95"/>
    </row>
    <row r="94" spans="1:13" ht="12" customHeight="1">
      <c r="A94" s="83" t="str">
        <f t="shared" si="2"/>
        <v xml:space="preserve"> </v>
      </c>
      <c r="B94" s="74"/>
      <c r="C94" s="84"/>
      <c r="D94" s="88"/>
      <c r="E94" s="85"/>
      <c r="F94" s="86"/>
      <c r="G94" s="87"/>
      <c r="H94" s="83"/>
      <c r="I94" s="83"/>
      <c r="J94" s="93"/>
      <c r="K94" s="84"/>
      <c r="L94" s="94"/>
      <c r="M94" s="95"/>
    </row>
    <row r="95" spans="1:13" ht="12" customHeight="1">
      <c r="A95" s="83" t="str">
        <f t="shared" si="2"/>
        <v xml:space="preserve"> </v>
      </c>
      <c r="B95" s="74"/>
      <c r="C95" s="84"/>
      <c r="D95" s="88"/>
      <c r="E95" s="85"/>
      <c r="F95" s="86"/>
      <c r="G95" s="87"/>
      <c r="H95" s="83"/>
      <c r="I95" s="83"/>
      <c r="J95" s="93"/>
      <c r="K95" s="84"/>
      <c r="L95" s="94"/>
      <c r="M95" s="95"/>
    </row>
    <row r="96" spans="1:13" ht="12" customHeight="1">
      <c r="A96" s="83" t="str">
        <f t="shared" si="2"/>
        <v xml:space="preserve"> </v>
      </c>
      <c r="B96" s="74"/>
      <c r="C96" s="84"/>
      <c r="D96" s="88"/>
      <c r="E96" s="85"/>
      <c r="F96" s="86"/>
      <c r="G96" s="87"/>
      <c r="H96" s="83"/>
      <c r="I96" s="83"/>
      <c r="J96" s="93"/>
      <c r="K96" s="84"/>
      <c r="L96" s="94"/>
      <c r="M96" s="95"/>
    </row>
    <row r="97" spans="1:13" ht="12" customHeight="1">
      <c r="A97" s="83" t="str">
        <f t="shared" si="2"/>
        <v xml:space="preserve"> </v>
      </c>
      <c r="B97" s="74"/>
      <c r="C97" s="84"/>
      <c r="D97" s="88"/>
      <c r="E97" s="85"/>
      <c r="F97" s="86"/>
      <c r="G97" s="87"/>
      <c r="H97" s="83"/>
      <c r="I97" s="83"/>
      <c r="J97" s="93"/>
      <c r="K97" s="84"/>
      <c r="L97" s="94"/>
      <c r="M97" s="95"/>
    </row>
    <row r="98" spans="1:13" ht="12" customHeight="1">
      <c r="A98" s="83" t="str">
        <f t="shared" si="2"/>
        <v xml:space="preserve"> </v>
      </c>
      <c r="B98" s="74"/>
      <c r="C98" s="84"/>
      <c r="D98" s="88"/>
      <c r="E98" s="85"/>
      <c r="F98" s="86"/>
      <c r="G98" s="87"/>
      <c r="H98" s="83"/>
      <c r="I98" s="83"/>
      <c r="J98" s="93"/>
      <c r="K98" s="84"/>
      <c r="L98" s="94"/>
      <c r="M98" s="95"/>
    </row>
    <row r="99" spans="1:13" ht="12" customHeight="1">
      <c r="A99" s="83" t="str">
        <f t="shared" si="2"/>
        <v xml:space="preserve"> </v>
      </c>
      <c r="B99" s="74"/>
      <c r="C99" s="84"/>
      <c r="D99" s="88"/>
      <c r="E99" s="85"/>
      <c r="F99" s="86"/>
      <c r="G99" s="87"/>
      <c r="H99" s="83"/>
      <c r="I99" s="83"/>
      <c r="J99" s="93"/>
      <c r="K99" s="84"/>
      <c r="L99" s="94"/>
      <c r="M99" s="95"/>
    </row>
    <row r="100" spans="1:13" ht="12" customHeight="1">
      <c r="A100" s="83" t="str">
        <f t="shared" si="2"/>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75" t="s">
        <v>239</v>
      </c>
      <c r="C110" s="75" t="s">
        <v>589</v>
      </c>
    </row>
    <row r="111" spans="1:13">
      <c r="C111" s="75" t="s">
        <v>590</v>
      </c>
    </row>
    <row r="113" spans="2:4">
      <c r="B113" s="75" t="s">
        <v>591</v>
      </c>
      <c r="C113" s="3" t="s">
        <v>592</v>
      </c>
    </row>
    <row r="114" spans="2:4">
      <c r="C114" s="3" t="s">
        <v>593</v>
      </c>
    </row>
    <row r="115" spans="2:4">
      <c r="C115" s="3" t="s">
        <v>594</v>
      </c>
    </row>
    <row r="117" spans="2:4">
      <c r="B117" s="75" t="s">
        <v>456</v>
      </c>
      <c r="C117" s="75" t="s">
        <v>457</v>
      </c>
      <c r="D117" s="75" t="s">
        <v>458</v>
      </c>
    </row>
  </sheetData>
  <mergeCells count="38">
    <mergeCell ref="K49:M49"/>
    <mergeCell ref="K54:M54"/>
    <mergeCell ref="K58:M58"/>
    <mergeCell ref="K59:M59"/>
    <mergeCell ref="A5:A6"/>
    <mergeCell ref="K5:M6"/>
    <mergeCell ref="K35:M35"/>
    <mergeCell ref="K36:M36"/>
    <mergeCell ref="K37:M37"/>
    <mergeCell ref="K38:M38"/>
    <mergeCell ref="K39:M39"/>
    <mergeCell ref="K30:M30"/>
    <mergeCell ref="K31:M31"/>
    <mergeCell ref="K32:M32"/>
    <mergeCell ref="K33:M33"/>
    <mergeCell ref="K34:M34"/>
    <mergeCell ref="K19:M19"/>
    <mergeCell ref="K20:M20"/>
    <mergeCell ref="K25:M25"/>
    <mergeCell ref="K26:M26"/>
    <mergeCell ref="K27:M27"/>
    <mergeCell ref="K9:M9"/>
    <mergeCell ref="K10:M10"/>
    <mergeCell ref="K13:M13"/>
    <mergeCell ref="K15:M15"/>
    <mergeCell ref="K17:M17"/>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Q111"/>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595</v>
      </c>
      <c r="D3" s="265"/>
      <c r="E3" s="265"/>
      <c r="F3" s="265"/>
      <c r="G3" s="266"/>
      <c r="H3" s="259" t="s">
        <v>140</v>
      </c>
      <c r="I3" s="260"/>
      <c r="J3" s="90">
        <f>COUNT(A7:A100)</f>
        <v>31</v>
      </c>
      <c r="K3" s="78" t="s">
        <v>141</v>
      </c>
      <c r="L3" s="91">
        <v>38671</v>
      </c>
      <c r="M3" s="92" t="s">
        <v>148</v>
      </c>
      <c r="O3" s="75" t="s">
        <v>143</v>
      </c>
      <c r="P3" s="75" t="s">
        <v>144</v>
      </c>
    </row>
    <row r="4" spans="1:16" ht="12" customHeight="1">
      <c r="A4" s="267" t="s">
        <v>145</v>
      </c>
      <c r="B4" s="268"/>
      <c r="C4" s="267" t="s">
        <v>18</v>
      </c>
      <c r="D4" s="269"/>
      <c r="E4" s="269"/>
      <c r="F4" s="269"/>
      <c r="G4" s="268"/>
      <c r="H4" s="259" t="s">
        <v>146</v>
      </c>
      <c r="I4" s="260"/>
      <c r="J4" s="90">
        <f>SUM(G7:G100)</f>
        <v>150</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22" t="s">
        <v>163</v>
      </c>
      <c r="D7" s="30" t="s">
        <v>164</v>
      </c>
      <c r="E7" s="85"/>
      <c r="F7" s="86"/>
      <c r="G7" s="87">
        <f>IF(D7="DATE",4,IF(D7="CHAR",E7,IF(D7="SMALLINT",2,IF(D7="INTEGER",4,IF(D7="TIMESTAMP",10,IF(D7="TIME",3,0))))))</f>
        <v>4</v>
      </c>
      <c r="H7" s="83" t="s">
        <v>149</v>
      </c>
      <c r="I7" s="83" t="s">
        <v>149</v>
      </c>
      <c r="J7" s="93"/>
      <c r="K7" s="21"/>
      <c r="L7" s="29"/>
      <c r="M7" s="30"/>
      <c r="P7" s="75" t="s">
        <v>165</v>
      </c>
    </row>
    <row r="8" spans="1:16" ht="12" customHeight="1">
      <c r="A8" s="83">
        <f t="shared" ref="A8:A37" si="0">IF(B8=""," ",A7+1)</f>
        <v>2</v>
      </c>
      <c r="B8" s="11" t="s">
        <v>166</v>
      </c>
      <c r="C8" s="22" t="s">
        <v>167</v>
      </c>
      <c r="D8" s="30" t="s">
        <v>150</v>
      </c>
      <c r="E8" s="85">
        <v>11</v>
      </c>
      <c r="F8" s="86"/>
      <c r="G8" s="87">
        <f t="shared" ref="G8:G37" si="1">IF(D8="DATE",4,IF(D8="CHAR",E8,IF(D8="SMALLINT",2,IF(D8="INTEGER",4,IF(D8="TIMESTAMP",10,IF(D8="TIME",3,0))))))</f>
        <v>11</v>
      </c>
      <c r="H8" s="83" t="s">
        <v>149</v>
      </c>
      <c r="I8" s="83" t="s">
        <v>149</v>
      </c>
      <c r="J8" s="93"/>
      <c r="K8" s="21"/>
      <c r="L8" s="29"/>
      <c r="M8" s="30"/>
      <c r="P8" s="75" t="s">
        <v>168</v>
      </c>
    </row>
    <row r="9" spans="1:16" ht="27" customHeight="1">
      <c r="A9" s="83">
        <f t="shared" si="0"/>
        <v>3</v>
      </c>
      <c r="B9" s="11" t="s">
        <v>169</v>
      </c>
      <c r="C9" s="19" t="s">
        <v>170</v>
      </c>
      <c r="D9" s="88" t="s">
        <v>150</v>
      </c>
      <c r="E9" s="85">
        <v>1</v>
      </c>
      <c r="F9" s="86"/>
      <c r="G9" s="87">
        <f t="shared" si="1"/>
        <v>1</v>
      </c>
      <c r="H9" s="83" t="s">
        <v>149</v>
      </c>
      <c r="I9" s="83"/>
      <c r="J9" s="93"/>
      <c r="K9" s="271" t="s">
        <v>171</v>
      </c>
      <c r="L9" s="272"/>
      <c r="M9" s="273"/>
    </row>
    <row r="10" spans="1:16" ht="12" customHeight="1">
      <c r="A10" s="83">
        <f t="shared" si="0"/>
        <v>4</v>
      </c>
      <c r="B10" s="11" t="s">
        <v>172</v>
      </c>
      <c r="C10" s="84" t="s">
        <v>173</v>
      </c>
      <c r="D10" s="88" t="s">
        <v>174</v>
      </c>
      <c r="E10" s="85"/>
      <c r="F10" s="86"/>
      <c r="G10" s="87">
        <f t="shared" si="1"/>
        <v>2</v>
      </c>
      <c r="H10" s="83" t="s">
        <v>149</v>
      </c>
      <c r="I10" s="83" t="s">
        <v>149</v>
      </c>
      <c r="J10" s="93"/>
      <c r="K10" s="277" t="s">
        <v>175</v>
      </c>
      <c r="L10" s="278"/>
      <c r="M10" s="279"/>
    </row>
    <row r="11" spans="1:16" ht="12" customHeight="1">
      <c r="A11" s="83">
        <f t="shared" si="0"/>
        <v>5</v>
      </c>
      <c r="B11" s="11" t="s">
        <v>596</v>
      </c>
      <c r="C11" s="84" t="s">
        <v>597</v>
      </c>
      <c r="D11" s="88" t="s">
        <v>150</v>
      </c>
      <c r="E11" s="85">
        <v>7</v>
      </c>
      <c r="F11" s="86"/>
      <c r="G11" s="87">
        <f t="shared" si="1"/>
        <v>7</v>
      </c>
      <c r="H11" s="83" t="s">
        <v>149</v>
      </c>
      <c r="I11" s="83" t="s">
        <v>149</v>
      </c>
      <c r="J11" s="93"/>
      <c r="K11" s="84"/>
      <c r="L11" s="94"/>
      <c r="M11" s="95"/>
    </row>
    <row r="12" spans="1:16" ht="12" customHeight="1">
      <c r="A12" s="83">
        <f t="shared" si="0"/>
        <v>6</v>
      </c>
      <c r="B12" s="11" t="s">
        <v>598</v>
      </c>
      <c r="C12" s="21" t="s">
        <v>599</v>
      </c>
      <c r="D12" s="13" t="s">
        <v>164</v>
      </c>
      <c r="E12" s="85"/>
      <c r="F12" s="86"/>
      <c r="G12" s="87">
        <f t="shared" si="1"/>
        <v>4</v>
      </c>
      <c r="H12" s="83" t="s">
        <v>149</v>
      </c>
      <c r="I12" s="83"/>
      <c r="J12" s="93"/>
      <c r="K12" s="21"/>
      <c r="L12" s="29"/>
      <c r="M12" s="30"/>
    </row>
    <row r="13" spans="1:16" ht="12" customHeight="1">
      <c r="A13" s="83">
        <f t="shared" si="0"/>
        <v>7</v>
      </c>
      <c r="B13" s="11" t="s">
        <v>600</v>
      </c>
      <c r="C13" s="21" t="s">
        <v>601</v>
      </c>
      <c r="D13" s="13" t="s">
        <v>150</v>
      </c>
      <c r="E13" s="85">
        <v>13</v>
      </c>
      <c r="F13" s="86"/>
      <c r="G13" s="87">
        <f t="shared" si="1"/>
        <v>13</v>
      </c>
      <c r="H13" s="83" t="s">
        <v>149</v>
      </c>
      <c r="I13" s="83"/>
      <c r="J13" s="93"/>
      <c r="K13" s="21"/>
      <c r="L13" s="29"/>
      <c r="M13" s="30"/>
      <c r="P13" s="75" t="s">
        <v>164</v>
      </c>
    </row>
    <row r="14" spans="1:16" ht="27" customHeight="1">
      <c r="A14" s="83">
        <f t="shared" si="0"/>
        <v>8</v>
      </c>
      <c r="B14" s="11" t="s">
        <v>602</v>
      </c>
      <c r="C14" s="19" t="s">
        <v>603</v>
      </c>
      <c r="D14" s="88" t="s">
        <v>150</v>
      </c>
      <c r="E14" s="85">
        <v>1</v>
      </c>
      <c r="F14" s="86"/>
      <c r="G14" s="87">
        <f t="shared" si="1"/>
        <v>1</v>
      </c>
      <c r="H14" s="83" t="s">
        <v>149</v>
      </c>
      <c r="I14" s="83"/>
      <c r="J14" s="93"/>
      <c r="K14" s="271" t="s">
        <v>171</v>
      </c>
      <c r="L14" s="272"/>
      <c r="M14" s="273"/>
    </row>
    <row r="15" spans="1:16" ht="12" customHeight="1">
      <c r="A15" s="83">
        <f>IF(B15=""," ",A13+1)</f>
        <v>8</v>
      </c>
      <c r="B15" s="11" t="s">
        <v>367</v>
      </c>
      <c r="C15" s="21" t="s">
        <v>604</v>
      </c>
      <c r="D15" s="13" t="s">
        <v>150</v>
      </c>
      <c r="E15" s="85">
        <v>3</v>
      </c>
      <c r="F15" s="86"/>
      <c r="G15" s="87">
        <f t="shared" si="1"/>
        <v>3</v>
      </c>
      <c r="H15" s="83" t="s">
        <v>149</v>
      </c>
      <c r="I15" s="83"/>
      <c r="J15" s="93"/>
      <c r="K15" s="21"/>
      <c r="L15" s="29"/>
      <c r="M15" s="30"/>
    </row>
    <row r="16" spans="1:16" ht="12" customHeight="1">
      <c r="A16" s="83">
        <f t="shared" si="0"/>
        <v>9</v>
      </c>
      <c r="B16" s="11" t="s">
        <v>605</v>
      </c>
      <c r="C16" s="84" t="s">
        <v>606</v>
      </c>
      <c r="D16" s="88" t="s">
        <v>174</v>
      </c>
      <c r="E16" s="85"/>
      <c r="F16" s="86"/>
      <c r="G16" s="87">
        <f t="shared" si="1"/>
        <v>2</v>
      </c>
      <c r="H16" s="83" t="s">
        <v>149</v>
      </c>
      <c r="I16" s="83"/>
      <c r="J16" s="93"/>
      <c r="K16" s="84"/>
      <c r="L16" s="94"/>
      <c r="M16" s="95"/>
    </row>
    <row r="17" spans="1:16" ht="12" customHeight="1">
      <c r="A17" s="83">
        <f t="shared" si="0"/>
        <v>10</v>
      </c>
      <c r="B17" s="11" t="s">
        <v>607</v>
      </c>
      <c r="C17" s="21" t="s">
        <v>608</v>
      </c>
      <c r="D17" s="13" t="s">
        <v>164</v>
      </c>
      <c r="E17" s="85"/>
      <c r="F17" s="86"/>
      <c r="G17" s="87">
        <f t="shared" si="1"/>
        <v>4</v>
      </c>
      <c r="H17" s="83" t="s">
        <v>149</v>
      </c>
      <c r="I17" s="83"/>
      <c r="J17" s="93"/>
      <c r="K17" s="21"/>
      <c r="L17" s="29"/>
      <c r="M17" s="30"/>
    </row>
    <row r="18" spans="1:16" ht="12" customHeight="1">
      <c r="A18" s="83">
        <f t="shared" si="0"/>
        <v>11</v>
      </c>
      <c r="B18" s="11" t="s">
        <v>609</v>
      </c>
      <c r="C18" s="21" t="s">
        <v>610</v>
      </c>
      <c r="D18" s="13" t="s">
        <v>150</v>
      </c>
      <c r="E18" s="85">
        <v>13</v>
      </c>
      <c r="F18" s="86"/>
      <c r="G18" s="87">
        <f t="shared" si="1"/>
        <v>13</v>
      </c>
      <c r="H18" s="83" t="s">
        <v>149</v>
      </c>
      <c r="I18" s="83"/>
      <c r="J18" s="93"/>
      <c r="K18" s="21"/>
      <c r="L18" s="29"/>
      <c r="M18" s="30"/>
      <c r="P18" s="75" t="s">
        <v>164</v>
      </c>
    </row>
    <row r="19" spans="1:16" ht="27" customHeight="1">
      <c r="A19" s="83">
        <f t="shared" si="0"/>
        <v>12</v>
      </c>
      <c r="B19" s="11" t="s">
        <v>611</v>
      </c>
      <c r="C19" s="19" t="s">
        <v>612</v>
      </c>
      <c r="D19" s="88" t="s">
        <v>150</v>
      </c>
      <c r="E19" s="85">
        <v>1</v>
      </c>
      <c r="F19" s="86"/>
      <c r="G19" s="87">
        <f t="shared" si="1"/>
        <v>1</v>
      </c>
      <c r="H19" s="83" t="s">
        <v>149</v>
      </c>
      <c r="I19" s="83"/>
      <c r="J19" s="93"/>
      <c r="K19" s="271" t="s">
        <v>171</v>
      </c>
      <c r="L19" s="272"/>
      <c r="M19" s="273"/>
    </row>
    <row r="20" spans="1:16" ht="12" customHeight="1">
      <c r="A20" s="83">
        <f>IF(B20=""," ",A18+1)</f>
        <v>12</v>
      </c>
      <c r="B20" s="11" t="s">
        <v>369</v>
      </c>
      <c r="C20" s="21" t="s">
        <v>613</v>
      </c>
      <c r="D20" s="13" t="s">
        <v>150</v>
      </c>
      <c r="E20" s="85">
        <v>3</v>
      </c>
      <c r="F20" s="86"/>
      <c r="G20" s="87">
        <f t="shared" si="1"/>
        <v>3</v>
      </c>
      <c r="H20" s="83" t="s">
        <v>149</v>
      </c>
      <c r="I20" s="83"/>
      <c r="J20" s="93"/>
      <c r="K20" s="21"/>
      <c r="L20" s="29"/>
      <c r="M20" s="30"/>
    </row>
    <row r="21" spans="1:16" ht="12" customHeight="1">
      <c r="A21" s="83">
        <f t="shared" si="0"/>
        <v>13</v>
      </c>
      <c r="B21" s="11" t="s">
        <v>614</v>
      </c>
      <c r="C21" s="84" t="s">
        <v>615</v>
      </c>
      <c r="D21" s="88" t="s">
        <v>174</v>
      </c>
      <c r="E21" s="85"/>
      <c r="F21" s="86"/>
      <c r="G21" s="87">
        <f t="shared" si="1"/>
        <v>2</v>
      </c>
      <c r="H21" s="83" t="s">
        <v>149</v>
      </c>
      <c r="I21" s="83"/>
      <c r="J21" s="93"/>
      <c r="K21" s="84"/>
      <c r="L21" s="94"/>
      <c r="M21" s="95"/>
    </row>
    <row r="22" spans="1:16" ht="12" customHeight="1">
      <c r="A22" s="83">
        <f t="shared" si="0"/>
        <v>14</v>
      </c>
      <c r="B22" s="11" t="s">
        <v>616</v>
      </c>
      <c r="C22" s="21" t="s">
        <v>617</v>
      </c>
      <c r="D22" s="13" t="s">
        <v>164</v>
      </c>
      <c r="E22" s="85"/>
      <c r="F22" s="86"/>
      <c r="G22" s="87">
        <f t="shared" si="1"/>
        <v>4</v>
      </c>
      <c r="H22" s="83" t="s">
        <v>149</v>
      </c>
      <c r="I22" s="83"/>
      <c r="J22" s="93"/>
      <c r="K22" s="21"/>
      <c r="L22" s="29"/>
      <c r="M22" s="30"/>
    </row>
    <row r="23" spans="1:16" ht="12" customHeight="1">
      <c r="A23" s="83">
        <f t="shared" si="0"/>
        <v>15</v>
      </c>
      <c r="B23" s="11" t="s">
        <v>618</v>
      </c>
      <c r="C23" s="21" t="s">
        <v>619</v>
      </c>
      <c r="D23" s="13" t="s">
        <v>150</v>
      </c>
      <c r="E23" s="85">
        <v>13</v>
      </c>
      <c r="F23" s="86"/>
      <c r="G23" s="87">
        <f t="shared" si="1"/>
        <v>13</v>
      </c>
      <c r="H23" s="83" t="s">
        <v>149</v>
      </c>
      <c r="I23" s="83"/>
      <c r="J23" s="93"/>
      <c r="K23" s="21"/>
      <c r="L23" s="29"/>
      <c r="M23" s="30"/>
      <c r="P23" s="75" t="s">
        <v>164</v>
      </c>
    </row>
    <row r="24" spans="1:16" ht="27" customHeight="1">
      <c r="A24" s="83">
        <f t="shared" si="0"/>
        <v>16</v>
      </c>
      <c r="B24" s="11" t="s">
        <v>620</v>
      </c>
      <c r="C24" s="19" t="s">
        <v>621</v>
      </c>
      <c r="D24" s="88" t="s">
        <v>150</v>
      </c>
      <c r="E24" s="85">
        <v>1</v>
      </c>
      <c r="F24" s="86"/>
      <c r="G24" s="87">
        <f t="shared" si="1"/>
        <v>1</v>
      </c>
      <c r="H24" s="83" t="s">
        <v>149</v>
      </c>
      <c r="I24" s="83"/>
      <c r="J24" s="93"/>
      <c r="K24" s="271" t="s">
        <v>171</v>
      </c>
      <c r="L24" s="272"/>
      <c r="M24" s="273"/>
    </row>
    <row r="25" spans="1:16" ht="12" customHeight="1">
      <c r="A25" s="83">
        <f>IF(B25=""," ",A23+1)</f>
        <v>16</v>
      </c>
      <c r="B25" s="11" t="s">
        <v>371</v>
      </c>
      <c r="C25" s="21" t="s">
        <v>622</v>
      </c>
      <c r="D25" s="13" t="s">
        <v>150</v>
      </c>
      <c r="E25" s="85">
        <v>3</v>
      </c>
      <c r="F25" s="86"/>
      <c r="G25" s="87">
        <f t="shared" si="1"/>
        <v>3</v>
      </c>
      <c r="H25" s="83" t="s">
        <v>149</v>
      </c>
      <c r="I25" s="83"/>
      <c r="J25" s="93"/>
      <c r="K25" s="21"/>
      <c r="L25" s="29"/>
      <c r="M25" s="30"/>
    </row>
    <row r="26" spans="1:16" ht="12" customHeight="1">
      <c r="A26" s="83">
        <f t="shared" si="0"/>
        <v>17</v>
      </c>
      <c r="B26" s="11" t="s">
        <v>623</v>
      </c>
      <c r="C26" s="84" t="s">
        <v>624</v>
      </c>
      <c r="D26" s="88" t="s">
        <v>174</v>
      </c>
      <c r="E26" s="85"/>
      <c r="F26" s="86"/>
      <c r="G26" s="87">
        <f t="shared" si="1"/>
        <v>2</v>
      </c>
      <c r="H26" s="83" t="s">
        <v>149</v>
      </c>
      <c r="I26" s="83"/>
      <c r="J26" s="93"/>
      <c r="K26" s="84"/>
      <c r="L26" s="94"/>
      <c r="M26" s="95"/>
    </row>
    <row r="27" spans="1:16" ht="12" customHeight="1">
      <c r="A27" s="83">
        <f t="shared" si="0"/>
        <v>18</v>
      </c>
      <c r="B27" s="11" t="s">
        <v>625</v>
      </c>
      <c r="C27" s="21" t="s">
        <v>626</v>
      </c>
      <c r="D27" s="13" t="s">
        <v>164</v>
      </c>
      <c r="E27" s="85"/>
      <c r="F27" s="86"/>
      <c r="G27" s="87">
        <f t="shared" si="1"/>
        <v>4</v>
      </c>
      <c r="H27" s="83" t="s">
        <v>149</v>
      </c>
      <c r="I27" s="83"/>
      <c r="J27" s="93"/>
      <c r="K27" s="21"/>
      <c r="L27" s="29"/>
      <c r="M27" s="30"/>
    </row>
    <row r="28" spans="1:16" ht="12" customHeight="1">
      <c r="A28" s="83">
        <f t="shared" si="0"/>
        <v>19</v>
      </c>
      <c r="B28" s="11" t="s">
        <v>627</v>
      </c>
      <c r="C28" s="21" t="s">
        <v>628</v>
      </c>
      <c r="D28" s="13" t="s">
        <v>150</v>
      </c>
      <c r="E28" s="85">
        <v>13</v>
      </c>
      <c r="F28" s="86"/>
      <c r="G28" s="87">
        <f t="shared" si="1"/>
        <v>13</v>
      </c>
      <c r="H28" s="83" t="s">
        <v>149</v>
      </c>
      <c r="I28" s="83"/>
      <c r="J28" s="93"/>
      <c r="K28" s="21"/>
      <c r="L28" s="29"/>
      <c r="M28" s="30"/>
      <c r="P28" s="75" t="s">
        <v>164</v>
      </c>
    </row>
    <row r="29" spans="1:16" ht="27" customHeight="1">
      <c r="A29" s="83">
        <f t="shared" si="0"/>
        <v>20</v>
      </c>
      <c r="B29" s="11" t="s">
        <v>629</v>
      </c>
      <c r="C29" s="19" t="s">
        <v>630</v>
      </c>
      <c r="D29" s="88" t="s">
        <v>150</v>
      </c>
      <c r="E29" s="85">
        <v>1</v>
      </c>
      <c r="F29" s="86"/>
      <c r="G29" s="87">
        <f t="shared" si="1"/>
        <v>1</v>
      </c>
      <c r="H29" s="83" t="s">
        <v>149</v>
      </c>
      <c r="I29" s="83"/>
      <c r="J29" s="93"/>
      <c r="K29" s="271" t="s">
        <v>171</v>
      </c>
      <c r="L29" s="272"/>
      <c r="M29" s="273"/>
    </row>
    <row r="30" spans="1:16" ht="12" customHeight="1">
      <c r="A30" s="83">
        <f>IF(B30=""," ",A28+1)</f>
        <v>20</v>
      </c>
      <c r="B30" s="11" t="s">
        <v>373</v>
      </c>
      <c r="C30" s="21" t="s">
        <v>631</v>
      </c>
      <c r="D30" s="13" t="s">
        <v>150</v>
      </c>
      <c r="E30" s="85">
        <v>3</v>
      </c>
      <c r="F30" s="86"/>
      <c r="G30" s="87">
        <f t="shared" si="1"/>
        <v>3</v>
      </c>
      <c r="H30" s="83" t="s">
        <v>149</v>
      </c>
      <c r="I30" s="83"/>
      <c r="J30" s="93"/>
      <c r="K30" s="21"/>
      <c r="L30" s="29"/>
      <c r="M30" s="30"/>
    </row>
    <row r="31" spans="1:16" ht="12" customHeight="1">
      <c r="A31" s="83">
        <f t="shared" si="0"/>
        <v>21</v>
      </c>
      <c r="B31" s="11" t="s">
        <v>632</v>
      </c>
      <c r="C31" s="84" t="s">
        <v>633</v>
      </c>
      <c r="D31" s="88" t="s">
        <v>174</v>
      </c>
      <c r="E31" s="85"/>
      <c r="F31" s="86"/>
      <c r="G31" s="87">
        <f t="shared" si="1"/>
        <v>2</v>
      </c>
      <c r="H31" s="83" t="s">
        <v>149</v>
      </c>
      <c r="I31" s="83"/>
      <c r="J31" s="93"/>
      <c r="K31" s="84"/>
      <c r="L31" s="94"/>
      <c r="M31" s="95"/>
    </row>
    <row r="32" spans="1:16" ht="12" customHeight="1">
      <c r="A32" s="83">
        <f t="shared" si="0"/>
        <v>22</v>
      </c>
      <c r="B32" s="11" t="s">
        <v>634</v>
      </c>
      <c r="C32" s="21" t="s">
        <v>635</v>
      </c>
      <c r="D32" s="13" t="s">
        <v>164</v>
      </c>
      <c r="E32" s="85"/>
      <c r="F32" s="86"/>
      <c r="G32" s="87">
        <f t="shared" si="1"/>
        <v>4</v>
      </c>
      <c r="H32" s="83" t="s">
        <v>149</v>
      </c>
      <c r="I32" s="83"/>
      <c r="J32" s="93"/>
      <c r="K32" s="21"/>
      <c r="L32" s="29"/>
      <c r="M32" s="30"/>
    </row>
    <row r="33" spans="1:16" ht="12" customHeight="1">
      <c r="A33" s="83">
        <f t="shared" si="0"/>
        <v>23</v>
      </c>
      <c r="B33" s="11" t="s">
        <v>636</v>
      </c>
      <c r="C33" s="21" t="s">
        <v>637</v>
      </c>
      <c r="D33" s="13" t="s">
        <v>150</v>
      </c>
      <c r="E33" s="85">
        <v>13</v>
      </c>
      <c r="F33" s="86"/>
      <c r="G33" s="87">
        <f t="shared" si="1"/>
        <v>13</v>
      </c>
      <c r="H33" s="83" t="s">
        <v>149</v>
      </c>
      <c r="I33" s="83"/>
      <c r="J33" s="93"/>
      <c r="K33" s="21"/>
      <c r="L33" s="29"/>
      <c r="M33" s="30"/>
      <c r="P33" s="75" t="s">
        <v>164</v>
      </c>
    </row>
    <row r="34" spans="1:16" ht="27" customHeight="1">
      <c r="A34" s="83">
        <f t="shared" si="0"/>
        <v>24</v>
      </c>
      <c r="B34" s="11" t="s">
        <v>638</v>
      </c>
      <c r="C34" s="19" t="s">
        <v>639</v>
      </c>
      <c r="D34" s="88" t="s">
        <v>150</v>
      </c>
      <c r="E34" s="85">
        <v>1</v>
      </c>
      <c r="F34" s="86"/>
      <c r="G34" s="87">
        <f t="shared" si="1"/>
        <v>1</v>
      </c>
      <c r="H34" s="83" t="s">
        <v>149</v>
      </c>
      <c r="I34" s="83"/>
      <c r="J34" s="93"/>
      <c r="K34" s="271" t="s">
        <v>171</v>
      </c>
      <c r="L34" s="272"/>
      <c r="M34" s="273"/>
    </row>
    <row r="35" spans="1:16" ht="12" customHeight="1">
      <c r="A35" s="83">
        <f>IF(B35=""," ",A33+1)</f>
        <v>24</v>
      </c>
      <c r="B35" s="11" t="s">
        <v>640</v>
      </c>
      <c r="C35" s="21" t="s">
        <v>641</v>
      </c>
      <c r="D35" s="13" t="s">
        <v>150</v>
      </c>
      <c r="E35" s="85">
        <v>3</v>
      </c>
      <c r="F35" s="86"/>
      <c r="G35" s="87">
        <f t="shared" si="1"/>
        <v>3</v>
      </c>
      <c r="H35" s="83" t="s">
        <v>149</v>
      </c>
      <c r="I35" s="83"/>
      <c r="J35" s="93"/>
      <c r="K35" s="21"/>
      <c r="L35" s="29"/>
      <c r="M35" s="30"/>
    </row>
    <row r="36" spans="1:16" ht="12" customHeight="1">
      <c r="A36" s="83">
        <f t="shared" si="0"/>
        <v>25</v>
      </c>
      <c r="B36" s="11" t="s">
        <v>642</v>
      </c>
      <c r="C36" s="84" t="s">
        <v>643</v>
      </c>
      <c r="D36" s="88" t="s">
        <v>174</v>
      </c>
      <c r="E36" s="85"/>
      <c r="F36" s="86"/>
      <c r="G36" s="87">
        <f t="shared" si="1"/>
        <v>2</v>
      </c>
      <c r="H36" s="83" t="s">
        <v>149</v>
      </c>
      <c r="I36" s="83"/>
      <c r="J36" s="93"/>
      <c r="K36" s="84"/>
      <c r="L36" s="94"/>
      <c r="M36" s="95"/>
    </row>
    <row r="37" spans="1:16" ht="12" customHeight="1">
      <c r="A37" s="83">
        <f t="shared" si="0"/>
        <v>26</v>
      </c>
      <c r="B37" s="74" t="s">
        <v>232</v>
      </c>
      <c r="C37" s="84" t="s">
        <v>233</v>
      </c>
      <c r="D37" s="88" t="s">
        <v>234</v>
      </c>
      <c r="E37" s="85"/>
      <c r="F37" s="86"/>
      <c r="G37" s="87">
        <f t="shared" si="1"/>
        <v>10</v>
      </c>
      <c r="H37" s="83" t="s">
        <v>149</v>
      </c>
      <c r="I37" s="83"/>
      <c r="J37" s="93"/>
      <c r="K37" s="84"/>
      <c r="L37" s="94"/>
      <c r="M37" s="95"/>
    </row>
    <row r="38" spans="1:16" ht="12" customHeight="1">
      <c r="A38" s="83"/>
      <c r="B38" s="11"/>
      <c r="C38" s="84"/>
      <c r="D38" s="88"/>
      <c r="E38" s="85"/>
      <c r="F38" s="86"/>
      <c r="G38" s="87"/>
      <c r="H38" s="83"/>
      <c r="I38" s="83"/>
      <c r="J38" s="93"/>
      <c r="K38" s="84"/>
      <c r="L38" s="94"/>
      <c r="M38" s="95"/>
    </row>
    <row r="39" spans="1:16" ht="12" customHeight="1">
      <c r="A39" s="83"/>
      <c r="B39" s="11"/>
      <c r="C39" s="84"/>
      <c r="D39" s="88"/>
      <c r="E39" s="85"/>
      <c r="F39" s="86"/>
      <c r="G39" s="87"/>
      <c r="H39" s="83"/>
      <c r="I39" s="83"/>
      <c r="J39" s="93"/>
      <c r="K39" s="84"/>
      <c r="L39" s="94"/>
      <c r="M39" s="95"/>
    </row>
    <row r="40" spans="1:16" ht="12" customHeight="1">
      <c r="A40" s="83"/>
      <c r="B40" s="11"/>
      <c r="C40" s="84"/>
      <c r="D40" s="88"/>
      <c r="E40" s="85"/>
      <c r="F40" s="86"/>
      <c r="G40" s="87"/>
      <c r="H40" s="83"/>
      <c r="I40" s="83"/>
      <c r="J40" s="93"/>
      <c r="K40" s="280"/>
      <c r="L40" s="272"/>
      <c r="M40" s="273"/>
    </row>
    <row r="41" spans="1:16" ht="12" customHeight="1">
      <c r="A41" s="83"/>
      <c r="B41" s="11"/>
      <c r="C41" s="84"/>
      <c r="D41" s="88"/>
      <c r="E41" s="85"/>
      <c r="F41" s="86"/>
      <c r="G41" s="87"/>
      <c r="H41" s="83"/>
      <c r="I41" s="83"/>
      <c r="J41" s="93"/>
      <c r="K41" s="21"/>
      <c r="L41" s="29"/>
      <c r="M41" s="30"/>
    </row>
    <row r="42" spans="1:16" ht="12" customHeight="1">
      <c r="A42" s="83"/>
      <c r="B42" s="11"/>
      <c r="C42" s="84"/>
      <c r="D42" s="88"/>
      <c r="E42" s="85"/>
      <c r="F42" s="86"/>
      <c r="G42" s="87"/>
      <c r="H42" s="83"/>
      <c r="I42" s="83"/>
      <c r="J42" s="93"/>
      <c r="K42" s="84"/>
      <c r="L42" s="94"/>
      <c r="M42" s="95"/>
    </row>
    <row r="43" spans="1:16" ht="12" customHeight="1">
      <c r="A43" s="83"/>
      <c r="B43" s="11"/>
      <c r="C43" s="84"/>
      <c r="D43" s="88"/>
      <c r="E43" s="85"/>
      <c r="F43" s="86"/>
      <c r="G43" s="87"/>
      <c r="H43" s="83"/>
      <c r="I43" s="83"/>
      <c r="J43" s="93"/>
      <c r="K43" s="84"/>
      <c r="L43" s="94"/>
      <c r="M43" s="95"/>
    </row>
    <row r="44" spans="1:16" ht="12" customHeight="1">
      <c r="A44" s="83"/>
      <c r="B44" s="11"/>
      <c r="C44" s="84"/>
      <c r="D44" s="88"/>
      <c r="E44" s="85"/>
      <c r="F44" s="86"/>
      <c r="G44" s="87"/>
      <c r="H44" s="83"/>
      <c r="I44" s="83"/>
      <c r="J44" s="93"/>
      <c r="K44" s="84"/>
      <c r="L44" s="94"/>
      <c r="M44" s="95"/>
    </row>
    <row r="45" spans="1:16" ht="12" customHeight="1">
      <c r="A45" s="83"/>
      <c r="B45" s="11"/>
      <c r="C45" s="84"/>
      <c r="D45" s="88"/>
      <c r="E45" s="85"/>
      <c r="F45" s="86"/>
      <c r="G45" s="87"/>
      <c r="H45" s="83"/>
      <c r="I45" s="83"/>
      <c r="J45" s="93"/>
      <c r="K45" s="84"/>
      <c r="L45" s="94"/>
      <c r="M45" s="95"/>
    </row>
    <row r="46" spans="1:16" ht="12" customHeight="1">
      <c r="A46" s="83"/>
      <c r="B46" s="11"/>
      <c r="C46" s="84"/>
      <c r="D46" s="88"/>
      <c r="E46" s="85"/>
      <c r="F46" s="86"/>
      <c r="G46" s="87"/>
      <c r="H46" s="83"/>
      <c r="I46" s="83"/>
      <c r="J46" s="93"/>
      <c r="K46" s="84"/>
      <c r="L46" s="94"/>
      <c r="M46" s="95"/>
    </row>
    <row r="47" spans="1:16" ht="12" customHeight="1">
      <c r="A47" s="83"/>
      <c r="B47" s="11"/>
      <c r="C47" s="84"/>
      <c r="D47" s="88"/>
      <c r="E47" s="85"/>
      <c r="F47" s="86"/>
      <c r="G47" s="87"/>
      <c r="H47" s="83"/>
      <c r="I47" s="83"/>
      <c r="J47" s="93"/>
      <c r="K47" s="84"/>
      <c r="L47" s="94"/>
      <c r="M47" s="95"/>
    </row>
    <row r="48" spans="1:16" ht="12" customHeight="1">
      <c r="A48" s="83"/>
      <c r="B48" s="11"/>
      <c r="C48" s="84"/>
      <c r="D48" s="88"/>
      <c r="E48" s="85"/>
      <c r="F48" s="86"/>
      <c r="G48" s="87"/>
      <c r="H48" s="83"/>
      <c r="I48" s="83"/>
      <c r="J48" s="93"/>
      <c r="K48" s="84"/>
      <c r="L48" s="94"/>
      <c r="M48" s="95"/>
    </row>
    <row r="49" spans="1:13" ht="12" customHeight="1">
      <c r="A49" s="83"/>
      <c r="B49" s="11"/>
      <c r="C49" s="84"/>
      <c r="D49" s="88"/>
      <c r="E49" s="85"/>
      <c r="F49" s="86"/>
      <c r="G49" s="87"/>
      <c r="H49" s="83"/>
      <c r="I49" s="83"/>
      <c r="J49" s="93"/>
      <c r="K49" s="84"/>
      <c r="L49" s="94"/>
      <c r="M49" s="95"/>
    </row>
    <row r="50" spans="1:13" ht="12" customHeight="1">
      <c r="A50" s="83"/>
      <c r="B50" s="11"/>
      <c r="C50" s="84"/>
      <c r="D50" s="88"/>
      <c r="E50" s="85"/>
      <c r="F50" s="86"/>
      <c r="G50" s="87"/>
      <c r="H50" s="83"/>
      <c r="I50" s="83"/>
      <c r="J50" s="93"/>
      <c r="K50" s="84"/>
      <c r="L50" s="94"/>
      <c r="M50" s="95"/>
    </row>
    <row r="51" spans="1:13" ht="12" customHeight="1">
      <c r="A51" s="83"/>
      <c r="B51" s="11"/>
      <c r="C51" s="84"/>
      <c r="D51" s="88"/>
      <c r="E51" s="85"/>
      <c r="F51" s="86"/>
      <c r="G51" s="87"/>
      <c r="H51" s="83"/>
      <c r="I51" s="83"/>
      <c r="J51" s="93"/>
      <c r="K51" s="84"/>
      <c r="L51" s="94"/>
      <c r="M51" s="95"/>
    </row>
    <row r="52" spans="1:13" ht="12" customHeight="1">
      <c r="A52" s="83"/>
      <c r="B52" s="11"/>
      <c r="C52" s="84"/>
      <c r="D52" s="88"/>
      <c r="E52" s="85"/>
      <c r="F52" s="86"/>
      <c r="G52" s="87"/>
      <c r="H52" s="83"/>
      <c r="I52" s="83"/>
      <c r="J52" s="93"/>
      <c r="K52" s="84"/>
      <c r="L52" s="94"/>
      <c r="M52" s="95"/>
    </row>
    <row r="53" spans="1:13" ht="12" customHeight="1">
      <c r="A53" s="83"/>
      <c r="B53" s="11"/>
      <c r="C53" s="84"/>
      <c r="D53" s="88"/>
      <c r="E53" s="85"/>
      <c r="F53" s="86"/>
      <c r="G53" s="87"/>
      <c r="H53" s="83"/>
      <c r="I53" s="83"/>
      <c r="J53" s="93"/>
      <c r="K53" s="84"/>
      <c r="L53" s="94"/>
      <c r="M53" s="95"/>
    </row>
    <row r="54" spans="1:13" ht="12" customHeight="1">
      <c r="A54" s="83"/>
      <c r="B54" s="11"/>
      <c r="C54" s="84"/>
      <c r="D54" s="88"/>
      <c r="E54" s="85"/>
      <c r="F54" s="86"/>
      <c r="G54" s="87"/>
      <c r="H54" s="83"/>
      <c r="I54" s="83"/>
      <c r="J54" s="93"/>
      <c r="K54" s="84"/>
      <c r="L54" s="94"/>
      <c r="M54" s="95"/>
    </row>
    <row r="55" spans="1:13" ht="12" customHeight="1">
      <c r="A55" s="83"/>
      <c r="B55" s="20"/>
      <c r="C55" s="84"/>
      <c r="D55" s="88"/>
      <c r="E55" s="85"/>
      <c r="F55" s="86"/>
      <c r="G55" s="87"/>
      <c r="H55" s="83"/>
      <c r="I55" s="83"/>
      <c r="J55" s="93"/>
      <c r="K55" s="84"/>
      <c r="L55" s="94"/>
      <c r="M55" s="95"/>
    </row>
    <row r="56" spans="1:13" ht="12" customHeight="1">
      <c r="A56" s="83"/>
      <c r="B56" s="11"/>
      <c r="C56" s="84"/>
      <c r="D56" s="88"/>
      <c r="E56" s="85"/>
      <c r="F56" s="86"/>
      <c r="G56" s="87"/>
      <c r="H56" s="83"/>
      <c r="I56" s="83"/>
      <c r="J56" s="93"/>
      <c r="K56" s="84"/>
      <c r="L56" s="94"/>
      <c r="M56" s="95"/>
    </row>
    <row r="57" spans="1:13" ht="12" customHeight="1">
      <c r="A57" s="83"/>
      <c r="B57" s="11"/>
      <c r="C57" s="84"/>
      <c r="D57" s="88"/>
      <c r="E57" s="85"/>
      <c r="F57" s="86"/>
      <c r="G57" s="87"/>
      <c r="H57" s="83"/>
      <c r="I57" s="83"/>
      <c r="J57" s="93"/>
      <c r="K57" s="84"/>
      <c r="L57" s="94"/>
      <c r="M57" s="95"/>
    </row>
    <row r="58" spans="1:13" ht="12" customHeight="1">
      <c r="A58" s="83"/>
      <c r="B58" s="11"/>
      <c r="C58" s="84"/>
      <c r="D58" s="88"/>
      <c r="E58" s="85"/>
      <c r="F58" s="86"/>
      <c r="G58" s="87"/>
      <c r="H58" s="83"/>
      <c r="I58" s="83"/>
      <c r="J58" s="93"/>
      <c r="K58" s="84"/>
      <c r="L58" s="94"/>
      <c r="M58" s="95"/>
    </row>
    <row r="59" spans="1:13" ht="12" customHeight="1">
      <c r="A59" s="83"/>
      <c r="B59" s="11"/>
      <c r="C59" s="84"/>
      <c r="D59" s="88"/>
      <c r="E59" s="85"/>
      <c r="F59" s="86"/>
      <c r="G59" s="87"/>
      <c r="H59" s="83"/>
      <c r="I59" s="83"/>
      <c r="J59" s="93"/>
      <c r="K59" s="280"/>
      <c r="L59" s="272"/>
      <c r="M59" s="273"/>
    </row>
    <row r="60" spans="1:13" ht="12" customHeight="1">
      <c r="A60" s="83"/>
      <c r="B60" s="11"/>
      <c r="C60" s="84"/>
      <c r="D60" s="88"/>
      <c r="E60" s="85"/>
      <c r="F60" s="86"/>
      <c r="G60" s="87"/>
      <c r="H60" s="83"/>
      <c r="I60" s="83"/>
      <c r="J60" s="93"/>
      <c r="K60" s="21"/>
      <c r="L60" s="29"/>
      <c r="M60" s="30"/>
    </row>
    <row r="61" spans="1:13" ht="12" customHeight="1">
      <c r="A61" s="83"/>
      <c r="B61" s="11"/>
      <c r="C61" s="84"/>
      <c r="D61" s="88"/>
      <c r="E61" s="85"/>
      <c r="F61" s="86"/>
      <c r="G61" s="87"/>
      <c r="H61" s="83"/>
      <c r="I61" s="83"/>
      <c r="J61" s="93"/>
      <c r="K61" s="84"/>
      <c r="L61" s="94"/>
      <c r="M61" s="95"/>
    </row>
    <row r="62" spans="1:13" ht="12" customHeight="1">
      <c r="A62" s="83"/>
      <c r="B62" s="11"/>
      <c r="C62" s="84"/>
      <c r="D62" s="88"/>
      <c r="E62" s="85"/>
      <c r="F62" s="86"/>
      <c r="G62" s="87"/>
      <c r="H62" s="83"/>
      <c r="I62" s="83"/>
      <c r="J62" s="93"/>
      <c r="K62" s="84"/>
      <c r="L62" s="94"/>
      <c r="M62" s="95"/>
    </row>
    <row r="63" spans="1:13" ht="12" customHeight="1">
      <c r="A63" s="83"/>
      <c r="B63" s="11"/>
      <c r="C63" s="84"/>
      <c r="D63" s="88"/>
      <c r="E63" s="85"/>
      <c r="F63" s="86"/>
      <c r="G63" s="87"/>
      <c r="H63" s="83"/>
      <c r="I63" s="83"/>
      <c r="J63" s="93"/>
      <c r="K63" s="84"/>
      <c r="L63" s="94"/>
      <c r="M63" s="95"/>
    </row>
    <row r="64" spans="1:13" ht="12" customHeight="1">
      <c r="A64" s="83"/>
      <c r="B64" s="11"/>
      <c r="C64" s="84"/>
      <c r="D64" s="88"/>
      <c r="E64" s="85"/>
      <c r="F64" s="86"/>
      <c r="G64" s="87"/>
      <c r="H64" s="83"/>
      <c r="I64" s="83"/>
      <c r="J64" s="93"/>
      <c r="K64" s="84"/>
      <c r="L64" s="94"/>
      <c r="M64" s="95"/>
    </row>
    <row r="65" spans="1:13" ht="12" customHeight="1">
      <c r="A65" s="83"/>
      <c r="B65" s="11"/>
      <c r="C65" s="84"/>
      <c r="D65" s="88"/>
      <c r="E65" s="85"/>
      <c r="F65" s="86"/>
      <c r="G65" s="87"/>
      <c r="H65" s="83"/>
      <c r="I65" s="83"/>
      <c r="J65" s="93"/>
      <c r="K65" s="84"/>
      <c r="L65" s="94"/>
      <c r="M65" s="95"/>
    </row>
    <row r="66" spans="1:13" ht="12" customHeight="1">
      <c r="A66" s="83"/>
      <c r="B66" s="11"/>
      <c r="C66" s="84"/>
      <c r="D66" s="88"/>
      <c r="E66" s="85"/>
      <c r="F66" s="86"/>
      <c r="G66" s="87"/>
      <c r="H66" s="83"/>
      <c r="I66" s="83"/>
      <c r="J66" s="93"/>
      <c r="K66" s="84"/>
      <c r="L66" s="94"/>
      <c r="M66" s="95"/>
    </row>
    <row r="67" spans="1:13" ht="12" customHeight="1">
      <c r="A67" s="83"/>
      <c r="B67" s="11"/>
      <c r="C67" s="84"/>
      <c r="D67" s="88"/>
      <c r="E67" s="85"/>
      <c r="F67" s="86"/>
      <c r="G67" s="87"/>
      <c r="H67" s="83"/>
      <c r="I67" s="83"/>
      <c r="J67" s="93"/>
      <c r="K67" s="84"/>
      <c r="L67" s="94"/>
      <c r="M67" s="95"/>
    </row>
    <row r="68" spans="1:13" ht="12" customHeight="1">
      <c r="A68" s="83"/>
      <c r="B68" s="11"/>
      <c r="C68" s="84"/>
      <c r="D68" s="88"/>
      <c r="E68" s="85"/>
      <c r="F68" s="86"/>
      <c r="G68" s="87"/>
      <c r="H68" s="83"/>
      <c r="I68" s="83"/>
      <c r="J68" s="93"/>
      <c r="K68" s="84"/>
      <c r="L68" s="94"/>
      <c r="M68" s="95"/>
    </row>
    <row r="69" spans="1:13" ht="12" customHeight="1">
      <c r="A69" s="83"/>
      <c r="B69" s="11"/>
      <c r="C69" s="84"/>
      <c r="D69" s="88"/>
      <c r="E69" s="85"/>
      <c r="F69" s="86"/>
      <c r="G69" s="87"/>
      <c r="H69" s="83"/>
      <c r="I69" s="83"/>
      <c r="J69" s="93"/>
      <c r="K69" s="84"/>
      <c r="L69" s="94"/>
      <c r="M69" s="95"/>
    </row>
    <row r="70" spans="1:13" ht="12" customHeight="1">
      <c r="A70" s="83"/>
      <c r="B70" s="11"/>
      <c r="C70" s="84"/>
      <c r="D70" s="88"/>
      <c r="E70" s="85"/>
      <c r="F70" s="86"/>
      <c r="G70" s="87"/>
      <c r="H70" s="83"/>
      <c r="I70" s="83"/>
      <c r="J70" s="93"/>
      <c r="K70" s="84"/>
      <c r="L70" s="94"/>
      <c r="M70" s="95"/>
    </row>
    <row r="71" spans="1:13" ht="12" customHeight="1">
      <c r="A71" s="83"/>
      <c r="B71" s="11"/>
      <c r="C71" s="84"/>
      <c r="D71" s="88"/>
      <c r="E71" s="85"/>
      <c r="F71" s="86"/>
      <c r="G71" s="87"/>
      <c r="H71" s="83"/>
      <c r="I71" s="83"/>
      <c r="J71" s="93"/>
      <c r="K71" s="84"/>
      <c r="L71" s="94"/>
      <c r="M71" s="95"/>
    </row>
    <row r="72" spans="1:13" ht="12" customHeight="1">
      <c r="A72" s="83"/>
      <c r="B72" s="11"/>
      <c r="C72" s="84"/>
      <c r="D72" s="88"/>
      <c r="E72" s="85"/>
      <c r="F72" s="86"/>
      <c r="G72" s="87"/>
      <c r="H72" s="83"/>
      <c r="I72" s="83"/>
      <c r="J72" s="93"/>
      <c r="K72" s="84"/>
      <c r="L72" s="94"/>
      <c r="M72" s="95"/>
    </row>
    <row r="73" spans="1:13" ht="12" customHeight="1">
      <c r="A73" s="83"/>
      <c r="B73" s="11"/>
      <c r="C73" s="84"/>
      <c r="D73" s="88"/>
      <c r="E73" s="85"/>
      <c r="F73" s="86"/>
      <c r="G73" s="87"/>
      <c r="H73" s="83"/>
      <c r="I73" s="83"/>
      <c r="J73" s="93"/>
      <c r="K73" s="84"/>
      <c r="L73" s="94"/>
      <c r="M73" s="95"/>
    </row>
    <row r="74" spans="1:13" ht="12" customHeight="1">
      <c r="A74" s="83"/>
      <c r="B74" s="20"/>
      <c r="C74" s="84"/>
      <c r="D74" s="88"/>
      <c r="E74" s="85"/>
      <c r="F74" s="86"/>
      <c r="G74" s="87"/>
      <c r="H74" s="83"/>
      <c r="I74" s="83"/>
      <c r="J74" s="93"/>
      <c r="K74" s="84"/>
      <c r="L74" s="94"/>
      <c r="M74" s="95"/>
    </row>
    <row r="75" spans="1:13" ht="12" customHeight="1">
      <c r="A75" s="83"/>
      <c r="B75" s="11"/>
      <c r="C75" s="84"/>
      <c r="D75" s="88"/>
      <c r="E75" s="85"/>
      <c r="F75" s="86"/>
      <c r="G75" s="87"/>
      <c r="H75" s="83"/>
      <c r="I75" s="83"/>
      <c r="J75" s="93"/>
      <c r="K75" s="84"/>
      <c r="L75" s="94"/>
      <c r="M75" s="95"/>
    </row>
    <row r="76" spans="1:13" ht="12" customHeight="1">
      <c r="A76" s="83"/>
      <c r="B76" s="11"/>
      <c r="C76" s="84"/>
      <c r="D76" s="88"/>
      <c r="E76" s="85"/>
      <c r="F76" s="86"/>
      <c r="G76" s="87"/>
      <c r="H76" s="83"/>
      <c r="I76" s="83"/>
      <c r="J76" s="93"/>
      <c r="K76" s="84"/>
      <c r="L76" s="94"/>
      <c r="M76" s="95"/>
    </row>
    <row r="77" spans="1:13" ht="12" customHeight="1">
      <c r="A77" s="83"/>
      <c r="B77" s="11"/>
      <c r="C77" s="84"/>
      <c r="D77" s="88"/>
      <c r="E77" s="85"/>
      <c r="F77" s="86"/>
      <c r="G77" s="87"/>
      <c r="H77" s="83"/>
      <c r="I77" s="83"/>
      <c r="J77" s="93"/>
      <c r="K77" s="84"/>
      <c r="L77" s="94"/>
      <c r="M77" s="95"/>
    </row>
    <row r="78" spans="1:13" ht="12" customHeight="1">
      <c r="A78" s="83"/>
      <c r="B78" s="11"/>
      <c r="C78" s="84"/>
      <c r="D78" s="88"/>
      <c r="E78" s="85"/>
      <c r="F78" s="86"/>
      <c r="G78" s="87"/>
      <c r="H78" s="83"/>
      <c r="I78" s="83"/>
      <c r="J78" s="93"/>
      <c r="K78" s="280"/>
      <c r="L78" s="272"/>
      <c r="M78" s="273"/>
    </row>
    <row r="79" spans="1:13" ht="12" customHeight="1">
      <c r="A79" s="83"/>
      <c r="B79" s="11"/>
      <c r="C79" s="84"/>
      <c r="D79" s="88"/>
      <c r="E79" s="85"/>
      <c r="F79" s="86"/>
      <c r="G79" s="87"/>
      <c r="H79" s="83"/>
      <c r="I79" s="83"/>
      <c r="J79" s="93"/>
      <c r="K79" s="21"/>
      <c r="L79" s="29"/>
      <c r="M79" s="30"/>
    </row>
    <row r="80" spans="1:13" ht="12" customHeight="1">
      <c r="A80" s="83"/>
      <c r="B80" s="11"/>
      <c r="C80" s="84"/>
      <c r="D80" s="88"/>
      <c r="E80" s="85"/>
      <c r="F80" s="86"/>
      <c r="G80" s="87"/>
      <c r="H80" s="83"/>
      <c r="I80" s="83"/>
      <c r="J80" s="93"/>
      <c r="K80" s="84"/>
      <c r="L80" s="94"/>
      <c r="M80" s="95"/>
    </row>
    <row r="81" spans="1:13" ht="12" customHeight="1">
      <c r="A81" s="83"/>
      <c r="B81" s="11"/>
      <c r="C81" s="84"/>
      <c r="D81" s="88"/>
      <c r="E81" s="85"/>
      <c r="F81" s="86"/>
      <c r="G81" s="87"/>
      <c r="H81" s="83"/>
      <c r="I81" s="83"/>
      <c r="J81" s="93"/>
      <c r="K81" s="84"/>
      <c r="L81" s="94"/>
      <c r="M81" s="95"/>
    </row>
    <row r="82" spans="1:13" ht="12" customHeight="1">
      <c r="A82" s="83"/>
      <c r="B82" s="11"/>
      <c r="C82" s="84"/>
      <c r="D82" s="88"/>
      <c r="E82" s="85"/>
      <c r="F82" s="86"/>
      <c r="G82" s="87"/>
      <c r="H82" s="83"/>
      <c r="I82" s="83"/>
      <c r="J82" s="93"/>
      <c r="K82" s="84"/>
      <c r="L82" s="94"/>
      <c r="M82" s="95"/>
    </row>
    <row r="83" spans="1:13" ht="12" customHeight="1">
      <c r="A83" s="83"/>
      <c r="B83" s="11"/>
      <c r="C83" s="84"/>
      <c r="D83" s="88"/>
      <c r="E83" s="85"/>
      <c r="F83" s="86"/>
      <c r="G83" s="87"/>
      <c r="H83" s="83"/>
      <c r="I83" s="83"/>
      <c r="J83" s="93"/>
      <c r="K83" s="84"/>
      <c r="L83" s="94"/>
      <c r="M83" s="95"/>
    </row>
    <row r="84" spans="1:13" ht="12" customHeight="1">
      <c r="A84" s="83"/>
      <c r="B84" s="11"/>
      <c r="C84" s="84"/>
      <c r="D84" s="88"/>
      <c r="E84" s="85"/>
      <c r="F84" s="86"/>
      <c r="G84" s="87"/>
      <c r="H84" s="83"/>
      <c r="I84" s="83"/>
      <c r="J84" s="93"/>
      <c r="K84" s="84"/>
      <c r="L84" s="94"/>
      <c r="M84" s="95"/>
    </row>
    <row r="85" spans="1:13" ht="12" customHeight="1">
      <c r="A85" s="83"/>
      <c r="B85" s="11"/>
      <c r="C85" s="84"/>
      <c r="D85" s="88"/>
      <c r="E85" s="85"/>
      <c r="F85" s="86"/>
      <c r="G85" s="87"/>
      <c r="H85" s="83"/>
      <c r="I85" s="83"/>
      <c r="J85" s="93"/>
      <c r="K85" s="84"/>
      <c r="L85" s="94"/>
      <c r="M85" s="95"/>
    </row>
    <row r="86" spans="1:13" ht="12" customHeight="1">
      <c r="A86" s="83"/>
      <c r="B86" s="11"/>
      <c r="C86" s="84"/>
      <c r="D86" s="88"/>
      <c r="E86" s="85"/>
      <c r="F86" s="86"/>
      <c r="G86" s="87"/>
      <c r="H86" s="83"/>
      <c r="I86" s="83"/>
      <c r="J86" s="93"/>
      <c r="K86" s="84"/>
      <c r="L86" s="94"/>
      <c r="M86" s="95"/>
    </row>
    <row r="87" spans="1:13" ht="12" customHeight="1">
      <c r="A87" s="83"/>
      <c r="B87" s="11"/>
      <c r="C87" s="84"/>
      <c r="D87" s="88"/>
      <c r="E87" s="85"/>
      <c r="F87" s="86"/>
      <c r="G87" s="87"/>
      <c r="H87" s="83"/>
      <c r="I87" s="83"/>
      <c r="J87" s="93"/>
      <c r="K87" s="84"/>
      <c r="L87" s="94"/>
      <c r="M87" s="95"/>
    </row>
    <row r="88" spans="1:13" ht="12" customHeight="1">
      <c r="A88" s="83"/>
      <c r="B88" s="11"/>
      <c r="C88" s="84"/>
      <c r="D88" s="88"/>
      <c r="E88" s="85"/>
      <c r="F88" s="86"/>
      <c r="G88" s="87"/>
      <c r="H88" s="83"/>
      <c r="I88" s="83"/>
      <c r="J88" s="93"/>
      <c r="K88" s="84"/>
      <c r="L88" s="94"/>
      <c r="M88" s="95"/>
    </row>
    <row r="89" spans="1:13" ht="12" customHeight="1">
      <c r="A89" s="83"/>
      <c r="B89" s="11"/>
      <c r="C89" s="84"/>
      <c r="D89" s="88"/>
      <c r="E89" s="85"/>
      <c r="F89" s="86"/>
      <c r="G89" s="87"/>
      <c r="H89" s="83"/>
      <c r="I89" s="83"/>
      <c r="J89" s="93"/>
      <c r="K89" s="84"/>
      <c r="L89" s="94"/>
      <c r="M89" s="95"/>
    </row>
    <row r="90" spans="1:13" ht="12" customHeight="1">
      <c r="A90" s="83"/>
      <c r="B90" s="11"/>
      <c r="C90" s="84"/>
      <c r="D90" s="88"/>
      <c r="E90" s="85"/>
      <c r="F90" s="86"/>
      <c r="G90" s="87"/>
      <c r="H90" s="83"/>
      <c r="I90" s="83"/>
      <c r="J90" s="93"/>
      <c r="K90" s="84"/>
      <c r="L90" s="94"/>
      <c r="M90" s="95"/>
    </row>
    <row r="91" spans="1:13" ht="12" customHeight="1">
      <c r="A91" s="83"/>
      <c r="B91" s="11"/>
      <c r="C91" s="84"/>
      <c r="D91" s="88"/>
      <c r="E91" s="85"/>
      <c r="F91" s="86"/>
      <c r="G91" s="87"/>
      <c r="H91" s="83"/>
      <c r="I91" s="83"/>
      <c r="J91" s="93"/>
      <c r="K91" s="84"/>
      <c r="L91" s="94"/>
      <c r="M91" s="95"/>
    </row>
    <row r="92" spans="1:13" ht="12" customHeight="1">
      <c r="A92" s="83"/>
      <c r="B92" s="11"/>
      <c r="C92" s="84"/>
      <c r="D92" s="88"/>
      <c r="E92" s="85"/>
      <c r="F92" s="86"/>
      <c r="G92" s="87"/>
      <c r="H92" s="83"/>
      <c r="I92" s="83"/>
      <c r="J92" s="93"/>
      <c r="K92" s="84"/>
      <c r="L92" s="94"/>
      <c r="M92" s="95"/>
    </row>
    <row r="93" spans="1:13" ht="12" customHeight="1">
      <c r="A93" s="83"/>
      <c r="B93" s="20"/>
      <c r="C93" s="84"/>
      <c r="D93" s="88"/>
      <c r="E93" s="85"/>
      <c r="F93" s="86"/>
      <c r="G93" s="87"/>
      <c r="H93" s="83"/>
      <c r="I93" s="83"/>
      <c r="J93" s="93"/>
      <c r="K93" s="84"/>
      <c r="L93" s="94"/>
      <c r="M93" s="95"/>
    </row>
    <row r="94" spans="1:13" ht="12" customHeight="1">
      <c r="A94" s="83"/>
      <c r="B94" s="11"/>
      <c r="C94" s="84"/>
      <c r="D94" s="88"/>
      <c r="E94" s="85"/>
      <c r="F94" s="86"/>
      <c r="G94" s="87"/>
      <c r="H94" s="83"/>
      <c r="I94" s="83"/>
      <c r="J94" s="93"/>
      <c r="K94" s="84"/>
      <c r="L94" s="94"/>
      <c r="M94" s="95"/>
    </row>
    <row r="95" spans="1:13" ht="12" customHeight="1">
      <c r="A95" s="83"/>
      <c r="B95" s="11"/>
      <c r="C95" s="84"/>
      <c r="D95" s="88"/>
      <c r="E95" s="85"/>
      <c r="F95" s="86"/>
      <c r="G95" s="87"/>
      <c r="H95" s="83"/>
      <c r="I95" s="83"/>
      <c r="J95" s="93"/>
      <c r="K95" s="84"/>
      <c r="L95" s="94"/>
      <c r="M95" s="95"/>
    </row>
    <row r="96" spans="1:13" ht="12" customHeight="1">
      <c r="A96" s="83"/>
      <c r="B96" s="11"/>
      <c r="C96" s="84"/>
      <c r="D96" s="88"/>
      <c r="E96" s="85"/>
      <c r="F96" s="86"/>
      <c r="G96" s="87"/>
      <c r="H96" s="83"/>
      <c r="I96" s="83"/>
      <c r="J96" s="93"/>
      <c r="K96" s="84"/>
      <c r="L96" s="94"/>
      <c r="M96" s="95"/>
    </row>
    <row r="97" spans="1:13" ht="12" customHeight="1">
      <c r="A97" s="83"/>
      <c r="B97" s="11"/>
      <c r="C97" s="84"/>
      <c r="D97" s="88"/>
      <c r="E97" s="85"/>
      <c r="F97" s="86"/>
      <c r="G97" s="87"/>
      <c r="H97" s="83"/>
      <c r="I97" s="83"/>
      <c r="J97" s="93"/>
      <c r="K97" s="280"/>
      <c r="L97" s="272"/>
      <c r="M97" s="273"/>
    </row>
    <row r="98" spans="1:13" ht="12" customHeight="1">
      <c r="A98" s="83"/>
      <c r="B98" s="11"/>
      <c r="C98" s="84"/>
      <c r="D98" s="88"/>
      <c r="E98" s="85"/>
      <c r="F98" s="86"/>
      <c r="G98" s="87"/>
      <c r="H98" s="83"/>
      <c r="I98" s="83"/>
      <c r="J98" s="93"/>
      <c r="K98" s="21"/>
      <c r="L98" s="29"/>
      <c r="M98" s="30"/>
    </row>
    <row r="99" spans="1:13" ht="12" customHeight="1">
      <c r="A99" s="83"/>
      <c r="B99" s="11"/>
      <c r="C99" s="84"/>
      <c r="D99" s="88"/>
      <c r="E99" s="85"/>
      <c r="F99" s="86"/>
      <c r="G99" s="87"/>
      <c r="H99" s="83"/>
      <c r="I99" s="83"/>
      <c r="J99" s="93"/>
      <c r="K99" s="84"/>
      <c r="L99" s="94"/>
      <c r="M99" s="95"/>
    </row>
    <row r="100" spans="1:13" ht="12" customHeight="1">
      <c r="A100" s="83"/>
      <c r="B100" s="11"/>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644</v>
      </c>
    </row>
    <row r="108" spans="1:13">
      <c r="B108" s="75" t="s">
        <v>236</v>
      </c>
      <c r="C108" s="75" t="s">
        <v>238</v>
      </c>
    </row>
    <row r="110" spans="1:13">
      <c r="B110" s="75" t="s">
        <v>239</v>
      </c>
      <c r="C110" s="75" t="s">
        <v>240</v>
      </c>
    </row>
    <row r="111" spans="1:13">
      <c r="C111" s="75" t="s">
        <v>241</v>
      </c>
    </row>
  </sheetData>
  <mergeCells count="25">
    <mergeCell ref="K97:M97"/>
    <mergeCell ref="A5:A6"/>
    <mergeCell ref="K5:M6"/>
    <mergeCell ref="K29:M29"/>
    <mergeCell ref="K34:M34"/>
    <mergeCell ref="K40:M40"/>
    <mergeCell ref="K59:M59"/>
    <mergeCell ref="K78:M78"/>
    <mergeCell ref="K9:M9"/>
    <mergeCell ref="K10:M10"/>
    <mergeCell ref="K14:M14"/>
    <mergeCell ref="K19:M19"/>
    <mergeCell ref="K24:M24"/>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Q128"/>
  <sheetViews>
    <sheetView showGridLines="0" workbookViewId="0">
      <pane ySplit="6" topLeftCell="A7" activePane="bottomLeft" state="frozen"/>
      <selection pane="bottomLeft" activeCell="C13" sqref="C13"/>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645</v>
      </c>
      <c r="D3" s="265"/>
      <c r="E3" s="265"/>
      <c r="F3" s="265"/>
      <c r="G3" s="266"/>
      <c r="H3" s="259" t="s">
        <v>140</v>
      </c>
      <c r="I3" s="260"/>
      <c r="J3" s="90">
        <f>COUNT(A7:A100)</f>
        <v>49</v>
      </c>
      <c r="K3" s="78" t="s">
        <v>141</v>
      </c>
      <c r="L3" s="91">
        <v>38644</v>
      </c>
      <c r="M3" s="92" t="s">
        <v>142</v>
      </c>
      <c r="O3" s="75" t="s">
        <v>143</v>
      </c>
      <c r="P3" s="75" t="s">
        <v>144</v>
      </c>
    </row>
    <row r="4" spans="1:16" ht="12" customHeight="1">
      <c r="A4" s="267" t="s">
        <v>145</v>
      </c>
      <c r="B4" s="268"/>
      <c r="C4" s="267" t="s">
        <v>21</v>
      </c>
      <c r="D4" s="269"/>
      <c r="E4" s="269"/>
      <c r="F4" s="269"/>
      <c r="G4" s="268"/>
      <c r="H4" s="259" t="s">
        <v>146</v>
      </c>
      <c r="I4" s="260"/>
      <c r="J4" s="90">
        <f>SUM(G7:G100)</f>
        <v>210</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84" t="s">
        <v>163</v>
      </c>
      <c r="D7" s="13" t="s">
        <v>164</v>
      </c>
      <c r="E7" s="85"/>
      <c r="F7" s="86"/>
      <c r="G7" s="87">
        <f>IF(D7="DATE",4,IF(D7="CHAR",E7,IF(D7="SMALLINT",2,IF(D7="INTEGER",4,IF(D7="TIMESTAMP",10,IF(D7="TIME",3,0))))))</f>
        <v>4</v>
      </c>
      <c r="H7" s="83" t="s">
        <v>149</v>
      </c>
      <c r="I7" s="83" t="s">
        <v>149</v>
      </c>
      <c r="J7" s="93"/>
      <c r="K7" s="308"/>
      <c r="L7" s="278"/>
      <c r="M7" s="279"/>
      <c r="P7" s="75" t="s">
        <v>165</v>
      </c>
    </row>
    <row r="8" spans="1:16" ht="12" customHeight="1">
      <c r="A8" s="83">
        <f t="shared" ref="A8:A55" si="0">IF(B8=""," ",A7+1)</f>
        <v>2</v>
      </c>
      <c r="B8" s="11" t="s">
        <v>166</v>
      </c>
      <c r="C8" s="84" t="s">
        <v>167</v>
      </c>
      <c r="D8" s="13" t="s">
        <v>150</v>
      </c>
      <c r="E8" s="85">
        <v>11</v>
      </c>
      <c r="F8" s="86"/>
      <c r="G8" s="87">
        <f t="shared" ref="G8:G55" si="1">IF(D8="DATE",4,IF(D8="CHAR",E8,IF(D8="SMALLINT",2,IF(D8="INTEGER",4,IF(D8="TIMESTAMP",10,IF(D8="TIME",3,0))))))</f>
        <v>11</v>
      </c>
      <c r="H8" s="83" t="s">
        <v>149</v>
      </c>
      <c r="I8" s="83" t="s">
        <v>149</v>
      </c>
      <c r="J8" s="93"/>
      <c r="K8" s="21"/>
      <c r="L8" s="29"/>
      <c r="M8" s="30"/>
    </row>
    <row r="9" spans="1:16" ht="27" customHeight="1">
      <c r="A9" s="83">
        <f t="shared" si="0"/>
        <v>3</v>
      </c>
      <c r="B9" s="11" t="s">
        <v>169</v>
      </c>
      <c r="C9" s="19" t="s">
        <v>170</v>
      </c>
      <c r="D9" s="88" t="s">
        <v>150</v>
      </c>
      <c r="E9" s="85">
        <v>1</v>
      </c>
      <c r="F9" s="86"/>
      <c r="G9" s="87">
        <f t="shared" si="1"/>
        <v>1</v>
      </c>
      <c r="H9" s="83" t="s">
        <v>149</v>
      </c>
      <c r="I9" s="83"/>
      <c r="J9" s="93"/>
      <c r="K9" s="271" t="s">
        <v>171</v>
      </c>
      <c r="L9" s="272"/>
      <c r="M9" s="273"/>
    </row>
    <row r="10" spans="1:16" ht="12" customHeight="1">
      <c r="A10" s="83">
        <f t="shared" si="0"/>
        <v>4</v>
      </c>
      <c r="B10" s="11" t="s">
        <v>172</v>
      </c>
      <c r="C10" s="84" t="s">
        <v>173</v>
      </c>
      <c r="D10" s="88" t="s">
        <v>174</v>
      </c>
      <c r="E10" s="85"/>
      <c r="F10" s="86"/>
      <c r="G10" s="87">
        <f t="shared" si="1"/>
        <v>2</v>
      </c>
      <c r="H10" s="83" t="s">
        <v>149</v>
      </c>
      <c r="I10" s="83" t="s">
        <v>149</v>
      </c>
      <c r="J10" s="93"/>
      <c r="K10" s="277" t="s">
        <v>175</v>
      </c>
      <c r="L10" s="278"/>
      <c r="M10" s="279"/>
    </row>
    <row r="11" spans="1:16" ht="12" customHeight="1">
      <c r="A11" s="83">
        <f t="shared" si="0"/>
        <v>5</v>
      </c>
      <c r="B11" s="11" t="s">
        <v>646</v>
      </c>
      <c r="C11" s="84" t="s">
        <v>647</v>
      </c>
      <c r="D11" s="88" t="s">
        <v>150</v>
      </c>
      <c r="E11" s="85">
        <v>16</v>
      </c>
      <c r="F11" s="86"/>
      <c r="G11" s="87">
        <f t="shared" si="1"/>
        <v>16</v>
      </c>
      <c r="H11" s="83" t="s">
        <v>149</v>
      </c>
      <c r="I11" s="83" t="s">
        <v>149</v>
      </c>
      <c r="J11" s="93"/>
      <c r="K11" s="308" t="s">
        <v>648</v>
      </c>
      <c r="L11" s="278"/>
      <c r="M11" s="279"/>
    </row>
    <row r="12" spans="1:16" ht="12" customHeight="1">
      <c r="A12" s="83">
        <f t="shared" si="0"/>
        <v>6</v>
      </c>
      <c r="B12" s="21" t="s">
        <v>596</v>
      </c>
      <c r="C12" s="84" t="s">
        <v>597</v>
      </c>
      <c r="D12" s="88" t="s">
        <v>150</v>
      </c>
      <c r="E12" s="85">
        <v>7</v>
      </c>
      <c r="F12" s="86"/>
      <c r="G12" s="87">
        <f t="shared" si="1"/>
        <v>7</v>
      </c>
      <c r="H12" s="83" t="s">
        <v>149</v>
      </c>
      <c r="I12" s="83" t="s">
        <v>149</v>
      </c>
      <c r="J12" s="93"/>
      <c r="K12" s="21"/>
      <c r="L12" s="29"/>
      <c r="M12" s="30"/>
    </row>
    <row r="13" spans="1:16" ht="39.950000000000003" customHeight="1">
      <c r="A13" s="83">
        <f t="shared" si="0"/>
        <v>7</v>
      </c>
      <c r="B13" s="74" t="s">
        <v>410</v>
      </c>
      <c r="C13" s="84" t="s">
        <v>411</v>
      </c>
      <c r="D13" s="88" t="s">
        <v>150</v>
      </c>
      <c r="E13" s="85">
        <v>1</v>
      </c>
      <c r="F13" s="86"/>
      <c r="G13" s="87">
        <f t="shared" si="1"/>
        <v>1</v>
      </c>
      <c r="H13" s="83" t="s">
        <v>149</v>
      </c>
      <c r="I13" s="83"/>
      <c r="J13" s="93"/>
      <c r="K13" s="280" t="s">
        <v>412</v>
      </c>
      <c r="L13" s="291"/>
      <c r="M13" s="292"/>
    </row>
    <row r="14" spans="1:16" ht="87.75" customHeight="1">
      <c r="A14" s="83">
        <f t="shared" si="0"/>
        <v>8</v>
      </c>
      <c r="B14" s="21" t="s">
        <v>649</v>
      </c>
      <c r="C14" s="84" t="s">
        <v>650</v>
      </c>
      <c r="D14" s="88" t="s">
        <v>150</v>
      </c>
      <c r="E14" s="85">
        <v>1</v>
      </c>
      <c r="F14" s="86"/>
      <c r="G14" s="87">
        <f t="shared" si="1"/>
        <v>1</v>
      </c>
      <c r="H14" s="83" t="s">
        <v>149</v>
      </c>
      <c r="I14" s="83"/>
      <c r="J14" s="93"/>
      <c r="K14" s="271" t="s">
        <v>651</v>
      </c>
      <c r="L14" s="281"/>
      <c r="M14" s="282"/>
    </row>
    <row r="15" spans="1:16" ht="64.5" customHeight="1">
      <c r="A15" s="83">
        <f t="shared" si="0"/>
        <v>9</v>
      </c>
      <c r="B15" s="11" t="s">
        <v>652</v>
      </c>
      <c r="C15" s="21" t="s">
        <v>653</v>
      </c>
      <c r="D15" s="88" t="s">
        <v>150</v>
      </c>
      <c r="E15" s="85">
        <v>1</v>
      </c>
      <c r="F15" s="86"/>
      <c r="G15" s="87">
        <f t="shared" si="1"/>
        <v>1</v>
      </c>
      <c r="H15" s="83" t="s">
        <v>149</v>
      </c>
      <c r="I15" s="83"/>
      <c r="J15" s="93"/>
      <c r="K15" s="280" t="s">
        <v>654</v>
      </c>
      <c r="L15" s="275"/>
      <c r="M15" s="276"/>
    </row>
    <row r="16" spans="1:16" ht="12" customHeight="1">
      <c r="A16" s="83">
        <f t="shared" si="0"/>
        <v>10</v>
      </c>
      <c r="B16" s="11" t="s">
        <v>460</v>
      </c>
      <c r="C16" s="84" t="s">
        <v>461</v>
      </c>
      <c r="D16" s="88" t="s">
        <v>655</v>
      </c>
      <c r="E16" s="85"/>
      <c r="F16" s="86"/>
      <c r="G16" s="87">
        <f t="shared" si="1"/>
        <v>0</v>
      </c>
      <c r="H16" s="83" t="s">
        <v>149</v>
      </c>
      <c r="I16" s="83"/>
      <c r="J16" s="93"/>
      <c r="K16" s="274"/>
      <c r="L16" s="275"/>
      <c r="M16" s="276"/>
    </row>
    <row r="17" spans="1:16" ht="12" customHeight="1">
      <c r="A17" s="83">
        <f t="shared" si="0"/>
        <v>11</v>
      </c>
      <c r="B17" s="11" t="s">
        <v>656</v>
      </c>
      <c r="C17" s="84" t="s">
        <v>463</v>
      </c>
      <c r="D17" s="88" t="s">
        <v>150</v>
      </c>
      <c r="E17" s="85">
        <v>13</v>
      </c>
      <c r="F17" s="86"/>
      <c r="G17" s="87">
        <f t="shared" si="1"/>
        <v>13</v>
      </c>
      <c r="H17" s="83" t="s">
        <v>149</v>
      </c>
      <c r="I17" s="83"/>
      <c r="J17" s="93"/>
      <c r="K17" s="274" t="s">
        <v>657</v>
      </c>
      <c r="L17" s="275"/>
      <c r="M17" s="276"/>
    </row>
    <row r="18" spans="1:16" ht="27" customHeight="1">
      <c r="A18" s="83">
        <f t="shared" si="0"/>
        <v>12</v>
      </c>
      <c r="B18" s="11" t="s">
        <v>464</v>
      </c>
      <c r="C18" s="19" t="s">
        <v>465</v>
      </c>
      <c r="D18" s="88" t="s">
        <v>150</v>
      </c>
      <c r="E18" s="85">
        <v>1</v>
      </c>
      <c r="F18" s="86"/>
      <c r="G18" s="87">
        <f t="shared" si="1"/>
        <v>1</v>
      </c>
      <c r="H18" s="83" t="s">
        <v>149</v>
      </c>
      <c r="I18" s="83"/>
      <c r="J18" s="93"/>
      <c r="K18" s="271" t="s">
        <v>171</v>
      </c>
      <c r="L18" s="272"/>
      <c r="M18" s="273"/>
    </row>
    <row r="19" spans="1:16" ht="12" customHeight="1">
      <c r="A19" s="83">
        <f t="shared" si="0"/>
        <v>13</v>
      </c>
      <c r="B19" s="11" t="s">
        <v>658</v>
      </c>
      <c r="C19" s="84" t="s">
        <v>488</v>
      </c>
      <c r="D19" s="88" t="s">
        <v>150</v>
      </c>
      <c r="E19" s="85">
        <v>4</v>
      </c>
      <c r="F19" s="86"/>
      <c r="G19" s="87">
        <f t="shared" si="1"/>
        <v>4</v>
      </c>
      <c r="H19" s="83" t="s">
        <v>149</v>
      </c>
      <c r="I19" s="83"/>
      <c r="J19" s="93"/>
      <c r="K19" s="84" t="s">
        <v>489</v>
      </c>
      <c r="L19" s="94"/>
      <c r="M19" s="95"/>
    </row>
    <row r="20" spans="1:16" ht="12" customHeight="1">
      <c r="A20" s="83">
        <f t="shared" si="0"/>
        <v>14</v>
      </c>
      <c r="B20" s="11" t="s">
        <v>659</v>
      </c>
      <c r="C20" s="84" t="s">
        <v>660</v>
      </c>
      <c r="D20" s="88" t="s">
        <v>150</v>
      </c>
      <c r="E20" s="85">
        <v>4</v>
      </c>
      <c r="F20" s="86"/>
      <c r="G20" s="87">
        <f t="shared" si="1"/>
        <v>4</v>
      </c>
      <c r="H20" s="83" t="s">
        <v>149</v>
      </c>
      <c r="I20" s="83"/>
      <c r="J20" s="93"/>
      <c r="K20" s="274" t="s">
        <v>661</v>
      </c>
      <c r="L20" s="275"/>
      <c r="M20" s="276"/>
    </row>
    <row r="21" spans="1:16" ht="12" customHeight="1">
      <c r="A21" s="83">
        <f t="shared" si="0"/>
        <v>15</v>
      </c>
      <c r="B21" s="11" t="s">
        <v>662</v>
      </c>
      <c r="C21" s="84" t="s">
        <v>663</v>
      </c>
      <c r="D21" s="88" t="s">
        <v>150</v>
      </c>
      <c r="E21" s="85">
        <v>16</v>
      </c>
      <c r="F21" s="86"/>
      <c r="G21" s="87">
        <f t="shared" si="1"/>
        <v>16</v>
      </c>
      <c r="H21" s="83" t="s">
        <v>149</v>
      </c>
      <c r="I21" s="83"/>
      <c r="J21" s="93"/>
      <c r="K21" s="308" t="s">
        <v>648</v>
      </c>
      <c r="L21" s="278"/>
      <c r="M21" s="279"/>
    </row>
    <row r="22" spans="1:16" ht="12" customHeight="1">
      <c r="A22" s="83">
        <f t="shared" si="0"/>
        <v>16</v>
      </c>
      <c r="B22" s="11" t="s">
        <v>664</v>
      </c>
      <c r="C22" s="84" t="s">
        <v>665</v>
      </c>
      <c r="D22" s="88" t="s">
        <v>150</v>
      </c>
      <c r="E22" s="85">
        <v>7</v>
      </c>
      <c r="F22" s="86"/>
      <c r="G22" s="87">
        <f t="shared" si="1"/>
        <v>7</v>
      </c>
      <c r="H22" s="83" t="s">
        <v>149</v>
      </c>
      <c r="I22" s="83"/>
      <c r="J22" s="93"/>
      <c r="K22" s="271" t="s">
        <v>666</v>
      </c>
      <c r="L22" s="272"/>
      <c r="M22" s="273"/>
      <c r="P22" s="75" t="s">
        <v>195</v>
      </c>
    </row>
    <row r="23" spans="1:16" ht="12" customHeight="1">
      <c r="A23" s="83">
        <f t="shared" si="0"/>
        <v>17</v>
      </c>
      <c r="B23" s="11" t="s">
        <v>667</v>
      </c>
      <c r="C23" s="84" t="s">
        <v>668</v>
      </c>
      <c r="D23" s="88" t="s">
        <v>150</v>
      </c>
      <c r="E23" s="85">
        <v>7</v>
      </c>
      <c r="F23" s="86"/>
      <c r="G23" s="87">
        <f t="shared" si="1"/>
        <v>7</v>
      </c>
      <c r="H23" s="83" t="s">
        <v>149</v>
      </c>
      <c r="I23" s="83"/>
      <c r="J23" s="93"/>
      <c r="K23" s="84" t="s">
        <v>669</v>
      </c>
      <c r="L23" s="94"/>
      <c r="M23" s="95"/>
    </row>
    <row r="24" spans="1:16" ht="39" customHeight="1">
      <c r="A24" s="83">
        <f t="shared" si="0"/>
        <v>18</v>
      </c>
      <c r="B24" s="11" t="s">
        <v>670</v>
      </c>
      <c r="C24" s="84" t="s">
        <v>671</v>
      </c>
      <c r="D24" s="88" t="s">
        <v>150</v>
      </c>
      <c r="E24" s="85">
        <v>7</v>
      </c>
      <c r="F24" s="86"/>
      <c r="G24" s="87">
        <f t="shared" si="1"/>
        <v>7</v>
      </c>
      <c r="H24" s="83" t="s">
        <v>149</v>
      </c>
      <c r="I24" s="83"/>
      <c r="J24" s="93"/>
      <c r="K24" s="280" t="s">
        <v>672</v>
      </c>
      <c r="L24" s="281"/>
      <c r="M24" s="282"/>
    </row>
    <row r="25" spans="1:16" ht="40.5" customHeight="1">
      <c r="A25" s="83">
        <f t="shared" si="0"/>
        <v>19</v>
      </c>
      <c r="B25" s="11" t="s">
        <v>673</v>
      </c>
      <c r="C25" s="84" t="s">
        <v>674</v>
      </c>
      <c r="D25" s="88" t="s">
        <v>150</v>
      </c>
      <c r="E25" s="85">
        <v>1</v>
      </c>
      <c r="F25" s="86"/>
      <c r="G25" s="87">
        <f t="shared" si="1"/>
        <v>1</v>
      </c>
      <c r="H25" s="83" t="s">
        <v>149</v>
      </c>
      <c r="I25" s="83"/>
      <c r="J25" s="93"/>
      <c r="K25" s="280" t="s">
        <v>675</v>
      </c>
      <c r="L25" s="281"/>
      <c r="M25" s="282"/>
    </row>
    <row r="26" spans="1:16" ht="26.25" customHeight="1">
      <c r="A26" s="83">
        <f t="shared" si="0"/>
        <v>20</v>
      </c>
      <c r="B26" s="11" t="s">
        <v>676</v>
      </c>
      <c r="C26" s="84" t="s">
        <v>677</v>
      </c>
      <c r="D26" s="88" t="s">
        <v>150</v>
      </c>
      <c r="E26" s="85">
        <v>2</v>
      </c>
      <c r="F26" s="86"/>
      <c r="G26" s="87">
        <f t="shared" si="1"/>
        <v>2</v>
      </c>
      <c r="H26" s="83" t="s">
        <v>149</v>
      </c>
      <c r="I26" s="83"/>
      <c r="J26" s="93"/>
      <c r="K26" s="280" t="s">
        <v>678</v>
      </c>
      <c r="L26" s="291"/>
      <c r="M26" s="292"/>
    </row>
    <row r="27" spans="1:16" ht="39" customHeight="1">
      <c r="A27" s="83">
        <f t="shared" si="0"/>
        <v>21</v>
      </c>
      <c r="B27" s="11" t="s">
        <v>679</v>
      </c>
      <c r="C27" s="84" t="s">
        <v>680</v>
      </c>
      <c r="D27" s="88" t="s">
        <v>150</v>
      </c>
      <c r="E27" s="85">
        <v>1</v>
      </c>
      <c r="F27" s="86"/>
      <c r="G27" s="87">
        <f t="shared" si="1"/>
        <v>1</v>
      </c>
      <c r="H27" s="83" t="s">
        <v>149</v>
      </c>
      <c r="I27" s="83"/>
      <c r="J27" s="93"/>
      <c r="K27" s="271" t="s">
        <v>681</v>
      </c>
      <c r="L27" s="278"/>
      <c r="M27" s="279"/>
    </row>
    <row r="28" spans="1:16" ht="87" customHeight="1">
      <c r="A28" s="83">
        <f t="shared" si="0"/>
        <v>22</v>
      </c>
      <c r="B28" s="20" t="s">
        <v>682</v>
      </c>
      <c r="C28" s="22" t="s">
        <v>683</v>
      </c>
      <c r="D28" s="88" t="s">
        <v>150</v>
      </c>
      <c r="E28" s="85">
        <v>1</v>
      </c>
      <c r="F28" s="86"/>
      <c r="G28" s="87">
        <f t="shared" si="1"/>
        <v>1</v>
      </c>
      <c r="H28" s="83" t="s">
        <v>149</v>
      </c>
      <c r="I28" s="83"/>
      <c r="J28" s="93"/>
      <c r="K28" s="271" t="s">
        <v>684</v>
      </c>
      <c r="L28" s="272"/>
      <c r="M28" s="273"/>
    </row>
    <row r="29" spans="1:16" ht="39" customHeight="1">
      <c r="A29" s="83">
        <f t="shared" si="0"/>
        <v>23</v>
      </c>
      <c r="B29" s="20" t="s">
        <v>685</v>
      </c>
      <c r="C29" s="84" t="s">
        <v>686</v>
      </c>
      <c r="D29" s="88" t="s">
        <v>150</v>
      </c>
      <c r="E29" s="85">
        <v>2</v>
      </c>
      <c r="F29" s="86"/>
      <c r="G29" s="87">
        <f t="shared" si="1"/>
        <v>2</v>
      </c>
      <c r="H29" s="83" t="s">
        <v>149</v>
      </c>
      <c r="I29" s="83"/>
      <c r="J29" s="93"/>
      <c r="K29" s="271" t="s">
        <v>687</v>
      </c>
      <c r="L29" s="278"/>
      <c r="M29" s="279"/>
    </row>
    <row r="30" spans="1:16" ht="12" customHeight="1">
      <c r="A30" s="83">
        <f t="shared" si="0"/>
        <v>24</v>
      </c>
      <c r="B30" s="74" t="s">
        <v>688</v>
      </c>
      <c r="C30" s="84" t="s">
        <v>689</v>
      </c>
      <c r="D30" s="88" t="s">
        <v>150</v>
      </c>
      <c r="E30" s="85">
        <v>1</v>
      </c>
      <c r="F30" s="86"/>
      <c r="G30" s="87">
        <f t="shared" si="1"/>
        <v>1</v>
      </c>
      <c r="H30" s="83" t="s">
        <v>149</v>
      </c>
      <c r="I30" s="83"/>
      <c r="J30" s="93"/>
      <c r="K30" s="280" t="s">
        <v>690</v>
      </c>
      <c r="L30" s="275"/>
      <c r="M30" s="276"/>
    </row>
    <row r="31" spans="1:16" ht="12" customHeight="1">
      <c r="A31" s="83">
        <f t="shared" si="0"/>
        <v>25</v>
      </c>
      <c r="B31" s="11" t="s">
        <v>691</v>
      </c>
      <c r="C31" s="84" t="s">
        <v>692</v>
      </c>
      <c r="D31" s="88" t="s">
        <v>150</v>
      </c>
      <c r="E31" s="85">
        <v>1</v>
      </c>
      <c r="F31" s="86"/>
      <c r="G31" s="87">
        <f t="shared" si="1"/>
        <v>1</v>
      </c>
      <c r="H31" s="83" t="s">
        <v>149</v>
      </c>
      <c r="I31" s="83"/>
      <c r="J31" s="93"/>
      <c r="K31" s="84" t="s">
        <v>693</v>
      </c>
      <c r="L31" s="94"/>
      <c r="M31" s="95"/>
    </row>
    <row r="32" spans="1:16" ht="63.75" customHeight="1">
      <c r="A32" s="83">
        <f t="shared" si="0"/>
        <v>26</v>
      </c>
      <c r="B32" s="20" t="s">
        <v>694</v>
      </c>
      <c r="C32" s="84" t="s">
        <v>695</v>
      </c>
      <c r="D32" s="88" t="s">
        <v>150</v>
      </c>
      <c r="E32" s="85">
        <v>1</v>
      </c>
      <c r="F32" s="86"/>
      <c r="G32" s="87">
        <f t="shared" si="1"/>
        <v>1</v>
      </c>
      <c r="H32" s="83" t="s">
        <v>149</v>
      </c>
      <c r="I32" s="83"/>
      <c r="J32" s="93"/>
      <c r="K32" s="280" t="s">
        <v>696</v>
      </c>
      <c r="L32" s="281"/>
      <c r="M32" s="282"/>
    </row>
    <row r="33" spans="1:16" ht="27" customHeight="1">
      <c r="A33" s="83">
        <f t="shared" si="0"/>
        <v>27</v>
      </c>
      <c r="B33" s="11" t="s">
        <v>697</v>
      </c>
      <c r="C33" s="84" t="s">
        <v>698</v>
      </c>
      <c r="D33" s="88" t="s">
        <v>150</v>
      </c>
      <c r="E33" s="85">
        <v>1</v>
      </c>
      <c r="F33" s="86"/>
      <c r="G33" s="87">
        <f t="shared" si="1"/>
        <v>1</v>
      </c>
      <c r="H33" s="83" t="s">
        <v>149</v>
      </c>
      <c r="I33" s="83"/>
      <c r="J33" s="93"/>
      <c r="K33" s="280" t="s">
        <v>699</v>
      </c>
      <c r="L33" s="291"/>
      <c r="M33" s="292"/>
    </row>
    <row r="34" spans="1:16" ht="39" customHeight="1">
      <c r="A34" s="83">
        <f t="shared" si="0"/>
        <v>28</v>
      </c>
      <c r="B34" s="11" t="s">
        <v>700</v>
      </c>
      <c r="C34" s="84" t="s">
        <v>701</v>
      </c>
      <c r="D34" s="88" t="s">
        <v>150</v>
      </c>
      <c r="E34" s="85">
        <v>3</v>
      </c>
      <c r="F34" s="86"/>
      <c r="G34" s="87">
        <f t="shared" si="1"/>
        <v>3</v>
      </c>
      <c r="H34" s="83" t="s">
        <v>149</v>
      </c>
      <c r="I34" s="83"/>
      <c r="J34" s="93"/>
      <c r="K34" s="280" t="s">
        <v>702</v>
      </c>
      <c r="L34" s="275"/>
      <c r="M34" s="276"/>
    </row>
    <row r="35" spans="1:16" ht="50.1" customHeight="1">
      <c r="A35" s="83">
        <f t="shared" si="0"/>
        <v>29</v>
      </c>
      <c r="B35" s="11" t="s">
        <v>703</v>
      </c>
      <c r="C35" s="84" t="s">
        <v>704</v>
      </c>
      <c r="D35" s="88" t="s">
        <v>150</v>
      </c>
      <c r="E35" s="85">
        <v>1</v>
      </c>
      <c r="F35" s="86"/>
      <c r="G35" s="87">
        <f t="shared" si="1"/>
        <v>1</v>
      </c>
      <c r="H35" s="83" t="s">
        <v>149</v>
      </c>
      <c r="I35" s="83"/>
      <c r="J35" s="93"/>
      <c r="K35" s="280" t="s">
        <v>705</v>
      </c>
      <c r="L35" s="275"/>
      <c r="M35" s="276"/>
    </row>
    <row r="36" spans="1:16" ht="27.75" customHeight="1">
      <c r="A36" s="83">
        <f t="shared" si="0"/>
        <v>30</v>
      </c>
      <c r="B36" s="11" t="s">
        <v>706</v>
      </c>
      <c r="C36" s="84" t="s">
        <v>707</v>
      </c>
      <c r="D36" s="88" t="s">
        <v>150</v>
      </c>
      <c r="E36" s="85">
        <v>3</v>
      </c>
      <c r="F36" s="86"/>
      <c r="G36" s="87">
        <f t="shared" si="1"/>
        <v>3</v>
      </c>
      <c r="H36" s="83" t="s">
        <v>149</v>
      </c>
      <c r="I36" s="83"/>
      <c r="J36" s="93"/>
      <c r="K36" s="271" t="s">
        <v>708</v>
      </c>
      <c r="L36" s="300"/>
      <c r="M36" s="301"/>
    </row>
    <row r="37" spans="1:16" ht="63.75" customHeight="1">
      <c r="A37" s="83">
        <f t="shared" si="0"/>
        <v>31</v>
      </c>
      <c r="B37" s="11" t="s">
        <v>709</v>
      </c>
      <c r="C37" s="84" t="s">
        <v>710</v>
      </c>
      <c r="D37" s="88" t="s">
        <v>150</v>
      </c>
      <c r="E37" s="85">
        <v>1</v>
      </c>
      <c r="F37" s="86"/>
      <c r="G37" s="87">
        <f t="shared" si="1"/>
        <v>1</v>
      </c>
      <c r="H37" s="83" t="s">
        <v>149</v>
      </c>
      <c r="I37" s="83"/>
      <c r="J37" s="93"/>
      <c r="K37" s="280" t="s">
        <v>711</v>
      </c>
      <c r="L37" s="300"/>
      <c r="M37" s="301"/>
    </row>
    <row r="38" spans="1:16" ht="25.5" customHeight="1">
      <c r="A38" s="83">
        <f t="shared" si="0"/>
        <v>32</v>
      </c>
      <c r="B38" s="11" t="s">
        <v>712</v>
      </c>
      <c r="C38" s="84" t="s">
        <v>713</v>
      </c>
      <c r="D38" s="88" t="s">
        <v>150</v>
      </c>
      <c r="E38" s="85">
        <v>24</v>
      </c>
      <c r="F38" s="86"/>
      <c r="G38" s="87">
        <f t="shared" si="1"/>
        <v>24</v>
      </c>
      <c r="H38" s="83" t="s">
        <v>149</v>
      </c>
      <c r="I38" s="83"/>
      <c r="J38" s="93"/>
      <c r="K38" s="280" t="s">
        <v>714</v>
      </c>
      <c r="L38" s="281"/>
      <c r="M38" s="282"/>
    </row>
    <row r="39" spans="1:16" ht="87" customHeight="1">
      <c r="A39" s="83">
        <f t="shared" si="0"/>
        <v>33</v>
      </c>
      <c r="B39" s="20" t="s">
        <v>715</v>
      </c>
      <c r="C39" s="84" t="s">
        <v>716</v>
      </c>
      <c r="D39" s="88" t="s">
        <v>150</v>
      </c>
      <c r="E39" s="85">
        <v>2</v>
      </c>
      <c r="F39" s="86"/>
      <c r="G39" s="87">
        <f t="shared" si="1"/>
        <v>2</v>
      </c>
      <c r="H39" s="83" t="s">
        <v>149</v>
      </c>
      <c r="I39" s="83"/>
      <c r="J39" s="93"/>
      <c r="K39" s="280" t="s">
        <v>717</v>
      </c>
      <c r="L39" s="275"/>
      <c r="M39" s="276"/>
    </row>
    <row r="40" spans="1:16" ht="50.25" customHeight="1">
      <c r="A40" s="83">
        <f t="shared" si="0"/>
        <v>34</v>
      </c>
      <c r="B40" s="11" t="s">
        <v>718</v>
      </c>
      <c r="C40" s="84" t="s">
        <v>719</v>
      </c>
      <c r="D40" s="88" t="s">
        <v>150</v>
      </c>
      <c r="E40" s="85">
        <v>2</v>
      </c>
      <c r="F40" s="86"/>
      <c r="G40" s="87">
        <f t="shared" si="1"/>
        <v>2</v>
      </c>
      <c r="H40" s="83" t="s">
        <v>149</v>
      </c>
      <c r="I40" s="83"/>
      <c r="J40" s="93"/>
      <c r="K40" s="280" t="s">
        <v>720</v>
      </c>
      <c r="L40" s="275"/>
      <c r="M40" s="276"/>
      <c r="P40" s="75" t="s">
        <v>174</v>
      </c>
    </row>
    <row r="41" spans="1:16" ht="39" customHeight="1">
      <c r="A41" s="83">
        <f t="shared" si="0"/>
        <v>35</v>
      </c>
      <c r="B41" s="11" t="s">
        <v>721</v>
      </c>
      <c r="C41" s="84" t="s">
        <v>722</v>
      </c>
      <c r="D41" s="88" t="s">
        <v>150</v>
      </c>
      <c r="E41" s="85">
        <v>1</v>
      </c>
      <c r="F41" s="86"/>
      <c r="G41" s="87">
        <f t="shared" si="1"/>
        <v>1</v>
      </c>
      <c r="H41" s="83" t="s">
        <v>149</v>
      </c>
      <c r="I41" s="83"/>
      <c r="J41" s="93"/>
      <c r="K41" s="280" t="s">
        <v>723</v>
      </c>
      <c r="L41" s="281"/>
      <c r="M41" s="282"/>
    </row>
    <row r="42" spans="1:16" ht="39" customHeight="1">
      <c r="A42" s="83">
        <f t="shared" si="0"/>
        <v>36</v>
      </c>
      <c r="B42" s="11" t="s">
        <v>724</v>
      </c>
      <c r="C42" s="84" t="s">
        <v>725</v>
      </c>
      <c r="D42" s="88" t="s">
        <v>150</v>
      </c>
      <c r="E42" s="85">
        <v>1</v>
      </c>
      <c r="F42" s="86"/>
      <c r="G42" s="87">
        <f t="shared" si="1"/>
        <v>1</v>
      </c>
      <c r="H42" s="83" t="s">
        <v>149</v>
      </c>
      <c r="I42" s="83"/>
      <c r="J42" s="93"/>
      <c r="K42" s="280" t="s">
        <v>726</v>
      </c>
      <c r="L42" s="281"/>
      <c r="M42" s="282"/>
    </row>
    <row r="43" spans="1:16" ht="12" customHeight="1">
      <c r="A43" s="83">
        <f t="shared" si="0"/>
        <v>37</v>
      </c>
      <c r="B43" s="11" t="s">
        <v>727</v>
      </c>
      <c r="C43" s="84" t="s">
        <v>728</v>
      </c>
      <c r="D43" s="88" t="s">
        <v>164</v>
      </c>
      <c r="E43" s="85"/>
      <c r="F43" s="86"/>
      <c r="G43" s="87">
        <f t="shared" si="1"/>
        <v>4</v>
      </c>
      <c r="H43" s="83" t="s">
        <v>149</v>
      </c>
      <c r="I43" s="83"/>
      <c r="J43" s="93"/>
      <c r="K43" s="84"/>
      <c r="L43" s="94"/>
      <c r="M43" s="95"/>
    </row>
    <row r="44" spans="1:16" ht="123.75" customHeight="1">
      <c r="A44" s="83">
        <f t="shared" si="0"/>
        <v>38</v>
      </c>
      <c r="B44" s="11" t="s">
        <v>729</v>
      </c>
      <c r="C44" s="84" t="s">
        <v>730</v>
      </c>
      <c r="D44" s="88" t="s">
        <v>164</v>
      </c>
      <c r="E44" s="85"/>
      <c r="F44" s="86"/>
      <c r="G44" s="87">
        <f t="shared" si="1"/>
        <v>4</v>
      </c>
      <c r="H44" s="83" t="s">
        <v>149</v>
      </c>
      <c r="I44" s="83"/>
      <c r="J44" s="93"/>
      <c r="K44" s="280" t="s">
        <v>731</v>
      </c>
      <c r="L44" s="281"/>
      <c r="M44" s="282"/>
    </row>
    <row r="45" spans="1:16" ht="12" customHeight="1">
      <c r="A45" s="83">
        <f t="shared" si="0"/>
        <v>39</v>
      </c>
      <c r="B45" s="11" t="s">
        <v>732</v>
      </c>
      <c r="C45" s="84" t="s">
        <v>733</v>
      </c>
      <c r="D45" s="88" t="s">
        <v>195</v>
      </c>
      <c r="E45" s="85"/>
      <c r="F45" s="86"/>
      <c r="G45" s="87">
        <f t="shared" si="1"/>
        <v>3</v>
      </c>
      <c r="H45" s="83" t="s">
        <v>149</v>
      </c>
      <c r="I45" s="83"/>
      <c r="J45" s="93"/>
      <c r="K45" s="84"/>
      <c r="L45" s="94"/>
      <c r="M45" s="95"/>
    </row>
    <row r="46" spans="1:16" ht="86.25" customHeight="1">
      <c r="A46" s="83">
        <f t="shared" si="0"/>
        <v>40</v>
      </c>
      <c r="B46" s="11" t="s">
        <v>734</v>
      </c>
      <c r="C46" s="84" t="s">
        <v>735</v>
      </c>
      <c r="D46" s="88" t="s">
        <v>150</v>
      </c>
      <c r="E46" s="85">
        <v>1</v>
      </c>
      <c r="F46" s="86"/>
      <c r="G46" s="87">
        <f t="shared" si="1"/>
        <v>1</v>
      </c>
      <c r="H46" s="83" t="s">
        <v>149</v>
      </c>
      <c r="I46" s="83"/>
      <c r="J46" s="93"/>
      <c r="K46" s="280" t="s">
        <v>736</v>
      </c>
      <c r="L46" s="275"/>
      <c r="M46" s="276"/>
    </row>
    <row r="47" spans="1:16" ht="39.75" customHeight="1">
      <c r="A47" s="83">
        <f t="shared" si="0"/>
        <v>41</v>
      </c>
      <c r="B47" s="11" t="s">
        <v>337</v>
      </c>
      <c r="C47" s="84" t="s">
        <v>338</v>
      </c>
      <c r="D47" s="88" t="s">
        <v>150</v>
      </c>
      <c r="E47" s="85">
        <v>1</v>
      </c>
      <c r="F47" s="86"/>
      <c r="G47" s="87">
        <f t="shared" si="1"/>
        <v>1</v>
      </c>
      <c r="H47" s="83" t="s">
        <v>149</v>
      </c>
      <c r="I47" s="83"/>
      <c r="J47" s="93"/>
      <c r="K47" s="311" t="s">
        <v>737</v>
      </c>
      <c r="L47" s="312"/>
      <c r="M47" s="312"/>
    </row>
    <row r="48" spans="1:16" ht="27" customHeight="1">
      <c r="A48" s="83">
        <f t="shared" si="0"/>
        <v>42</v>
      </c>
      <c r="B48" s="11" t="s">
        <v>738</v>
      </c>
      <c r="C48" s="84" t="s">
        <v>739</v>
      </c>
      <c r="D48" s="88" t="s">
        <v>174</v>
      </c>
      <c r="E48" s="85"/>
      <c r="F48" s="86"/>
      <c r="G48" s="87">
        <f t="shared" si="1"/>
        <v>2</v>
      </c>
      <c r="H48" s="83" t="s">
        <v>149</v>
      </c>
      <c r="I48" s="83"/>
      <c r="J48" s="93"/>
      <c r="K48" s="280" t="s">
        <v>740</v>
      </c>
      <c r="L48" s="281"/>
      <c r="M48" s="282"/>
    </row>
    <row r="49" spans="1:13" ht="12" customHeight="1">
      <c r="A49" s="83">
        <f t="shared" si="0"/>
        <v>43</v>
      </c>
      <c r="B49" s="74" t="s">
        <v>741</v>
      </c>
      <c r="C49" s="84" t="s">
        <v>742</v>
      </c>
      <c r="D49" s="88" t="s">
        <v>150</v>
      </c>
      <c r="E49" s="85">
        <v>4</v>
      </c>
      <c r="F49" s="86"/>
      <c r="G49" s="87">
        <f t="shared" si="1"/>
        <v>4</v>
      </c>
      <c r="H49" s="83" t="s">
        <v>149</v>
      </c>
      <c r="I49" s="83"/>
      <c r="J49" s="93"/>
      <c r="K49" s="280" t="s">
        <v>743</v>
      </c>
      <c r="L49" s="281"/>
      <c r="M49" s="282"/>
    </row>
    <row r="50" spans="1:13" ht="42" customHeight="1">
      <c r="A50" s="83">
        <f t="shared" si="0"/>
        <v>44</v>
      </c>
      <c r="B50" s="11" t="s">
        <v>744</v>
      </c>
      <c r="C50" s="110" t="s">
        <v>745</v>
      </c>
      <c r="D50" s="88" t="s">
        <v>174</v>
      </c>
      <c r="E50" s="85"/>
      <c r="F50" s="86"/>
      <c r="G50" s="87">
        <f t="shared" si="1"/>
        <v>2</v>
      </c>
      <c r="H50" s="83" t="s">
        <v>149</v>
      </c>
      <c r="I50" s="83"/>
      <c r="J50" s="93"/>
      <c r="K50" s="280" t="s">
        <v>746</v>
      </c>
      <c r="L50" s="281"/>
      <c r="M50" s="282"/>
    </row>
    <row r="51" spans="1:13" ht="74.25" customHeight="1">
      <c r="A51" s="83">
        <f t="shared" si="0"/>
        <v>45</v>
      </c>
      <c r="B51" s="20" t="s">
        <v>747</v>
      </c>
      <c r="C51" s="22" t="s">
        <v>748</v>
      </c>
      <c r="D51" s="30" t="s">
        <v>150</v>
      </c>
      <c r="E51" s="85">
        <v>1</v>
      </c>
      <c r="F51" s="86"/>
      <c r="G51" s="87">
        <f t="shared" si="1"/>
        <v>1</v>
      </c>
      <c r="H51" s="83" t="s">
        <v>149</v>
      </c>
      <c r="I51" s="83"/>
      <c r="J51" s="93"/>
      <c r="K51" s="280" t="s">
        <v>749</v>
      </c>
      <c r="L51" s="281"/>
      <c r="M51" s="282"/>
    </row>
    <row r="52" spans="1:13" ht="52.5" customHeight="1">
      <c r="A52" s="83">
        <f t="shared" si="0"/>
        <v>46</v>
      </c>
      <c r="B52" s="11" t="s">
        <v>750</v>
      </c>
      <c r="C52" s="21" t="s">
        <v>751</v>
      </c>
      <c r="D52" s="88" t="s">
        <v>150</v>
      </c>
      <c r="E52" s="85">
        <v>15</v>
      </c>
      <c r="F52" s="86"/>
      <c r="G52" s="87">
        <f t="shared" si="1"/>
        <v>15</v>
      </c>
      <c r="H52" s="83" t="s">
        <v>149</v>
      </c>
      <c r="I52" s="83"/>
      <c r="J52" s="93"/>
      <c r="K52" s="280" t="s">
        <v>752</v>
      </c>
      <c r="L52" s="275"/>
      <c r="M52" s="276"/>
    </row>
    <row r="53" spans="1:13" ht="12" customHeight="1">
      <c r="A53" s="213">
        <f t="shared" si="0"/>
        <v>47</v>
      </c>
      <c r="B53" s="220" t="s">
        <v>753</v>
      </c>
      <c r="C53" s="225" t="s">
        <v>754</v>
      </c>
      <c r="D53" s="216" t="s">
        <v>150</v>
      </c>
      <c r="E53" s="217">
        <v>1</v>
      </c>
      <c r="F53" s="218"/>
      <c r="G53" s="219">
        <f t="shared" si="1"/>
        <v>1</v>
      </c>
      <c r="H53" s="213" t="s">
        <v>149</v>
      </c>
      <c r="I53" s="213"/>
      <c r="J53" s="222"/>
      <c r="K53" s="314" t="s">
        <v>755</v>
      </c>
      <c r="L53" s="315"/>
      <c r="M53" s="316"/>
    </row>
    <row r="54" spans="1:13" ht="12" customHeight="1">
      <c r="A54" s="83">
        <f t="shared" si="0"/>
        <v>48</v>
      </c>
      <c r="B54" s="74" t="s">
        <v>232</v>
      </c>
      <c r="C54" s="84" t="s">
        <v>233</v>
      </c>
      <c r="D54" s="88" t="s">
        <v>234</v>
      </c>
      <c r="E54" s="85"/>
      <c r="F54" s="86"/>
      <c r="G54" s="87">
        <f t="shared" si="1"/>
        <v>10</v>
      </c>
      <c r="H54" s="83" t="s">
        <v>149</v>
      </c>
      <c r="I54" s="83"/>
      <c r="J54" s="93"/>
      <c r="K54" s="84"/>
      <c r="L54" s="94"/>
      <c r="M54" s="95"/>
    </row>
    <row r="55" spans="1:13" ht="12" customHeight="1">
      <c r="A55" s="83">
        <f t="shared" si="0"/>
        <v>49</v>
      </c>
      <c r="B55" s="74" t="s">
        <v>447</v>
      </c>
      <c r="C55" s="84" t="s">
        <v>448</v>
      </c>
      <c r="D55" s="88" t="s">
        <v>234</v>
      </c>
      <c r="E55" s="85"/>
      <c r="F55" s="86"/>
      <c r="G55" s="87">
        <f t="shared" si="1"/>
        <v>10</v>
      </c>
      <c r="H55" s="83" t="s">
        <v>149</v>
      </c>
      <c r="I55" s="83"/>
      <c r="J55" s="93"/>
      <c r="K55" s="274" t="s">
        <v>449</v>
      </c>
      <c r="L55" s="275"/>
      <c r="M55" s="276"/>
    </row>
    <row r="56" spans="1:13" ht="12" customHeight="1">
      <c r="A56" s="83" t="str">
        <f t="shared" ref="A56:A65" si="2">IF(B56=""," ",A55+1)</f>
        <v xml:space="preserve"> </v>
      </c>
      <c r="B56" s="74"/>
      <c r="C56" s="84"/>
      <c r="D56" s="88"/>
      <c r="E56" s="85"/>
      <c r="F56" s="86"/>
      <c r="G56" s="87"/>
      <c r="H56" s="83"/>
      <c r="I56" s="83"/>
      <c r="J56" s="93"/>
      <c r="K56" s="274"/>
      <c r="L56" s="275"/>
      <c r="M56" s="276"/>
    </row>
    <row r="57" spans="1:13" ht="12" customHeight="1">
      <c r="A57" s="83" t="str">
        <f t="shared" si="2"/>
        <v xml:space="preserve"> </v>
      </c>
      <c r="B57" s="74"/>
      <c r="C57" s="84"/>
      <c r="D57" s="88"/>
      <c r="E57" s="85"/>
      <c r="F57" s="86"/>
      <c r="G57" s="87"/>
      <c r="H57" s="83"/>
      <c r="I57" s="83"/>
      <c r="J57" s="93"/>
      <c r="K57" s="274"/>
      <c r="L57" s="275"/>
      <c r="M57" s="276"/>
    </row>
    <row r="58" spans="1:13" ht="12" customHeight="1">
      <c r="A58" s="83" t="str">
        <f t="shared" si="2"/>
        <v xml:space="preserve"> </v>
      </c>
      <c r="B58" s="74"/>
      <c r="C58" s="84"/>
      <c r="D58" s="88"/>
      <c r="E58" s="85"/>
      <c r="F58" s="86"/>
      <c r="G58" s="87"/>
      <c r="H58" s="83"/>
      <c r="I58" s="83"/>
      <c r="J58" s="93"/>
      <c r="K58" s="274"/>
      <c r="L58" s="275"/>
      <c r="M58" s="276"/>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ref="A66:A73" si="3">IF(B66=""," ",A65+1)</f>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ref="A74:A98" si="4">IF(B74=""," ",A73+1)</f>
        <v xml:space="preserve"> </v>
      </c>
      <c r="B74" s="74"/>
      <c r="C74" s="84"/>
      <c r="D74" s="88"/>
      <c r="E74" s="85"/>
      <c r="F74" s="86"/>
      <c r="G74" s="87"/>
      <c r="H74" s="83"/>
      <c r="I74" s="83"/>
      <c r="J74" s="93"/>
      <c r="K74" s="84"/>
      <c r="L74" s="94"/>
      <c r="M74" s="95"/>
    </row>
    <row r="75" spans="1:13" ht="12" customHeight="1">
      <c r="A75" s="83" t="str">
        <f t="shared" si="4"/>
        <v xml:space="preserve"> </v>
      </c>
      <c r="B75" s="74"/>
      <c r="C75" s="84"/>
      <c r="D75" s="88"/>
      <c r="E75" s="85"/>
      <c r="F75" s="86"/>
      <c r="G75" s="87"/>
      <c r="H75" s="83"/>
      <c r="I75" s="83"/>
      <c r="J75" s="93"/>
      <c r="K75" s="84"/>
      <c r="L75" s="94"/>
      <c r="M75" s="95"/>
    </row>
    <row r="76" spans="1:13" ht="12" customHeight="1">
      <c r="A76" s="83" t="str">
        <f t="shared" si="4"/>
        <v xml:space="preserve"> </v>
      </c>
      <c r="B76" s="74"/>
      <c r="C76" s="84"/>
      <c r="D76" s="88"/>
      <c r="E76" s="85"/>
      <c r="F76" s="86"/>
      <c r="G76" s="87"/>
      <c r="H76" s="83"/>
      <c r="I76" s="83"/>
      <c r="J76" s="93"/>
      <c r="K76" s="84"/>
      <c r="L76" s="94"/>
      <c r="M76" s="95"/>
    </row>
    <row r="77" spans="1:13" ht="12" customHeight="1">
      <c r="A77" s="83" t="str">
        <f t="shared" si="4"/>
        <v xml:space="preserve"> </v>
      </c>
      <c r="B77" s="74"/>
      <c r="C77" s="84"/>
      <c r="D77" s="88"/>
      <c r="E77" s="85"/>
      <c r="F77" s="86"/>
      <c r="G77" s="87"/>
      <c r="H77" s="83"/>
      <c r="I77" s="83"/>
      <c r="J77" s="93"/>
      <c r="K77" s="84"/>
      <c r="L77" s="94"/>
      <c r="M77" s="95"/>
    </row>
    <row r="78" spans="1:13" ht="12" customHeight="1">
      <c r="A78" s="83" t="str">
        <f t="shared" si="4"/>
        <v xml:space="preserve"> </v>
      </c>
      <c r="B78" s="74"/>
      <c r="C78" s="84"/>
      <c r="D78" s="88"/>
      <c r="E78" s="85"/>
      <c r="F78" s="86"/>
      <c r="G78" s="87"/>
      <c r="H78" s="83"/>
      <c r="I78" s="83"/>
      <c r="J78" s="93"/>
      <c r="K78" s="84"/>
      <c r="L78" s="94"/>
      <c r="M78" s="95"/>
    </row>
    <row r="79" spans="1:13" ht="12" customHeight="1">
      <c r="A79" s="83" t="str">
        <f t="shared" si="4"/>
        <v xml:space="preserve"> </v>
      </c>
      <c r="B79" s="74"/>
      <c r="C79" s="84"/>
      <c r="D79" s="88"/>
      <c r="E79" s="85"/>
      <c r="F79" s="86"/>
      <c r="G79" s="87"/>
      <c r="H79" s="83"/>
      <c r="I79" s="83"/>
      <c r="J79" s="93"/>
      <c r="K79" s="84"/>
      <c r="L79" s="94"/>
      <c r="M79" s="95"/>
    </row>
    <row r="80" spans="1:13" ht="12" customHeight="1">
      <c r="A80" s="83" t="str">
        <f t="shared" si="4"/>
        <v xml:space="preserve"> </v>
      </c>
      <c r="B80" s="74"/>
      <c r="C80" s="84"/>
      <c r="D80" s="88"/>
      <c r="E80" s="85"/>
      <c r="F80" s="86"/>
      <c r="G80" s="87"/>
      <c r="H80" s="83"/>
      <c r="I80" s="83"/>
      <c r="J80" s="93"/>
      <c r="K80" s="84"/>
      <c r="L80" s="94"/>
      <c r="M80" s="95"/>
    </row>
    <row r="81" spans="1:13" ht="12" customHeight="1">
      <c r="A81" s="83" t="str">
        <f t="shared" si="4"/>
        <v xml:space="preserve"> </v>
      </c>
      <c r="B81" s="74"/>
      <c r="C81" s="84"/>
      <c r="D81" s="88"/>
      <c r="E81" s="85"/>
      <c r="F81" s="86"/>
      <c r="G81" s="87"/>
      <c r="H81" s="83"/>
      <c r="I81" s="83"/>
      <c r="J81" s="93"/>
      <c r="K81" s="84"/>
      <c r="L81" s="94"/>
      <c r="M81" s="95"/>
    </row>
    <row r="82" spans="1:13" ht="12" customHeight="1">
      <c r="A82" s="83" t="str">
        <f t="shared" si="4"/>
        <v xml:space="preserve"> </v>
      </c>
      <c r="B82" s="74"/>
      <c r="C82" s="84"/>
      <c r="D82" s="88"/>
      <c r="E82" s="85"/>
      <c r="F82" s="86"/>
      <c r="G82" s="87"/>
      <c r="H82" s="83"/>
      <c r="I82" s="83"/>
      <c r="J82" s="93"/>
      <c r="K82" s="84"/>
      <c r="L82" s="94"/>
      <c r="M82" s="95"/>
    </row>
    <row r="83" spans="1:13" ht="12" customHeight="1">
      <c r="A83" s="83" t="str">
        <f t="shared" si="4"/>
        <v xml:space="preserve"> </v>
      </c>
      <c r="B83" s="74"/>
      <c r="C83" s="84"/>
      <c r="D83" s="88"/>
      <c r="E83" s="85"/>
      <c r="F83" s="86"/>
      <c r="G83" s="87"/>
      <c r="H83" s="83"/>
      <c r="I83" s="83"/>
      <c r="J83" s="93"/>
      <c r="K83" s="84"/>
      <c r="L83" s="94"/>
      <c r="M83" s="95"/>
    </row>
    <row r="84" spans="1:13" ht="12" customHeight="1">
      <c r="A84" s="83" t="str">
        <f t="shared" si="4"/>
        <v xml:space="preserve"> </v>
      </c>
      <c r="B84" s="74"/>
      <c r="C84" s="84"/>
      <c r="D84" s="88"/>
      <c r="E84" s="85"/>
      <c r="F84" s="86"/>
      <c r="G84" s="87"/>
      <c r="H84" s="83"/>
      <c r="I84" s="83"/>
      <c r="J84" s="93"/>
      <c r="K84" s="84"/>
      <c r="L84" s="94"/>
      <c r="M84" s="95"/>
    </row>
    <row r="85" spans="1:13" ht="12" customHeight="1">
      <c r="A85" s="83" t="str">
        <f t="shared" si="4"/>
        <v xml:space="preserve"> </v>
      </c>
      <c r="B85" s="74"/>
      <c r="C85" s="84"/>
      <c r="D85" s="88"/>
      <c r="E85" s="85"/>
      <c r="F85" s="86"/>
      <c r="G85" s="87"/>
      <c r="H85" s="83"/>
      <c r="I85" s="83"/>
      <c r="J85" s="93"/>
      <c r="K85" s="84"/>
      <c r="L85" s="94"/>
      <c r="M85" s="95"/>
    </row>
    <row r="86" spans="1:13" ht="12" customHeight="1">
      <c r="A86" s="83" t="str">
        <f t="shared" si="4"/>
        <v xml:space="preserve"> </v>
      </c>
      <c r="B86" s="74"/>
      <c r="C86" s="84"/>
      <c r="D86" s="88"/>
      <c r="E86" s="85"/>
      <c r="F86" s="86"/>
      <c r="G86" s="87"/>
      <c r="H86" s="83"/>
      <c r="I86" s="83"/>
      <c r="J86" s="93"/>
      <c r="K86" s="84"/>
      <c r="L86" s="94"/>
      <c r="M86" s="95"/>
    </row>
    <row r="87" spans="1:13" ht="12" customHeight="1">
      <c r="A87" s="83" t="str">
        <f t="shared" si="4"/>
        <v xml:space="preserve"> </v>
      </c>
      <c r="B87" s="74"/>
      <c r="C87" s="84"/>
      <c r="D87" s="88"/>
      <c r="E87" s="85"/>
      <c r="F87" s="86"/>
      <c r="G87" s="87"/>
      <c r="H87" s="83"/>
      <c r="I87" s="83"/>
      <c r="J87" s="93"/>
      <c r="K87" s="84"/>
      <c r="L87" s="94"/>
      <c r="M87" s="95"/>
    </row>
    <row r="88" spans="1:13" ht="12" customHeight="1">
      <c r="A88" s="83" t="str">
        <f t="shared" si="4"/>
        <v xml:space="preserve"> </v>
      </c>
      <c r="B88" s="74"/>
      <c r="C88" s="84"/>
      <c r="D88" s="88"/>
      <c r="E88" s="85"/>
      <c r="F88" s="86"/>
      <c r="G88" s="87"/>
      <c r="H88" s="83"/>
      <c r="I88" s="83"/>
      <c r="J88" s="93"/>
      <c r="K88" s="84"/>
      <c r="L88" s="94"/>
      <c r="M88" s="95"/>
    </row>
    <row r="89" spans="1:13" ht="12" customHeight="1">
      <c r="A89" s="83" t="str">
        <f t="shared" si="4"/>
        <v xml:space="preserve"> </v>
      </c>
      <c r="B89" s="74"/>
      <c r="C89" s="84"/>
      <c r="D89" s="88"/>
      <c r="E89" s="85"/>
      <c r="F89" s="86"/>
      <c r="G89" s="87"/>
      <c r="H89" s="83"/>
      <c r="I89" s="83"/>
      <c r="J89" s="93"/>
      <c r="K89" s="84"/>
      <c r="L89" s="94"/>
      <c r="M89" s="95"/>
    </row>
    <row r="90" spans="1:13" ht="12" customHeight="1">
      <c r="A90" s="83" t="str">
        <f t="shared" si="4"/>
        <v xml:space="preserve"> </v>
      </c>
      <c r="B90" s="74"/>
      <c r="C90" s="84"/>
      <c r="D90" s="88"/>
      <c r="E90" s="85"/>
      <c r="F90" s="86"/>
      <c r="G90" s="87"/>
      <c r="H90" s="83"/>
      <c r="I90" s="83"/>
      <c r="J90" s="93"/>
      <c r="K90" s="84"/>
      <c r="L90" s="94"/>
      <c r="M90" s="95"/>
    </row>
    <row r="91" spans="1:13" ht="12" customHeight="1">
      <c r="A91" s="83" t="str">
        <f t="shared" si="4"/>
        <v xml:space="preserve"> </v>
      </c>
      <c r="B91" s="74"/>
      <c r="C91" s="84"/>
      <c r="D91" s="88"/>
      <c r="E91" s="85"/>
      <c r="F91" s="86"/>
      <c r="G91" s="87"/>
      <c r="H91" s="83"/>
      <c r="I91" s="83"/>
      <c r="J91" s="93"/>
      <c r="K91" s="84"/>
      <c r="L91" s="94"/>
      <c r="M91" s="95"/>
    </row>
    <row r="92" spans="1:13" ht="12" customHeight="1">
      <c r="A92" s="83" t="str">
        <f t="shared" si="4"/>
        <v xml:space="preserve"> </v>
      </c>
      <c r="B92" s="74"/>
      <c r="C92" s="84"/>
      <c r="D92" s="88"/>
      <c r="E92" s="85"/>
      <c r="F92" s="86"/>
      <c r="G92" s="87"/>
      <c r="H92" s="83"/>
      <c r="I92" s="83"/>
      <c r="J92" s="93"/>
      <c r="K92" s="84"/>
      <c r="L92" s="94"/>
      <c r="M92" s="95"/>
    </row>
    <row r="93" spans="1:13" ht="12" customHeight="1">
      <c r="A93" s="83" t="str">
        <f t="shared" si="4"/>
        <v xml:space="preserve"> </v>
      </c>
      <c r="B93" s="74"/>
      <c r="C93" s="84"/>
      <c r="D93" s="88"/>
      <c r="E93" s="85"/>
      <c r="F93" s="86"/>
      <c r="G93" s="87"/>
      <c r="H93" s="83"/>
      <c r="I93" s="83"/>
      <c r="J93" s="93"/>
      <c r="K93" s="84"/>
      <c r="L93" s="94"/>
      <c r="M93" s="95"/>
    </row>
    <row r="94" spans="1:13" ht="12" customHeight="1">
      <c r="A94" s="83" t="str">
        <f t="shared" si="4"/>
        <v xml:space="preserve"> </v>
      </c>
      <c r="B94" s="74"/>
      <c r="C94" s="84"/>
      <c r="D94" s="88"/>
      <c r="E94" s="85"/>
      <c r="F94" s="86"/>
      <c r="G94" s="87"/>
      <c r="H94" s="83"/>
      <c r="I94" s="83"/>
      <c r="J94" s="93"/>
      <c r="K94" s="84"/>
      <c r="L94" s="94"/>
      <c r="M94" s="95"/>
    </row>
    <row r="95" spans="1:13" ht="12" customHeight="1">
      <c r="A95" s="83" t="str">
        <f t="shared" si="4"/>
        <v xml:space="preserve"> </v>
      </c>
      <c r="B95" s="74"/>
      <c r="C95" s="84"/>
      <c r="D95" s="88"/>
      <c r="E95" s="85"/>
      <c r="F95" s="86"/>
      <c r="G95" s="87"/>
      <c r="H95" s="83"/>
      <c r="I95" s="83"/>
      <c r="J95" s="93"/>
      <c r="K95" s="84"/>
      <c r="L95" s="94"/>
      <c r="M95" s="95"/>
    </row>
    <row r="96" spans="1:13"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IF(B99=""," ",A97+1)</f>
        <v xml:space="preserve"> </v>
      </c>
      <c r="B99" s="74"/>
      <c r="C99" s="84"/>
      <c r="D99" s="88"/>
      <c r="E99" s="85"/>
      <c r="F99" s="86"/>
      <c r="G99" s="87"/>
      <c r="H99" s="83"/>
      <c r="I99" s="83"/>
      <c r="J99" s="93"/>
      <c r="K99" s="84"/>
      <c r="L99" s="94"/>
      <c r="M99" s="95"/>
    </row>
    <row r="100" spans="1:13" ht="12" customHeight="1">
      <c r="A100" s="83" t="str">
        <f>IF(B100=""," ",A98+1)</f>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100" t="s">
        <v>756</v>
      </c>
      <c r="C110" s="75" t="s">
        <v>757</v>
      </c>
    </row>
    <row r="112" spans="1:13">
      <c r="B112" s="75" t="s">
        <v>450</v>
      </c>
      <c r="C112" s="75" t="s">
        <v>758</v>
      </c>
    </row>
    <row r="114" spans="2:4">
      <c r="B114" s="75" t="s">
        <v>239</v>
      </c>
      <c r="C114" s="75" t="s">
        <v>759</v>
      </c>
    </row>
    <row r="116" spans="2:4">
      <c r="B116" s="75" t="s">
        <v>239</v>
      </c>
      <c r="C116" s="75" t="s">
        <v>240</v>
      </c>
    </row>
    <row r="117" spans="2:4">
      <c r="C117" s="75" t="s">
        <v>241</v>
      </c>
    </row>
    <row r="119" spans="2:4">
      <c r="B119" s="75" t="s">
        <v>239</v>
      </c>
      <c r="C119" s="75" t="s">
        <v>760</v>
      </c>
    </row>
    <row r="121" spans="2:4">
      <c r="B121" s="75" t="s">
        <v>761</v>
      </c>
      <c r="C121" s="75" t="s">
        <v>762</v>
      </c>
    </row>
    <row r="123" spans="2:4">
      <c r="B123" s="75" t="s">
        <v>452</v>
      </c>
      <c r="C123" s="75" t="s">
        <v>763</v>
      </c>
    </row>
    <row r="124" spans="2:4">
      <c r="C124" s="75" t="s">
        <v>453</v>
      </c>
    </row>
    <row r="126" spans="2:4">
      <c r="B126" s="75" t="s">
        <v>591</v>
      </c>
      <c r="C126" s="3" t="s">
        <v>764</v>
      </c>
    </row>
    <row r="128" spans="2:4">
      <c r="B128" s="100" t="s">
        <v>456</v>
      </c>
      <c r="C128" s="75" t="s">
        <v>457</v>
      </c>
      <c r="D128" s="75" t="s">
        <v>765</v>
      </c>
    </row>
  </sheetData>
  <mergeCells count="58">
    <mergeCell ref="K55:M55"/>
    <mergeCell ref="K56:M56"/>
    <mergeCell ref="K57:M57"/>
    <mergeCell ref="K58:M58"/>
    <mergeCell ref="A5:A6"/>
    <mergeCell ref="K5:M6"/>
    <mergeCell ref="K49:M49"/>
    <mergeCell ref="K50:M50"/>
    <mergeCell ref="K51:M51"/>
    <mergeCell ref="K52:M52"/>
    <mergeCell ref="K53:M53"/>
    <mergeCell ref="K42:M42"/>
    <mergeCell ref="K44:M44"/>
    <mergeCell ref="K46:M46"/>
    <mergeCell ref="K47:M47"/>
    <mergeCell ref="K48:M48"/>
    <mergeCell ref="K37:M37"/>
    <mergeCell ref="K38:M38"/>
    <mergeCell ref="K39:M39"/>
    <mergeCell ref="K40:M40"/>
    <mergeCell ref="K41:M41"/>
    <mergeCell ref="K32:M32"/>
    <mergeCell ref="K33:M33"/>
    <mergeCell ref="K34:M34"/>
    <mergeCell ref="K35:M35"/>
    <mergeCell ref="K36:M36"/>
    <mergeCell ref="K26:M26"/>
    <mergeCell ref="K27:M27"/>
    <mergeCell ref="K28:M28"/>
    <mergeCell ref="K29:M29"/>
    <mergeCell ref="K30:M30"/>
    <mergeCell ref="K20:M20"/>
    <mergeCell ref="K21:M21"/>
    <mergeCell ref="K22:M22"/>
    <mergeCell ref="K24:M24"/>
    <mergeCell ref="K25:M25"/>
    <mergeCell ref="K14:M14"/>
    <mergeCell ref="K15:M15"/>
    <mergeCell ref="K16:M16"/>
    <mergeCell ref="K17:M17"/>
    <mergeCell ref="K18:M18"/>
    <mergeCell ref="K7:M7"/>
    <mergeCell ref="K9:M9"/>
    <mergeCell ref="K10:M10"/>
    <mergeCell ref="K11:M11"/>
    <mergeCell ref="K13:M13"/>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Q120"/>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766</v>
      </c>
      <c r="D3" s="265"/>
      <c r="E3" s="265"/>
      <c r="F3" s="265"/>
      <c r="G3" s="266"/>
      <c r="H3" s="259" t="s">
        <v>140</v>
      </c>
      <c r="I3" s="260"/>
      <c r="J3" s="90">
        <f>COUNT(A7:A100)</f>
        <v>35</v>
      </c>
      <c r="K3" s="78" t="s">
        <v>141</v>
      </c>
      <c r="L3" s="91">
        <v>38644</v>
      </c>
      <c r="M3" s="92" t="s">
        <v>142</v>
      </c>
      <c r="O3" s="75" t="s">
        <v>143</v>
      </c>
      <c r="P3" s="75" t="s">
        <v>144</v>
      </c>
    </row>
    <row r="4" spans="1:16" ht="12" customHeight="1">
      <c r="A4" s="267" t="s">
        <v>145</v>
      </c>
      <c r="B4" s="268"/>
      <c r="C4" s="267" t="s">
        <v>25</v>
      </c>
      <c r="D4" s="269"/>
      <c r="E4" s="269"/>
      <c r="F4" s="269"/>
      <c r="G4" s="268"/>
      <c r="H4" s="259" t="s">
        <v>146</v>
      </c>
      <c r="I4" s="260"/>
      <c r="J4" s="90">
        <f>SUM(G7:G100)</f>
        <v>148</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84" t="s">
        <v>163</v>
      </c>
      <c r="D7" s="13" t="s">
        <v>164</v>
      </c>
      <c r="E7" s="85"/>
      <c r="F7" s="86"/>
      <c r="G7" s="87">
        <f>IF(D7="DATE",4,IF(D7="CHAR",E7,IF(D7="SMALLINT",2,IF(D7="INTEGER",4,IF(D7="TIMESTAMP",10,IF(D7="TIME",3,0))))))</f>
        <v>4</v>
      </c>
      <c r="H7" s="83" t="s">
        <v>149</v>
      </c>
      <c r="I7" s="83"/>
      <c r="J7" s="93"/>
      <c r="K7" s="308"/>
      <c r="L7" s="278"/>
      <c r="M7" s="279"/>
      <c r="P7" s="75" t="s">
        <v>165</v>
      </c>
    </row>
    <row r="8" spans="1:16" ht="12" customHeight="1">
      <c r="A8" s="83">
        <f t="shared" ref="A8:A41" si="0">IF(B8=""," ",A7+1)</f>
        <v>2</v>
      </c>
      <c r="B8" s="11" t="s">
        <v>166</v>
      </c>
      <c r="C8" s="84" t="s">
        <v>167</v>
      </c>
      <c r="D8" s="13" t="s">
        <v>150</v>
      </c>
      <c r="E8" s="85">
        <v>11</v>
      </c>
      <c r="F8" s="86"/>
      <c r="G8" s="87">
        <f t="shared" ref="G8:G41" si="1">IF(D8="DATE",4,IF(D8="CHAR",E8,IF(D8="SMALLINT",2,IF(D8="INTEGER",4,IF(D8="TIMESTAMP",10,IF(D8="TIME",3,0))))))</f>
        <v>11</v>
      </c>
      <c r="H8" s="83" t="s">
        <v>149</v>
      </c>
      <c r="I8" s="83"/>
      <c r="J8" s="93"/>
      <c r="K8" s="21"/>
      <c r="L8" s="29"/>
      <c r="M8" s="30"/>
    </row>
    <row r="9" spans="1:16" ht="27" customHeight="1">
      <c r="A9" s="83">
        <f t="shared" si="0"/>
        <v>3</v>
      </c>
      <c r="B9" s="11" t="s">
        <v>169</v>
      </c>
      <c r="C9" s="19" t="s">
        <v>170</v>
      </c>
      <c r="D9" s="88" t="s">
        <v>150</v>
      </c>
      <c r="E9" s="85">
        <v>1</v>
      </c>
      <c r="F9" s="86"/>
      <c r="G9" s="87">
        <f t="shared" si="1"/>
        <v>1</v>
      </c>
      <c r="H9" s="83" t="s">
        <v>149</v>
      </c>
      <c r="I9" s="83"/>
      <c r="J9" s="93"/>
      <c r="K9" s="271" t="s">
        <v>171</v>
      </c>
      <c r="L9" s="272"/>
      <c r="M9" s="273"/>
    </row>
    <row r="10" spans="1:16" ht="12" customHeight="1">
      <c r="A10" s="83">
        <f t="shared" si="0"/>
        <v>4</v>
      </c>
      <c r="B10" s="11" t="s">
        <v>172</v>
      </c>
      <c r="C10" s="84" t="s">
        <v>173</v>
      </c>
      <c r="D10" s="88" t="s">
        <v>174</v>
      </c>
      <c r="E10" s="85"/>
      <c r="F10" s="86"/>
      <c r="G10" s="87">
        <f t="shared" si="1"/>
        <v>2</v>
      </c>
      <c r="H10" s="83" t="s">
        <v>149</v>
      </c>
      <c r="I10" s="83"/>
      <c r="J10" s="93"/>
      <c r="K10" s="277" t="s">
        <v>175</v>
      </c>
      <c r="L10" s="278"/>
      <c r="M10" s="279"/>
    </row>
    <row r="11" spans="1:16" ht="12" customHeight="1">
      <c r="A11" s="83">
        <f t="shared" si="0"/>
        <v>5</v>
      </c>
      <c r="B11" s="11" t="s">
        <v>460</v>
      </c>
      <c r="C11" s="21" t="s">
        <v>461</v>
      </c>
      <c r="D11" s="13" t="s">
        <v>164</v>
      </c>
      <c r="E11" s="85"/>
      <c r="F11" s="86"/>
      <c r="G11" s="87">
        <f t="shared" si="1"/>
        <v>4</v>
      </c>
      <c r="H11" s="83" t="s">
        <v>149</v>
      </c>
      <c r="I11" s="83" t="s">
        <v>149</v>
      </c>
      <c r="J11" s="93"/>
      <c r="K11" s="21"/>
      <c r="L11" s="29"/>
      <c r="M11" s="30"/>
    </row>
    <row r="12" spans="1:16" ht="12" customHeight="1">
      <c r="A12" s="83">
        <f t="shared" si="0"/>
        <v>6</v>
      </c>
      <c r="B12" s="11" t="s">
        <v>462</v>
      </c>
      <c r="C12" s="21" t="s">
        <v>463</v>
      </c>
      <c r="D12" s="13" t="s">
        <v>150</v>
      </c>
      <c r="E12" s="85">
        <v>13</v>
      </c>
      <c r="F12" s="86"/>
      <c r="G12" s="87">
        <f t="shared" si="1"/>
        <v>13</v>
      </c>
      <c r="H12" s="83" t="s">
        <v>149</v>
      </c>
      <c r="I12" s="83" t="s">
        <v>149</v>
      </c>
      <c r="J12" s="93"/>
      <c r="K12" s="21"/>
      <c r="L12" s="29"/>
      <c r="M12" s="30"/>
      <c r="P12" s="75" t="s">
        <v>164</v>
      </c>
    </row>
    <row r="13" spans="1:16" ht="27" customHeight="1">
      <c r="A13" s="83">
        <f t="shared" si="0"/>
        <v>7</v>
      </c>
      <c r="B13" s="11" t="s">
        <v>464</v>
      </c>
      <c r="C13" s="19" t="s">
        <v>465</v>
      </c>
      <c r="D13" s="88" t="s">
        <v>150</v>
      </c>
      <c r="E13" s="85">
        <v>1</v>
      </c>
      <c r="F13" s="86"/>
      <c r="G13" s="87">
        <f t="shared" si="1"/>
        <v>1</v>
      </c>
      <c r="H13" s="83" t="s">
        <v>149</v>
      </c>
      <c r="I13" s="83"/>
      <c r="J13" s="93"/>
      <c r="K13" s="271" t="s">
        <v>171</v>
      </c>
      <c r="L13" s="272"/>
      <c r="M13" s="273"/>
    </row>
    <row r="14" spans="1:16" ht="12" customHeight="1">
      <c r="A14" s="83">
        <f t="shared" si="0"/>
        <v>8</v>
      </c>
      <c r="B14" s="11" t="s">
        <v>667</v>
      </c>
      <c r="C14" s="84" t="s">
        <v>668</v>
      </c>
      <c r="D14" s="88" t="s">
        <v>150</v>
      </c>
      <c r="E14" s="85">
        <v>7</v>
      </c>
      <c r="F14" s="86"/>
      <c r="G14" s="87">
        <f t="shared" si="1"/>
        <v>7</v>
      </c>
      <c r="H14" s="83" t="s">
        <v>149</v>
      </c>
      <c r="I14" s="83" t="s">
        <v>149</v>
      </c>
      <c r="J14" s="93"/>
      <c r="K14" s="308"/>
      <c r="L14" s="278"/>
      <c r="M14" s="279"/>
    </row>
    <row r="15" spans="1:16" ht="12" customHeight="1">
      <c r="A15" s="83">
        <f t="shared" si="0"/>
        <v>9</v>
      </c>
      <c r="B15" s="74" t="s">
        <v>596</v>
      </c>
      <c r="C15" s="84" t="s">
        <v>597</v>
      </c>
      <c r="D15" s="88" t="s">
        <v>150</v>
      </c>
      <c r="E15" s="85">
        <v>7</v>
      </c>
      <c r="F15" s="86"/>
      <c r="G15" s="87">
        <f t="shared" si="1"/>
        <v>7</v>
      </c>
      <c r="H15" s="83" t="s">
        <v>149</v>
      </c>
      <c r="I15" s="83" t="s">
        <v>149</v>
      </c>
      <c r="J15" s="93"/>
      <c r="K15" s="274"/>
      <c r="L15" s="275"/>
      <c r="M15" s="276"/>
    </row>
    <row r="16" spans="1:16" ht="12" customHeight="1">
      <c r="A16" s="83">
        <f t="shared" si="0"/>
        <v>10</v>
      </c>
      <c r="B16" s="74" t="s">
        <v>767</v>
      </c>
      <c r="C16" s="84" t="s">
        <v>768</v>
      </c>
      <c r="D16" s="88" t="s">
        <v>174</v>
      </c>
      <c r="E16" s="85"/>
      <c r="F16" s="86"/>
      <c r="G16" s="87">
        <f t="shared" si="1"/>
        <v>2</v>
      </c>
      <c r="H16" s="83" t="s">
        <v>149</v>
      </c>
      <c r="I16" s="83"/>
      <c r="J16" s="93"/>
      <c r="K16" s="308" t="s">
        <v>769</v>
      </c>
      <c r="L16" s="278"/>
      <c r="M16" s="279"/>
    </row>
    <row r="17" spans="1:16" ht="12" customHeight="1">
      <c r="A17" s="83">
        <f t="shared" si="0"/>
        <v>11</v>
      </c>
      <c r="B17" s="11" t="s">
        <v>487</v>
      </c>
      <c r="C17" s="84" t="s">
        <v>488</v>
      </c>
      <c r="D17" s="88" t="s">
        <v>150</v>
      </c>
      <c r="E17" s="85">
        <v>4</v>
      </c>
      <c r="F17" s="86"/>
      <c r="G17" s="87">
        <f t="shared" si="1"/>
        <v>4</v>
      </c>
      <c r="H17" s="83" t="s">
        <v>149</v>
      </c>
      <c r="I17" s="83"/>
      <c r="J17" s="93"/>
      <c r="K17" s="84" t="s">
        <v>489</v>
      </c>
      <c r="L17" s="94"/>
      <c r="M17" s="95"/>
    </row>
    <row r="18" spans="1:16" ht="12" customHeight="1">
      <c r="A18" s="83">
        <f t="shared" si="0"/>
        <v>12</v>
      </c>
      <c r="B18" s="20" t="s">
        <v>770</v>
      </c>
      <c r="C18" s="21" t="s">
        <v>771</v>
      </c>
      <c r="D18" s="13" t="s">
        <v>150</v>
      </c>
      <c r="E18" s="85">
        <v>10</v>
      </c>
      <c r="F18" s="86"/>
      <c r="G18" s="87">
        <f t="shared" si="1"/>
        <v>10</v>
      </c>
      <c r="H18" s="83" t="s">
        <v>149</v>
      </c>
      <c r="I18" s="83"/>
      <c r="J18" s="93"/>
      <c r="K18" s="21"/>
      <c r="L18" s="29"/>
      <c r="M18" s="30"/>
      <c r="P18" s="75" t="s">
        <v>174</v>
      </c>
    </row>
    <row r="19" spans="1:16" ht="12" customHeight="1">
      <c r="A19" s="83">
        <f t="shared" si="0"/>
        <v>13</v>
      </c>
      <c r="B19" s="11" t="s">
        <v>772</v>
      </c>
      <c r="C19" s="21" t="s">
        <v>773</v>
      </c>
      <c r="D19" s="13" t="s">
        <v>174</v>
      </c>
      <c r="E19" s="85"/>
      <c r="F19" s="86"/>
      <c r="G19" s="87">
        <f t="shared" si="1"/>
        <v>2</v>
      </c>
      <c r="H19" s="83" t="s">
        <v>149</v>
      </c>
      <c r="I19" s="83"/>
      <c r="J19" s="93"/>
      <c r="K19" s="21"/>
      <c r="L19" s="29"/>
      <c r="M19" s="30"/>
    </row>
    <row r="20" spans="1:16" ht="12" customHeight="1">
      <c r="A20" s="83">
        <f t="shared" si="0"/>
        <v>14</v>
      </c>
      <c r="B20" s="74" t="s">
        <v>774</v>
      </c>
      <c r="C20" s="21" t="s">
        <v>775</v>
      </c>
      <c r="D20" s="13" t="s">
        <v>150</v>
      </c>
      <c r="E20" s="85">
        <v>10</v>
      </c>
      <c r="F20" s="86"/>
      <c r="G20" s="87">
        <f t="shared" si="1"/>
        <v>10</v>
      </c>
      <c r="H20" s="83" t="s">
        <v>149</v>
      </c>
      <c r="I20" s="83"/>
      <c r="J20" s="93"/>
      <c r="K20" s="308"/>
      <c r="L20" s="278"/>
      <c r="M20" s="279"/>
      <c r="P20" s="75" t="s">
        <v>195</v>
      </c>
    </row>
    <row r="21" spans="1:16" ht="12" customHeight="1">
      <c r="A21" s="83">
        <f t="shared" si="0"/>
        <v>15</v>
      </c>
      <c r="B21" s="74" t="s">
        <v>776</v>
      </c>
      <c r="C21" s="84" t="s">
        <v>777</v>
      </c>
      <c r="D21" s="88" t="s">
        <v>174</v>
      </c>
      <c r="E21" s="85"/>
      <c r="F21" s="86"/>
      <c r="G21" s="87">
        <f t="shared" si="1"/>
        <v>2</v>
      </c>
      <c r="H21" s="83" t="s">
        <v>149</v>
      </c>
      <c r="I21" s="83"/>
      <c r="J21" s="93"/>
      <c r="K21" s="274"/>
      <c r="L21" s="275"/>
      <c r="M21" s="276"/>
    </row>
    <row r="22" spans="1:16" ht="12" customHeight="1">
      <c r="A22" s="83">
        <f t="shared" si="0"/>
        <v>16</v>
      </c>
      <c r="B22" s="74" t="s">
        <v>778</v>
      </c>
      <c r="C22" s="21" t="s">
        <v>565</v>
      </c>
      <c r="D22" s="13" t="s">
        <v>150</v>
      </c>
      <c r="E22" s="85">
        <v>10</v>
      </c>
      <c r="F22" s="86"/>
      <c r="G22" s="87">
        <f t="shared" si="1"/>
        <v>10</v>
      </c>
      <c r="H22" s="83" t="s">
        <v>149</v>
      </c>
      <c r="I22" s="83"/>
      <c r="J22" s="93"/>
      <c r="K22" s="271"/>
      <c r="L22" s="272"/>
      <c r="M22" s="273"/>
    </row>
    <row r="23" spans="1:16" ht="12" customHeight="1">
      <c r="A23" s="83">
        <f t="shared" si="0"/>
        <v>17</v>
      </c>
      <c r="B23" s="74" t="s">
        <v>779</v>
      </c>
      <c r="C23" s="84" t="s">
        <v>568</v>
      </c>
      <c r="D23" s="88" t="s">
        <v>174</v>
      </c>
      <c r="E23" s="85"/>
      <c r="F23" s="86"/>
      <c r="G23" s="87">
        <f t="shared" si="1"/>
        <v>2</v>
      </c>
      <c r="H23" s="83" t="s">
        <v>149</v>
      </c>
      <c r="I23" s="83"/>
      <c r="J23" s="93"/>
      <c r="K23" s="280"/>
      <c r="L23" s="291"/>
      <c r="M23" s="292"/>
    </row>
    <row r="24" spans="1:16" ht="12" customHeight="1">
      <c r="A24" s="83">
        <f t="shared" si="0"/>
        <v>18</v>
      </c>
      <c r="B24" s="73" t="s">
        <v>291</v>
      </c>
      <c r="C24" s="84" t="s">
        <v>292</v>
      </c>
      <c r="D24" s="88" t="s">
        <v>150</v>
      </c>
      <c r="E24" s="85">
        <v>1</v>
      </c>
      <c r="F24" s="86"/>
      <c r="G24" s="87">
        <f t="shared" si="1"/>
        <v>1</v>
      </c>
      <c r="H24" s="83" t="s">
        <v>149</v>
      </c>
      <c r="I24" s="83"/>
      <c r="J24" s="93"/>
      <c r="K24" s="280" t="s">
        <v>293</v>
      </c>
      <c r="L24" s="291"/>
      <c r="M24" s="292"/>
      <c r="N24" s="122"/>
      <c r="O24" s="99"/>
      <c r="P24" s="99"/>
    </row>
    <row r="25" spans="1:16" ht="27.75" customHeight="1">
      <c r="A25" s="83">
        <f t="shared" si="0"/>
        <v>19</v>
      </c>
      <c r="B25" s="11" t="s">
        <v>300</v>
      </c>
      <c r="C25" s="84" t="s">
        <v>301</v>
      </c>
      <c r="D25" s="88" t="s">
        <v>150</v>
      </c>
      <c r="E25" s="85">
        <v>3</v>
      </c>
      <c r="F25" s="86"/>
      <c r="G25" s="87">
        <f t="shared" si="1"/>
        <v>3</v>
      </c>
      <c r="H25" s="83" t="s">
        <v>149</v>
      </c>
      <c r="I25" s="83"/>
      <c r="J25" s="93"/>
      <c r="K25" s="299" t="s">
        <v>302</v>
      </c>
      <c r="L25" s="309"/>
      <c r="M25" s="310"/>
      <c r="N25" s="209"/>
      <c r="O25" s="210"/>
      <c r="P25" s="210"/>
    </row>
    <row r="26" spans="1:16" ht="27" customHeight="1">
      <c r="A26" s="83">
        <f t="shared" si="0"/>
        <v>20</v>
      </c>
      <c r="B26" s="73" t="s">
        <v>303</v>
      </c>
      <c r="C26" s="84" t="s">
        <v>304</v>
      </c>
      <c r="D26" s="88" t="s">
        <v>150</v>
      </c>
      <c r="E26" s="85">
        <v>1</v>
      </c>
      <c r="F26" s="86"/>
      <c r="G26" s="87">
        <f t="shared" si="1"/>
        <v>1</v>
      </c>
      <c r="H26" s="83" t="s">
        <v>149</v>
      </c>
      <c r="I26" s="83"/>
      <c r="J26" s="93"/>
      <c r="K26" s="311" t="s">
        <v>305</v>
      </c>
      <c r="L26" s="317"/>
      <c r="M26" s="317"/>
      <c r="N26" s="122"/>
      <c r="O26" s="99"/>
      <c r="P26" s="99"/>
    </row>
    <row r="27" spans="1:16" ht="12" customHeight="1">
      <c r="A27" s="83">
        <f t="shared" si="0"/>
        <v>21</v>
      </c>
      <c r="B27" s="11" t="s">
        <v>541</v>
      </c>
      <c r="C27" s="84" t="s">
        <v>542</v>
      </c>
      <c r="D27" s="88" t="s">
        <v>150</v>
      </c>
      <c r="E27" s="85">
        <v>4</v>
      </c>
      <c r="F27" s="86"/>
      <c r="G27" s="87">
        <f t="shared" si="1"/>
        <v>4</v>
      </c>
      <c r="H27" s="83" t="s">
        <v>149</v>
      </c>
      <c r="I27" s="83"/>
      <c r="J27" s="93"/>
      <c r="K27" s="84"/>
      <c r="L27" s="94"/>
      <c r="M27" s="95"/>
    </row>
    <row r="28" spans="1:16" ht="12" customHeight="1">
      <c r="A28" s="83">
        <f t="shared" si="0"/>
        <v>22</v>
      </c>
      <c r="B28" s="11" t="s">
        <v>543</v>
      </c>
      <c r="C28" s="84" t="s">
        <v>544</v>
      </c>
      <c r="D28" s="88" t="s">
        <v>150</v>
      </c>
      <c r="E28" s="85">
        <v>1</v>
      </c>
      <c r="F28" s="86"/>
      <c r="G28" s="87">
        <f t="shared" si="1"/>
        <v>1</v>
      </c>
      <c r="H28" s="83" t="s">
        <v>149</v>
      </c>
      <c r="I28" s="83"/>
      <c r="J28" s="93"/>
      <c r="K28" s="84" t="s">
        <v>545</v>
      </c>
      <c r="L28" s="94"/>
      <c r="M28" s="95"/>
      <c r="P28" s="75" t="s">
        <v>195</v>
      </c>
    </row>
    <row r="29" spans="1:16" ht="12" customHeight="1">
      <c r="A29" s="83">
        <f t="shared" si="0"/>
        <v>23</v>
      </c>
      <c r="B29" s="11" t="s">
        <v>546</v>
      </c>
      <c r="C29" s="84" t="s">
        <v>547</v>
      </c>
      <c r="D29" s="88" t="s">
        <v>150</v>
      </c>
      <c r="E29" s="85">
        <v>5</v>
      </c>
      <c r="F29" s="86"/>
      <c r="G29" s="87">
        <f t="shared" si="1"/>
        <v>5</v>
      </c>
      <c r="H29" s="83" t="s">
        <v>149</v>
      </c>
      <c r="I29" s="83"/>
      <c r="J29" s="93"/>
      <c r="K29" s="84"/>
      <c r="L29" s="94"/>
      <c r="M29" s="95"/>
    </row>
    <row r="30" spans="1:16" ht="12" customHeight="1">
      <c r="A30" s="83">
        <f t="shared" si="0"/>
        <v>24</v>
      </c>
      <c r="B30" s="11" t="s">
        <v>548</v>
      </c>
      <c r="C30" s="84" t="s">
        <v>549</v>
      </c>
      <c r="D30" s="88" t="s">
        <v>150</v>
      </c>
      <c r="E30" s="85">
        <v>1</v>
      </c>
      <c r="F30" s="86"/>
      <c r="G30" s="87">
        <f t="shared" si="1"/>
        <v>1</v>
      </c>
      <c r="H30" s="83" t="s">
        <v>149</v>
      </c>
      <c r="I30" s="83"/>
      <c r="J30" s="93"/>
      <c r="K30" s="84" t="s">
        <v>550</v>
      </c>
      <c r="L30" s="94"/>
      <c r="M30" s="95"/>
    </row>
    <row r="31" spans="1:16" ht="12" customHeight="1">
      <c r="A31" s="83">
        <f t="shared" si="0"/>
        <v>25</v>
      </c>
      <c r="B31" s="11" t="s">
        <v>243</v>
      </c>
      <c r="C31" s="84" t="s">
        <v>244</v>
      </c>
      <c r="D31" s="88" t="s">
        <v>150</v>
      </c>
      <c r="E31" s="85">
        <v>7</v>
      </c>
      <c r="F31" s="86"/>
      <c r="G31" s="87">
        <f t="shared" si="1"/>
        <v>7</v>
      </c>
      <c r="H31" s="83" t="s">
        <v>149</v>
      </c>
      <c r="I31" s="83"/>
      <c r="J31" s="93"/>
      <c r="K31" s="274"/>
      <c r="L31" s="275"/>
      <c r="M31" s="276"/>
    </row>
    <row r="32" spans="1:16" ht="12" customHeight="1">
      <c r="A32" s="83">
        <f t="shared" si="0"/>
        <v>26</v>
      </c>
      <c r="B32" s="11" t="s">
        <v>380</v>
      </c>
      <c r="C32" s="84" t="s">
        <v>381</v>
      </c>
      <c r="D32" s="88" t="s">
        <v>150</v>
      </c>
      <c r="E32" s="85">
        <v>3</v>
      </c>
      <c r="F32" s="86"/>
      <c r="G32" s="87">
        <f t="shared" si="1"/>
        <v>3</v>
      </c>
      <c r="H32" s="83" t="s">
        <v>149</v>
      </c>
      <c r="I32" s="83"/>
      <c r="J32" s="93"/>
      <c r="K32" s="274"/>
      <c r="L32" s="275"/>
      <c r="M32" s="276"/>
    </row>
    <row r="33" spans="1:13" ht="193.5" customHeight="1">
      <c r="A33" s="83">
        <f t="shared" si="0"/>
        <v>27</v>
      </c>
      <c r="B33" s="11" t="s">
        <v>780</v>
      </c>
      <c r="C33" s="84" t="s">
        <v>781</v>
      </c>
      <c r="D33" s="88" t="s">
        <v>150</v>
      </c>
      <c r="E33" s="85">
        <v>3</v>
      </c>
      <c r="F33" s="86"/>
      <c r="G33" s="87">
        <f t="shared" si="1"/>
        <v>3</v>
      </c>
      <c r="H33" s="83" t="s">
        <v>149</v>
      </c>
      <c r="I33" s="83"/>
      <c r="J33" s="93"/>
      <c r="K33" s="280" t="s">
        <v>782</v>
      </c>
      <c r="L33" s="281"/>
      <c r="M33" s="282"/>
    </row>
    <row r="34" spans="1:13" ht="27" customHeight="1">
      <c r="A34" s="83">
        <f t="shared" si="0"/>
        <v>28</v>
      </c>
      <c r="B34" s="11" t="s">
        <v>783</v>
      </c>
      <c r="C34" s="84" t="s">
        <v>784</v>
      </c>
      <c r="D34" s="88" t="s">
        <v>150</v>
      </c>
      <c r="E34" s="85">
        <v>1</v>
      </c>
      <c r="F34" s="86"/>
      <c r="G34" s="87">
        <f t="shared" si="1"/>
        <v>1</v>
      </c>
      <c r="H34" s="83" t="s">
        <v>149</v>
      </c>
      <c r="I34" s="83"/>
      <c r="J34" s="93"/>
      <c r="K34" s="280" t="s">
        <v>785</v>
      </c>
      <c r="L34" s="281"/>
      <c r="M34" s="282"/>
    </row>
    <row r="35" spans="1:13" ht="95.25" customHeight="1">
      <c r="A35" s="83">
        <f t="shared" si="0"/>
        <v>29</v>
      </c>
      <c r="B35" s="11" t="s">
        <v>786</v>
      </c>
      <c r="C35" s="84" t="s">
        <v>787</v>
      </c>
      <c r="D35" s="88" t="s">
        <v>150</v>
      </c>
      <c r="E35" s="85">
        <v>1</v>
      </c>
      <c r="F35" s="86"/>
      <c r="G35" s="87">
        <f t="shared" si="1"/>
        <v>1</v>
      </c>
      <c r="H35" s="83" t="s">
        <v>149</v>
      </c>
      <c r="I35" s="83"/>
      <c r="J35" s="93"/>
      <c r="K35" s="280" t="s">
        <v>788</v>
      </c>
      <c r="L35" s="281"/>
      <c r="M35" s="282"/>
    </row>
    <row r="36" spans="1:13" ht="27" customHeight="1">
      <c r="A36" s="83">
        <f t="shared" si="0"/>
        <v>30</v>
      </c>
      <c r="B36" s="11" t="s">
        <v>789</v>
      </c>
      <c r="C36" s="84" t="s">
        <v>790</v>
      </c>
      <c r="D36" s="88" t="s">
        <v>150</v>
      </c>
      <c r="E36" s="85">
        <v>1</v>
      </c>
      <c r="F36" s="86"/>
      <c r="G36" s="87">
        <f t="shared" si="1"/>
        <v>1</v>
      </c>
      <c r="H36" s="83" t="s">
        <v>149</v>
      </c>
      <c r="I36" s="83"/>
      <c r="J36" s="93"/>
      <c r="K36" s="280" t="s">
        <v>791</v>
      </c>
      <c r="L36" s="281"/>
      <c r="M36" s="282"/>
    </row>
    <row r="37" spans="1:13" ht="27" customHeight="1">
      <c r="A37" s="83">
        <f t="shared" si="0"/>
        <v>31</v>
      </c>
      <c r="B37" s="11" t="s">
        <v>792</v>
      </c>
      <c r="C37" s="84" t="s">
        <v>793</v>
      </c>
      <c r="D37" s="88" t="s">
        <v>150</v>
      </c>
      <c r="E37" s="85">
        <v>1</v>
      </c>
      <c r="F37" s="86"/>
      <c r="G37" s="87">
        <f t="shared" si="1"/>
        <v>1</v>
      </c>
      <c r="H37" s="83" t="s">
        <v>149</v>
      </c>
      <c r="I37" s="83"/>
      <c r="J37" s="93"/>
      <c r="K37" s="280" t="s">
        <v>794</v>
      </c>
      <c r="L37" s="281"/>
      <c r="M37" s="282"/>
    </row>
    <row r="38" spans="1:13" ht="136.5" customHeight="1">
      <c r="A38" s="83">
        <f t="shared" si="0"/>
        <v>32</v>
      </c>
      <c r="B38" s="11" t="s">
        <v>766</v>
      </c>
      <c r="C38" s="84" t="s">
        <v>795</v>
      </c>
      <c r="D38" s="88" t="s">
        <v>150</v>
      </c>
      <c r="E38" s="85">
        <v>1</v>
      </c>
      <c r="F38" s="86"/>
      <c r="G38" s="87">
        <f t="shared" si="1"/>
        <v>1</v>
      </c>
      <c r="H38" s="83" t="s">
        <v>149</v>
      </c>
      <c r="I38" s="83"/>
      <c r="J38" s="93"/>
      <c r="K38" s="280" t="s">
        <v>796</v>
      </c>
      <c r="L38" s="281"/>
      <c r="M38" s="282"/>
    </row>
    <row r="39" spans="1:13" s="223" customFormat="1" ht="12" customHeight="1">
      <c r="A39" s="213">
        <f t="shared" si="0"/>
        <v>33</v>
      </c>
      <c r="B39" s="224" t="s">
        <v>797</v>
      </c>
      <c r="C39" s="215" t="s">
        <v>798</v>
      </c>
      <c r="D39" s="216" t="s">
        <v>174</v>
      </c>
      <c r="E39" s="217"/>
      <c r="F39" s="218"/>
      <c r="G39" s="219">
        <f t="shared" si="1"/>
        <v>2</v>
      </c>
      <c r="H39" s="213" t="s">
        <v>149</v>
      </c>
      <c r="I39" s="213"/>
      <c r="J39" s="222"/>
      <c r="K39" s="314" t="s">
        <v>755</v>
      </c>
      <c r="L39" s="315"/>
      <c r="M39" s="316"/>
    </row>
    <row r="40" spans="1:13" ht="12" customHeight="1">
      <c r="A40" s="83">
        <f t="shared" si="0"/>
        <v>34</v>
      </c>
      <c r="B40" s="74" t="s">
        <v>232</v>
      </c>
      <c r="C40" s="84" t="s">
        <v>233</v>
      </c>
      <c r="D40" s="88" t="s">
        <v>234</v>
      </c>
      <c r="E40" s="85"/>
      <c r="F40" s="86"/>
      <c r="G40" s="87">
        <f t="shared" si="1"/>
        <v>10</v>
      </c>
      <c r="H40" s="83" t="s">
        <v>149</v>
      </c>
      <c r="I40" s="83"/>
      <c r="J40" s="93"/>
      <c r="K40" s="84"/>
      <c r="L40" s="94"/>
      <c r="M40" s="95"/>
    </row>
    <row r="41" spans="1:13" ht="12" customHeight="1">
      <c r="A41" s="83">
        <f t="shared" si="0"/>
        <v>35</v>
      </c>
      <c r="B41" s="74" t="s">
        <v>447</v>
      </c>
      <c r="C41" s="84" t="s">
        <v>448</v>
      </c>
      <c r="D41" s="88" t="s">
        <v>234</v>
      </c>
      <c r="E41" s="85"/>
      <c r="F41" s="86"/>
      <c r="G41" s="87">
        <f t="shared" si="1"/>
        <v>10</v>
      </c>
      <c r="H41" s="83" t="s">
        <v>149</v>
      </c>
      <c r="I41" s="83"/>
      <c r="J41" s="93"/>
      <c r="K41" s="274" t="s">
        <v>449</v>
      </c>
      <c r="L41" s="275"/>
      <c r="M41" s="276"/>
    </row>
    <row r="42" spans="1:13" ht="12" customHeight="1">
      <c r="A42" s="83" t="str">
        <f t="shared" ref="A42:A48" si="2">IF(B42=""," ",A41+1)</f>
        <v xml:space="preserve"> </v>
      </c>
      <c r="B42" s="11"/>
      <c r="C42" s="84"/>
      <c r="D42" s="88"/>
      <c r="E42" s="85"/>
      <c r="F42" s="86"/>
      <c r="G42" s="87"/>
      <c r="H42" s="83"/>
      <c r="I42" s="83"/>
      <c r="J42" s="93"/>
      <c r="K42" s="274"/>
      <c r="L42" s="275"/>
      <c r="M42" s="276"/>
    </row>
    <row r="43" spans="1:13" ht="12" customHeight="1">
      <c r="A43" s="83" t="str">
        <f t="shared" si="2"/>
        <v xml:space="preserve"> </v>
      </c>
      <c r="B43" s="11"/>
      <c r="C43" s="84"/>
      <c r="D43" s="88"/>
      <c r="E43" s="85"/>
      <c r="F43" s="86"/>
      <c r="G43" s="87"/>
      <c r="H43" s="83"/>
      <c r="I43" s="83"/>
      <c r="J43" s="93"/>
      <c r="K43" s="274"/>
      <c r="L43" s="275"/>
      <c r="M43" s="276"/>
    </row>
    <row r="44" spans="1:13" ht="12" customHeight="1">
      <c r="A44" s="83" t="str">
        <f t="shared" si="2"/>
        <v xml:space="preserve"> </v>
      </c>
      <c r="B44" s="11"/>
      <c r="C44" s="84"/>
      <c r="D44" s="88"/>
      <c r="E44" s="85"/>
      <c r="F44" s="86"/>
      <c r="G44" s="87"/>
      <c r="H44" s="83"/>
      <c r="I44" s="83"/>
      <c r="J44" s="93"/>
      <c r="K44" s="274"/>
      <c r="L44" s="275"/>
      <c r="M44" s="276"/>
    </row>
    <row r="45" spans="1:13" ht="12" customHeight="1">
      <c r="A45" s="83" t="str">
        <f t="shared" si="2"/>
        <v xml:space="preserve"> </v>
      </c>
      <c r="B45" s="11"/>
      <c r="C45" s="21"/>
      <c r="D45" s="13"/>
      <c r="E45" s="85"/>
      <c r="F45" s="86"/>
      <c r="G45" s="87"/>
      <c r="H45" s="83"/>
      <c r="I45" s="83"/>
      <c r="J45" s="93"/>
      <c r="K45" s="308"/>
      <c r="L45" s="278"/>
      <c r="M45" s="279"/>
    </row>
    <row r="46" spans="1:13" ht="12" customHeight="1">
      <c r="A46" s="83" t="str">
        <f t="shared" si="2"/>
        <v xml:space="preserve"> </v>
      </c>
      <c r="B46" s="11"/>
      <c r="C46" s="21"/>
      <c r="D46" s="13"/>
      <c r="E46" s="85"/>
      <c r="F46" s="86"/>
      <c r="G46" s="87"/>
      <c r="H46" s="83"/>
      <c r="I46" s="83"/>
      <c r="J46" s="93"/>
      <c r="K46" s="274"/>
      <c r="L46" s="275"/>
      <c r="M46" s="276"/>
    </row>
    <row r="47" spans="1:13" ht="12" customHeight="1">
      <c r="A47" s="83" t="str">
        <f t="shared" si="2"/>
        <v xml:space="preserve"> </v>
      </c>
      <c r="B47" s="20"/>
      <c r="C47" s="84"/>
      <c r="D47" s="88"/>
      <c r="E47" s="85"/>
      <c r="F47" s="86"/>
      <c r="G47" s="87"/>
      <c r="H47" s="83"/>
      <c r="I47" s="83"/>
      <c r="J47" s="93"/>
      <c r="K47" s="280"/>
      <c r="L47" s="291"/>
      <c r="M47" s="292"/>
    </row>
    <row r="48" spans="1:13" ht="12" customHeight="1">
      <c r="A48" s="83" t="str">
        <f t="shared" si="2"/>
        <v xml:space="preserve"> </v>
      </c>
      <c r="B48" s="11"/>
      <c r="C48" s="84"/>
      <c r="D48" s="88"/>
      <c r="E48" s="85"/>
      <c r="F48" s="86"/>
      <c r="G48" s="87"/>
      <c r="H48" s="83"/>
      <c r="I48" s="83"/>
      <c r="J48" s="93"/>
      <c r="K48" s="274"/>
      <c r="L48" s="275"/>
      <c r="M48" s="276"/>
    </row>
    <row r="49" spans="1:13" ht="12" customHeight="1">
      <c r="A49" s="83" t="str">
        <f t="shared" ref="A49:A80" si="3">IF(B49=""," ",A48+1)</f>
        <v xml:space="preserve"> </v>
      </c>
      <c r="B49" s="74"/>
      <c r="C49" s="84"/>
      <c r="D49" s="88"/>
      <c r="E49" s="85"/>
      <c r="F49" s="86"/>
      <c r="G49" s="87"/>
      <c r="H49" s="83"/>
      <c r="I49" s="83"/>
      <c r="J49" s="93"/>
      <c r="K49" s="274"/>
      <c r="L49" s="275"/>
      <c r="M49" s="276"/>
    </row>
    <row r="50" spans="1:13" ht="12" customHeight="1">
      <c r="A50" s="83" t="str">
        <f t="shared" si="3"/>
        <v xml:space="preserve"> </v>
      </c>
      <c r="B50" s="11"/>
      <c r="C50" s="84"/>
      <c r="D50" s="88"/>
      <c r="E50" s="85"/>
      <c r="F50" s="86"/>
      <c r="G50" s="87"/>
      <c r="H50" s="83"/>
      <c r="I50" s="83"/>
      <c r="J50" s="93"/>
      <c r="K50" s="84"/>
      <c r="L50" s="94"/>
      <c r="M50" s="95"/>
    </row>
    <row r="51" spans="1:13" ht="12" customHeight="1">
      <c r="A51" s="83" t="str">
        <f t="shared" si="3"/>
        <v xml:space="preserve"> </v>
      </c>
      <c r="B51" s="11"/>
      <c r="C51" s="84"/>
      <c r="D51" s="88"/>
      <c r="E51" s="85"/>
      <c r="F51" s="86"/>
      <c r="G51" s="87"/>
      <c r="H51" s="83"/>
      <c r="I51" s="83"/>
      <c r="J51" s="93"/>
      <c r="K51" s="274"/>
      <c r="L51" s="275"/>
      <c r="M51" s="276"/>
    </row>
    <row r="52" spans="1:13" ht="12" customHeight="1">
      <c r="A52" s="83" t="str">
        <f t="shared" si="3"/>
        <v xml:space="preserve"> </v>
      </c>
      <c r="B52" s="11"/>
      <c r="C52" s="84"/>
      <c r="D52" s="88"/>
      <c r="E52" s="85"/>
      <c r="F52" s="86"/>
      <c r="G52" s="87"/>
      <c r="H52" s="83"/>
      <c r="I52" s="83"/>
      <c r="J52" s="93"/>
      <c r="K52" s="274"/>
      <c r="L52" s="275"/>
      <c r="M52" s="276"/>
    </row>
    <row r="53" spans="1:13" ht="12" customHeight="1">
      <c r="A53" s="83" t="str">
        <f t="shared" si="3"/>
        <v xml:space="preserve"> </v>
      </c>
      <c r="B53" s="11"/>
      <c r="C53" s="21"/>
      <c r="D53" s="13"/>
      <c r="E53" s="85"/>
      <c r="F53" s="86"/>
      <c r="G53" s="87"/>
      <c r="H53" s="83"/>
      <c r="I53" s="83"/>
      <c r="J53" s="93"/>
      <c r="K53" s="274"/>
      <c r="L53" s="275"/>
      <c r="M53" s="276"/>
    </row>
    <row r="54" spans="1:13" ht="12" customHeight="1">
      <c r="A54" s="83" t="str">
        <f t="shared" si="3"/>
        <v xml:space="preserve"> </v>
      </c>
      <c r="B54" s="20"/>
      <c r="C54" s="84"/>
      <c r="D54" s="88"/>
      <c r="E54" s="85"/>
      <c r="F54" s="86"/>
      <c r="G54" s="87"/>
      <c r="H54" s="83"/>
      <c r="I54" s="83"/>
      <c r="J54" s="93"/>
      <c r="K54" s="280"/>
      <c r="L54" s="291"/>
      <c r="M54" s="292"/>
    </row>
    <row r="55" spans="1:13" ht="12" customHeight="1">
      <c r="A55" s="83" t="str">
        <f t="shared" si="3"/>
        <v xml:space="preserve"> </v>
      </c>
      <c r="B55" s="11"/>
      <c r="C55" s="84"/>
      <c r="D55" s="88"/>
      <c r="E55" s="85"/>
      <c r="F55" s="86"/>
      <c r="G55" s="87"/>
      <c r="H55" s="83"/>
      <c r="I55" s="83"/>
      <c r="J55" s="93"/>
      <c r="K55" s="274"/>
      <c r="L55" s="275"/>
      <c r="M55" s="276"/>
    </row>
    <row r="56" spans="1:13" ht="12" customHeight="1">
      <c r="A56" s="83" t="str">
        <f t="shared" si="3"/>
        <v xml:space="preserve"> </v>
      </c>
      <c r="B56" s="74"/>
      <c r="C56" s="84"/>
      <c r="D56" s="88"/>
      <c r="E56" s="85"/>
      <c r="F56" s="86"/>
      <c r="G56" s="87"/>
      <c r="H56" s="83"/>
      <c r="I56" s="83"/>
      <c r="J56" s="93"/>
      <c r="K56" s="274"/>
      <c r="L56" s="275"/>
      <c r="M56" s="276"/>
    </row>
    <row r="57" spans="1:13" ht="12" customHeight="1">
      <c r="A57" s="83" t="str">
        <f t="shared" si="3"/>
        <v xml:space="preserve"> </v>
      </c>
      <c r="B57" s="11"/>
      <c r="C57" s="84"/>
      <c r="D57" s="88"/>
      <c r="E57" s="85"/>
      <c r="F57" s="86"/>
      <c r="G57" s="87"/>
      <c r="H57" s="83"/>
      <c r="I57" s="83"/>
      <c r="J57" s="93"/>
      <c r="K57" s="84"/>
      <c r="L57" s="94"/>
      <c r="M57" s="95"/>
    </row>
    <row r="58" spans="1:13" ht="12" customHeight="1">
      <c r="A58" s="83" t="str">
        <f t="shared" si="3"/>
        <v xml:space="preserve"> </v>
      </c>
      <c r="B58" s="11"/>
      <c r="C58" s="84"/>
      <c r="D58" s="88"/>
      <c r="E58" s="85"/>
      <c r="F58" s="86"/>
      <c r="G58" s="87"/>
      <c r="H58" s="83"/>
      <c r="I58" s="83"/>
      <c r="J58" s="93"/>
      <c r="K58" s="274"/>
      <c r="L58" s="275"/>
      <c r="M58" s="276"/>
    </row>
    <row r="59" spans="1:13" ht="12" customHeight="1">
      <c r="A59" s="83" t="str">
        <f t="shared" si="3"/>
        <v xml:space="preserve"> </v>
      </c>
      <c r="B59" s="11"/>
      <c r="C59" s="84"/>
      <c r="D59" s="88"/>
      <c r="E59" s="85"/>
      <c r="F59" s="86"/>
      <c r="G59" s="87"/>
      <c r="H59" s="83"/>
      <c r="I59" s="83"/>
      <c r="J59" s="93"/>
      <c r="K59" s="274"/>
      <c r="L59" s="275"/>
      <c r="M59" s="276"/>
    </row>
    <row r="60" spans="1:13" ht="12" customHeight="1">
      <c r="A60" s="83" t="str">
        <f t="shared" si="3"/>
        <v xml:space="preserve"> </v>
      </c>
      <c r="B60" s="11"/>
      <c r="C60" s="21"/>
      <c r="D60" s="13"/>
      <c r="E60" s="85"/>
      <c r="F60" s="86"/>
      <c r="G60" s="87"/>
      <c r="H60" s="83"/>
      <c r="I60" s="83"/>
      <c r="J60" s="93"/>
      <c r="K60" s="274"/>
      <c r="L60" s="275"/>
      <c r="M60" s="276"/>
    </row>
    <row r="61" spans="1:13" ht="12" customHeight="1">
      <c r="A61" s="83" t="str">
        <f t="shared" si="3"/>
        <v xml:space="preserve"> </v>
      </c>
      <c r="B61" s="20"/>
      <c r="C61" s="84"/>
      <c r="D61" s="88"/>
      <c r="E61" s="85"/>
      <c r="F61" s="86"/>
      <c r="G61" s="87"/>
      <c r="H61" s="83"/>
      <c r="I61" s="83"/>
      <c r="J61" s="93"/>
      <c r="K61" s="280"/>
      <c r="L61" s="291"/>
      <c r="M61" s="292"/>
    </row>
    <row r="62" spans="1:13" ht="12" customHeight="1">
      <c r="A62" s="83" t="str">
        <f t="shared" si="3"/>
        <v xml:space="preserve"> </v>
      </c>
      <c r="B62" s="11"/>
      <c r="C62" s="84"/>
      <c r="D62" s="88"/>
      <c r="E62" s="85"/>
      <c r="F62" s="86"/>
      <c r="G62" s="87"/>
      <c r="H62" s="83"/>
      <c r="I62" s="83"/>
      <c r="J62" s="93"/>
      <c r="K62" s="274"/>
      <c r="L62" s="275"/>
      <c r="M62" s="276"/>
    </row>
    <row r="63" spans="1:13" ht="12" customHeight="1">
      <c r="A63" s="83" t="str">
        <f t="shared" si="3"/>
        <v xml:space="preserve"> </v>
      </c>
      <c r="B63" s="74"/>
      <c r="C63" s="84"/>
      <c r="D63" s="88"/>
      <c r="E63" s="85"/>
      <c r="F63" s="86"/>
      <c r="G63" s="87"/>
      <c r="H63" s="83"/>
      <c r="I63" s="83"/>
      <c r="J63" s="93"/>
      <c r="K63" s="274"/>
      <c r="L63" s="275"/>
      <c r="M63" s="276"/>
    </row>
    <row r="64" spans="1:13" ht="12" customHeight="1">
      <c r="A64" s="83" t="str">
        <f t="shared" si="3"/>
        <v xml:space="preserve"> </v>
      </c>
      <c r="B64" s="11"/>
      <c r="C64" s="84"/>
      <c r="D64" s="88"/>
      <c r="E64" s="85"/>
      <c r="F64" s="86"/>
      <c r="G64" s="87"/>
      <c r="H64" s="83"/>
      <c r="I64" s="83"/>
      <c r="J64" s="93"/>
      <c r="K64" s="84"/>
      <c r="L64" s="94"/>
      <c r="M64" s="95"/>
    </row>
    <row r="65" spans="1:13" ht="12" customHeight="1">
      <c r="A65" s="83" t="str">
        <f t="shared" si="3"/>
        <v xml:space="preserve"> </v>
      </c>
      <c r="B65" s="11"/>
      <c r="C65" s="84"/>
      <c r="D65" s="88"/>
      <c r="E65" s="85"/>
      <c r="F65" s="86"/>
      <c r="G65" s="87"/>
      <c r="H65" s="83"/>
      <c r="I65" s="83"/>
      <c r="J65" s="93"/>
      <c r="K65" s="274"/>
      <c r="L65" s="275"/>
      <c r="M65" s="276"/>
    </row>
    <row r="66" spans="1:13" ht="12" customHeight="1">
      <c r="A66" s="83" t="str">
        <f t="shared" si="3"/>
        <v xml:space="preserve"> </v>
      </c>
      <c r="B66" s="11"/>
      <c r="C66" s="84"/>
      <c r="D66" s="88"/>
      <c r="E66" s="85"/>
      <c r="F66" s="86"/>
      <c r="G66" s="87"/>
      <c r="H66" s="83"/>
      <c r="I66" s="83"/>
      <c r="J66" s="93"/>
      <c r="K66" s="274"/>
      <c r="L66" s="275"/>
      <c r="M66" s="276"/>
    </row>
    <row r="67" spans="1:13" ht="12" customHeight="1">
      <c r="A67" s="83" t="str">
        <f t="shared" si="3"/>
        <v xml:space="preserve"> </v>
      </c>
      <c r="B67" s="11"/>
      <c r="C67" s="21"/>
      <c r="D67" s="13"/>
      <c r="E67" s="85"/>
      <c r="F67" s="86"/>
      <c r="G67" s="87"/>
      <c r="H67" s="83"/>
      <c r="I67" s="83"/>
      <c r="J67" s="93"/>
      <c r="K67" s="274"/>
      <c r="L67" s="275"/>
      <c r="M67" s="276"/>
    </row>
    <row r="68" spans="1:13" ht="12" customHeight="1">
      <c r="A68" s="83" t="str">
        <f t="shared" si="3"/>
        <v xml:space="preserve"> </v>
      </c>
      <c r="B68" s="20"/>
      <c r="C68" s="84"/>
      <c r="D68" s="88"/>
      <c r="E68" s="85"/>
      <c r="F68" s="86"/>
      <c r="G68" s="87"/>
      <c r="H68" s="83"/>
      <c r="I68" s="83"/>
      <c r="J68" s="93"/>
      <c r="K68" s="280"/>
      <c r="L68" s="291"/>
      <c r="M68" s="292"/>
    </row>
    <row r="69" spans="1:13" ht="12" customHeight="1">
      <c r="A69" s="83" t="str">
        <f t="shared" si="3"/>
        <v xml:space="preserve"> </v>
      </c>
      <c r="B69" s="11"/>
      <c r="C69" s="84"/>
      <c r="D69" s="88"/>
      <c r="E69" s="85"/>
      <c r="F69" s="86"/>
      <c r="G69" s="87"/>
      <c r="H69" s="83"/>
      <c r="I69" s="83"/>
      <c r="J69" s="93"/>
      <c r="K69" s="274"/>
      <c r="L69" s="275"/>
      <c r="M69" s="276"/>
    </row>
    <row r="70" spans="1:13" ht="12" customHeight="1">
      <c r="A70" s="83" t="str">
        <f t="shared" si="3"/>
        <v xml:space="preserve"> </v>
      </c>
      <c r="B70" s="74"/>
      <c r="C70" s="84"/>
      <c r="D70" s="88"/>
      <c r="E70" s="85"/>
      <c r="F70" s="86"/>
      <c r="G70" s="87"/>
      <c r="H70" s="83"/>
      <c r="I70" s="83"/>
      <c r="J70" s="93"/>
      <c r="K70" s="274"/>
      <c r="L70" s="275"/>
      <c r="M70" s="276"/>
    </row>
    <row r="71" spans="1:13" ht="12" customHeight="1">
      <c r="A71" s="83" t="str">
        <f t="shared" si="3"/>
        <v xml:space="preserve"> </v>
      </c>
      <c r="B71" s="11"/>
      <c r="C71" s="84"/>
      <c r="D71" s="88"/>
      <c r="E71" s="85"/>
      <c r="F71" s="86"/>
      <c r="G71" s="87"/>
      <c r="H71" s="83"/>
      <c r="I71" s="83"/>
      <c r="J71" s="93"/>
      <c r="K71" s="84"/>
      <c r="L71" s="94"/>
      <c r="M71" s="95"/>
    </row>
    <row r="72" spans="1:13" ht="12" customHeight="1">
      <c r="A72" s="83" t="str">
        <f t="shared" si="3"/>
        <v xml:space="preserve"> </v>
      </c>
      <c r="B72" s="11"/>
      <c r="C72" s="84"/>
      <c r="D72" s="88"/>
      <c r="E72" s="85"/>
      <c r="F72" s="86"/>
      <c r="G72" s="87"/>
      <c r="H72" s="83"/>
      <c r="I72" s="83"/>
      <c r="J72" s="93"/>
      <c r="K72" s="274"/>
      <c r="L72" s="275"/>
      <c r="M72" s="276"/>
    </row>
    <row r="73" spans="1:13" ht="12" customHeight="1">
      <c r="A73" s="83" t="str">
        <f t="shared" si="3"/>
        <v xml:space="preserve"> </v>
      </c>
      <c r="B73" s="11"/>
      <c r="C73" s="84"/>
      <c r="D73" s="88"/>
      <c r="E73" s="85"/>
      <c r="F73" s="86"/>
      <c r="G73" s="87"/>
      <c r="H73" s="83"/>
      <c r="I73" s="83"/>
      <c r="J73" s="93"/>
      <c r="K73" s="274"/>
      <c r="L73" s="275"/>
      <c r="M73" s="276"/>
    </row>
    <row r="74" spans="1:13" ht="12" customHeight="1">
      <c r="A74" s="83" t="str">
        <f t="shared" si="3"/>
        <v xml:space="preserve"> </v>
      </c>
      <c r="B74" s="11"/>
      <c r="C74" s="21"/>
      <c r="D74" s="13"/>
      <c r="E74" s="85"/>
      <c r="F74" s="86"/>
      <c r="G74" s="87"/>
      <c r="H74" s="83"/>
      <c r="I74" s="83"/>
      <c r="J74" s="93"/>
      <c r="K74" s="274"/>
      <c r="L74" s="275"/>
      <c r="M74" s="276"/>
    </row>
    <row r="75" spans="1:13" ht="12" customHeight="1">
      <c r="A75" s="83" t="str">
        <f t="shared" si="3"/>
        <v xml:space="preserve"> </v>
      </c>
      <c r="B75" s="20"/>
      <c r="C75" s="84"/>
      <c r="D75" s="88"/>
      <c r="E75" s="85"/>
      <c r="F75" s="86"/>
      <c r="G75" s="87"/>
      <c r="H75" s="83"/>
      <c r="I75" s="83"/>
      <c r="J75" s="93"/>
      <c r="K75" s="280"/>
      <c r="L75" s="291"/>
      <c r="M75" s="292"/>
    </row>
    <row r="76" spans="1:13" ht="12" customHeight="1">
      <c r="A76" s="83" t="str">
        <f t="shared" si="3"/>
        <v xml:space="preserve"> </v>
      </c>
      <c r="B76" s="11"/>
      <c r="C76" s="84"/>
      <c r="D76" s="88"/>
      <c r="E76" s="85"/>
      <c r="F76" s="86"/>
      <c r="G76" s="87"/>
      <c r="H76" s="83"/>
      <c r="I76" s="83"/>
      <c r="J76" s="93"/>
      <c r="K76" s="274"/>
      <c r="L76" s="275"/>
      <c r="M76" s="276"/>
    </row>
    <row r="77" spans="1:13" ht="12" customHeight="1">
      <c r="A77" s="83" t="str">
        <f t="shared" si="3"/>
        <v xml:space="preserve"> </v>
      </c>
      <c r="B77" s="74"/>
      <c r="C77" s="84"/>
      <c r="D77" s="88"/>
      <c r="E77" s="85"/>
      <c r="F77" s="86"/>
      <c r="G77" s="87"/>
      <c r="H77" s="83"/>
      <c r="I77" s="83"/>
      <c r="J77" s="93"/>
      <c r="K77" s="274"/>
      <c r="L77" s="275"/>
      <c r="M77" s="276"/>
    </row>
    <row r="78" spans="1:13" ht="12" customHeight="1">
      <c r="A78" s="83" t="str">
        <f t="shared" si="3"/>
        <v xml:space="preserve"> </v>
      </c>
      <c r="B78" s="11"/>
      <c r="C78" s="84"/>
      <c r="D78" s="88"/>
      <c r="E78" s="85"/>
      <c r="F78" s="86"/>
      <c r="G78" s="87"/>
      <c r="H78" s="83"/>
      <c r="I78" s="83"/>
      <c r="J78" s="93"/>
      <c r="K78" s="84"/>
      <c r="L78" s="94"/>
      <c r="M78" s="95"/>
    </row>
    <row r="79" spans="1:13" ht="12" customHeight="1">
      <c r="A79" s="83" t="str">
        <f t="shared" si="3"/>
        <v xml:space="preserve"> </v>
      </c>
      <c r="B79" s="11"/>
      <c r="C79" s="84"/>
      <c r="D79" s="88"/>
      <c r="E79" s="85"/>
      <c r="F79" s="86"/>
      <c r="G79" s="87"/>
      <c r="H79" s="83"/>
      <c r="I79" s="83"/>
      <c r="J79" s="93"/>
      <c r="K79" s="274"/>
      <c r="L79" s="275"/>
      <c r="M79" s="276"/>
    </row>
    <row r="80" spans="1:13" ht="12" customHeight="1">
      <c r="A80" s="83" t="str">
        <f t="shared" si="3"/>
        <v xml:space="preserve"> </v>
      </c>
      <c r="B80" s="11"/>
      <c r="C80" s="84"/>
      <c r="D80" s="88"/>
      <c r="E80" s="85"/>
      <c r="F80" s="86"/>
      <c r="G80" s="87"/>
      <c r="H80" s="83"/>
      <c r="I80" s="83"/>
      <c r="J80" s="93"/>
      <c r="K80" s="274"/>
      <c r="L80" s="275"/>
      <c r="M80" s="276"/>
    </row>
    <row r="81" spans="1:13" ht="12" customHeight="1">
      <c r="A81" s="83" t="str">
        <f t="shared" ref="A81:A100" si="4">IF(B81=""," ",A80+1)</f>
        <v xml:space="preserve"> </v>
      </c>
      <c r="B81" s="11"/>
      <c r="C81" s="21"/>
      <c r="D81" s="13"/>
      <c r="E81" s="85"/>
      <c r="F81" s="86"/>
      <c r="G81" s="87"/>
      <c r="H81" s="83"/>
      <c r="I81" s="83"/>
      <c r="J81" s="93"/>
      <c r="K81" s="274"/>
      <c r="L81" s="275"/>
      <c r="M81" s="276"/>
    </row>
    <row r="82" spans="1:13" ht="12" customHeight="1">
      <c r="A82" s="83" t="str">
        <f t="shared" si="4"/>
        <v xml:space="preserve"> </v>
      </c>
      <c r="B82" s="20"/>
      <c r="C82" s="84"/>
      <c r="D82" s="88"/>
      <c r="E82" s="85"/>
      <c r="F82" s="86"/>
      <c r="G82" s="87"/>
      <c r="H82" s="83"/>
      <c r="I82" s="83"/>
      <c r="J82" s="93"/>
      <c r="K82" s="280"/>
      <c r="L82" s="291"/>
      <c r="M82" s="292"/>
    </row>
    <row r="83" spans="1:13" ht="12" customHeight="1">
      <c r="A83" s="83" t="str">
        <f t="shared" si="4"/>
        <v xml:space="preserve"> </v>
      </c>
      <c r="B83" s="11"/>
      <c r="C83" s="84"/>
      <c r="D83" s="88"/>
      <c r="E83" s="85"/>
      <c r="F83" s="86"/>
      <c r="G83" s="87"/>
      <c r="H83" s="83"/>
      <c r="I83" s="83"/>
      <c r="J83" s="93"/>
      <c r="K83" s="274"/>
      <c r="L83" s="275"/>
      <c r="M83" s="276"/>
    </row>
    <row r="84" spans="1:13" ht="12" customHeight="1">
      <c r="A84" s="83" t="str">
        <f t="shared" si="4"/>
        <v xml:space="preserve"> </v>
      </c>
      <c r="B84" s="74"/>
      <c r="C84" s="84"/>
      <c r="D84" s="88"/>
      <c r="E84" s="85"/>
      <c r="F84" s="86"/>
      <c r="G84" s="87"/>
      <c r="H84" s="83"/>
      <c r="I84" s="83"/>
      <c r="J84" s="93"/>
      <c r="K84" s="274"/>
      <c r="L84" s="275"/>
      <c r="M84" s="276"/>
    </row>
    <row r="85" spans="1:13" ht="12" customHeight="1">
      <c r="A85" s="83" t="str">
        <f t="shared" si="4"/>
        <v xml:space="preserve"> </v>
      </c>
      <c r="B85" s="11"/>
      <c r="C85" s="84"/>
      <c r="D85" s="88"/>
      <c r="E85" s="85"/>
      <c r="F85" s="86"/>
      <c r="G85" s="87"/>
      <c r="H85" s="83"/>
      <c r="I85" s="83"/>
      <c r="J85" s="93"/>
      <c r="K85" s="84"/>
      <c r="L85" s="94"/>
      <c r="M85" s="95"/>
    </row>
    <row r="86" spans="1:13" ht="12" customHeight="1">
      <c r="A86" s="83" t="str">
        <f t="shared" si="4"/>
        <v xml:space="preserve"> </v>
      </c>
      <c r="B86" s="11"/>
      <c r="C86" s="84"/>
      <c r="D86" s="88"/>
      <c r="E86" s="85"/>
      <c r="F86" s="86"/>
      <c r="G86" s="87"/>
      <c r="H86" s="83"/>
      <c r="I86" s="83"/>
      <c r="J86" s="93"/>
      <c r="K86" s="274"/>
      <c r="L86" s="275"/>
      <c r="M86" s="276"/>
    </row>
    <row r="87" spans="1:13" ht="12" customHeight="1">
      <c r="A87" s="83" t="str">
        <f t="shared" si="4"/>
        <v xml:space="preserve"> </v>
      </c>
      <c r="B87" s="11"/>
      <c r="C87" s="84"/>
      <c r="D87" s="88"/>
      <c r="E87" s="85"/>
      <c r="F87" s="86"/>
      <c r="G87" s="87"/>
      <c r="H87" s="83"/>
      <c r="I87" s="83"/>
      <c r="J87" s="93"/>
      <c r="K87" s="274"/>
      <c r="L87" s="275"/>
      <c r="M87" s="276"/>
    </row>
    <row r="88" spans="1:13" ht="12" customHeight="1">
      <c r="A88" s="83" t="str">
        <f t="shared" si="4"/>
        <v xml:space="preserve"> </v>
      </c>
      <c r="B88" s="11"/>
      <c r="C88" s="21"/>
      <c r="D88" s="13"/>
      <c r="E88" s="85"/>
      <c r="F88" s="86"/>
      <c r="G88" s="87"/>
      <c r="H88" s="83"/>
      <c r="I88" s="83"/>
      <c r="J88" s="93"/>
      <c r="K88" s="274"/>
      <c r="L88" s="275"/>
      <c r="M88" s="276"/>
    </row>
    <row r="89" spans="1:13" ht="12" customHeight="1">
      <c r="A89" s="83" t="str">
        <f t="shared" si="4"/>
        <v xml:space="preserve"> </v>
      </c>
      <c r="B89" s="20"/>
      <c r="C89" s="84"/>
      <c r="D89" s="88"/>
      <c r="E89" s="85"/>
      <c r="F89" s="86"/>
      <c r="G89" s="87"/>
      <c r="H89" s="83"/>
      <c r="I89" s="83"/>
      <c r="J89" s="93"/>
      <c r="K89" s="280"/>
      <c r="L89" s="291"/>
      <c r="M89" s="292"/>
    </row>
    <row r="90" spans="1:13" ht="12" customHeight="1">
      <c r="A90" s="83" t="str">
        <f t="shared" si="4"/>
        <v xml:space="preserve"> </v>
      </c>
      <c r="B90" s="11"/>
      <c r="C90" s="84"/>
      <c r="D90" s="88"/>
      <c r="E90" s="85"/>
      <c r="F90" s="86"/>
      <c r="G90" s="87"/>
      <c r="H90" s="83"/>
      <c r="I90" s="83"/>
      <c r="J90" s="93"/>
      <c r="K90" s="274"/>
      <c r="L90" s="275"/>
      <c r="M90" s="276"/>
    </row>
    <row r="91" spans="1:13" ht="12" customHeight="1">
      <c r="A91" s="83" t="str">
        <f t="shared" si="4"/>
        <v xml:space="preserve"> </v>
      </c>
      <c r="B91" s="74"/>
      <c r="C91" s="84"/>
      <c r="D91" s="88"/>
      <c r="E91" s="85"/>
      <c r="F91" s="86"/>
      <c r="G91" s="87"/>
      <c r="H91" s="83"/>
      <c r="I91" s="83"/>
      <c r="J91" s="93"/>
      <c r="K91" s="274"/>
      <c r="L91" s="275"/>
      <c r="M91" s="276"/>
    </row>
    <row r="92" spans="1:13" ht="12" customHeight="1">
      <c r="A92" s="83" t="str">
        <f t="shared" si="4"/>
        <v xml:space="preserve"> </v>
      </c>
      <c r="B92" s="11"/>
      <c r="C92" s="84"/>
      <c r="D92" s="88"/>
      <c r="E92" s="85"/>
      <c r="F92" s="86"/>
      <c r="G92" s="87"/>
      <c r="H92" s="83"/>
      <c r="I92" s="83"/>
      <c r="J92" s="93"/>
      <c r="K92" s="84"/>
      <c r="L92" s="94"/>
      <c r="M92" s="95"/>
    </row>
    <row r="93" spans="1:13" ht="12" customHeight="1">
      <c r="A93" s="83" t="str">
        <f t="shared" si="4"/>
        <v xml:space="preserve"> </v>
      </c>
      <c r="B93" s="11"/>
      <c r="C93" s="84"/>
      <c r="D93" s="88"/>
      <c r="E93" s="85"/>
      <c r="F93" s="86"/>
      <c r="G93" s="87"/>
      <c r="H93" s="83"/>
      <c r="I93" s="83"/>
      <c r="J93" s="93"/>
      <c r="K93" s="274"/>
      <c r="L93" s="275"/>
      <c r="M93" s="276"/>
    </row>
    <row r="94" spans="1:13" ht="12" customHeight="1">
      <c r="A94" s="83" t="str">
        <f t="shared" si="4"/>
        <v xml:space="preserve"> </v>
      </c>
      <c r="B94" s="11"/>
      <c r="C94" s="84"/>
      <c r="D94" s="88"/>
      <c r="E94" s="85"/>
      <c r="F94" s="86"/>
      <c r="G94" s="87"/>
      <c r="H94" s="83"/>
      <c r="I94" s="83"/>
      <c r="J94" s="93"/>
      <c r="K94" s="274"/>
      <c r="L94" s="275"/>
      <c r="M94" s="276"/>
    </row>
    <row r="95" spans="1:13" ht="12" customHeight="1">
      <c r="A95" s="83" t="str">
        <f t="shared" si="4"/>
        <v xml:space="preserve"> </v>
      </c>
      <c r="B95" s="11"/>
      <c r="C95" s="21"/>
      <c r="D95" s="13"/>
      <c r="E95" s="85"/>
      <c r="F95" s="86"/>
      <c r="G95" s="87"/>
      <c r="H95" s="83"/>
      <c r="I95" s="83"/>
      <c r="J95" s="93"/>
      <c r="K95" s="274"/>
      <c r="L95" s="275"/>
      <c r="M95" s="276"/>
    </row>
    <row r="96" spans="1:13" ht="12" customHeight="1">
      <c r="A96" s="83" t="str">
        <f t="shared" si="4"/>
        <v xml:space="preserve"> </v>
      </c>
      <c r="B96" s="20"/>
      <c r="C96" s="84"/>
      <c r="D96" s="88"/>
      <c r="E96" s="85"/>
      <c r="F96" s="86"/>
      <c r="G96" s="87"/>
      <c r="H96" s="83"/>
      <c r="I96" s="83"/>
      <c r="J96" s="93"/>
      <c r="K96" s="280"/>
      <c r="L96" s="291"/>
      <c r="M96" s="292"/>
    </row>
    <row r="97" spans="1:13" ht="12" customHeight="1">
      <c r="A97" s="83" t="str">
        <f t="shared" si="4"/>
        <v xml:space="preserve"> </v>
      </c>
      <c r="B97" s="11"/>
      <c r="C97" s="84"/>
      <c r="D97" s="88"/>
      <c r="E97" s="85"/>
      <c r="F97" s="86"/>
      <c r="G97" s="87"/>
      <c r="H97" s="83"/>
      <c r="I97" s="83"/>
      <c r="J97" s="93"/>
      <c r="K97" s="274"/>
      <c r="L97" s="275"/>
      <c r="M97" s="276"/>
    </row>
    <row r="98" spans="1:13" ht="12" customHeight="1">
      <c r="A98" s="83" t="str">
        <f t="shared" si="4"/>
        <v xml:space="preserve"> </v>
      </c>
      <c r="B98" s="74"/>
      <c r="C98" s="84"/>
      <c r="D98" s="88"/>
      <c r="E98" s="85"/>
      <c r="F98" s="86"/>
      <c r="G98" s="87"/>
      <c r="H98" s="83"/>
      <c r="I98" s="83"/>
      <c r="J98" s="93"/>
      <c r="K98" s="274"/>
      <c r="L98" s="275"/>
      <c r="M98" s="276"/>
    </row>
    <row r="99" spans="1:13" ht="12" customHeight="1">
      <c r="A99" s="83" t="str">
        <f t="shared" si="4"/>
        <v xml:space="preserve"> </v>
      </c>
      <c r="B99" s="11"/>
      <c r="C99" s="84"/>
      <c r="D99" s="88"/>
      <c r="E99" s="85"/>
      <c r="F99" s="86"/>
      <c r="G99" s="87"/>
      <c r="H99" s="83"/>
      <c r="I99" s="83"/>
      <c r="J99" s="93"/>
      <c r="K99" s="84"/>
      <c r="L99" s="94"/>
      <c r="M99" s="95"/>
    </row>
    <row r="100" spans="1:13" ht="12" customHeight="1">
      <c r="A100" s="83" t="str">
        <f t="shared" si="4"/>
        <v xml:space="preserve"> </v>
      </c>
      <c r="B100" s="11"/>
      <c r="C100" s="84"/>
      <c r="D100" s="88"/>
      <c r="E100" s="85"/>
      <c r="F100" s="86"/>
      <c r="G100" s="87"/>
      <c r="H100" s="83"/>
      <c r="I100" s="83"/>
      <c r="J100" s="93"/>
      <c r="K100" s="274"/>
      <c r="L100" s="275"/>
      <c r="M100" s="276"/>
    </row>
    <row r="102" spans="1:13">
      <c r="B102" s="75" t="s">
        <v>235</v>
      </c>
    </row>
    <row r="104" spans="1:13">
      <c r="B104" s="75" t="s">
        <v>799</v>
      </c>
      <c r="C104" s="75" t="s">
        <v>800</v>
      </c>
    </row>
    <row r="105" spans="1:13">
      <c r="C105" s="75" t="s">
        <v>801</v>
      </c>
    </row>
    <row r="107" spans="1:13">
      <c r="B107" s="75" t="s">
        <v>236</v>
      </c>
      <c r="C107" s="75" t="s">
        <v>237</v>
      </c>
    </row>
    <row r="109" spans="1:13">
      <c r="B109" s="75" t="s">
        <v>236</v>
      </c>
      <c r="C109" s="75" t="s">
        <v>588</v>
      </c>
    </row>
    <row r="111" spans="1:13">
      <c r="B111" s="75" t="s">
        <v>236</v>
      </c>
      <c r="C111" s="75" t="s">
        <v>238</v>
      </c>
    </row>
    <row r="113" spans="2:4">
      <c r="B113" s="75" t="s">
        <v>236</v>
      </c>
      <c r="C113" s="75" t="s">
        <v>802</v>
      </c>
    </row>
    <row r="114" spans="2:4">
      <c r="C114" s="75" t="s">
        <v>803</v>
      </c>
    </row>
    <row r="116" spans="2:4">
      <c r="B116" s="75" t="s">
        <v>239</v>
      </c>
      <c r="C116" s="75" t="s">
        <v>240</v>
      </c>
    </row>
    <row r="117" spans="2:4">
      <c r="C117" s="75" t="s">
        <v>241</v>
      </c>
    </row>
    <row r="120" spans="2:4">
      <c r="B120" s="100" t="s">
        <v>456</v>
      </c>
      <c r="C120" s="75" t="s">
        <v>457</v>
      </c>
      <c r="D120" s="75" t="s">
        <v>458</v>
      </c>
    </row>
  </sheetData>
  <mergeCells count="89">
    <mergeCell ref="K5:M6"/>
    <mergeCell ref="K95:M95"/>
    <mergeCell ref="K96:M96"/>
    <mergeCell ref="K97:M97"/>
    <mergeCell ref="K98:M98"/>
    <mergeCell ref="K100:M100"/>
    <mergeCell ref="K89:M89"/>
    <mergeCell ref="K90:M90"/>
    <mergeCell ref="K91:M91"/>
    <mergeCell ref="K93:M93"/>
    <mergeCell ref="K94:M94"/>
    <mergeCell ref="K83:M83"/>
    <mergeCell ref="K84:M84"/>
    <mergeCell ref="K86:M86"/>
    <mergeCell ref="K87:M87"/>
    <mergeCell ref="K88:M88"/>
    <mergeCell ref="K77:M77"/>
    <mergeCell ref="K79:M79"/>
    <mergeCell ref="K80:M80"/>
    <mergeCell ref="K81:M81"/>
    <mergeCell ref="K82:M82"/>
    <mergeCell ref="K72:M72"/>
    <mergeCell ref="K73:M73"/>
    <mergeCell ref="K74:M74"/>
    <mergeCell ref="K75:M75"/>
    <mergeCell ref="K76:M76"/>
    <mergeCell ref="K66:M66"/>
    <mergeCell ref="K67:M67"/>
    <mergeCell ref="K68:M68"/>
    <mergeCell ref="K69:M69"/>
    <mergeCell ref="K70:M70"/>
    <mergeCell ref="K60:M60"/>
    <mergeCell ref="K61:M61"/>
    <mergeCell ref="K62:M62"/>
    <mergeCell ref="K63:M63"/>
    <mergeCell ref="K65:M65"/>
    <mergeCell ref="K54:M54"/>
    <mergeCell ref="K55:M55"/>
    <mergeCell ref="K56:M56"/>
    <mergeCell ref="K58:M58"/>
    <mergeCell ref="K59:M59"/>
    <mergeCell ref="K48:M48"/>
    <mergeCell ref="K49:M49"/>
    <mergeCell ref="K51:M51"/>
    <mergeCell ref="K52:M52"/>
    <mergeCell ref="K53:M53"/>
    <mergeCell ref="K43:M43"/>
    <mergeCell ref="K44:M44"/>
    <mergeCell ref="K45:M45"/>
    <mergeCell ref="K46:M46"/>
    <mergeCell ref="K47:M47"/>
    <mergeCell ref="K37:M37"/>
    <mergeCell ref="K38:M38"/>
    <mergeCell ref="K39:M39"/>
    <mergeCell ref="K41:M41"/>
    <mergeCell ref="K42:M42"/>
    <mergeCell ref="K32:M32"/>
    <mergeCell ref="K33:M33"/>
    <mergeCell ref="K34:M34"/>
    <mergeCell ref="K35:M35"/>
    <mergeCell ref="K36:M36"/>
    <mergeCell ref="K23:M23"/>
    <mergeCell ref="K24:M24"/>
    <mergeCell ref="K25:M25"/>
    <mergeCell ref="K26:M26"/>
    <mergeCell ref="K31:M31"/>
    <mergeCell ref="K15:M15"/>
    <mergeCell ref="K16:M16"/>
    <mergeCell ref="K20:M20"/>
    <mergeCell ref="K21:M21"/>
    <mergeCell ref="K22:M22"/>
    <mergeCell ref="K7:M7"/>
    <mergeCell ref="K9:M9"/>
    <mergeCell ref="K10:M10"/>
    <mergeCell ref="K13:M13"/>
    <mergeCell ref="K14:M14"/>
    <mergeCell ref="A4:B4"/>
    <mergeCell ref="C4:G4"/>
    <mergeCell ref="H4:I4"/>
    <mergeCell ref="B5:C5"/>
    <mergeCell ref="D5:H5"/>
    <mergeCell ref="I5:J5"/>
    <mergeCell ref="A5:A6"/>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fitToPage="1"/>
  </sheetPr>
  <dimension ref="A1:Q113"/>
  <sheetViews>
    <sheetView showGridLines="0" workbookViewId="0">
      <pane ySplit="6" topLeftCell="A7" activePane="bottomLeft" state="frozen"/>
      <selection pane="bottomLeft"/>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804</v>
      </c>
      <c r="D3" s="265"/>
      <c r="E3" s="265"/>
      <c r="F3" s="265"/>
      <c r="G3" s="266"/>
      <c r="H3" s="259" t="s">
        <v>140</v>
      </c>
      <c r="I3" s="260"/>
      <c r="J3" s="90">
        <f>COUNT(A7:A100)</f>
        <v>17</v>
      </c>
      <c r="K3" s="78" t="s">
        <v>141</v>
      </c>
      <c r="L3" s="91">
        <v>38644</v>
      </c>
      <c r="M3" s="92" t="s">
        <v>142</v>
      </c>
      <c r="O3" s="75" t="s">
        <v>143</v>
      </c>
      <c r="P3" s="75" t="s">
        <v>144</v>
      </c>
    </row>
    <row r="4" spans="1:16" ht="12" customHeight="1">
      <c r="A4" s="267" t="s">
        <v>145</v>
      </c>
      <c r="B4" s="268"/>
      <c r="C4" s="267" t="s">
        <v>27</v>
      </c>
      <c r="D4" s="269"/>
      <c r="E4" s="269"/>
      <c r="F4" s="269"/>
      <c r="G4" s="268"/>
      <c r="H4" s="259" t="s">
        <v>146</v>
      </c>
      <c r="I4" s="260"/>
      <c r="J4" s="90">
        <f>SUM(G7:G100)</f>
        <v>97</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84" t="s">
        <v>163</v>
      </c>
      <c r="D7" s="13" t="s">
        <v>164</v>
      </c>
      <c r="E7" s="85"/>
      <c r="F7" s="86"/>
      <c r="G7" s="87">
        <f>IF(D7="DATE",4,IF(D7="CHAR",E7,IF(D7="SMALLINT",2,IF(D7="INTEGER",4,IF(D7="TIMESTAMP",10,IF(D7="TIME",3,0))))))</f>
        <v>4</v>
      </c>
      <c r="H7" s="83" t="s">
        <v>149</v>
      </c>
      <c r="I7" s="83" t="s">
        <v>149</v>
      </c>
      <c r="J7" s="93"/>
      <c r="K7" s="308"/>
      <c r="L7" s="278"/>
      <c r="M7" s="279"/>
      <c r="P7" s="75" t="s">
        <v>165</v>
      </c>
    </row>
    <row r="8" spans="1:16" ht="12" customHeight="1">
      <c r="A8" s="83">
        <f>IF(B8=""," ",A7+1)</f>
        <v>2</v>
      </c>
      <c r="B8" s="11" t="s">
        <v>166</v>
      </c>
      <c r="C8" s="84" t="s">
        <v>167</v>
      </c>
      <c r="D8" s="13" t="s">
        <v>150</v>
      </c>
      <c r="E8" s="85">
        <v>11</v>
      </c>
      <c r="F8" s="86"/>
      <c r="G8" s="87">
        <f t="shared" ref="G8:G23" si="0">IF(D8="DATE",4,IF(D8="CHAR",E8,IF(D8="SMALLINT",2,IF(D8="INTEGER",4,IF(D8="TIMESTAMP",10,IF(D8="TIME",3,0))))))</f>
        <v>11</v>
      </c>
      <c r="H8" s="83" t="s">
        <v>149</v>
      </c>
      <c r="I8" s="83" t="s">
        <v>149</v>
      </c>
      <c r="J8" s="93"/>
      <c r="K8" s="21"/>
      <c r="L8" s="29"/>
      <c r="M8" s="30"/>
    </row>
    <row r="9" spans="1:16" ht="27" customHeight="1">
      <c r="A9" s="83">
        <f t="shared" ref="A9:A16" si="1">IF(B9=""," ",A8+1)</f>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t="s">
        <v>149</v>
      </c>
      <c r="J10" s="93"/>
      <c r="K10" s="277" t="s">
        <v>175</v>
      </c>
      <c r="L10" s="278"/>
      <c r="M10" s="279"/>
    </row>
    <row r="11" spans="1:16" ht="12" customHeight="1">
      <c r="A11" s="83">
        <f t="shared" si="1"/>
        <v>5</v>
      </c>
      <c r="B11" s="11" t="s">
        <v>460</v>
      </c>
      <c r="C11" s="21" t="s">
        <v>461</v>
      </c>
      <c r="D11" s="13" t="s">
        <v>164</v>
      </c>
      <c r="E11" s="85"/>
      <c r="F11" s="86"/>
      <c r="G11" s="87">
        <f t="shared" si="0"/>
        <v>4</v>
      </c>
      <c r="H11" s="83" t="s">
        <v>149</v>
      </c>
      <c r="I11" s="83" t="s">
        <v>149</v>
      </c>
      <c r="J11" s="93"/>
      <c r="K11" s="21"/>
      <c r="L11" s="29"/>
      <c r="M11" s="30"/>
    </row>
    <row r="12" spans="1:16" ht="12" customHeight="1">
      <c r="A12" s="83">
        <f t="shared" si="1"/>
        <v>6</v>
      </c>
      <c r="B12" s="11" t="s">
        <v>462</v>
      </c>
      <c r="C12" s="21" t="s">
        <v>463</v>
      </c>
      <c r="D12" s="13" t="s">
        <v>150</v>
      </c>
      <c r="E12" s="85">
        <v>13</v>
      </c>
      <c r="F12" s="86"/>
      <c r="G12" s="87">
        <f t="shared" si="0"/>
        <v>13</v>
      </c>
      <c r="H12" s="83" t="s">
        <v>149</v>
      </c>
      <c r="I12" s="83" t="s">
        <v>149</v>
      </c>
      <c r="J12" s="93"/>
      <c r="K12" s="21"/>
      <c r="L12" s="29"/>
      <c r="M12" s="30"/>
      <c r="P12" s="75" t="s">
        <v>164</v>
      </c>
    </row>
    <row r="13" spans="1:16" ht="27" customHeight="1">
      <c r="A13" s="83">
        <f t="shared" si="1"/>
        <v>7</v>
      </c>
      <c r="B13" s="11" t="s">
        <v>464</v>
      </c>
      <c r="C13" s="19" t="s">
        <v>465</v>
      </c>
      <c r="D13" s="88" t="s">
        <v>150</v>
      </c>
      <c r="E13" s="85">
        <v>1</v>
      </c>
      <c r="F13" s="86"/>
      <c r="G13" s="87">
        <f t="shared" si="0"/>
        <v>1</v>
      </c>
      <c r="H13" s="83" t="s">
        <v>149</v>
      </c>
      <c r="I13" s="83"/>
      <c r="J13" s="93"/>
      <c r="K13" s="271" t="s">
        <v>171</v>
      </c>
      <c r="L13" s="272"/>
      <c r="M13" s="273"/>
    </row>
    <row r="14" spans="1:16" ht="12" customHeight="1">
      <c r="A14" s="83">
        <f t="shared" si="1"/>
        <v>8</v>
      </c>
      <c r="B14" s="11" t="s">
        <v>487</v>
      </c>
      <c r="C14" s="84" t="s">
        <v>488</v>
      </c>
      <c r="D14" s="88" t="s">
        <v>150</v>
      </c>
      <c r="E14" s="85">
        <v>4</v>
      </c>
      <c r="F14" s="86"/>
      <c r="G14" s="87">
        <f t="shared" si="0"/>
        <v>4</v>
      </c>
      <c r="H14" s="83" t="s">
        <v>149</v>
      </c>
      <c r="I14" s="83"/>
      <c r="J14" s="93"/>
      <c r="K14" s="84" t="s">
        <v>489</v>
      </c>
      <c r="L14" s="94"/>
      <c r="M14" s="95"/>
    </row>
    <row r="15" spans="1:16" ht="12" customHeight="1">
      <c r="A15" s="83">
        <f t="shared" si="1"/>
        <v>9</v>
      </c>
      <c r="B15" s="20" t="s">
        <v>774</v>
      </c>
      <c r="C15" s="84" t="s">
        <v>775</v>
      </c>
      <c r="D15" s="88" t="s">
        <v>150</v>
      </c>
      <c r="E15" s="85">
        <v>10</v>
      </c>
      <c r="F15" s="86"/>
      <c r="G15" s="87">
        <f t="shared" si="0"/>
        <v>10</v>
      </c>
      <c r="H15" s="83" t="s">
        <v>149</v>
      </c>
      <c r="I15" s="83"/>
      <c r="J15" s="93"/>
      <c r="K15" s="308"/>
      <c r="L15" s="278"/>
      <c r="M15" s="279"/>
    </row>
    <row r="16" spans="1:16" ht="12" customHeight="1">
      <c r="A16" s="83">
        <f t="shared" si="1"/>
        <v>10</v>
      </c>
      <c r="B16" s="11" t="s">
        <v>776</v>
      </c>
      <c r="C16" s="84" t="s">
        <v>777</v>
      </c>
      <c r="D16" s="88" t="s">
        <v>174</v>
      </c>
      <c r="E16" s="85"/>
      <c r="F16" s="86"/>
      <c r="G16" s="87">
        <f t="shared" si="0"/>
        <v>2</v>
      </c>
      <c r="H16" s="83" t="s">
        <v>149</v>
      </c>
      <c r="I16" s="83"/>
      <c r="J16" s="93"/>
      <c r="K16" s="274"/>
      <c r="L16" s="275"/>
      <c r="M16" s="276"/>
    </row>
    <row r="17" spans="1:16" ht="12" customHeight="1">
      <c r="A17" s="83">
        <f t="shared" ref="A17:A43" si="2">IF(B17=""," ",A16+1)</f>
        <v>11</v>
      </c>
      <c r="B17" s="11" t="s">
        <v>778</v>
      </c>
      <c r="C17" s="84" t="s">
        <v>565</v>
      </c>
      <c r="D17" s="88" t="s">
        <v>150</v>
      </c>
      <c r="E17" s="85">
        <v>10</v>
      </c>
      <c r="F17" s="86"/>
      <c r="G17" s="87">
        <f t="shared" si="0"/>
        <v>10</v>
      </c>
      <c r="H17" s="83" t="s">
        <v>149</v>
      </c>
      <c r="I17" s="83"/>
      <c r="J17" s="93"/>
      <c r="K17" s="271"/>
      <c r="L17" s="272"/>
      <c r="M17" s="273"/>
      <c r="P17" s="75" t="s">
        <v>174</v>
      </c>
    </row>
    <row r="18" spans="1:16" ht="12" customHeight="1">
      <c r="A18" s="83">
        <f t="shared" si="2"/>
        <v>12</v>
      </c>
      <c r="B18" s="20" t="s">
        <v>805</v>
      </c>
      <c r="C18" s="84" t="s">
        <v>568</v>
      </c>
      <c r="D18" s="88" t="s">
        <v>174</v>
      </c>
      <c r="E18" s="85"/>
      <c r="F18" s="86"/>
      <c r="G18" s="87">
        <f t="shared" si="0"/>
        <v>2</v>
      </c>
      <c r="H18" s="83" t="s">
        <v>149</v>
      </c>
      <c r="I18" s="83"/>
      <c r="J18" s="93"/>
      <c r="K18" s="84"/>
      <c r="L18" s="94"/>
      <c r="M18" s="95"/>
    </row>
    <row r="19" spans="1:16" ht="12" customHeight="1">
      <c r="A19" s="83">
        <f t="shared" si="2"/>
        <v>13</v>
      </c>
      <c r="B19" s="20" t="s">
        <v>806</v>
      </c>
      <c r="C19" s="84" t="s">
        <v>570</v>
      </c>
      <c r="D19" s="88" t="s">
        <v>150</v>
      </c>
      <c r="E19" s="85">
        <v>10</v>
      </c>
      <c r="F19" s="86"/>
      <c r="G19" s="87">
        <f t="shared" si="0"/>
        <v>10</v>
      </c>
      <c r="H19" s="83" t="s">
        <v>149</v>
      </c>
      <c r="I19" s="83"/>
      <c r="J19" s="93"/>
      <c r="K19" s="84"/>
      <c r="L19" s="94"/>
      <c r="M19" s="95"/>
    </row>
    <row r="20" spans="1:16" ht="12" customHeight="1">
      <c r="A20" s="83">
        <f t="shared" si="2"/>
        <v>14</v>
      </c>
      <c r="B20" s="20" t="s">
        <v>807</v>
      </c>
      <c r="C20" s="84" t="s">
        <v>573</v>
      </c>
      <c r="D20" s="88" t="s">
        <v>174</v>
      </c>
      <c r="E20" s="85"/>
      <c r="F20" s="86"/>
      <c r="G20" s="87">
        <f t="shared" si="0"/>
        <v>2</v>
      </c>
      <c r="H20" s="83" t="s">
        <v>149</v>
      </c>
      <c r="I20" s="83"/>
      <c r="J20" s="93"/>
      <c r="K20" s="84"/>
      <c r="L20" s="94"/>
      <c r="M20" s="95"/>
    </row>
    <row r="21" spans="1:16" ht="27.75" customHeight="1">
      <c r="A21" s="83">
        <f t="shared" si="2"/>
        <v>15</v>
      </c>
      <c r="B21" s="20" t="s">
        <v>808</v>
      </c>
      <c r="C21" s="84" t="s">
        <v>809</v>
      </c>
      <c r="D21" s="88" t="s">
        <v>150</v>
      </c>
      <c r="E21" s="85">
        <v>1</v>
      </c>
      <c r="F21" s="86"/>
      <c r="G21" s="87">
        <f t="shared" si="0"/>
        <v>1</v>
      </c>
      <c r="H21" s="83" t="s">
        <v>149</v>
      </c>
      <c r="I21" s="83"/>
      <c r="J21" s="93"/>
      <c r="K21" s="271" t="s">
        <v>810</v>
      </c>
      <c r="L21" s="272"/>
      <c r="M21" s="273"/>
      <c r="P21" s="75" t="s">
        <v>195</v>
      </c>
    </row>
    <row r="22" spans="1:16" ht="12" customHeight="1">
      <c r="A22" s="83">
        <f t="shared" si="2"/>
        <v>16</v>
      </c>
      <c r="B22" s="74" t="s">
        <v>232</v>
      </c>
      <c r="C22" s="84" t="s">
        <v>233</v>
      </c>
      <c r="D22" s="88" t="s">
        <v>234</v>
      </c>
      <c r="E22" s="85"/>
      <c r="F22" s="86"/>
      <c r="G22" s="87">
        <f t="shared" si="0"/>
        <v>10</v>
      </c>
      <c r="H22" s="83" t="s">
        <v>149</v>
      </c>
      <c r="I22" s="83"/>
      <c r="J22" s="93"/>
      <c r="K22" s="84"/>
      <c r="L22" s="94"/>
      <c r="M22" s="95"/>
    </row>
    <row r="23" spans="1:16" ht="12" customHeight="1">
      <c r="A23" s="83">
        <f t="shared" si="2"/>
        <v>17</v>
      </c>
      <c r="B23" s="74" t="s">
        <v>447</v>
      </c>
      <c r="C23" s="84" t="s">
        <v>448</v>
      </c>
      <c r="D23" s="88" t="s">
        <v>234</v>
      </c>
      <c r="E23" s="85"/>
      <c r="F23" s="86"/>
      <c r="G23" s="87">
        <f t="shared" si="0"/>
        <v>10</v>
      </c>
      <c r="H23" s="83" t="s">
        <v>149</v>
      </c>
      <c r="I23" s="83"/>
      <c r="J23" s="93"/>
      <c r="K23" s="274" t="s">
        <v>449</v>
      </c>
      <c r="L23" s="275"/>
      <c r="M23" s="276"/>
    </row>
    <row r="24" spans="1:16" ht="12" customHeight="1">
      <c r="A24" s="83" t="str">
        <f t="shared" si="2"/>
        <v xml:space="preserve"> </v>
      </c>
      <c r="B24" s="11"/>
      <c r="C24" s="22"/>
      <c r="D24" s="30"/>
      <c r="E24" s="85"/>
      <c r="F24" s="86"/>
      <c r="G24" s="87"/>
      <c r="H24" s="83"/>
      <c r="I24" s="83"/>
      <c r="J24" s="93"/>
      <c r="K24" s="271"/>
      <c r="L24" s="272"/>
      <c r="M24" s="273"/>
    </row>
    <row r="25" spans="1:16" ht="12" customHeight="1">
      <c r="A25" s="83" t="str">
        <f t="shared" si="2"/>
        <v xml:space="preserve"> </v>
      </c>
      <c r="B25" s="11"/>
      <c r="C25" s="84"/>
      <c r="D25" s="88"/>
      <c r="E25" s="85"/>
      <c r="F25" s="86"/>
      <c r="G25" s="87"/>
      <c r="H25" s="83"/>
      <c r="I25" s="83"/>
      <c r="J25" s="93"/>
      <c r="K25" s="308"/>
      <c r="L25" s="278"/>
      <c r="M25" s="279"/>
    </row>
    <row r="26" spans="1:16" ht="12" customHeight="1">
      <c r="A26" s="83" t="str">
        <f t="shared" si="2"/>
        <v xml:space="preserve"> </v>
      </c>
      <c r="B26" s="11"/>
      <c r="C26" s="84"/>
      <c r="D26" s="88"/>
      <c r="E26" s="85"/>
      <c r="F26" s="86"/>
      <c r="G26" s="87"/>
      <c r="H26" s="83"/>
      <c r="I26" s="83"/>
      <c r="J26" s="93"/>
      <c r="K26" s="308"/>
      <c r="L26" s="278"/>
      <c r="M26" s="279"/>
    </row>
    <row r="27" spans="1:16" ht="12" customHeight="1">
      <c r="A27" s="83" t="str">
        <f t="shared" si="2"/>
        <v xml:space="preserve"> </v>
      </c>
      <c r="B27" s="11"/>
      <c r="C27" s="21"/>
      <c r="D27" s="13"/>
      <c r="E27" s="85"/>
      <c r="F27" s="86"/>
      <c r="G27" s="87"/>
      <c r="H27" s="83"/>
      <c r="I27" s="83"/>
      <c r="J27" s="93"/>
      <c r="K27" s="308"/>
      <c r="L27" s="278"/>
      <c r="M27" s="279"/>
    </row>
    <row r="28" spans="1:16" ht="12" customHeight="1">
      <c r="A28" s="83" t="str">
        <f t="shared" si="2"/>
        <v xml:space="preserve"> </v>
      </c>
      <c r="B28" s="11"/>
      <c r="C28" s="21"/>
      <c r="D28" s="13"/>
      <c r="E28" s="85"/>
      <c r="F28" s="86"/>
      <c r="G28" s="87"/>
      <c r="H28" s="83"/>
      <c r="I28" s="83"/>
      <c r="J28" s="93"/>
      <c r="K28" s="308"/>
      <c r="L28" s="278"/>
      <c r="M28" s="279"/>
    </row>
    <row r="29" spans="1:16" ht="12" customHeight="1">
      <c r="A29" s="83" t="str">
        <f t="shared" si="2"/>
        <v xml:space="preserve"> </v>
      </c>
      <c r="B29" s="11"/>
      <c r="C29" s="84"/>
      <c r="D29" s="88"/>
      <c r="E29" s="85"/>
      <c r="F29" s="86"/>
      <c r="G29" s="87"/>
      <c r="H29" s="83"/>
      <c r="I29" s="83"/>
      <c r="J29" s="93"/>
      <c r="K29" s="274"/>
      <c r="L29" s="275"/>
      <c r="M29" s="276"/>
    </row>
    <row r="30" spans="1:16" ht="12" customHeight="1">
      <c r="A30" s="83" t="str">
        <f t="shared" si="2"/>
        <v xml:space="preserve"> </v>
      </c>
      <c r="B30" s="11"/>
      <c r="C30" s="84"/>
      <c r="D30" s="88"/>
      <c r="E30" s="85"/>
      <c r="F30" s="86"/>
      <c r="G30" s="87"/>
      <c r="H30" s="83"/>
      <c r="I30" s="83"/>
      <c r="J30" s="93"/>
      <c r="K30" s="84"/>
      <c r="L30" s="94"/>
      <c r="M30" s="95"/>
    </row>
    <row r="31" spans="1:16" ht="12" customHeight="1">
      <c r="A31" s="83" t="str">
        <f t="shared" si="2"/>
        <v xml:space="preserve"> </v>
      </c>
      <c r="B31" s="20"/>
      <c r="C31" s="84"/>
      <c r="D31" s="88"/>
      <c r="E31" s="85"/>
      <c r="F31" s="86"/>
      <c r="G31" s="87"/>
      <c r="H31" s="83"/>
      <c r="I31" s="83"/>
      <c r="J31" s="93"/>
      <c r="K31" s="84"/>
      <c r="L31" s="94"/>
      <c r="M31" s="95"/>
    </row>
    <row r="32" spans="1:16" ht="12" customHeight="1">
      <c r="A32" s="83" t="str">
        <f t="shared" si="2"/>
        <v xml:space="preserve"> </v>
      </c>
      <c r="B32" s="11"/>
      <c r="C32" s="84"/>
      <c r="D32" s="88"/>
      <c r="E32" s="85"/>
      <c r="F32" s="86"/>
      <c r="G32" s="87"/>
      <c r="H32" s="83"/>
      <c r="I32" s="83"/>
      <c r="J32" s="93"/>
      <c r="K32" s="84"/>
      <c r="L32" s="94"/>
      <c r="M32" s="95"/>
    </row>
    <row r="33" spans="1:13" ht="12" customHeight="1">
      <c r="A33" s="83" t="str">
        <f t="shared" si="2"/>
        <v xml:space="preserve"> </v>
      </c>
      <c r="B33" s="11"/>
      <c r="C33" s="84"/>
      <c r="D33" s="88"/>
      <c r="E33" s="85"/>
      <c r="F33" s="86"/>
      <c r="G33" s="87"/>
      <c r="H33" s="83"/>
      <c r="I33" s="83"/>
      <c r="J33" s="93"/>
      <c r="K33" s="84"/>
      <c r="L33" s="94"/>
      <c r="M33" s="95"/>
    </row>
    <row r="34" spans="1:13" ht="12" customHeight="1">
      <c r="A34" s="83" t="str">
        <f t="shared" si="2"/>
        <v xml:space="preserve"> </v>
      </c>
      <c r="B34" s="20"/>
      <c r="C34" s="84"/>
      <c r="D34" s="88"/>
      <c r="E34" s="85"/>
      <c r="F34" s="86"/>
      <c r="G34" s="87"/>
      <c r="H34" s="83"/>
      <c r="I34" s="83"/>
      <c r="J34" s="93"/>
      <c r="K34" s="84"/>
      <c r="L34" s="94"/>
      <c r="M34" s="95"/>
    </row>
    <row r="35" spans="1:13" ht="12" customHeight="1">
      <c r="A35" s="83" t="str">
        <f t="shared" si="2"/>
        <v xml:space="preserve"> </v>
      </c>
      <c r="B35" s="20"/>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ref="A44:A51" si="3">IF(B44=""," ",A43+1)</f>
        <v xml:space="preserve"> </v>
      </c>
      <c r="B44" s="74"/>
      <c r="C44" s="84"/>
      <c r="D44" s="88"/>
      <c r="E44" s="85"/>
      <c r="F44" s="86"/>
      <c r="G44" s="87"/>
      <c r="H44" s="83"/>
      <c r="I44" s="83"/>
      <c r="J44" s="93"/>
      <c r="K44" s="84"/>
      <c r="L44" s="94"/>
      <c r="M44" s="95"/>
    </row>
    <row r="45" spans="1:13" ht="12" customHeight="1">
      <c r="A45" s="83" t="str">
        <f t="shared" si="3"/>
        <v xml:space="preserve"> </v>
      </c>
      <c r="B45" s="74"/>
      <c r="C45" s="84"/>
      <c r="D45" s="88"/>
      <c r="E45" s="85"/>
      <c r="F45" s="86"/>
      <c r="G45" s="87"/>
      <c r="H45" s="83"/>
      <c r="I45" s="83"/>
      <c r="J45" s="93"/>
      <c r="K45" s="84"/>
      <c r="L45" s="94"/>
      <c r="M45" s="95"/>
    </row>
    <row r="46" spans="1:13" ht="12" customHeight="1">
      <c r="A46" s="83" t="str">
        <f t="shared" si="3"/>
        <v xml:space="preserve"> </v>
      </c>
      <c r="B46" s="74"/>
      <c r="C46" s="84"/>
      <c r="D46" s="88"/>
      <c r="E46" s="85"/>
      <c r="F46" s="86"/>
      <c r="G46" s="87"/>
      <c r="H46" s="83"/>
      <c r="I46" s="83"/>
      <c r="J46" s="93"/>
      <c r="K46" s="84"/>
      <c r="L46" s="94"/>
      <c r="M46" s="95"/>
    </row>
    <row r="47" spans="1:13" ht="12" customHeight="1">
      <c r="A47" s="83" t="str">
        <f t="shared" si="3"/>
        <v xml:space="preserve"> </v>
      </c>
      <c r="B47" s="74"/>
      <c r="C47" s="84"/>
      <c r="D47" s="88"/>
      <c r="E47" s="85"/>
      <c r="F47" s="86"/>
      <c r="G47" s="87"/>
      <c r="H47" s="83"/>
      <c r="I47" s="83"/>
      <c r="J47" s="93"/>
      <c r="K47" s="84"/>
      <c r="L47" s="94"/>
      <c r="M47" s="95"/>
    </row>
    <row r="48" spans="1:13" ht="12" customHeight="1">
      <c r="A48" s="83" t="str">
        <f t="shared" si="3"/>
        <v xml:space="preserve"> </v>
      </c>
      <c r="B48" s="74"/>
      <c r="C48" s="84"/>
      <c r="D48" s="88"/>
      <c r="E48" s="85"/>
      <c r="F48" s="86"/>
      <c r="G48" s="87"/>
      <c r="H48" s="83"/>
      <c r="I48" s="83"/>
      <c r="J48" s="93"/>
      <c r="K48" s="84"/>
      <c r="L48" s="94"/>
      <c r="M48" s="95"/>
    </row>
    <row r="49" spans="1:13" ht="12" customHeight="1">
      <c r="A49" s="83" t="str">
        <f t="shared" si="3"/>
        <v xml:space="preserve"> </v>
      </c>
      <c r="B49" s="74"/>
      <c r="C49" s="84"/>
      <c r="D49" s="88"/>
      <c r="E49" s="85"/>
      <c r="F49" s="86"/>
      <c r="G49" s="87"/>
      <c r="H49" s="83"/>
      <c r="I49" s="83"/>
      <c r="J49" s="93"/>
      <c r="K49" s="84"/>
      <c r="L49" s="94"/>
      <c r="M49" s="95"/>
    </row>
    <row r="50" spans="1:13" ht="12" customHeight="1">
      <c r="A50" s="83" t="str">
        <f t="shared" si="3"/>
        <v xml:space="preserve"> </v>
      </c>
      <c r="B50" s="74"/>
      <c r="C50" s="84"/>
      <c r="D50" s="88"/>
      <c r="E50" s="85"/>
      <c r="F50" s="86"/>
      <c r="G50" s="87"/>
      <c r="H50" s="83"/>
      <c r="I50" s="83"/>
      <c r="J50" s="93"/>
      <c r="K50" s="84"/>
      <c r="L50" s="94"/>
      <c r="M50" s="95"/>
    </row>
    <row r="51" spans="1:13" ht="12" customHeight="1">
      <c r="A51" s="83" t="str">
        <f t="shared" si="3"/>
        <v xml:space="preserve"> </v>
      </c>
      <c r="B51" s="74"/>
      <c r="C51" s="84"/>
      <c r="D51" s="88"/>
      <c r="E51" s="85"/>
      <c r="F51" s="86"/>
      <c r="G51" s="87"/>
      <c r="H51" s="83"/>
      <c r="I51" s="83"/>
      <c r="J51" s="93"/>
      <c r="K51" s="84"/>
      <c r="L51" s="94"/>
      <c r="M51" s="95"/>
    </row>
    <row r="52" spans="1:13" ht="12" customHeight="1">
      <c r="A52" s="83" t="str">
        <f t="shared" ref="A52:A84" si="4">IF(B52=""," ",A51+1)</f>
        <v xml:space="preserve"> </v>
      </c>
      <c r="B52" s="74"/>
      <c r="C52" s="84"/>
      <c r="D52" s="88"/>
      <c r="E52" s="85"/>
      <c r="F52" s="86"/>
      <c r="G52" s="87"/>
      <c r="H52" s="83"/>
      <c r="I52" s="83"/>
      <c r="J52" s="93"/>
      <c r="K52" s="84"/>
      <c r="L52" s="94"/>
      <c r="M52" s="95"/>
    </row>
    <row r="53" spans="1:13" ht="12" customHeight="1">
      <c r="A53" s="83" t="str">
        <f t="shared" si="4"/>
        <v xml:space="preserve"> </v>
      </c>
      <c r="B53" s="74"/>
      <c r="C53" s="84"/>
      <c r="D53" s="88"/>
      <c r="E53" s="85"/>
      <c r="F53" s="86"/>
      <c r="G53" s="87"/>
      <c r="H53" s="83"/>
      <c r="I53" s="83"/>
      <c r="J53" s="93"/>
      <c r="K53" s="84"/>
      <c r="L53" s="94"/>
      <c r="M53" s="95"/>
    </row>
    <row r="54" spans="1:13" ht="12" customHeight="1">
      <c r="A54" s="83" t="str">
        <f t="shared" si="4"/>
        <v xml:space="preserve"> </v>
      </c>
      <c r="B54" s="74"/>
      <c r="C54" s="84"/>
      <c r="D54" s="88"/>
      <c r="E54" s="85"/>
      <c r="F54" s="86"/>
      <c r="G54" s="87"/>
      <c r="H54" s="83"/>
      <c r="I54" s="83"/>
      <c r="J54" s="93"/>
      <c r="K54" s="84"/>
      <c r="L54" s="94"/>
      <c r="M54" s="95"/>
    </row>
    <row r="55" spans="1:13" ht="12" customHeight="1">
      <c r="A55" s="83" t="str">
        <f t="shared" si="4"/>
        <v xml:space="preserve"> </v>
      </c>
      <c r="B55" s="74"/>
      <c r="C55" s="84"/>
      <c r="D55" s="88"/>
      <c r="E55" s="85"/>
      <c r="F55" s="86"/>
      <c r="G55" s="87"/>
      <c r="H55" s="83"/>
      <c r="I55" s="83"/>
      <c r="J55" s="93"/>
      <c r="K55" s="84"/>
      <c r="L55" s="94"/>
      <c r="M55" s="95"/>
    </row>
    <row r="56" spans="1:13" ht="12" customHeight="1">
      <c r="A56" s="83" t="str">
        <f t="shared" si="4"/>
        <v xml:space="preserve"> </v>
      </c>
      <c r="B56" s="74"/>
      <c r="C56" s="84"/>
      <c r="D56" s="88"/>
      <c r="E56" s="85"/>
      <c r="F56" s="86"/>
      <c r="G56" s="87"/>
      <c r="H56" s="83"/>
      <c r="I56" s="83"/>
      <c r="J56" s="93"/>
      <c r="K56" s="84"/>
      <c r="L56" s="94"/>
      <c r="M56" s="95"/>
    </row>
    <row r="57" spans="1:13" ht="12" customHeight="1">
      <c r="A57" s="83" t="str">
        <f t="shared" si="4"/>
        <v xml:space="preserve"> </v>
      </c>
      <c r="B57" s="74"/>
      <c r="C57" s="84"/>
      <c r="D57" s="88"/>
      <c r="E57" s="85"/>
      <c r="F57" s="86"/>
      <c r="G57" s="87"/>
      <c r="H57" s="83"/>
      <c r="I57" s="83"/>
      <c r="J57" s="93"/>
      <c r="K57" s="84"/>
      <c r="L57" s="94"/>
      <c r="M57" s="95"/>
    </row>
    <row r="58" spans="1:13" ht="12" customHeight="1">
      <c r="A58" s="83" t="str">
        <f t="shared" si="4"/>
        <v xml:space="preserve"> </v>
      </c>
      <c r="B58" s="74"/>
      <c r="C58" s="84"/>
      <c r="D58" s="88"/>
      <c r="E58" s="85"/>
      <c r="F58" s="86"/>
      <c r="G58" s="87"/>
      <c r="H58" s="83"/>
      <c r="I58" s="83"/>
      <c r="J58" s="93"/>
      <c r="K58" s="84"/>
      <c r="L58" s="94"/>
      <c r="M58" s="95"/>
    </row>
    <row r="59" spans="1:13" ht="12" customHeight="1">
      <c r="A59" s="83" t="str">
        <f t="shared" si="4"/>
        <v xml:space="preserve"> </v>
      </c>
      <c r="B59" s="74"/>
      <c r="C59" s="84"/>
      <c r="D59" s="88"/>
      <c r="E59" s="85"/>
      <c r="F59" s="86"/>
      <c r="G59" s="87"/>
      <c r="H59" s="83"/>
      <c r="I59" s="83"/>
      <c r="J59" s="93"/>
      <c r="K59" s="84"/>
      <c r="L59" s="94"/>
      <c r="M59" s="95"/>
    </row>
    <row r="60" spans="1:13" ht="12" customHeight="1">
      <c r="A60" s="83" t="str">
        <f t="shared" si="4"/>
        <v xml:space="preserve"> </v>
      </c>
      <c r="B60" s="74"/>
      <c r="C60" s="84"/>
      <c r="D60" s="88"/>
      <c r="E60" s="85"/>
      <c r="F60" s="86"/>
      <c r="G60" s="87"/>
      <c r="H60" s="83"/>
      <c r="I60" s="83"/>
      <c r="J60" s="93"/>
      <c r="K60" s="84"/>
      <c r="L60" s="94"/>
      <c r="M60" s="95"/>
    </row>
    <row r="61" spans="1:13" ht="12" customHeight="1">
      <c r="A61" s="83" t="str">
        <f t="shared" si="4"/>
        <v xml:space="preserve"> </v>
      </c>
      <c r="B61" s="74"/>
      <c r="C61" s="84"/>
      <c r="D61" s="88"/>
      <c r="E61" s="85"/>
      <c r="F61" s="86"/>
      <c r="G61" s="87"/>
      <c r="H61" s="83"/>
      <c r="I61" s="83"/>
      <c r="J61" s="93"/>
      <c r="K61" s="84"/>
      <c r="L61" s="94"/>
      <c r="M61" s="95"/>
    </row>
    <row r="62" spans="1:13" ht="12" customHeight="1">
      <c r="A62" s="83" t="str">
        <f t="shared" si="4"/>
        <v xml:space="preserve"> </v>
      </c>
      <c r="B62" s="74"/>
      <c r="C62" s="84"/>
      <c r="D62" s="88"/>
      <c r="E62" s="85"/>
      <c r="F62" s="86"/>
      <c r="G62" s="87"/>
      <c r="H62" s="83"/>
      <c r="I62" s="83"/>
      <c r="J62" s="93"/>
      <c r="K62" s="84"/>
      <c r="L62" s="94"/>
      <c r="M62" s="95"/>
    </row>
    <row r="63" spans="1:13" ht="12" customHeight="1">
      <c r="A63" s="83" t="str">
        <f t="shared" si="4"/>
        <v xml:space="preserve"> </v>
      </c>
      <c r="B63" s="74"/>
      <c r="C63" s="84"/>
      <c r="D63" s="88"/>
      <c r="E63" s="85"/>
      <c r="F63" s="86"/>
      <c r="G63" s="87"/>
      <c r="H63" s="83"/>
      <c r="I63" s="83"/>
      <c r="J63" s="93"/>
      <c r="K63" s="84"/>
      <c r="L63" s="94"/>
      <c r="M63" s="95"/>
    </row>
    <row r="64" spans="1:13" ht="12" customHeight="1">
      <c r="A64" s="83" t="str">
        <f t="shared" si="4"/>
        <v xml:space="preserve"> </v>
      </c>
      <c r="B64" s="74"/>
      <c r="C64" s="84"/>
      <c r="D64" s="88"/>
      <c r="E64" s="85"/>
      <c r="F64" s="86"/>
      <c r="G64" s="87"/>
      <c r="H64" s="83"/>
      <c r="I64" s="83"/>
      <c r="J64" s="93"/>
      <c r="K64" s="84"/>
      <c r="L64" s="94"/>
      <c r="M64" s="95"/>
    </row>
    <row r="65" spans="1:13" ht="12" customHeight="1">
      <c r="A65" s="83" t="str">
        <f t="shared" si="4"/>
        <v xml:space="preserve"> </v>
      </c>
      <c r="B65" s="74"/>
      <c r="C65" s="84"/>
      <c r="D65" s="88"/>
      <c r="E65" s="85"/>
      <c r="F65" s="86"/>
      <c r="G65" s="87"/>
      <c r="H65" s="83"/>
      <c r="I65" s="83"/>
      <c r="J65" s="93"/>
      <c r="K65" s="84"/>
      <c r="L65" s="94"/>
      <c r="M65" s="95"/>
    </row>
    <row r="66" spans="1:13" ht="12" customHeight="1">
      <c r="A66" s="83" t="str">
        <f t="shared" si="4"/>
        <v xml:space="preserve"> </v>
      </c>
      <c r="B66" s="74"/>
      <c r="C66" s="84"/>
      <c r="D66" s="88"/>
      <c r="E66" s="85"/>
      <c r="F66" s="86"/>
      <c r="G66" s="87"/>
      <c r="H66" s="83"/>
      <c r="I66" s="83"/>
      <c r="J66" s="93"/>
      <c r="K66" s="84"/>
      <c r="L66" s="94"/>
      <c r="M66" s="95"/>
    </row>
    <row r="67" spans="1:13" ht="12" customHeight="1">
      <c r="A67" s="83" t="str">
        <f t="shared" si="4"/>
        <v xml:space="preserve"> </v>
      </c>
      <c r="B67" s="74"/>
      <c r="C67" s="84"/>
      <c r="D67" s="88"/>
      <c r="E67" s="85"/>
      <c r="F67" s="86"/>
      <c r="G67" s="87"/>
      <c r="H67" s="83"/>
      <c r="I67" s="83"/>
      <c r="J67" s="93"/>
      <c r="K67" s="84"/>
      <c r="L67" s="94"/>
      <c r="M67" s="95"/>
    </row>
    <row r="68" spans="1:13" ht="12" customHeight="1">
      <c r="A68" s="83" t="str">
        <f t="shared" si="4"/>
        <v xml:space="preserve"> </v>
      </c>
      <c r="B68" s="74"/>
      <c r="C68" s="84"/>
      <c r="D68" s="88"/>
      <c r="E68" s="85"/>
      <c r="F68" s="86"/>
      <c r="G68" s="87"/>
      <c r="H68" s="83"/>
      <c r="I68" s="83"/>
      <c r="J68" s="93"/>
      <c r="K68" s="84"/>
      <c r="L68" s="94"/>
      <c r="M68" s="95"/>
    </row>
    <row r="69" spans="1:13" ht="12" customHeight="1">
      <c r="A69" s="83" t="str">
        <f t="shared" si="4"/>
        <v xml:space="preserve"> </v>
      </c>
      <c r="B69" s="74"/>
      <c r="C69" s="84"/>
      <c r="D69" s="88"/>
      <c r="E69" s="85"/>
      <c r="F69" s="86"/>
      <c r="G69" s="87"/>
      <c r="H69" s="83"/>
      <c r="I69" s="83"/>
      <c r="J69" s="93"/>
      <c r="K69" s="84"/>
      <c r="L69" s="94"/>
      <c r="M69" s="95"/>
    </row>
    <row r="70" spans="1:13" ht="12" customHeight="1">
      <c r="A70" s="83" t="str">
        <f t="shared" si="4"/>
        <v xml:space="preserve"> </v>
      </c>
      <c r="B70" s="74"/>
      <c r="C70" s="84"/>
      <c r="D70" s="88"/>
      <c r="E70" s="85"/>
      <c r="F70" s="86"/>
      <c r="G70" s="87"/>
      <c r="H70" s="83"/>
      <c r="I70" s="83"/>
      <c r="J70" s="93"/>
      <c r="K70" s="84"/>
      <c r="L70" s="94"/>
      <c r="M70" s="95"/>
    </row>
    <row r="71" spans="1:13" ht="12" customHeight="1">
      <c r="A71" s="83" t="str">
        <f t="shared" si="4"/>
        <v xml:space="preserve"> </v>
      </c>
      <c r="B71" s="74"/>
      <c r="C71" s="84"/>
      <c r="D71" s="88"/>
      <c r="E71" s="85"/>
      <c r="F71" s="86"/>
      <c r="G71" s="87"/>
      <c r="H71" s="83"/>
      <c r="I71" s="83"/>
      <c r="J71" s="93"/>
      <c r="K71" s="84"/>
      <c r="L71" s="94"/>
      <c r="M71" s="95"/>
    </row>
    <row r="72" spans="1:13" ht="12" customHeight="1">
      <c r="A72" s="83" t="str">
        <f t="shared" si="4"/>
        <v xml:space="preserve"> </v>
      </c>
      <c r="B72" s="74"/>
      <c r="C72" s="84"/>
      <c r="D72" s="88"/>
      <c r="E72" s="85"/>
      <c r="F72" s="86"/>
      <c r="G72" s="87"/>
      <c r="H72" s="83"/>
      <c r="I72" s="83"/>
      <c r="J72" s="93"/>
      <c r="K72" s="84"/>
      <c r="L72" s="94"/>
      <c r="M72" s="95"/>
    </row>
    <row r="73" spans="1:13" ht="12" customHeight="1">
      <c r="A73" s="83" t="str">
        <f t="shared" si="4"/>
        <v xml:space="preserve"> </v>
      </c>
      <c r="B73" s="74"/>
      <c r="C73" s="84"/>
      <c r="D73" s="88"/>
      <c r="E73" s="85"/>
      <c r="F73" s="86"/>
      <c r="G73" s="87"/>
      <c r="H73" s="83"/>
      <c r="I73" s="83"/>
      <c r="J73" s="93"/>
      <c r="K73" s="84"/>
      <c r="L73" s="94"/>
      <c r="M73" s="95"/>
    </row>
    <row r="74" spans="1:13" ht="12" customHeight="1">
      <c r="A74" s="83" t="str">
        <f t="shared" si="4"/>
        <v xml:space="preserve"> </v>
      </c>
      <c r="B74" s="74"/>
      <c r="C74" s="84"/>
      <c r="D74" s="88"/>
      <c r="E74" s="85"/>
      <c r="F74" s="86"/>
      <c r="G74" s="87"/>
      <c r="H74" s="83"/>
      <c r="I74" s="83"/>
      <c r="J74" s="93"/>
      <c r="K74" s="84"/>
      <c r="L74" s="94"/>
      <c r="M74" s="95"/>
    </row>
    <row r="75" spans="1:13" ht="12" customHeight="1">
      <c r="A75" s="83" t="str">
        <f t="shared" si="4"/>
        <v xml:space="preserve"> </v>
      </c>
      <c r="B75" s="74"/>
      <c r="C75" s="84"/>
      <c r="D75" s="88"/>
      <c r="E75" s="85"/>
      <c r="F75" s="86"/>
      <c r="G75" s="87"/>
      <c r="H75" s="83"/>
      <c r="I75" s="83"/>
      <c r="J75" s="93"/>
      <c r="K75" s="84"/>
      <c r="L75" s="94"/>
      <c r="M75" s="95"/>
    </row>
    <row r="76" spans="1:13" ht="12" customHeight="1">
      <c r="A76" s="83" t="str">
        <f t="shared" si="4"/>
        <v xml:space="preserve"> </v>
      </c>
      <c r="B76" s="74"/>
      <c r="C76" s="84"/>
      <c r="D76" s="88"/>
      <c r="E76" s="85"/>
      <c r="F76" s="86"/>
      <c r="G76" s="87"/>
      <c r="H76" s="83"/>
      <c r="I76" s="83"/>
      <c r="J76" s="93"/>
      <c r="K76" s="84"/>
      <c r="L76" s="94"/>
      <c r="M76" s="95"/>
    </row>
    <row r="77" spans="1:13" ht="12" customHeight="1">
      <c r="A77" s="83" t="str">
        <f t="shared" si="4"/>
        <v xml:space="preserve"> </v>
      </c>
      <c r="B77" s="74"/>
      <c r="C77" s="84"/>
      <c r="D77" s="88"/>
      <c r="E77" s="85"/>
      <c r="F77" s="86"/>
      <c r="G77" s="87"/>
      <c r="H77" s="83"/>
      <c r="I77" s="83"/>
      <c r="J77" s="93"/>
      <c r="K77" s="84"/>
      <c r="L77" s="94"/>
      <c r="M77" s="95"/>
    </row>
    <row r="78" spans="1:13" ht="12" customHeight="1">
      <c r="A78" s="83" t="str">
        <f t="shared" si="4"/>
        <v xml:space="preserve"> </v>
      </c>
      <c r="B78" s="74"/>
      <c r="C78" s="84"/>
      <c r="D78" s="88"/>
      <c r="E78" s="85"/>
      <c r="F78" s="86"/>
      <c r="G78" s="87"/>
      <c r="H78" s="83"/>
      <c r="I78" s="83"/>
      <c r="J78" s="93"/>
      <c r="K78" s="84"/>
      <c r="L78" s="94"/>
      <c r="M78" s="95"/>
    </row>
    <row r="79" spans="1:13" ht="12" customHeight="1">
      <c r="A79" s="83" t="str">
        <f t="shared" si="4"/>
        <v xml:space="preserve"> </v>
      </c>
      <c r="B79" s="74"/>
      <c r="C79" s="84"/>
      <c r="D79" s="88"/>
      <c r="E79" s="85"/>
      <c r="F79" s="86"/>
      <c r="G79" s="87"/>
      <c r="H79" s="83"/>
      <c r="I79" s="83"/>
      <c r="J79" s="93"/>
      <c r="K79" s="84"/>
      <c r="L79" s="94"/>
      <c r="M79" s="95"/>
    </row>
    <row r="80" spans="1:13" ht="12" customHeight="1">
      <c r="A80" s="83" t="str">
        <f t="shared" si="4"/>
        <v xml:space="preserve"> </v>
      </c>
      <c r="B80" s="74"/>
      <c r="C80" s="84"/>
      <c r="D80" s="88"/>
      <c r="E80" s="85"/>
      <c r="F80" s="86"/>
      <c r="G80" s="87"/>
      <c r="H80" s="83"/>
      <c r="I80" s="83"/>
      <c r="J80" s="93"/>
      <c r="K80" s="84"/>
      <c r="L80" s="94"/>
      <c r="M80" s="95"/>
    </row>
    <row r="81" spans="1:13" ht="12" customHeight="1">
      <c r="A81" s="83" t="str">
        <f t="shared" si="4"/>
        <v xml:space="preserve"> </v>
      </c>
      <c r="B81" s="74"/>
      <c r="C81" s="84"/>
      <c r="D81" s="88"/>
      <c r="E81" s="85"/>
      <c r="F81" s="86"/>
      <c r="G81" s="87"/>
      <c r="H81" s="83"/>
      <c r="I81" s="83"/>
      <c r="J81" s="93"/>
      <c r="K81" s="84"/>
      <c r="L81" s="94"/>
      <c r="M81" s="95"/>
    </row>
    <row r="82" spans="1:13" ht="12" customHeight="1">
      <c r="A82" s="83" t="str">
        <f t="shared" si="4"/>
        <v xml:space="preserve"> </v>
      </c>
      <c r="B82" s="74"/>
      <c r="C82" s="84"/>
      <c r="D82" s="88"/>
      <c r="E82" s="85"/>
      <c r="F82" s="86"/>
      <c r="G82" s="87"/>
      <c r="H82" s="83"/>
      <c r="I82" s="83"/>
      <c r="J82" s="93"/>
      <c r="K82" s="84"/>
      <c r="L82" s="94"/>
      <c r="M82" s="95"/>
    </row>
    <row r="83" spans="1:13" ht="12" customHeight="1">
      <c r="A83" s="83" t="str">
        <f t="shared" si="4"/>
        <v xml:space="preserve"> </v>
      </c>
      <c r="B83" s="74"/>
      <c r="C83" s="84"/>
      <c r="D83" s="88"/>
      <c r="E83" s="85"/>
      <c r="F83" s="86"/>
      <c r="G83" s="87"/>
      <c r="H83" s="83"/>
      <c r="I83" s="83"/>
      <c r="J83" s="93"/>
      <c r="K83" s="84"/>
      <c r="L83" s="94"/>
      <c r="M83" s="95"/>
    </row>
    <row r="84" spans="1:13" ht="12" customHeight="1">
      <c r="A84" s="83" t="str">
        <f t="shared" si="4"/>
        <v xml:space="preserve"> </v>
      </c>
      <c r="B84" s="74"/>
      <c r="C84" s="84"/>
      <c r="D84" s="88"/>
      <c r="E84" s="85"/>
      <c r="F84" s="86"/>
      <c r="G84" s="87"/>
      <c r="H84" s="83"/>
      <c r="I84" s="83"/>
      <c r="J84" s="93"/>
      <c r="K84" s="84"/>
      <c r="L84" s="94"/>
      <c r="M84" s="95"/>
    </row>
    <row r="85" spans="1:13" ht="12" customHeight="1">
      <c r="A85" s="83" t="str">
        <f t="shared" ref="A85:A90" si="5">IF(B85=""," ",A84+1)</f>
        <v xml:space="preserve"> </v>
      </c>
      <c r="B85" s="74"/>
      <c r="C85" s="84"/>
      <c r="D85" s="88"/>
      <c r="E85" s="85"/>
      <c r="F85" s="86"/>
      <c r="G85" s="87"/>
      <c r="H85" s="83"/>
      <c r="I85" s="83"/>
      <c r="J85" s="93"/>
      <c r="K85" s="84"/>
      <c r="L85" s="94"/>
      <c r="M85" s="95"/>
    </row>
    <row r="86" spans="1:13" ht="12" customHeight="1">
      <c r="A86" s="83" t="str">
        <f t="shared" si="5"/>
        <v xml:space="preserve"> </v>
      </c>
      <c r="B86" s="74"/>
      <c r="C86" s="84"/>
      <c r="D86" s="88"/>
      <c r="E86" s="85"/>
      <c r="F86" s="86"/>
      <c r="G86" s="87"/>
      <c r="H86" s="83"/>
      <c r="I86" s="83"/>
      <c r="J86" s="93"/>
      <c r="K86" s="84"/>
      <c r="L86" s="94"/>
      <c r="M86" s="95"/>
    </row>
    <row r="87" spans="1:13" ht="12" customHeight="1">
      <c r="A87" s="83" t="str">
        <f t="shared" si="5"/>
        <v xml:space="preserve"> </v>
      </c>
      <c r="B87" s="74"/>
      <c r="C87" s="84"/>
      <c r="D87" s="88"/>
      <c r="E87" s="85"/>
      <c r="F87" s="86"/>
      <c r="G87" s="87"/>
      <c r="H87" s="83"/>
      <c r="I87" s="83"/>
      <c r="J87" s="93"/>
      <c r="K87" s="84"/>
      <c r="L87" s="94"/>
      <c r="M87" s="95"/>
    </row>
    <row r="88" spans="1:13" ht="12" customHeight="1">
      <c r="A88" s="83" t="str">
        <f t="shared" si="5"/>
        <v xml:space="preserve"> </v>
      </c>
      <c r="B88" s="74"/>
      <c r="C88" s="84"/>
      <c r="D88" s="88"/>
      <c r="E88" s="85"/>
      <c r="F88" s="86"/>
      <c r="G88" s="87"/>
      <c r="H88" s="83"/>
      <c r="I88" s="83"/>
      <c r="J88" s="93"/>
      <c r="K88" s="84"/>
      <c r="L88" s="94"/>
      <c r="M88" s="95"/>
    </row>
    <row r="89" spans="1:13" ht="12" customHeight="1">
      <c r="A89" s="83" t="str">
        <f t="shared" si="5"/>
        <v xml:space="preserve"> </v>
      </c>
      <c r="B89" s="74"/>
      <c r="C89" s="84"/>
      <c r="D89" s="88"/>
      <c r="E89" s="85"/>
      <c r="F89" s="86"/>
      <c r="G89" s="87"/>
      <c r="H89" s="83"/>
      <c r="I89" s="83"/>
      <c r="J89" s="93"/>
      <c r="K89" s="84"/>
      <c r="L89" s="94"/>
      <c r="M89" s="95"/>
    </row>
    <row r="90" spans="1:13" ht="12" customHeight="1">
      <c r="A90" s="83" t="str">
        <f t="shared" si="5"/>
        <v xml:space="preserve"> </v>
      </c>
      <c r="B90" s="74"/>
      <c r="C90" s="84"/>
      <c r="D90" s="88"/>
      <c r="E90" s="85"/>
      <c r="F90" s="86"/>
      <c r="G90" s="87"/>
      <c r="H90" s="83"/>
      <c r="I90" s="83"/>
      <c r="J90" s="93"/>
      <c r="K90" s="84"/>
      <c r="L90" s="94"/>
      <c r="M90" s="95"/>
    </row>
    <row r="91" spans="1:13" ht="12" customHeight="1">
      <c r="A91" s="83" t="str">
        <f t="shared" ref="A91:A100" si="6">IF(B91=""," ",A90+1)</f>
        <v xml:space="preserve"> </v>
      </c>
      <c r="B91" s="74"/>
      <c r="C91" s="84"/>
      <c r="D91" s="88"/>
      <c r="E91" s="85"/>
      <c r="F91" s="86"/>
      <c r="G91" s="87"/>
      <c r="H91" s="83"/>
      <c r="I91" s="83"/>
      <c r="J91" s="93"/>
      <c r="K91" s="84"/>
      <c r="L91" s="94"/>
      <c r="M91" s="95"/>
    </row>
    <row r="92" spans="1:13" ht="12" customHeight="1">
      <c r="A92" s="83" t="str">
        <f t="shared" si="6"/>
        <v xml:space="preserve"> </v>
      </c>
      <c r="B92" s="74"/>
      <c r="C92" s="84"/>
      <c r="D92" s="88"/>
      <c r="E92" s="85"/>
      <c r="F92" s="86"/>
      <c r="G92" s="87"/>
      <c r="H92" s="83"/>
      <c r="I92" s="83"/>
      <c r="J92" s="93"/>
      <c r="K92" s="84"/>
      <c r="L92" s="94"/>
      <c r="M92" s="95"/>
    </row>
    <row r="93" spans="1:13" ht="12" customHeight="1">
      <c r="A93" s="83" t="str">
        <f t="shared" si="6"/>
        <v xml:space="preserve"> </v>
      </c>
      <c r="B93" s="74"/>
      <c r="C93" s="84"/>
      <c r="D93" s="88"/>
      <c r="E93" s="85"/>
      <c r="F93" s="86"/>
      <c r="G93" s="87"/>
      <c r="H93" s="83"/>
      <c r="I93" s="83"/>
      <c r="J93" s="93"/>
      <c r="K93" s="84"/>
      <c r="L93" s="94"/>
      <c r="M93" s="95"/>
    </row>
    <row r="94" spans="1:13" ht="12" customHeight="1">
      <c r="A94" s="83" t="str">
        <f t="shared" si="6"/>
        <v xml:space="preserve"> </v>
      </c>
      <c r="B94" s="74"/>
      <c r="C94" s="84"/>
      <c r="D94" s="88"/>
      <c r="E94" s="85"/>
      <c r="F94" s="86"/>
      <c r="G94" s="87"/>
      <c r="H94" s="83"/>
      <c r="I94" s="83"/>
      <c r="J94" s="93"/>
      <c r="K94" s="84"/>
      <c r="L94" s="94"/>
      <c r="M94" s="95"/>
    </row>
    <row r="95" spans="1:13" ht="12" customHeight="1">
      <c r="A95" s="83" t="str">
        <f t="shared" si="6"/>
        <v xml:space="preserve"> </v>
      </c>
      <c r="B95" s="74"/>
      <c r="C95" s="84"/>
      <c r="D95" s="88"/>
      <c r="E95" s="85"/>
      <c r="F95" s="86"/>
      <c r="G95" s="87"/>
      <c r="H95" s="83"/>
      <c r="I95" s="83"/>
      <c r="J95" s="93"/>
      <c r="K95" s="84"/>
      <c r="L95" s="94"/>
      <c r="M95" s="95"/>
    </row>
    <row r="96" spans="1:13" ht="12" customHeight="1">
      <c r="A96" s="83" t="str">
        <f t="shared" si="6"/>
        <v xml:space="preserve"> </v>
      </c>
      <c r="B96" s="74"/>
      <c r="C96" s="84"/>
      <c r="D96" s="88"/>
      <c r="E96" s="85"/>
      <c r="F96" s="86"/>
      <c r="G96" s="87"/>
      <c r="H96" s="83"/>
      <c r="I96" s="83"/>
      <c r="J96" s="93"/>
      <c r="K96" s="84"/>
      <c r="L96" s="94"/>
      <c r="M96" s="95"/>
    </row>
    <row r="97" spans="1:13" ht="12" customHeight="1">
      <c r="A97" s="83" t="str">
        <f t="shared" si="6"/>
        <v xml:space="preserve"> </v>
      </c>
      <c r="B97" s="74"/>
      <c r="C97" s="84"/>
      <c r="D97" s="88"/>
      <c r="E97" s="85"/>
      <c r="F97" s="86"/>
      <c r="G97" s="87"/>
      <c r="H97" s="83"/>
      <c r="I97" s="83"/>
      <c r="J97" s="93"/>
      <c r="K97" s="84"/>
      <c r="L97" s="94"/>
      <c r="M97" s="95"/>
    </row>
    <row r="98" spans="1:13" ht="12" customHeight="1">
      <c r="A98" s="83" t="str">
        <f t="shared" si="6"/>
        <v xml:space="preserve"> </v>
      </c>
      <c r="B98" s="74"/>
      <c r="C98" s="84"/>
      <c r="D98" s="88"/>
      <c r="E98" s="85"/>
      <c r="F98" s="86"/>
      <c r="G98" s="87"/>
      <c r="H98" s="83"/>
      <c r="I98" s="83"/>
      <c r="J98" s="93"/>
      <c r="K98" s="84"/>
      <c r="L98" s="94"/>
      <c r="M98" s="95"/>
    </row>
    <row r="99" spans="1:13" ht="12" customHeight="1">
      <c r="A99" s="83" t="str">
        <f t="shared" si="6"/>
        <v xml:space="preserve"> </v>
      </c>
      <c r="B99" s="74"/>
      <c r="C99" s="84"/>
      <c r="D99" s="88"/>
      <c r="E99" s="85"/>
      <c r="F99" s="86"/>
      <c r="G99" s="87"/>
      <c r="H99" s="83"/>
      <c r="I99" s="83"/>
      <c r="J99" s="93"/>
      <c r="K99" s="84"/>
      <c r="L99" s="94"/>
      <c r="M99" s="95"/>
    </row>
    <row r="100" spans="1:13" ht="12" customHeight="1">
      <c r="A100" s="83" t="str">
        <f t="shared" si="6"/>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75" t="s">
        <v>239</v>
      </c>
      <c r="C110" s="75" t="s">
        <v>240</v>
      </c>
    </row>
    <row r="111" spans="1:13">
      <c r="C111" s="75" t="s">
        <v>241</v>
      </c>
    </row>
    <row r="113" spans="2:4">
      <c r="B113" s="100" t="s">
        <v>456</v>
      </c>
      <c r="C113" s="75" t="s">
        <v>457</v>
      </c>
      <c r="D113" s="75" t="s">
        <v>458</v>
      </c>
    </row>
  </sheetData>
  <mergeCells count="29">
    <mergeCell ref="K5:M6"/>
    <mergeCell ref="K25:M25"/>
    <mergeCell ref="K26:M26"/>
    <mergeCell ref="K27:M27"/>
    <mergeCell ref="K28:M28"/>
    <mergeCell ref="K29:M29"/>
    <mergeCell ref="K16:M16"/>
    <mergeCell ref="K17:M17"/>
    <mergeCell ref="K21:M21"/>
    <mergeCell ref="K23:M23"/>
    <mergeCell ref="K24:M24"/>
    <mergeCell ref="K7:M7"/>
    <mergeCell ref="K9:M9"/>
    <mergeCell ref="K10:M10"/>
    <mergeCell ref="K13:M13"/>
    <mergeCell ref="K15:M15"/>
    <mergeCell ref="A4:B4"/>
    <mergeCell ref="C4:G4"/>
    <mergeCell ref="H4:I4"/>
    <mergeCell ref="B5:C5"/>
    <mergeCell ref="D5:H5"/>
    <mergeCell ref="I5:J5"/>
    <mergeCell ref="A5:A6"/>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Q132"/>
  <sheetViews>
    <sheetView showGridLines="0" workbookViewId="0">
      <pane ySplit="6" topLeftCell="A46" activePane="bottomLeft" state="frozen"/>
      <selection pane="bottomLeft" activeCell="C64" sqref="C64"/>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811</v>
      </c>
      <c r="D3" s="265"/>
      <c r="E3" s="265"/>
      <c r="F3" s="265"/>
      <c r="G3" s="266"/>
      <c r="H3" s="259" t="s">
        <v>140</v>
      </c>
      <c r="I3" s="260"/>
      <c r="J3" s="90">
        <f>COUNT(A7:A100)</f>
        <v>58</v>
      </c>
      <c r="K3" s="78" t="s">
        <v>141</v>
      </c>
      <c r="L3" s="91">
        <v>38644</v>
      </c>
      <c r="M3" s="92" t="s">
        <v>142</v>
      </c>
      <c r="O3" s="75" t="s">
        <v>143</v>
      </c>
      <c r="P3" s="75" t="s">
        <v>144</v>
      </c>
    </row>
    <row r="4" spans="1:16" ht="12" customHeight="1">
      <c r="A4" s="267" t="s">
        <v>145</v>
      </c>
      <c r="B4" s="268"/>
      <c r="C4" s="267" t="s">
        <v>29</v>
      </c>
      <c r="D4" s="269"/>
      <c r="E4" s="269"/>
      <c r="F4" s="269"/>
      <c r="G4" s="268"/>
      <c r="H4" s="259" t="s">
        <v>146</v>
      </c>
      <c r="I4" s="260"/>
      <c r="J4" s="90">
        <f>SUM(G7:G100)</f>
        <v>250</v>
      </c>
      <c r="K4" s="78" t="s">
        <v>147</v>
      </c>
      <c r="L4" s="91">
        <v>38878</v>
      </c>
      <c r="M4" s="92"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21" si="0">IF(D7="DATE",4,IF(D7="CHAR",E7,IF(D7="SMALLINT",2,IF(D7="INTEGER",4,IF(D7="TIMESTAMP",10,IF(D7="TIME",3,0))))))</f>
        <v>4</v>
      </c>
      <c r="H7" s="83" t="s">
        <v>149</v>
      </c>
      <c r="I7" s="83" t="s">
        <v>149</v>
      </c>
      <c r="J7" s="93"/>
      <c r="K7" s="308"/>
      <c r="L7" s="278"/>
      <c r="M7" s="279"/>
      <c r="P7" s="75" t="s">
        <v>165</v>
      </c>
    </row>
    <row r="8" spans="1:16" ht="12" customHeight="1">
      <c r="A8" s="83">
        <f t="shared" ref="A8:A18" si="1">IF(B8=""," ",A7+1)</f>
        <v>2</v>
      </c>
      <c r="B8" s="11" t="s">
        <v>460</v>
      </c>
      <c r="C8" s="21" t="s">
        <v>461</v>
      </c>
      <c r="D8" s="13" t="s">
        <v>164</v>
      </c>
      <c r="E8" s="85"/>
      <c r="F8" s="86"/>
      <c r="G8" s="87">
        <f t="shared" si="0"/>
        <v>4</v>
      </c>
      <c r="H8" s="83" t="s">
        <v>149</v>
      </c>
      <c r="I8" s="83" t="s">
        <v>149</v>
      </c>
      <c r="J8" s="93"/>
      <c r="K8" s="308"/>
      <c r="L8" s="278"/>
      <c r="M8" s="279"/>
    </row>
    <row r="9" spans="1:16" ht="12" customHeight="1">
      <c r="A9" s="83">
        <f t="shared" si="1"/>
        <v>3</v>
      </c>
      <c r="B9" s="11" t="s">
        <v>462</v>
      </c>
      <c r="C9" s="21" t="s">
        <v>463</v>
      </c>
      <c r="D9" s="13" t="s">
        <v>150</v>
      </c>
      <c r="E9" s="85">
        <v>13</v>
      </c>
      <c r="F9" s="86"/>
      <c r="G9" s="87">
        <f t="shared" si="0"/>
        <v>13</v>
      </c>
      <c r="H9" s="83" t="s">
        <v>149</v>
      </c>
      <c r="I9" s="83" t="s">
        <v>149</v>
      </c>
      <c r="J9" s="93"/>
      <c r="K9" s="308"/>
      <c r="L9" s="278"/>
      <c r="M9" s="279"/>
      <c r="P9" s="75" t="s">
        <v>164</v>
      </c>
    </row>
    <row r="10" spans="1:16"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6" ht="12" customHeight="1">
      <c r="A11" s="83">
        <f t="shared" si="1"/>
        <v>5</v>
      </c>
      <c r="B11" s="11" t="s">
        <v>646</v>
      </c>
      <c r="C11" s="84" t="s">
        <v>647</v>
      </c>
      <c r="D11" s="88" t="s">
        <v>150</v>
      </c>
      <c r="E11" s="85">
        <v>16</v>
      </c>
      <c r="F11" s="86"/>
      <c r="G11" s="87">
        <f t="shared" si="0"/>
        <v>16</v>
      </c>
      <c r="H11" s="83" t="s">
        <v>149</v>
      </c>
      <c r="I11" s="83" t="s">
        <v>149</v>
      </c>
      <c r="J11" s="93"/>
      <c r="K11" s="308" t="s">
        <v>648</v>
      </c>
      <c r="L11" s="278"/>
      <c r="M11" s="279"/>
    </row>
    <row r="12" spans="1:16" ht="12" customHeight="1">
      <c r="A12" s="83">
        <f t="shared" si="1"/>
        <v>6</v>
      </c>
      <c r="B12" s="21" t="s">
        <v>596</v>
      </c>
      <c r="C12" s="84" t="s">
        <v>597</v>
      </c>
      <c r="D12" s="88" t="s">
        <v>150</v>
      </c>
      <c r="E12" s="85">
        <v>7</v>
      </c>
      <c r="F12" s="86"/>
      <c r="G12" s="87">
        <f t="shared" si="0"/>
        <v>7</v>
      </c>
      <c r="H12" s="83" t="s">
        <v>149</v>
      </c>
      <c r="I12" s="83" t="s">
        <v>149</v>
      </c>
      <c r="J12" s="93"/>
      <c r="K12" s="308"/>
      <c r="L12" s="278"/>
      <c r="M12" s="279"/>
    </row>
    <row r="13" spans="1:16" ht="12" customHeight="1">
      <c r="A13" s="83">
        <f t="shared" si="1"/>
        <v>7</v>
      </c>
      <c r="B13" s="11" t="s">
        <v>744</v>
      </c>
      <c r="C13" s="110" t="s">
        <v>745</v>
      </c>
      <c r="D13" s="88" t="s">
        <v>174</v>
      </c>
      <c r="E13" s="85"/>
      <c r="F13" s="86"/>
      <c r="G13" s="87">
        <f t="shared" si="0"/>
        <v>2</v>
      </c>
      <c r="H13" s="83" t="s">
        <v>149</v>
      </c>
      <c r="I13" s="83" t="s">
        <v>149</v>
      </c>
      <c r="J13" s="93"/>
      <c r="K13" s="274"/>
      <c r="L13" s="275"/>
      <c r="M13" s="276"/>
    </row>
    <row r="14" spans="1:16" ht="27.6" customHeight="1">
      <c r="A14" s="83">
        <f t="shared" si="1"/>
        <v>8</v>
      </c>
      <c r="B14" s="11" t="s">
        <v>814</v>
      </c>
      <c r="C14" s="110" t="s">
        <v>815</v>
      </c>
      <c r="D14" s="88" t="s">
        <v>174</v>
      </c>
      <c r="E14" s="85"/>
      <c r="F14" s="86"/>
      <c r="G14" s="87">
        <f t="shared" si="0"/>
        <v>2</v>
      </c>
      <c r="H14" s="83" t="s">
        <v>149</v>
      </c>
      <c r="I14" s="83" t="s">
        <v>149</v>
      </c>
      <c r="J14" s="93"/>
      <c r="K14" s="280" t="s">
        <v>816</v>
      </c>
      <c r="L14" s="291"/>
      <c r="M14" s="292"/>
    </row>
    <row r="15" spans="1:16" ht="39.950000000000003" customHeight="1">
      <c r="A15" s="83">
        <f t="shared" si="1"/>
        <v>9</v>
      </c>
      <c r="B15" s="74" t="s">
        <v>410</v>
      </c>
      <c r="C15" s="84" t="s">
        <v>411</v>
      </c>
      <c r="D15" s="88" t="s">
        <v>150</v>
      </c>
      <c r="E15" s="85">
        <v>1</v>
      </c>
      <c r="F15" s="86"/>
      <c r="G15" s="87">
        <f t="shared" si="0"/>
        <v>1</v>
      </c>
      <c r="H15" s="83" t="s">
        <v>149</v>
      </c>
      <c r="I15" s="83"/>
      <c r="J15" s="93"/>
      <c r="K15" s="280" t="s">
        <v>412</v>
      </c>
      <c r="L15" s="291"/>
      <c r="M15" s="292"/>
    </row>
    <row r="16" spans="1:16" ht="87.75" customHeight="1">
      <c r="A16" s="83">
        <f t="shared" si="1"/>
        <v>10</v>
      </c>
      <c r="B16" s="21" t="s">
        <v>649</v>
      </c>
      <c r="C16" s="84" t="s">
        <v>650</v>
      </c>
      <c r="D16" s="88" t="s">
        <v>150</v>
      </c>
      <c r="E16" s="85">
        <v>1</v>
      </c>
      <c r="F16" s="86"/>
      <c r="G16" s="87">
        <f t="shared" si="0"/>
        <v>1</v>
      </c>
      <c r="H16" s="83" t="s">
        <v>149</v>
      </c>
      <c r="I16" s="83"/>
      <c r="J16" s="93"/>
      <c r="K16" s="271" t="s">
        <v>651</v>
      </c>
      <c r="L16" s="272"/>
      <c r="M16" s="273"/>
    </row>
    <row r="17" spans="1:16" ht="64.5" customHeight="1">
      <c r="A17" s="83">
        <f t="shared" si="1"/>
        <v>11</v>
      </c>
      <c r="B17" s="11" t="s">
        <v>652</v>
      </c>
      <c r="C17" s="21" t="s">
        <v>653</v>
      </c>
      <c r="D17" s="88" t="s">
        <v>150</v>
      </c>
      <c r="E17" s="85">
        <v>1</v>
      </c>
      <c r="F17" s="86"/>
      <c r="G17" s="87">
        <f t="shared" si="0"/>
        <v>1</v>
      </c>
      <c r="H17" s="83" t="s">
        <v>149</v>
      </c>
      <c r="I17" s="83"/>
      <c r="J17" s="93"/>
      <c r="K17" s="280" t="s">
        <v>654</v>
      </c>
      <c r="L17" s="291"/>
      <c r="M17" s="292"/>
    </row>
    <row r="18" spans="1:16" ht="12" customHeight="1">
      <c r="A18" s="83">
        <f t="shared" si="1"/>
        <v>12</v>
      </c>
      <c r="B18" s="11" t="s">
        <v>162</v>
      </c>
      <c r="C18" s="84" t="s">
        <v>163</v>
      </c>
      <c r="D18" s="13" t="s">
        <v>164</v>
      </c>
      <c r="E18" s="85"/>
      <c r="F18" s="86"/>
      <c r="G18" s="87">
        <f t="shared" si="0"/>
        <v>4</v>
      </c>
      <c r="H18" s="83" t="s">
        <v>149</v>
      </c>
      <c r="I18" s="83"/>
      <c r="J18" s="93"/>
      <c r="K18" s="308"/>
      <c r="L18" s="278"/>
      <c r="M18" s="279"/>
      <c r="P18" s="75" t="s">
        <v>165</v>
      </c>
    </row>
    <row r="19" spans="1:16" ht="12" customHeight="1">
      <c r="A19" s="83">
        <f t="shared" ref="A19:A65" si="2">IF(B19=""," ",A18+1)</f>
        <v>13</v>
      </c>
      <c r="B19" s="11" t="s">
        <v>166</v>
      </c>
      <c r="C19" s="84" t="s">
        <v>167</v>
      </c>
      <c r="D19" s="13" t="s">
        <v>150</v>
      </c>
      <c r="E19" s="85">
        <v>11</v>
      </c>
      <c r="F19" s="86"/>
      <c r="G19" s="87">
        <f t="shared" si="0"/>
        <v>11</v>
      </c>
      <c r="H19" s="83" t="s">
        <v>149</v>
      </c>
      <c r="I19" s="83"/>
      <c r="J19" s="93"/>
      <c r="K19" s="308"/>
      <c r="L19" s="278"/>
      <c r="M19" s="279"/>
    </row>
    <row r="20" spans="1:16" ht="27" customHeight="1">
      <c r="A20" s="83">
        <f t="shared" si="2"/>
        <v>14</v>
      </c>
      <c r="B20" s="11" t="s">
        <v>169</v>
      </c>
      <c r="C20" s="19" t="s">
        <v>170</v>
      </c>
      <c r="D20" s="88" t="s">
        <v>150</v>
      </c>
      <c r="E20" s="85">
        <v>1</v>
      </c>
      <c r="F20" s="86"/>
      <c r="G20" s="87">
        <f t="shared" si="0"/>
        <v>1</v>
      </c>
      <c r="H20" s="83" t="s">
        <v>149</v>
      </c>
      <c r="I20" s="83"/>
      <c r="J20" s="93"/>
      <c r="K20" s="271" t="s">
        <v>171</v>
      </c>
      <c r="L20" s="272"/>
      <c r="M20" s="273"/>
    </row>
    <row r="21" spans="1:16" ht="12" customHeight="1">
      <c r="A21" s="83">
        <f t="shared" si="2"/>
        <v>15</v>
      </c>
      <c r="B21" s="11" t="s">
        <v>172</v>
      </c>
      <c r="C21" s="84" t="s">
        <v>173</v>
      </c>
      <c r="D21" s="88" t="s">
        <v>174</v>
      </c>
      <c r="E21" s="85"/>
      <c r="F21" s="86"/>
      <c r="G21" s="87">
        <f t="shared" si="0"/>
        <v>2</v>
      </c>
      <c r="H21" s="83" t="s">
        <v>149</v>
      </c>
      <c r="I21" s="83"/>
      <c r="J21" s="93"/>
      <c r="K21" s="277" t="s">
        <v>175</v>
      </c>
      <c r="L21" s="278"/>
      <c r="M21" s="279"/>
    </row>
    <row r="22" spans="1:16" ht="12" customHeight="1">
      <c r="A22" s="83">
        <f t="shared" si="2"/>
        <v>16</v>
      </c>
      <c r="B22" s="11" t="s">
        <v>817</v>
      </c>
      <c r="C22" s="84" t="s">
        <v>244</v>
      </c>
      <c r="D22" s="88" t="s">
        <v>150</v>
      </c>
      <c r="E22" s="85">
        <v>7</v>
      </c>
      <c r="F22" s="86"/>
      <c r="G22" s="87">
        <f t="shared" ref="G22:G64" si="3">IF(D22="DATE",4,IF(D22="CHAR",E22,IF(D22="SMALLINT",2,IF(D22="INTEGER",4,IF(D22="TIMESTAMP",10,IF(D22="TIME",3,0))))))</f>
        <v>7</v>
      </c>
      <c r="H22" s="83" t="s">
        <v>149</v>
      </c>
      <c r="I22" s="83"/>
      <c r="J22" s="93"/>
      <c r="K22" s="274"/>
      <c r="L22" s="275"/>
      <c r="M22" s="276"/>
    </row>
    <row r="23" spans="1:16" ht="12" customHeight="1">
      <c r="A23" s="83">
        <f t="shared" si="2"/>
        <v>17</v>
      </c>
      <c r="B23" s="20" t="s">
        <v>770</v>
      </c>
      <c r="C23" s="21" t="s">
        <v>771</v>
      </c>
      <c r="D23" s="13" t="s">
        <v>150</v>
      </c>
      <c r="E23" s="85">
        <v>10</v>
      </c>
      <c r="F23" s="86"/>
      <c r="G23" s="87">
        <f t="shared" si="3"/>
        <v>10</v>
      </c>
      <c r="H23" s="83" t="s">
        <v>149</v>
      </c>
      <c r="I23" s="83"/>
      <c r="J23" s="93"/>
      <c r="K23" s="308"/>
      <c r="L23" s="278"/>
      <c r="M23" s="279"/>
    </row>
    <row r="24" spans="1:16" ht="12" customHeight="1">
      <c r="A24" s="83">
        <f t="shared" si="2"/>
        <v>18</v>
      </c>
      <c r="B24" s="11" t="s">
        <v>772</v>
      </c>
      <c r="C24" s="21" t="s">
        <v>773</v>
      </c>
      <c r="D24" s="13" t="s">
        <v>174</v>
      </c>
      <c r="E24" s="85"/>
      <c r="F24" s="86"/>
      <c r="G24" s="87">
        <f t="shared" si="3"/>
        <v>2</v>
      </c>
      <c r="H24" s="83" t="s">
        <v>149</v>
      </c>
      <c r="I24" s="83"/>
      <c r="J24" s="93"/>
      <c r="K24" s="308"/>
      <c r="L24" s="278"/>
      <c r="M24" s="279"/>
      <c r="P24" s="75" t="s">
        <v>174</v>
      </c>
    </row>
    <row r="25" spans="1:16" ht="12" customHeight="1">
      <c r="A25" s="83">
        <f t="shared" si="2"/>
        <v>19</v>
      </c>
      <c r="B25" s="74" t="s">
        <v>774</v>
      </c>
      <c r="C25" s="21" t="s">
        <v>775</v>
      </c>
      <c r="D25" s="13" t="s">
        <v>150</v>
      </c>
      <c r="E25" s="85">
        <v>10</v>
      </c>
      <c r="F25" s="86"/>
      <c r="G25" s="87">
        <f t="shared" si="3"/>
        <v>10</v>
      </c>
      <c r="H25" s="83" t="s">
        <v>149</v>
      </c>
      <c r="I25" s="83"/>
      <c r="J25" s="93"/>
      <c r="K25" s="308"/>
      <c r="L25" s="278"/>
      <c r="M25" s="279"/>
    </row>
    <row r="26" spans="1:16" ht="12" customHeight="1">
      <c r="A26" s="83">
        <f t="shared" si="2"/>
        <v>20</v>
      </c>
      <c r="B26" s="74" t="s">
        <v>776</v>
      </c>
      <c r="C26" s="84" t="s">
        <v>777</v>
      </c>
      <c r="D26" s="88" t="s">
        <v>174</v>
      </c>
      <c r="E26" s="85"/>
      <c r="F26" s="86"/>
      <c r="G26" s="87">
        <f t="shared" si="3"/>
        <v>2</v>
      </c>
      <c r="H26" s="83" t="s">
        <v>149</v>
      </c>
      <c r="I26" s="83"/>
      <c r="J26" s="93"/>
      <c r="K26" s="274"/>
      <c r="L26" s="275"/>
      <c r="M26" s="276"/>
      <c r="P26" s="75" t="s">
        <v>195</v>
      </c>
    </row>
    <row r="27" spans="1:16" ht="12" customHeight="1">
      <c r="A27" s="83">
        <f t="shared" si="2"/>
        <v>21</v>
      </c>
      <c r="B27" s="11" t="s">
        <v>664</v>
      </c>
      <c r="C27" s="84" t="s">
        <v>665</v>
      </c>
      <c r="D27" s="88" t="s">
        <v>150</v>
      </c>
      <c r="E27" s="85">
        <v>7</v>
      </c>
      <c r="F27" s="86"/>
      <c r="G27" s="87">
        <f t="shared" si="3"/>
        <v>7</v>
      </c>
      <c r="H27" s="83" t="s">
        <v>149</v>
      </c>
      <c r="I27" s="83"/>
      <c r="J27" s="93"/>
      <c r="K27" s="271" t="s">
        <v>666</v>
      </c>
      <c r="L27" s="272"/>
      <c r="M27" s="273"/>
    </row>
    <row r="28" spans="1:16" ht="34.5" customHeight="1">
      <c r="A28" s="83">
        <f t="shared" si="2"/>
        <v>22</v>
      </c>
      <c r="B28" s="11" t="s">
        <v>676</v>
      </c>
      <c r="C28" s="84" t="s">
        <v>677</v>
      </c>
      <c r="D28" s="88" t="s">
        <v>150</v>
      </c>
      <c r="E28" s="85">
        <v>2</v>
      </c>
      <c r="F28" s="86"/>
      <c r="G28" s="87">
        <f t="shared" si="3"/>
        <v>2</v>
      </c>
      <c r="H28" s="83" t="s">
        <v>149</v>
      </c>
      <c r="I28" s="83"/>
      <c r="J28" s="93"/>
      <c r="K28" s="280" t="s">
        <v>678</v>
      </c>
      <c r="L28" s="291"/>
      <c r="M28" s="292"/>
      <c r="P28" s="75" t="s">
        <v>195</v>
      </c>
    </row>
    <row r="29" spans="1:16" ht="93.75" customHeight="1">
      <c r="A29" s="83">
        <f t="shared" si="2"/>
        <v>23</v>
      </c>
      <c r="B29" s="20" t="s">
        <v>682</v>
      </c>
      <c r="C29" s="22" t="s">
        <v>683</v>
      </c>
      <c r="D29" s="88" t="s">
        <v>150</v>
      </c>
      <c r="E29" s="85">
        <v>1</v>
      </c>
      <c r="F29" s="86"/>
      <c r="G29" s="87">
        <f t="shared" si="3"/>
        <v>1</v>
      </c>
      <c r="H29" s="83" t="s">
        <v>149</v>
      </c>
      <c r="I29" s="83"/>
      <c r="J29" s="93"/>
      <c r="K29" s="271" t="s">
        <v>684</v>
      </c>
      <c r="L29" s="272"/>
      <c r="M29" s="273"/>
    </row>
    <row r="30" spans="1:16" ht="87" customHeight="1">
      <c r="A30" s="83">
        <f t="shared" si="2"/>
        <v>24</v>
      </c>
      <c r="B30" s="11" t="s">
        <v>667</v>
      </c>
      <c r="C30" s="84" t="s">
        <v>668</v>
      </c>
      <c r="D30" s="88" t="s">
        <v>150</v>
      </c>
      <c r="E30" s="85">
        <v>7</v>
      </c>
      <c r="F30" s="86"/>
      <c r="G30" s="87">
        <f t="shared" si="3"/>
        <v>7</v>
      </c>
      <c r="H30" s="83" t="s">
        <v>149</v>
      </c>
      <c r="I30" s="83"/>
      <c r="J30" s="93"/>
      <c r="K30" s="308"/>
      <c r="L30" s="278"/>
      <c r="M30" s="279"/>
    </row>
    <row r="31" spans="1:16" ht="42.75" customHeight="1">
      <c r="A31" s="213">
        <f t="shared" si="2"/>
        <v>25</v>
      </c>
      <c r="B31" s="214" t="s">
        <v>818</v>
      </c>
      <c r="C31" s="215" t="s">
        <v>819</v>
      </c>
      <c r="D31" s="216" t="s">
        <v>150</v>
      </c>
      <c r="E31" s="217">
        <v>4</v>
      </c>
      <c r="F31" s="218"/>
      <c r="G31" s="219">
        <f t="shared" si="3"/>
        <v>4</v>
      </c>
      <c r="H31" s="213" t="s">
        <v>149</v>
      </c>
      <c r="I31" s="213"/>
      <c r="J31" s="222"/>
      <c r="K31" s="314" t="s">
        <v>820</v>
      </c>
      <c r="L31" s="318"/>
      <c r="M31" s="319"/>
    </row>
    <row r="32" spans="1:16" ht="39.75" customHeight="1">
      <c r="A32" s="213">
        <f t="shared" si="2"/>
        <v>26</v>
      </c>
      <c r="B32" s="220" t="s">
        <v>821</v>
      </c>
      <c r="C32" s="221" t="s">
        <v>822</v>
      </c>
      <c r="D32" s="216" t="s">
        <v>150</v>
      </c>
      <c r="E32" s="217">
        <v>7</v>
      </c>
      <c r="F32" s="218"/>
      <c r="G32" s="219">
        <f t="shared" si="3"/>
        <v>7</v>
      </c>
      <c r="H32" s="213" t="s">
        <v>149</v>
      </c>
      <c r="I32" s="213"/>
      <c r="J32" s="222"/>
      <c r="K32" s="314" t="s">
        <v>823</v>
      </c>
      <c r="L32" s="318"/>
      <c r="M32" s="319"/>
    </row>
    <row r="33" spans="1:16" ht="27.6" customHeight="1">
      <c r="A33" s="83">
        <f t="shared" si="2"/>
        <v>27</v>
      </c>
      <c r="B33" s="11" t="s">
        <v>535</v>
      </c>
      <c r="C33" s="84" t="s">
        <v>536</v>
      </c>
      <c r="D33" s="88" t="s">
        <v>150</v>
      </c>
      <c r="E33" s="85">
        <v>4</v>
      </c>
      <c r="F33" s="86"/>
      <c r="G33" s="87">
        <f t="shared" si="3"/>
        <v>4</v>
      </c>
      <c r="H33" s="83" t="s">
        <v>149</v>
      </c>
      <c r="I33" s="83"/>
      <c r="J33" s="93"/>
      <c r="K33" s="308"/>
      <c r="L33" s="278"/>
      <c r="M33" s="279"/>
    </row>
    <row r="34" spans="1:16" ht="44.25" customHeight="1">
      <c r="A34" s="83">
        <f t="shared" si="2"/>
        <v>28</v>
      </c>
      <c r="B34" s="20" t="s">
        <v>685</v>
      </c>
      <c r="C34" s="84" t="s">
        <v>686</v>
      </c>
      <c r="D34" s="88" t="s">
        <v>150</v>
      </c>
      <c r="E34" s="85">
        <v>2</v>
      </c>
      <c r="F34" s="86"/>
      <c r="G34" s="87">
        <f t="shared" si="3"/>
        <v>2</v>
      </c>
      <c r="H34" s="83" t="s">
        <v>149</v>
      </c>
      <c r="I34" s="83"/>
      <c r="J34" s="93"/>
      <c r="K34" s="271" t="s">
        <v>687</v>
      </c>
      <c r="L34" s="272"/>
      <c r="M34" s="273"/>
    </row>
    <row r="35" spans="1:16" ht="54" customHeight="1">
      <c r="A35" s="83">
        <f t="shared" si="2"/>
        <v>29</v>
      </c>
      <c r="B35" s="11" t="s">
        <v>700</v>
      </c>
      <c r="C35" s="84" t="s">
        <v>701</v>
      </c>
      <c r="D35" s="88" t="s">
        <v>150</v>
      </c>
      <c r="E35" s="85">
        <v>3</v>
      </c>
      <c r="F35" s="86"/>
      <c r="G35" s="87">
        <f t="shared" si="3"/>
        <v>3</v>
      </c>
      <c r="H35" s="83" t="s">
        <v>149</v>
      </c>
      <c r="I35" s="83"/>
      <c r="J35" s="93"/>
      <c r="K35" s="280" t="s">
        <v>702</v>
      </c>
      <c r="L35" s="291"/>
      <c r="M35" s="292"/>
    </row>
    <row r="36" spans="1:16" ht="63" customHeight="1">
      <c r="A36" s="83">
        <f t="shared" si="2"/>
        <v>30</v>
      </c>
      <c r="B36" s="11" t="s">
        <v>703</v>
      </c>
      <c r="C36" s="84" t="s">
        <v>704</v>
      </c>
      <c r="D36" s="88" t="s">
        <v>150</v>
      </c>
      <c r="E36" s="85">
        <v>1</v>
      </c>
      <c r="F36" s="86"/>
      <c r="G36" s="87">
        <f t="shared" si="3"/>
        <v>1</v>
      </c>
      <c r="H36" s="83" t="s">
        <v>149</v>
      </c>
      <c r="I36" s="83"/>
      <c r="J36" s="93"/>
      <c r="K36" s="280" t="s">
        <v>705</v>
      </c>
      <c r="L36" s="291"/>
      <c r="M36" s="292"/>
    </row>
    <row r="37" spans="1:16" ht="31.5" customHeight="1">
      <c r="A37" s="83">
        <f t="shared" si="2"/>
        <v>31</v>
      </c>
      <c r="B37" s="11" t="s">
        <v>706</v>
      </c>
      <c r="C37" s="84" t="s">
        <v>707</v>
      </c>
      <c r="D37" s="88" t="s">
        <v>150</v>
      </c>
      <c r="E37" s="85">
        <v>3</v>
      </c>
      <c r="F37" s="86"/>
      <c r="G37" s="87">
        <f t="shared" si="3"/>
        <v>3</v>
      </c>
      <c r="H37" s="83" t="s">
        <v>149</v>
      </c>
      <c r="I37" s="83"/>
      <c r="J37" s="93"/>
      <c r="K37" s="271" t="s">
        <v>708</v>
      </c>
      <c r="L37" s="272"/>
      <c r="M37" s="273"/>
    </row>
    <row r="38" spans="1:16" ht="66.75" customHeight="1">
      <c r="A38" s="83">
        <f t="shared" si="2"/>
        <v>32</v>
      </c>
      <c r="B38" s="11" t="s">
        <v>709</v>
      </c>
      <c r="C38" s="84" t="s">
        <v>710</v>
      </c>
      <c r="D38" s="88" t="s">
        <v>150</v>
      </c>
      <c r="E38" s="85">
        <v>1</v>
      </c>
      <c r="F38" s="86"/>
      <c r="G38" s="87"/>
      <c r="H38" s="83" t="s">
        <v>149</v>
      </c>
      <c r="I38" s="83"/>
      <c r="J38" s="93"/>
      <c r="K38" s="280" t="s">
        <v>711</v>
      </c>
      <c r="L38" s="291"/>
      <c r="M38" s="292"/>
    </row>
    <row r="39" spans="1:16" ht="32.25" customHeight="1">
      <c r="A39" s="83">
        <f t="shared" si="2"/>
        <v>33</v>
      </c>
      <c r="B39" s="11" t="s">
        <v>712</v>
      </c>
      <c r="C39" s="84" t="s">
        <v>713</v>
      </c>
      <c r="D39" s="88" t="s">
        <v>150</v>
      </c>
      <c r="E39" s="85">
        <v>24</v>
      </c>
      <c r="F39" s="86"/>
      <c r="G39" s="87">
        <f t="shared" si="3"/>
        <v>24</v>
      </c>
      <c r="H39" s="83" t="s">
        <v>149</v>
      </c>
      <c r="I39" s="83"/>
      <c r="J39" s="93"/>
      <c r="K39" s="280" t="s">
        <v>714</v>
      </c>
      <c r="L39" s="291"/>
      <c r="M39" s="292"/>
    </row>
    <row r="40" spans="1:16">
      <c r="A40" s="83">
        <f t="shared" si="2"/>
        <v>34</v>
      </c>
      <c r="B40" s="74" t="s">
        <v>688</v>
      </c>
      <c r="C40" s="84" t="s">
        <v>689</v>
      </c>
      <c r="D40" s="88" t="s">
        <v>150</v>
      </c>
      <c r="E40" s="85">
        <v>1</v>
      </c>
      <c r="F40" s="86"/>
      <c r="G40" s="87">
        <f t="shared" si="3"/>
        <v>1</v>
      </c>
      <c r="H40" s="83" t="s">
        <v>149</v>
      </c>
      <c r="I40" s="83"/>
      <c r="J40" s="93"/>
      <c r="K40" s="280" t="s">
        <v>690</v>
      </c>
      <c r="L40" s="291"/>
      <c r="M40" s="292"/>
    </row>
    <row r="41" spans="1:16" ht="95.25" customHeight="1">
      <c r="A41" s="83">
        <f t="shared" si="2"/>
        <v>35</v>
      </c>
      <c r="B41" s="20" t="s">
        <v>715</v>
      </c>
      <c r="C41" s="84" t="s">
        <v>716</v>
      </c>
      <c r="D41" s="88" t="s">
        <v>150</v>
      </c>
      <c r="E41" s="85">
        <v>2</v>
      </c>
      <c r="F41" s="86"/>
      <c r="G41" s="87">
        <f t="shared" si="3"/>
        <v>2</v>
      </c>
      <c r="H41" s="83" t="s">
        <v>149</v>
      </c>
      <c r="I41" s="83"/>
      <c r="J41" s="93"/>
      <c r="K41" s="280" t="s">
        <v>717</v>
      </c>
      <c r="L41" s="291"/>
      <c r="M41" s="292"/>
    </row>
    <row r="42" spans="1:16" ht="56.25" customHeight="1">
      <c r="A42" s="83">
        <f t="shared" si="2"/>
        <v>36</v>
      </c>
      <c r="B42" s="11" t="s">
        <v>718</v>
      </c>
      <c r="C42" s="84" t="s">
        <v>719</v>
      </c>
      <c r="D42" s="88" t="s">
        <v>150</v>
      </c>
      <c r="E42" s="85">
        <v>2</v>
      </c>
      <c r="F42" s="86"/>
      <c r="G42" s="87">
        <f t="shared" si="3"/>
        <v>2</v>
      </c>
      <c r="H42" s="83" t="s">
        <v>149</v>
      </c>
      <c r="I42" s="83"/>
      <c r="J42" s="93"/>
      <c r="K42" s="280" t="s">
        <v>720</v>
      </c>
      <c r="L42" s="291"/>
      <c r="M42" s="292"/>
    </row>
    <row r="43" spans="1:16" ht="60" customHeight="1">
      <c r="A43" s="83">
        <f t="shared" si="2"/>
        <v>37</v>
      </c>
      <c r="B43" s="11" t="s">
        <v>750</v>
      </c>
      <c r="C43" s="21" t="s">
        <v>751</v>
      </c>
      <c r="D43" s="88" t="s">
        <v>150</v>
      </c>
      <c r="E43" s="85">
        <v>15</v>
      </c>
      <c r="F43" s="86"/>
      <c r="G43" s="87">
        <f t="shared" si="3"/>
        <v>15</v>
      </c>
      <c r="H43" s="83" t="s">
        <v>149</v>
      </c>
      <c r="I43" s="83"/>
      <c r="J43" s="93"/>
      <c r="K43" s="280" t="s">
        <v>752</v>
      </c>
      <c r="L43" s="291"/>
      <c r="M43" s="292"/>
      <c r="P43" s="75" t="s">
        <v>174</v>
      </c>
    </row>
    <row r="44" spans="1:16" ht="101.25" customHeight="1">
      <c r="A44" s="83">
        <f t="shared" si="2"/>
        <v>38</v>
      </c>
      <c r="B44" s="11" t="s">
        <v>734</v>
      </c>
      <c r="C44" s="84" t="s">
        <v>824</v>
      </c>
      <c r="D44" s="88" t="s">
        <v>150</v>
      </c>
      <c r="E44" s="85">
        <v>1</v>
      </c>
      <c r="F44" s="86"/>
      <c r="G44" s="87">
        <f t="shared" si="3"/>
        <v>1</v>
      </c>
      <c r="H44" s="83" t="s">
        <v>149</v>
      </c>
      <c r="I44" s="83"/>
      <c r="J44" s="93"/>
      <c r="K44" s="280" t="s">
        <v>736</v>
      </c>
      <c r="L44" s="291"/>
      <c r="M44" s="292"/>
    </row>
    <row r="45" spans="1:16" ht="41.25" customHeight="1">
      <c r="A45" s="83">
        <f t="shared" si="2"/>
        <v>39</v>
      </c>
      <c r="B45" s="11" t="s">
        <v>337</v>
      </c>
      <c r="C45" s="84" t="s">
        <v>338</v>
      </c>
      <c r="D45" s="88" t="s">
        <v>150</v>
      </c>
      <c r="E45" s="85">
        <v>1</v>
      </c>
      <c r="F45" s="86"/>
      <c r="G45" s="87">
        <f t="shared" si="3"/>
        <v>1</v>
      </c>
      <c r="H45" s="83" t="s">
        <v>149</v>
      </c>
      <c r="I45" s="83"/>
      <c r="J45" s="93"/>
      <c r="K45" s="280" t="s">
        <v>737</v>
      </c>
      <c r="L45" s="291"/>
      <c r="M45" s="292"/>
    </row>
    <row r="46" spans="1:16" ht="39.75" customHeight="1">
      <c r="A46" s="83">
        <f t="shared" si="2"/>
        <v>40</v>
      </c>
      <c r="B46" s="11" t="s">
        <v>738</v>
      </c>
      <c r="C46" s="84" t="s">
        <v>739</v>
      </c>
      <c r="D46" s="88" t="s">
        <v>174</v>
      </c>
      <c r="E46" s="85"/>
      <c r="F46" s="86"/>
      <c r="G46" s="87">
        <f t="shared" si="3"/>
        <v>2</v>
      </c>
      <c r="H46" s="83" t="s">
        <v>149</v>
      </c>
      <c r="I46" s="83"/>
      <c r="J46" s="93"/>
      <c r="K46" s="280" t="s">
        <v>740</v>
      </c>
      <c r="L46" s="291"/>
      <c r="M46" s="292"/>
    </row>
    <row r="47" spans="1:16" ht="27" customHeight="1">
      <c r="A47" s="83">
        <f t="shared" si="2"/>
        <v>41</v>
      </c>
      <c r="B47" s="11" t="s">
        <v>284</v>
      </c>
      <c r="C47" s="84" t="s">
        <v>285</v>
      </c>
      <c r="D47" s="88" t="s">
        <v>150</v>
      </c>
      <c r="E47" s="85">
        <v>5</v>
      </c>
      <c r="F47" s="86"/>
      <c r="G47" s="87">
        <f t="shared" si="3"/>
        <v>5</v>
      </c>
      <c r="H47" s="83" t="s">
        <v>149</v>
      </c>
      <c r="I47" s="83"/>
      <c r="J47" s="93"/>
      <c r="K47" s="274"/>
      <c r="L47" s="275"/>
      <c r="M47" s="276"/>
    </row>
    <row r="48" spans="1:16" ht="12" customHeight="1">
      <c r="A48" s="83">
        <f t="shared" si="2"/>
        <v>42</v>
      </c>
      <c r="B48" s="11" t="s">
        <v>286</v>
      </c>
      <c r="C48" s="84" t="s">
        <v>287</v>
      </c>
      <c r="D48" s="88" t="s">
        <v>150</v>
      </c>
      <c r="E48" s="85">
        <v>5</v>
      </c>
      <c r="F48" s="86"/>
      <c r="G48" s="87">
        <f t="shared" si="3"/>
        <v>5</v>
      </c>
      <c r="H48" s="83" t="s">
        <v>149</v>
      </c>
      <c r="I48" s="83"/>
      <c r="J48" s="93"/>
      <c r="K48" s="274"/>
      <c r="L48" s="275"/>
      <c r="M48" s="276"/>
      <c r="N48" s="123"/>
    </row>
    <row r="49" spans="1:16" ht="12" customHeight="1">
      <c r="A49" s="83">
        <f t="shared" si="2"/>
        <v>43</v>
      </c>
      <c r="B49" s="11" t="s">
        <v>288</v>
      </c>
      <c r="C49" s="84" t="s">
        <v>289</v>
      </c>
      <c r="D49" s="88" t="s">
        <v>150</v>
      </c>
      <c r="E49" s="85">
        <v>1</v>
      </c>
      <c r="F49" s="86"/>
      <c r="G49" s="87">
        <f t="shared" si="3"/>
        <v>1</v>
      </c>
      <c r="H49" s="83" t="s">
        <v>149</v>
      </c>
      <c r="I49" s="83"/>
      <c r="J49" s="93"/>
      <c r="K49" s="274" t="s">
        <v>290</v>
      </c>
      <c r="L49" s="275"/>
      <c r="M49" s="276"/>
      <c r="N49" s="123"/>
    </row>
    <row r="50" spans="1:16" ht="12" customHeight="1">
      <c r="A50" s="83">
        <f t="shared" si="2"/>
        <v>44</v>
      </c>
      <c r="B50" s="73" t="s">
        <v>291</v>
      </c>
      <c r="C50" s="84" t="s">
        <v>292</v>
      </c>
      <c r="D50" s="88" t="s">
        <v>150</v>
      </c>
      <c r="E50" s="85">
        <v>1</v>
      </c>
      <c r="F50" s="86"/>
      <c r="G50" s="87">
        <f t="shared" si="3"/>
        <v>1</v>
      </c>
      <c r="H50" s="83" t="s">
        <v>149</v>
      </c>
      <c r="I50" s="83"/>
      <c r="J50" s="93"/>
      <c r="K50" s="280" t="s">
        <v>293</v>
      </c>
      <c r="L50" s="291"/>
      <c r="M50" s="292"/>
      <c r="N50" s="123"/>
    </row>
    <row r="51" spans="1:16" ht="30.75" customHeight="1">
      <c r="A51" s="83">
        <f t="shared" si="2"/>
        <v>45</v>
      </c>
      <c r="B51" s="11" t="s">
        <v>294</v>
      </c>
      <c r="C51" s="84" t="s">
        <v>295</v>
      </c>
      <c r="D51" s="88" t="s">
        <v>150</v>
      </c>
      <c r="E51" s="85">
        <v>8</v>
      </c>
      <c r="F51" s="86"/>
      <c r="G51" s="87">
        <f t="shared" si="3"/>
        <v>8</v>
      </c>
      <c r="H51" s="83" t="s">
        <v>149</v>
      </c>
      <c r="I51" s="83"/>
      <c r="J51" s="93"/>
      <c r="K51" s="280" t="s">
        <v>296</v>
      </c>
      <c r="L51" s="291"/>
      <c r="M51" s="292"/>
    </row>
    <row r="52" spans="1:16" ht="27.75" customHeight="1">
      <c r="A52" s="83">
        <f t="shared" si="2"/>
        <v>46</v>
      </c>
      <c r="B52" s="11" t="s">
        <v>297</v>
      </c>
      <c r="C52" s="84" t="s">
        <v>298</v>
      </c>
      <c r="D52" s="88" t="s">
        <v>150</v>
      </c>
      <c r="E52" s="85">
        <v>1</v>
      </c>
      <c r="F52" s="86"/>
      <c r="G52" s="87">
        <f t="shared" si="3"/>
        <v>1</v>
      </c>
      <c r="H52" s="83" t="s">
        <v>149</v>
      </c>
      <c r="I52" s="83"/>
      <c r="J52" s="93"/>
      <c r="K52" s="299" t="s">
        <v>299</v>
      </c>
      <c r="L52" s="300"/>
      <c r="M52" s="301"/>
      <c r="N52" s="123"/>
    </row>
    <row r="53" spans="1:16" ht="27.75" customHeight="1">
      <c r="A53" s="83">
        <f t="shared" si="2"/>
        <v>47</v>
      </c>
      <c r="B53" s="11" t="s">
        <v>300</v>
      </c>
      <c r="C53" s="84" t="s">
        <v>301</v>
      </c>
      <c r="D53" s="88" t="s">
        <v>150</v>
      </c>
      <c r="E53" s="85">
        <v>3</v>
      </c>
      <c r="F53" s="86"/>
      <c r="G53" s="87">
        <f t="shared" si="3"/>
        <v>3</v>
      </c>
      <c r="H53" s="83" t="s">
        <v>149</v>
      </c>
      <c r="I53" s="83"/>
      <c r="J53" s="93"/>
      <c r="K53" s="299" t="s">
        <v>302</v>
      </c>
      <c r="L53" s="300"/>
      <c r="M53" s="301"/>
    </row>
    <row r="54" spans="1:16" ht="27.75" customHeight="1">
      <c r="A54" s="83">
        <f t="shared" si="2"/>
        <v>48</v>
      </c>
      <c r="B54" s="73" t="s">
        <v>303</v>
      </c>
      <c r="C54" s="84" t="s">
        <v>304</v>
      </c>
      <c r="D54" s="88" t="s">
        <v>150</v>
      </c>
      <c r="E54" s="85">
        <v>1</v>
      </c>
      <c r="F54" s="86"/>
      <c r="G54" s="87">
        <f t="shared" si="3"/>
        <v>1</v>
      </c>
      <c r="H54" s="83" t="s">
        <v>149</v>
      </c>
      <c r="I54" s="83"/>
      <c r="J54" s="93"/>
      <c r="K54" s="280" t="s">
        <v>305</v>
      </c>
      <c r="L54" s="291"/>
      <c r="M54" s="292"/>
    </row>
    <row r="55" spans="1:16">
      <c r="A55" s="83">
        <f t="shared" si="2"/>
        <v>49</v>
      </c>
      <c r="B55" s="11" t="s">
        <v>537</v>
      </c>
      <c r="C55" s="84" t="s">
        <v>538</v>
      </c>
      <c r="D55" s="88" t="s">
        <v>195</v>
      </c>
      <c r="E55" s="85"/>
      <c r="F55" s="86"/>
      <c r="G55" s="87">
        <f t="shared" si="3"/>
        <v>3</v>
      </c>
      <c r="H55" s="83" t="s">
        <v>149</v>
      </c>
      <c r="I55" s="83"/>
      <c r="J55" s="93"/>
      <c r="K55" s="274"/>
      <c r="L55" s="275"/>
      <c r="M55" s="276"/>
    </row>
    <row r="56" spans="1:16" ht="12" customHeight="1">
      <c r="A56" s="83">
        <f t="shared" si="2"/>
        <v>50</v>
      </c>
      <c r="B56" s="11" t="s">
        <v>539</v>
      </c>
      <c r="C56" s="84" t="s">
        <v>540</v>
      </c>
      <c r="D56" s="88" t="s">
        <v>164</v>
      </c>
      <c r="E56" s="85"/>
      <c r="F56" s="86"/>
      <c r="G56" s="87">
        <f t="shared" si="3"/>
        <v>4</v>
      </c>
      <c r="H56" s="83" t="s">
        <v>149</v>
      </c>
      <c r="I56" s="83"/>
      <c r="J56" s="93"/>
      <c r="K56" s="274"/>
      <c r="L56" s="275"/>
      <c r="M56" s="276"/>
    </row>
    <row r="57" spans="1:16" ht="12" customHeight="1">
      <c r="A57" s="83">
        <f t="shared" si="2"/>
        <v>51</v>
      </c>
      <c r="B57" s="11" t="s">
        <v>541</v>
      </c>
      <c r="C57" s="84" t="s">
        <v>542</v>
      </c>
      <c r="D57" s="88" t="s">
        <v>150</v>
      </c>
      <c r="E57" s="85">
        <v>4</v>
      </c>
      <c r="F57" s="86"/>
      <c r="G57" s="87">
        <f t="shared" si="3"/>
        <v>4</v>
      </c>
      <c r="H57" s="83" t="s">
        <v>149</v>
      </c>
      <c r="I57" s="83"/>
      <c r="J57" s="93"/>
      <c r="K57" s="274"/>
      <c r="L57" s="275"/>
      <c r="M57" s="276"/>
      <c r="P57" s="75" t="s">
        <v>174</v>
      </c>
    </row>
    <row r="58" spans="1:16" ht="12" customHeight="1">
      <c r="A58" s="83">
        <f t="shared" si="2"/>
        <v>52</v>
      </c>
      <c r="B58" s="11" t="s">
        <v>543</v>
      </c>
      <c r="C58" s="84" t="s">
        <v>544</v>
      </c>
      <c r="D58" s="88" t="s">
        <v>150</v>
      </c>
      <c r="E58" s="85">
        <v>1</v>
      </c>
      <c r="F58" s="86"/>
      <c r="G58" s="87">
        <f t="shared" si="3"/>
        <v>1</v>
      </c>
      <c r="H58" s="83" t="s">
        <v>149</v>
      </c>
      <c r="I58" s="83"/>
      <c r="J58" s="93"/>
      <c r="K58" s="274" t="s">
        <v>545</v>
      </c>
      <c r="L58" s="275"/>
      <c r="M58" s="276"/>
    </row>
    <row r="59" spans="1:16" ht="12" customHeight="1">
      <c r="A59" s="83">
        <f t="shared" si="2"/>
        <v>53</v>
      </c>
      <c r="B59" s="11" t="s">
        <v>546</v>
      </c>
      <c r="C59" s="84" t="s">
        <v>547</v>
      </c>
      <c r="D59" s="88" t="s">
        <v>150</v>
      </c>
      <c r="E59" s="85">
        <v>5</v>
      </c>
      <c r="F59" s="86"/>
      <c r="G59" s="87">
        <f t="shared" si="3"/>
        <v>5</v>
      </c>
      <c r="H59" s="83" t="s">
        <v>149</v>
      </c>
      <c r="I59" s="83"/>
      <c r="J59" s="93"/>
      <c r="K59" s="274"/>
      <c r="L59" s="275"/>
      <c r="M59" s="276"/>
      <c r="P59" s="75" t="s">
        <v>195</v>
      </c>
    </row>
    <row r="60" spans="1:16" ht="12" customHeight="1">
      <c r="A60" s="83">
        <f t="shared" si="2"/>
        <v>54</v>
      </c>
      <c r="B60" s="11" t="s">
        <v>548</v>
      </c>
      <c r="C60" s="84" t="s">
        <v>549</v>
      </c>
      <c r="D60" s="88" t="s">
        <v>150</v>
      </c>
      <c r="E60" s="85">
        <v>1</v>
      </c>
      <c r="F60" s="86"/>
      <c r="G60" s="87">
        <f t="shared" si="3"/>
        <v>1</v>
      </c>
      <c r="H60" s="83" t="s">
        <v>149</v>
      </c>
      <c r="I60" s="83"/>
      <c r="J60" s="93"/>
      <c r="K60" s="274" t="s">
        <v>550</v>
      </c>
      <c r="L60" s="275"/>
      <c r="M60" s="276"/>
    </row>
    <row r="61" spans="1:16" ht="12" customHeight="1">
      <c r="A61" s="83">
        <f t="shared" si="2"/>
        <v>55</v>
      </c>
      <c r="B61" s="11" t="s">
        <v>825</v>
      </c>
      <c r="C61" s="84" t="s">
        <v>826</v>
      </c>
      <c r="D61" s="88" t="s">
        <v>161</v>
      </c>
      <c r="E61" s="85"/>
      <c r="F61" s="86"/>
      <c r="G61" s="87">
        <f t="shared" si="3"/>
        <v>4</v>
      </c>
      <c r="H61" s="83" t="s">
        <v>149</v>
      </c>
      <c r="I61" s="83"/>
      <c r="J61" s="93"/>
      <c r="K61" s="274"/>
      <c r="L61" s="275"/>
      <c r="M61" s="276"/>
    </row>
    <row r="62" spans="1:16" ht="12" customHeight="1">
      <c r="A62" s="83">
        <f t="shared" si="2"/>
        <v>56</v>
      </c>
      <c r="B62" s="73" t="s">
        <v>827</v>
      </c>
      <c r="C62" s="84" t="s">
        <v>828</v>
      </c>
      <c r="D62" s="88" t="s">
        <v>174</v>
      </c>
      <c r="E62" s="85"/>
      <c r="F62" s="86"/>
      <c r="G62" s="87">
        <f t="shared" si="3"/>
        <v>2</v>
      </c>
      <c r="H62" s="83" t="s">
        <v>149</v>
      </c>
      <c r="I62" s="83"/>
      <c r="J62" s="93"/>
      <c r="K62" s="280"/>
      <c r="L62" s="291"/>
      <c r="M62" s="292"/>
    </row>
    <row r="63" spans="1:16" ht="30.75" customHeight="1">
      <c r="A63" s="83">
        <f t="shared" si="2"/>
        <v>57</v>
      </c>
      <c r="B63" s="11" t="s">
        <v>829</v>
      </c>
      <c r="C63" s="84" t="s">
        <v>830</v>
      </c>
      <c r="D63" s="88" t="s">
        <v>150</v>
      </c>
      <c r="E63" s="85">
        <v>1</v>
      </c>
      <c r="F63" s="86"/>
      <c r="G63" s="87">
        <f t="shared" si="3"/>
        <v>1</v>
      </c>
      <c r="H63" s="83" t="s">
        <v>149</v>
      </c>
      <c r="I63" s="83"/>
      <c r="J63" s="93"/>
      <c r="K63" s="280" t="s">
        <v>831</v>
      </c>
      <c r="L63" s="291"/>
      <c r="M63" s="292"/>
    </row>
    <row r="64" spans="1:16">
      <c r="A64" s="83">
        <f t="shared" si="2"/>
        <v>58</v>
      </c>
      <c r="B64" s="74" t="s">
        <v>232</v>
      </c>
      <c r="C64" s="84" t="s">
        <v>233</v>
      </c>
      <c r="D64" s="88" t="s">
        <v>234</v>
      </c>
      <c r="E64" s="85"/>
      <c r="F64" s="86"/>
      <c r="G64" s="87">
        <f t="shared" si="3"/>
        <v>10</v>
      </c>
      <c r="H64" s="83" t="s">
        <v>149</v>
      </c>
      <c r="I64" s="83"/>
      <c r="J64" s="93"/>
      <c r="K64" s="274"/>
      <c r="L64" s="275"/>
      <c r="M64" s="276"/>
    </row>
    <row r="65" spans="1:13" ht="12" customHeight="1">
      <c r="A65" s="83" t="str">
        <f t="shared" si="2"/>
        <v xml:space="preserve"> </v>
      </c>
      <c r="B65" s="74"/>
      <c r="C65" s="84"/>
      <c r="D65" s="88"/>
      <c r="E65" s="85"/>
      <c r="F65" s="86"/>
      <c r="G65" s="87"/>
      <c r="H65" s="83"/>
      <c r="I65" s="83"/>
      <c r="J65" s="93"/>
      <c r="K65" s="274"/>
      <c r="L65" s="275"/>
      <c r="M65" s="276"/>
    </row>
    <row r="66" spans="1:13" ht="12" customHeight="1">
      <c r="A66" s="83" t="str">
        <f t="shared" ref="A66:A82" si="4">IF(B66=""," ",A65+1)</f>
        <v xml:space="preserve"> </v>
      </c>
      <c r="B66" s="74"/>
      <c r="C66" s="84"/>
      <c r="D66" s="88"/>
      <c r="E66" s="85"/>
      <c r="F66" s="86"/>
      <c r="G66" s="87"/>
      <c r="H66" s="83"/>
      <c r="I66" s="83"/>
      <c r="J66" s="93"/>
      <c r="K66" s="274"/>
      <c r="L66" s="275"/>
      <c r="M66" s="276"/>
    </row>
    <row r="67" spans="1:13" ht="12" customHeight="1">
      <c r="A67" s="83" t="str">
        <f t="shared" si="4"/>
        <v xml:space="preserve"> </v>
      </c>
      <c r="B67" s="11"/>
      <c r="C67" s="21"/>
      <c r="D67" s="13"/>
      <c r="E67" s="85"/>
      <c r="F67" s="86"/>
      <c r="G67" s="87"/>
      <c r="H67" s="83"/>
      <c r="I67" s="83"/>
      <c r="J67" s="93"/>
      <c r="K67" s="274"/>
      <c r="L67" s="275"/>
      <c r="M67" s="276"/>
    </row>
    <row r="68" spans="1:13" ht="12" customHeight="1">
      <c r="A68" s="83" t="str">
        <f t="shared" si="4"/>
        <v xml:space="preserve"> </v>
      </c>
      <c r="B68" s="11"/>
      <c r="C68" s="21"/>
      <c r="D68" s="13"/>
      <c r="E68" s="85"/>
      <c r="F68" s="86"/>
      <c r="G68" s="87"/>
      <c r="H68" s="83"/>
      <c r="I68" s="83"/>
      <c r="J68" s="93"/>
      <c r="K68" s="274"/>
      <c r="L68" s="275"/>
      <c r="M68" s="276"/>
    </row>
    <row r="69" spans="1:13" ht="12" customHeight="1">
      <c r="A69" s="83" t="str">
        <f t="shared" si="4"/>
        <v xml:space="preserve"> </v>
      </c>
      <c r="B69" s="74"/>
      <c r="C69" s="22"/>
      <c r="D69" s="30"/>
      <c r="E69" s="85"/>
      <c r="F69" s="86"/>
      <c r="G69" s="87"/>
      <c r="H69" s="83"/>
      <c r="I69" s="83"/>
      <c r="J69" s="93"/>
      <c r="K69" s="274"/>
      <c r="L69" s="275"/>
      <c r="M69" s="276"/>
    </row>
    <row r="70" spans="1:13" ht="12" customHeight="1">
      <c r="A70" s="83" t="str">
        <f t="shared" si="4"/>
        <v xml:space="preserve"> </v>
      </c>
      <c r="B70" s="11"/>
      <c r="C70" s="21"/>
      <c r="D70" s="13"/>
      <c r="E70" s="85"/>
      <c r="F70" s="86"/>
      <c r="G70" s="87"/>
      <c r="H70" s="83"/>
      <c r="I70" s="83"/>
      <c r="J70" s="93"/>
      <c r="K70" s="274"/>
      <c r="L70" s="275"/>
      <c r="M70" s="276"/>
    </row>
    <row r="71" spans="1:13" ht="12" customHeight="1">
      <c r="A71" s="83" t="str">
        <f t="shared" si="4"/>
        <v xml:space="preserve"> </v>
      </c>
      <c r="B71" s="11"/>
      <c r="C71" s="110"/>
      <c r="D71" s="88"/>
      <c r="E71" s="85"/>
      <c r="F71" s="86"/>
      <c r="G71" s="87"/>
      <c r="H71" s="83"/>
      <c r="I71" s="83"/>
      <c r="J71" s="93"/>
      <c r="K71" s="274"/>
      <c r="L71" s="275"/>
      <c r="M71" s="276"/>
    </row>
    <row r="72" spans="1:13" ht="12" customHeight="1">
      <c r="A72" s="83" t="str">
        <f t="shared" si="4"/>
        <v xml:space="preserve"> </v>
      </c>
      <c r="B72" s="198"/>
      <c r="C72" s="22"/>
      <c r="D72" s="30"/>
      <c r="E72" s="85"/>
      <c r="F72" s="86"/>
      <c r="G72" s="87"/>
      <c r="H72" s="83"/>
      <c r="I72" s="83"/>
      <c r="J72" s="93"/>
      <c r="K72" s="274"/>
      <c r="L72" s="275"/>
      <c r="M72" s="276"/>
    </row>
    <row r="73" spans="1:13" ht="12" customHeight="1">
      <c r="A73" s="83" t="str">
        <f t="shared" si="4"/>
        <v xml:space="preserve"> </v>
      </c>
      <c r="B73" s="11"/>
      <c r="C73" s="84"/>
      <c r="D73" s="88"/>
      <c r="E73" s="85"/>
      <c r="F73" s="86"/>
      <c r="G73" s="87"/>
      <c r="H73" s="83"/>
      <c r="I73" s="83"/>
      <c r="J73" s="93"/>
      <c r="K73" s="274"/>
      <c r="L73" s="275"/>
      <c r="M73" s="276"/>
    </row>
    <row r="74" spans="1:13" ht="12" customHeight="1">
      <c r="A74" s="83" t="str">
        <f t="shared" si="4"/>
        <v xml:space="preserve"> </v>
      </c>
      <c r="B74" s="11"/>
      <c r="C74" s="21"/>
      <c r="D74" s="13"/>
      <c r="E74" s="85"/>
      <c r="F74" s="86"/>
      <c r="G74" s="87"/>
      <c r="H74" s="83"/>
      <c r="I74" s="83"/>
      <c r="J74" s="93"/>
      <c r="K74" s="274"/>
      <c r="L74" s="275"/>
      <c r="M74" s="276"/>
    </row>
    <row r="75" spans="1:13" ht="12" customHeight="1">
      <c r="A75" s="83" t="str">
        <f t="shared" si="4"/>
        <v xml:space="preserve"> </v>
      </c>
      <c r="B75" s="20"/>
      <c r="C75" s="21"/>
      <c r="D75" s="13"/>
      <c r="E75" s="85"/>
      <c r="F75" s="86"/>
      <c r="G75" s="87"/>
      <c r="H75" s="83"/>
      <c r="I75" s="83"/>
      <c r="J75" s="93"/>
      <c r="K75" s="274"/>
      <c r="L75" s="275"/>
      <c r="M75" s="276"/>
    </row>
    <row r="76" spans="1:13" ht="12" customHeight="1">
      <c r="A76" s="83" t="str">
        <f t="shared" si="4"/>
        <v xml:space="preserve"> </v>
      </c>
      <c r="B76" s="11"/>
      <c r="C76" s="21"/>
      <c r="D76" s="13"/>
      <c r="E76" s="85"/>
      <c r="F76" s="86"/>
      <c r="G76" s="87"/>
      <c r="H76" s="83"/>
      <c r="I76" s="83"/>
      <c r="J76" s="93"/>
      <c r="K76" s="274"/>
      <c r="L76" s="275"/>
      <c r="M76" s="276"/>
    </row>
    <row r="77" spans="1:13" ht="12" customHeight="1">
      <c r="A77" s="83" t="str">
        <f t="shared" si="4"/>
        <v xml:space="preserve"> </v>
      </c>
      <c r="B77" s="74"/>
      <c r="C77" s="84"/>
      <c r="D77" s="88"/>
      <c r="E77" s="85"/>
      <c r="F77" s="86"/>
      <c r="G77" s="87"/>
      <c r="H77" s="83"/>
      <c r="I77" s="83"/>
      <c r="J77" s="93"/>
      <c r="K77" s="274"/>
      <c r="L77" s="275"/>
      <c r="M77" s="276"/>
    </row>
    <row r="78" spans="1:13" ht="12" customHeight="1">
      <c r="A78" s="83" t="str">
        <f t="shared" si="4"/>
        <v xml:space="preserve"> </v>
      </c>
      <c r="B78" s="74"/>
      <c r="C78" s="84"/>
      <c r="D78" s="88"/>
      <c r="E78" s="85"/>
      <c r="F78" s="86"/>
      <c r="G78" s="87"/>
      <c r="H78" s="83"/>
      <c r="I78" s="83"/>
      <c r="J78" s="93"/>
      <c r="K78" s="274"/>
      <c r="L78" s="275"/>
      <c r="M78" s="276"/>
    </row>
    <row r="79" spans="1:13" ht="12" customHeight="1">
      <c r="A79" s="83" t="str">
        <f t="shared" si="4"/>
        <v xml:space="preserve"> </v>
      </c>
      <c r="B79" s="20"/>
      <c r="C79" s="84"/>
      <c r="D79" s="88"/>
      <c r="E79" s="85"/>
      <c r="F79" s="86"/>
      <c r="G79" s="87"/>
      <c r="H79" s="83"/>
      <c r="I79" s="83"/>
      <c r="J79" s="93"/>
      <c r="K79" s="274"/>
      <c r="L79" s="275"/>
      <c r="M79" s="276"/>
    </row>
    <row r="80" spans="1:13" ht="12" customHeight="1">
      <c r="A80" s="83" t="str">
        <f t="shared" si="4"/>
        <v xml:space="preserve"> </v>
      </c>
      <c r="B80" s="11"/>
      <c r="C80" s="22"/>
      <c r="D80" s="30"/>
      <c r="E80" s="85"/>
      <c r="F80" s="86"/>
      <c r="G80" s="87"/>
      <c r="H80" s="83"/>
      <c r="I80" s="83"/>
      <c r="J80" s="93"/>
      <c r="K80" s="274"/>
      <c r="L80" s="275"/>
      <c r="M80" s="276"/>
    </row>
    <row r="81" spans="1:13" ht="12" customHeight="1">
      <c r="A81" s="83" t="str">
        <f t="shared" si="4"/>
        <v xml:space="preserve"> </v>
      </c>
      <c r="B81" s="11"/>
      <c r="C81" s="84"/>
      <c r="D81" s="88"/>
      <c r="E81" s="85"/>
      <c r="F81" s="86"/>
      <c r="G81" s="87"/>
      <c r="H81" s="83"/>
      <c r="I81" s="83"/>
      <c r="J81" s="93"/>
      <c r="K81" s="274"/>
      <c r="L81" s="275"/>
      <c r="M81" s="276"/>
    </row>
    <row r="82" spans="1:13" ht="12" customHeight="1">
      <c r="A82" s="83" t="str">
        <f t="shared" si="4"/>
        <v xml:space="preserve"> </v>
      </c>
      <c r="B82" s="11"/>
      <c r="C82" s="22"/>
      <c r="D82" s="30"/>
      <c r="E82" s="85"/>
      <c r="F82" s="86"/>
      <c r="G82" s="87"/>
      <c r="H82" s="83"/>
      <c r="I82" s="83"/>
      <c r="J82" s="93"/>
      <c r="K82" s="274"/>
      <c r="L82" s="275"/>
      <c r="M82" s="276"/>
    </row>
    <row r="83" spans="1:13" ht="12" customHeight="1">
      <c r="A83" s="83" t="str">
        <f>IF(B83=""," ",#REF!+1)</f>
        <v xml:space="preserve"> </v>
      </c>
      <c r="B83" s="74"/>
      <c r="C83" s="84"/>
      <c r="D83" s="88"/>
      <c r="E83" s="85"/>
      <c r="F83" s="86"/>
      <c r="G83" s="87"/>
      <c r="H83" s="83"/>
      <c r="I83" s="83"/>
      <c r="J83" s="93"/>
      <c r="K83" s="84"/>
      <c r="L83" s="94"/>
      <c r="M83" s="95"/>
    </row>
    <row r="84" spans="1:13" ht="12" customHeight="1">
      <c r="A84" s="83" t="str">
        <f t="shared" ref="A84:A90" si="5">IF(B84=""," ",A83+1)</f>
        <v xml:space="preserve"> </v>
      </c>
      <c r="B84" s="11"/>
      <c r="C84" s="21"/>
      <c r="D84" s="13"/>
      <c r="E84" s="85"/>
      <c r="F84" s="86"/>
      <c r="G84" s="87"/>
      <c r="H84" s="83"/>
      <c r="I84" s="83"/>
      <c r="J84" s="93"/>
      <c r="K84" s="274"/>
      <c r="L84" s="275"/>
      <c r="M84" s="276"/>
    </row>
    <row r="85" spans="1:13" ht="12" customHeight="1">
      <c r="A85" s="83" t="str">
        <f t="shared" si="5"/>
        <v xml:space="preserve"> </v>
      </c>
      <c r="B85" s="74"/>
      <c r="C85" s="84"/>
      <c r="D85" s="88"/>
      <c r="E85" s="85"/>
      <c r="F85" s="86"/>
      <c r="G85" s="87"/>
      <c r="H85" s="83"/>
      <c r="I85" s="83"/>
      <c r="J85" s="93"/>
      <c r="K85" s="274"/>
      <c r="L85" s="275"/>
      <c r="M85" s="276"/>
    </row>
    <row r="86" spans="1:13" ht="12" customHeight="1">
      <c r="A86" s="83" t="str">
        <f t="shared" si="5"/>
        <v xml:space="preserve"> </v>
      </c>
      <c r="B86" s="74"/>
      <c r="C86" s="84"/>
      <c r="D86" s="88"/>
      <c r="E86" s="85"/>
      <c r="F86" s="86"/>
      <c r="G86" s="87"/>
      <c r="H86" s="83"/>
      <c r="I86" s="83"/>
      <c r="J86" s="93"/>
      <c r="K86" s="274"/>
      <c r="L86" s="275"/>
      <c r="M86" s="276"/>
    </row>
    <row r="87" spans="1:13" ht="12" customHeight="1">
      <c r="A87" s="83" t="str">
        <f t="shared" si="5"/>
        <v xml:space="preserve"> </v>
      </c>
      <c r="B87" s="20"/>
      <c r="C87" s="84"/>
      <c r="D87" s="88"/>
      <c r="E87" s="85"/>
      <c r="F87" s="86"/>
      <c r="G87" s="87"/>
      <c r="H87" s="83"/>
      <c r="I87" s="83"/>
      <c r="J87" s="93"/>
      <c r="K87" s="274"/>
      <c r="L87" s="275"/>
      <c r="M87" s="276"/>
    </row>
    <row r="88" spans="1:13" ht="12" customHeight="1">
      <c r="A88" s="83" t="str">
        <f t="shared" si="5"/>
        <v xml:space="preserve"> </v>
      </c>
      <c r="B88" s="11"/>
      <c r="C88" s="22"/>
      <c r="D88" s="30"/>
      <c r="E88" s="85"/>
      <c r="F88" s="86"/>
      <c r="G88" s="87"/>
      <c r="H88" s="83"/>
      <c r="I88" s="83"/>
      <c r="J88" s="93"/>
      <c r="K88" s="274"/>
      <c r="L88" s="275"/>
      <c r="M88" s="276"/>
    </row>
    <row r="89" spans="1:13" ht="12" customHeight="1">
      <c r="A89" s="83" t="str">
        <f t="shared" si="5"/>
        <v xml:space="preserve"> </v>
      </c>
      <c r="B89" s="11"/>
      <c r="C89" s="84"/>
      <c r="D89" s="88"/>
      <c r="E89" s="85"/>
      <c r="F89" s="86"/>
      <c r="G89" s="87"/>
      <c r="H89" s="83"/>
      <c r="I89" s="83"/>
      <c r="J89" s="93"/>
      <c r="K89" s="274"/>
      <c r="L89" s="275"/>
      <c r="M89" s="276"/>
    </row>
    <row r="90" spans="1:13" ht="12" customHeight="1">
      <c r="A90" s="83" t="str">
        <f t="shared" si="5"/>
        <v xml:space="preserve"> </v>
      </c>
      <c r="B90" s="11"/>
      <c r="C90" s="22"/>
      <c r="D90" s="30"/>
      <c r="E90" s="85"/>
      <c r="F90" s="86"/>
      <c r="G90" s="87"/>
      <c r="H90" s="83"/>
      <c r="I90" s="83"/>
      <c r="J90" s="93"/>
      <c r="K90" s="274"/>
      <c r="L90" s="275"/>
      <c r="M90" s="276"/>
    </row>
    <row r="91" spans="1:13" ht="12" customHeight="1">
      <c r="A91" s="83" t="str">
        <f>IF(B91=""," ",#REF!+1)</f>
        <v xml:space="preserve"> </v>
      </c>
      <c r="B91" s="74"/>
      <c r="C91" s="84"/>
      <c r="D91" s="88"/>
      <c r="E91" s="85"/>
      <c r="F91" s="86"/>
      <c r="G91" s="87"/>
      <c r="H91" s="83"/>
      <c r="I91" s="83"/>
      <c r="J91" s="93"/>
      <c r="K91" s="84"/>
      <c r="L91" s="94"/>
      <c r="M91" s="95"/>
    </row>
    <row r="92" spans="1:13" ht="12" customHeight="1">
      <c r="A92" s="83" t="str">
        <f>IF(B92=""," ",A91+1)</f>
        <v xml:space="preserve"> </v>
      </c>
      <c r="B92" s="11"/>
      <c r="C92" s="22"/>
      <c r="D92" s="30"/>
      <c r="E92" s="85"/>
      <c r="F92" s="86"/>
      <c r="G92" s="87"/>
      <c r="H92" s="83"/>
      <c r="I92" s="83"/>
      <c r="J92" s="93"/>
      <c r="K92" s="274"/>
      <c r="L92" s="275"/>
      <c r="M92" s="276"/>
    </row>
    <row r="93" spans="1:13" ht="12" customHeight="1">
      <c r="A93" s="83" t="str">
        <f>IF(B93=""," ",A92+1)</f>
        <v xml:space="preserve"> </v>
      </c>
      <c r="B93" s="11"/>
      <c r="C93" s="84"/>
      <c r="D93" s="88"/>
      <c r="E93" s="85"/>
      <c r="F93" s="86"/>
      <c r="G93" s="87"/>
      <c r="H93" s="83"/>
      <c r="I93" s="83"/>
      <c r="J93" s="93"/>
      <c r="K93" s="274"/>
      <c r="L93" s="275"/>
      <c r="M93" s="276"/>
    </row>
    <row r="94" spans="1:13" ht="12" customHeight="1">
      <c r="A94" s="83" t="str">
        <f>IF(B94=""," ",A93+1)</f>
        <v xml:space="preserve"> </v>
      </c>
      <c r="B94" s="11"/>
      <c r="C94" s="22"/>
      <c r="D94" s="30"/>
      <c r="E94" s="85"/>
      <c r="F94" s="86"/>
      <c r="G94" s="87"/>
      <c r="H94" s="83"/>
      <c r="I94" s="83"/>
      <c r="J94" s="93"/>
      <c r="K94" s="274"/>
      <c r="L94" s="275"/>
      <c r="M94" s="276"/>
    </row>
    <row r="95" spans="1:13" ht="12" customHeight="1">
      <c r="A95" s="83" t="str">
        <f>IF(B95=""," ",#REF!+1)</f>
        <v xml:space="preserve"> </v>
      </c>
      <c r="B95" s="74"/>
      <c r="C95" s="84"/>
      <c r="D95" s="88"/>
      <c r="E95" s="85"/>
      <c r="F95" s="86"/>
      <c r="G95" s="87"/>
      <c r="H95" s="83"/>
      <c r="I95" s="83"/>
      <c r="J95" s="93"/>
      <c r="K95" s="84"/>
      <c r="L95" s="94"/>
      <c r="M95" s="95"/>
    </row>
    <row r="96" spans="1:13" ht="12" customHeight="1">
      <c r="A96" s="83" t="str">
        <f>IF(B96=""," ",A95+1)</f>
        <v xml:space="preserve"> </v>
      </c>
      <c r="B96" s="11"/>
      <c r="C96" s="22"/>
      <c r="D96" s="30"/>
      <c r="E96" s="85"/>
      <c r="F96" s="86"/>
      <c r="G96" s="87"/>
      <c r="H96" s="83"/>
      <c r="I96" s="83"/>
      <c r="J96" s="93"/>
      <c r="K96" s="274"/>
      <c r="L96" s="275"/>
      <c r="M96" s="276"/>
    </row>
    <row r="97" spans="1:13" ht="12" customHeight="1">
      <c r="A97" s="83" t="str">
        <f>IF(B97=""," ",A96+1)</f>
        <v xml:space="preserve"> </v>
      </c>
      <c r="B97" s="11"/>
      <c r="C97" s="84"/>
      <c r="D97" s="88"/>
      <c r="E97" s="85"/>
      <c r="F97" s="86"/>
      <c r="G97" s="87"/>
      <c r="H97" s="83"/>
      <c r="I97" s="83"/>
      <c r="J97" s="93"/>
      <c r="K97" s="274"/>
      <c r="L97" s="275"/>
      <c r="M97" s="276"/>
    </row>
    <row r="98" spans="1:13" ht="12" customHeight="1">
      <c r="A98" s="83" t="str">
        <f>IF(B98=""," ",A97+1)</f>
        <v xml:space="preserve"> </v>
      </c>
      <c r="B98" s="11"/>
      <c r="C98" s="22"/>
      <c r="D98" s="30"/>
      <c r="E98" s="85"/>
      <c r="F98" s="86"/>
      <c r="G98" s="87"/>
      <c r="H98" s="83"/>
      <c r="I98" s="83"/>
      <c r="J98" s="93"/>
      <c r="K98" s="274"/>
      <c r="L98" s="275"/>
      <c r="M98" s="276"/>
    </row>
    <row r="99" spans="1:13" ht="12" customHeight="1">
      <c r="A99" s="83" t="str">
        <f>IF(B99=""," ",#REF!+1)</f>
        <v xml:space="preserve"> </v>
      </c>
      <c r="B99" s="74"/>
      <c r="C99" s="84"/>
      <c r="D99" s="88"/>
      <c r="E99" s="85"/>
      <c r="F99" s="86"/>
      <c r="G99" s="87"/>
      <c r="H99" s="83"/>
      <c r="I99" s="83"/>
      <c r="J99" s="93"/>
      <c r="K99" s="84"/>
      <c r="L99" s="94"/>
      <c r="M99" s="95"/>
    </row>
    <row r="100" spans="1:13" ht="12" customHeight="1">
      <c r="A100" s="83" t="str">
        <f>IF(B100=""," ",A99+1)</f>
        <v xml:space="preserve"> </v>
      </c>
      <c r="B100" s="11"/>
      <c r="C100" s="22"/>
      <c r="D100" s="30"/>
      <c r="E100" s="85"/>
      <c r="F100" s="86"/>
      <c r="G100" s="87"/>
      <c r="H100" s="83"/>
      <c r="I100" s="83"/>
      <c r="J100" s="93"/>
      <c r="K100" s="274"/>
      <c r="L100" s="275"/>
      <c r="M100" s="276"/>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100" t="s">
        <v>832</v>
      </c>
      <c r="C110" s="75" t="s">
        <v>833</v>
      </c>
    </row>
    <row r="112" spans="1:13">
      <c r="B112" s="75" t="s">
        <v>450</v>
      </c>
      <c r="C112" s="75" t="s">
        <v>451</v>
      </c>
    </row>
    <row r="114" spans="2:3">
      <c r="B114" s="75" t="s">
        <v>450</v>
      </c>
      <c r="C114" s="75" t="s">
        <v>758</v>
      </c>
    </row>
    <row r="116" spans="2:3">
      <c r="B116" s="100" t="s">
        <v>239</v>
      </c>
      <c r="C116" s="75" t="s">
        <v>834</v>
      </c>
    </row>
    <row r="118" spans="2:3">
      <c r="B118" s="75" t="s">
        <v>239</v>
      </c>
      <c r="C118" s="75" t="s">
        <v>759</v>
      </c>
    </row>
    <row r="120" spans="2:3">
      <c r="B120" s="75" t="s">
        <v>239</v>
      </c>
      <c r="C120" s="75" t="s">
        <v>240</v>
      </c>
    </row>
    <row r="121" spans="2:3">
      <c r="C121" s="75" t="s">
        <v>241</v>
      </c>
    </row>
    <row r="123" spans="2:3">
      <c r="B123" s="75" t="s">
        <v>835</v>
      </c>
      <c r="C123" s="75" t="s">
        <v>836</v>
      </c>
    </row>
    <row r="125" spans="2:3">
      <c r="B125" s="75" t="s">
        <v>761</v>
      </c>
      <c r="C125" s="75" t="s">
        <v>762</v>
      </c>
    </row>
    <row r="127" spans="2:3">
      <c r="B127" s="75" t="s">
        <v>452</v>
      </c>
      <c r="C127" s="75" t="s">
        <v>763</v>
      </c>
    </row>
    <row r="128" spans="2:3">
      <c r="C128" s="75" t="s">
        <v>453</v>
      </c>
    </row>
    <row r="130" spans="2:6">
      <c r="B130" s="75" t="s">
        <v>591</v>
      </c>
      <c r="C130" s="3" t="s">
        <v>837</v>
      </c>
    </row>
    <row r="132" spans="2:6">
      <c r="B132" s="75" t="s">
        <v>454</v>
      </c>
      <c r="C132" s="102" t="s">
        <v>455</v>
      </c>
      <c r="D132" s="102"/>
      <c r="E132" s="102"/>
      <c r="F132" s="75" t="s">
        <v>838</v>
      </c>
    </row>
  </sheetData>
  <mergeCells count="104">
    <mergeCell ref="K97:M97"/>
    <mergeCell ref="K98:M98"/>
    <mergeCell ref="K100:M100"/>
    <mergeCell ref="A5:A6"/>
    <mergeCell ref="K5:M6"/>
    <mergeCell ref="K86:M86"/>
    <mergeCell ref="K87:M87"/>
    <mergeCell ref="K88:M88"/>
    <mergeCell ref="K89:M89"/>
    <mergeCell ref="K90:M90"/>
    <mergeCell ref="K92:M92"/>
    <mergeCell ref="K93:M93"/>
    <mergeCell ref="K94:M94"/>
    <mergeCell ref="K96:M96"/>
    <mergeCell ref="K76:M76"/>
    <mergeCell ref="K77:M77"/>
    <mergeCell ref="K78:M78"/>
    <mergeCell ref="K79:M79"/>
    <mergeCell ref="K80:M80"/>
    <mergeCell ref="K81:M81"/>
    <mergeCell ref="K82:M82"/>
    <mergeCell ref="K84:M84"/>
    <mergeCell ref="K85:M85"/>
    <mergeCell ref="K67:M67"/>
    <mergeCell ref="K68:M68"/>
    <mergeCell ref="K69:M69"/>
    <mergeCell ref="K70:M70"/>
    <mergeCell ref="K71:M71"/>
    <mergeCell ref="K72:M72"/>
    <mergeCell ref="K73:M73"/>
    <mergeCell ref="K74:M74"/>
    <mergeCell ref="K75:M75"/>
    <mergeCell ref="K58:M58"/>
    <mergeCell ref="K59:M59"/>
    <mergeCell ref="K60:M60"/>
    <mergeCell ref="K61:M61"/>
    <mergeCell ref="K62:M62"/>
    <mergeCell ref="K63:M63"/>
    <mergeCell ref="K64:M64"/>
    <mergeCell ref="K65:M65"/>
    <mergeCell ref="K66:M66"/>
    <mergeCell ref="K49:M49"/>
    <mergeCell ref="K50:M50"/>
    <mergeCell ref="K51:M51"/>
    <mergeCell ref="K52:M52"/>
    <mergeCell ref="K53:M53"/>
    <mergeCell ref="K54:M54"/>
    <mergeCell ref="K55:M55"/>
    <mergeCell ref="K56:M56"/>
    <mergeCell ref="K57:M57"/>
    <mergeCell ref="K40:M40"/>
    <mergeCell ref="K41:M41"/>
    <mergeCell ref="K42:M42"/>
    <mergeCell ref="K43:M43"/>
    <mergeCell ref="K44:M44"/>
    <mergeCell ref="K45:M45"/>
    <mergeCell ref="K46:M46"/>
    <mergeCell ref="K47:M47"/>
    <mergeCell ref="K48:M48"/>
    <mergeCell ref="K31:M31"/>
    <mergeCell ref="K32:M32"/>
    <mergeCell ref="K33:M33"/>
    <mergeCell ref="K34:M34"/>
    <mergeCell ref="K35:M35"/>
    <mergeCell ref="K36:M36"/>
    <mergeCell ref="K37:M37"/>
    <mergeCell ref="K38:M38"/>
    <mergeCell ref="K39:M39"/>
    <mergeCell ref="K22:M22"/>
    <mergeCell ref="K23:M23"/>
    <mergeCell ref="K24:M24"/>
    <mergeCell ref="K25:M25"/>
    <mergeCell ref="K26:M26"/>
    <mergeCell ref="K27:M27"/>
    <mergeCell ref="K28:M28"/>
    <mergeCell ref="K29:M29"/>
    <mergeCell ref="K30:M30"/>
    <mergeCell ref="K13:M13"/>
    <mergeCell ref="K14:M14"/>
    <mergeCell ref="K15:M15"/>
    <mergeCell ref="K16:M16"/>
    <mergeCell ref="K17:M17"/>
    <mergeCell ref="K18:M18"/>
    <mergeCell ref="K19:M19"/>
    <mergeCell ref="K20:M20"/>
    <mergeCell ref="K21:M21"/>
    <mergeCell ref="B5:C5"/>
    <mergeCell ref="D5:H5"/>
    <mergeCell ref="I5:J5"/>
    <mergeCell ref="K7:M7"/>
    <mergeCell ref="K8:M8"/>
    <mergeCell ref="K9:M9"/>
    <mergeCell ref="K10:M10"/>
    <mergeCell ref="K11:M11"/>
    <mergeCell ref="K12:M12"/>
    <mergeCell ref="A2:B2"/>
    <mergeCell ref="C2:G2"/>
    <mergeCell ref="H2:J2"/>
    <mergeCell ref="A3:B3"/>
    <mergeCell ref="C3:G3"/>
    <mergeCell ref="H3:I3"/>
    <mergeCell ref="A4:B4"/>
    <mergeCell ref="C4:G4"/>
    <mergeCell ref="H4:I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ageSetUpPr fitToPage="1"/>
  </sheetPr>
  <dimension ref="A1:R121"/>
  <sheetViews>
    <sheetView showGridLines="0" workbookViewId="0">
      <pane ySplit="6" topLeftCell="A31" activePane="bottomLeft" state="frozen"/>
      <selection pane="bottomLeft" activeCell="E53" sqref="E53"/>
    </sheetView>
  </sheetViews>
  <sheetFormatPr defaultColWidth="9" defaultRowHeight="12"/>
  <cols>
    <col min="1" max="1" width="4.5" style="76" customWidth="1"/>
    <col min="2" max="2" width="28.625" style="75" customWidth="1"/>
    <col min="3" max="3" width="13.375" style="75" customWidth="1"/>
    <col min="4" max="4" width="9.375" style="75" customWidth="1"/>
    <col min="5" max="5" width="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A1" s="75"/>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839</v>
      </c>
      <c r="D3" s="265"/>
      <c r="E3" s="265"/>
      <c r="F3" s="265"/>
      <c r="G3" s="266"/>
      <c r="H3" s="259" t="s">
        <v>140</v>
      </c>
      <c r="I3" s="260"/>
      <c r="J3" s="90">
        <f>COUNT(A7:A100)</f>
        <v>59</v>
      </c>
      <c r="K3" s="78" t="s">
        <v>141</v>
      </c>
      <c r="L3" s="91">
        <v>38644</v>
      </c>
      <c r="M3" s="92" t="s">
        <v>142</v>
      </c>
      <c r="O3" s="75" t="s">
        <v>143</v>
      </c>
      <c r="P3" s="75" t="s">
        <v>144</v>
      </c>
    </row>
    <row r="4" spans="1:16" ht="12" customHeight="1">
      <c r="A4" s="267" t="s">
        <v>145</v>
      </c>
      <c r="B4" s="268"/>
      <c r="C4" s="267" t="s">
        <v>32</v>
      </c>
      <c r="D4" s="269"/>
      <c r="E4" s="269"/>
      <c r="F4" s="269"/>
      <c r="G4" s="268"/>
      <c r="H4" s="259" t="s">
        <v>146</v>
      </c>
      <c r="I4" s="260"/>
      <c r="J4" s="90">
        <f>SUM(G7:G100)</f>
        <v>932</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65" si="0">IF(D7="DATE",4,IF(D7="CHAR",E7,IF(D7="SMALLINT",2,IF(D7="INTEGER",4,IF(D7="TIMESTAMP",10,IF(D7="TIME",3,0))))))</f>
        <v>4</v>
      </c>
      <c r="H7" s="83" t="s">
        <v>149</v>
      </c>
      <c r="I7" s="83" t="s">
        <v>149</v>
      </c>
      <c r="J7" s="93"/>
      <c r="K7" s="271"/>
      <c r="L7" s="272"/>
      <c r="M7" s="273"/>
      <c r="P7" s="75" t="s">
        <v>165</v>
      </c>
    </row>
    <row r="8" spans="1:16" ht="12" customHeight="1">
      <c r="A8" s="83">
        <f t="shared" ref="A8:A29" si="1">IF(B8=""," ",A7+1)</f>
        <v>2</v>
      </c>
      <c r="B8" s="11" t="s">
        <v>460</v>
      </c>
      <c r="C8" s="21" t="s">
        <v>461</v>
      </c>
      <c r="D8" s="13" t="s">
        <v>164</v>
      </c>
      <c r="E8" s="85"/>
      <c r="F8" s="86"/>
      <c r="G8" s="87">
        <f t="shared" si="0"/>
        <v>4</v>
      </c>
      <c r="H8" s="83" t="s">
        <v>149</v>
      </c>
      <c r="I8" s="83" t="s">
        <v>149</v>
      </c>
      <c r="J8" s="93"/>
      <c r="K8" s="271"/>
      <c r="L8" s="272"/>
      <c r="M8" s="273"/>
    </row>
    <row r="9" spans="1:16" ht="12" customHeight="1">
      <c r="A9" s="83">
        <f t="shared" si="1"/>
        <v>3</v>
      </c>
      <c r="B9" s="11" t="s">
        <v>462</v>
      </c>
      <c r="C9" s="21" t="s">
        <v>463</v>
      </c>
      <c r="D9" s="13" t="s">
        <v>150</v>
      </c>
      <c r="E9" s="85">
        <v>13</v>
      </c>
      <c r="F9" s="86"/>
      <c r="G9" s="87">
        <f t="shared" si="0"/>
        <v>13</v>
      </c>
      <c r="H9" s="83" t="s">
        <v>149</v>
      </c>
      <c r="I9" s="83" t="s">
        <v>149</v>
      </c>
      <c r="J9" s="93"/>
      <c r="K9" s="271"/>
      <c r="L9" s="272"/>
      <c r="M9" s="273"/>
      <c r="P9" s="75" t="s">
        <v>164</v>
      </c>
    </row>
    <row r="10" spans="1:16"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6" ht="12" customHeight="1">
      <c r="A11" s="83">
        <f t="shared" si="1"/>
        <v>5</v>
      </c>
      <c r="B11" s="11" t="s">
        <v>646</v>
      </c>
      <c r="C11" s="84" t="s">
        <v>647</v>
      </c>
      <c r="D11" s="88" t="s">
        <v>150</v>
      </c>
      <c r="E11" s="85">
        <v>16</v>
      </c>
      <c r="F11" s="86"/>
      <c r="G11" s="87">
        <f t="shared" si="0"/>
        <v>16</v>
      </c>
      <c r="H11" s="83" t="s">
        <v>149</v>
      </c>
      <c r="I11" s="83" t="s">
        <v>149</v>
      </c>
      <c r="J11" s="93"/>
      <c r="K11" s="271" t="s">
        <v>648</v>
      </c>
      <c r="L11" s="272"/>
      <c r="M11" s="273"/>
    </row>
    <row r="12" spans="1:16" ht="12" customHeight="1">
      <c r="A12" s="83">
        <f t="shared" si="1"/>
        <v>6</v>
      </c>
      <c r="B12" s="21" t="s">
        <v>596</v>
      </c>
      <c r="C12" s="84" t="s">
        <v>597</v>
      </c>
      <c r="D12" s="88" t="s">
        <v>150</v>
      </c>
      <c r="E12" s="85">
        <v>7</v>
      </c>
      <c r="F12" s="86"/>
      <c r="G12" s="87">
        <f t="shared" si="0"/>
        <v>7</v>
      </c>
      <c r="H12" s="83" t="s">
        <v>149</v>
      </c>
      <c r="I12" s="83" t="s">
        <v>149</v>
      </c>
      <c r="J12" s="93"/>
      <c r="K12" s="271"/>
      <c r="L12" s="272"/>
      <c r="M12" s="273"/>
    </row>
    <row r="13" spans="1:16" ht="12" customHeight="1">
      <c r="A13" s="83">
        <f t="shared" si="1"/>
        <v>7</v>
      </c>
      <c r="B13" s="11" t="s">
        <v>744</v>
      </c>
      <c r="C13" s="110" t="s">
        <v>745</v>
      </c>
      <c r="D13" s="88" t="s">
        <v>174</v>
      </c>
      <c r="E13" s="85"/>
      <c r="F13" s="86"/>
      <c r="G13" s="87">
        <f t="shared" si="0"/>
        <v>2</v>
      </c>
      <c r="H13" s="83" t="s">
        <v>149</v>
      </c>
      <c r="I13" s="83" t="s">
        <v>149</v>
      </c>
      <c r="J13" s="93"/>
      <c r="K13" s="280"/>
      <c r="L13" s="291"/>
      <c r="M13" s="292"/>
    </row>
    <row r="14" spans="1:16" ht="27.6" customHeight="1">
      <c r="A14" s="83">
        <f t="shared" si="1"/>
        <v>8</v>
      </c>
      <c r="B14" s="11" t="s">
        <v>814</v>
      </c>
      <c r="C14" s="110" t="s">
        <v>815</v>
      </c>
      <c r="D14" s="88" t="s">
        <v>174</v>
      </c>
      <c r="E14" s="85"/>
      <c r="F14" s="86"/>
      <c r="G14" s="87">
        <f t="shared" si="0"/>
        <v>2</v>
      </c>
      <c r="H14" s="83" t="s">
        <v>149</v>
      </c>
      <c r="I14" s="83" t="s">
        <v>149</v>
      </c>
      <c r="J14" s="93"/>
      <c r="K14" s="280" t="s">
        <v>816</v>
      </c>
      <c r="L14" s="281"/>
      <c r="M14" s="282"/>
    </row>
    <row r="15" spans="1:16" ht="12" customHeight="1">
      <c r="A15" s="83">
        <f t="shared" si="1"/>
        <v>9</v>
      </c>
      <c r="B15" s="11" t="s">
        <v>162</v>
      </c>
      <c r="C15" s="84" t="s">
        <v>163</v>
      </c>
      <c r="D15" s="13" t="s">
        <v>164</v>
      </c>
      <c r="E15" s="85"/>
      <c r="F15" s="86"/>
      <c r="G15" s="87">
        <f t="shared" si="0"/>
        <v>4</v>
      </c>
      <c r="H15" s="83" t="s">
        <v>149</v>
      </c>
      <c r="I15" s="83"/>
      <c r="J15" s="93"/>
      <c r="K15" s="271"/>
      <c r="L15" s="272"/>
      <c r="M15" s="273"/>
    </row>
    <row r="16" spans="1:16" ht="12" customHeight="1">
      <c r="A16" s="83">
        <f t="shared" si="1"/>
        <v>10</v>
      </c>
      <c r="B16" s="11" t="s">
        <v>166</v>
      </c>
      <c r="C16" s="84" t="s">
        <v>167</v>
      </c>
      <c r="D16" s="13" t="s">
        <v>150</v>
      </c>
      <c r="E16" s="85">
        <v>11</v>
      </c>
      <c r="F16" s="86"/>
      <c r="G16" s="87">
        <f t="shared" si="0"/>
        <v>11</v>
      </c>
      <c r="H16" s="83" t="s">
        <v>149</v>
      </c>
      <c r="I16" s="83"/>
      <c r="J16" s="93"/>
      <c r="K16" s="271"/>
      <c r="L16" s="272"/>
      <c r="M16" s="273"/>
    </row>
    <row r="17" spans="1:16" ht="27" customHeight="1">
      <c r="A17" s="83">
        <f t="shared" si="1"/>
        <v>11</v>
      </c>
      <c r="B17" s="11" t="s">
        <v>169</v>
      </c>
      <c r="C17" s="19" t="s">
        <v>170</v>
      </c>
      <c r="D17" s="88" t="s">
        <v>150</v>
      </c>
      <c r="E17" s="85">
        <v>1</v>
      </c>
      <c r="F17" s="86"/>
      <c r="G17" s="87">
        <f t="shared" si="0"/>
        <v>1</v>
      </c>
      <c r="H17" s="83" t="s">
        <v>149</v>
      </c>
      <c r="I17" s="83"/>
      <c r="J17" s="93"/>
      <c r="K17" s="271" t="s">
        <v>171</v>
      </c>
      <c r="L17" s="272"/>
      <c r="M17" s="273"/>
    </row>
    <row r="18" spans="1:16" ht="12" customHeight="1">
      <c r="A18" s="83">
        <f t="shared" si="1"/>
        <v>12</v>
      </c>
      <c r="B18" s="11" t="s">
        <v>172</v>
      </c>
      <c r="C18" s="84" t="s">
        <v>173</v>
      </c>
      <c r="D18" s="88" t="s">
        <v>174</v>
      </c>
      <c r="E18" s="85"/>
      <c r="F18" s="86"/>
      <c r="G18" s="87">
        <f t="shared" si="0"/>
        <v>2</v>
      </c>
      <c r="H18" s="83" t="s">
        <v>149</v>
      </c>
      <c r="I18" s="83"/>
      <c r="J18" s="93"/>
      <c r="K18" s="277" t="s">
        <v>175</v>
      </c>
      <c r="L18" s="278"/>
      <c r="M18" s="279"/>
    </row>
    <row r="19" spans="1:16" ht="12" customHeight="1">
      <c r="A19" s="83">
        <f t="shared" si="1"/>
        <v>13</v>
      </c>
      <c r="B19" s="20" t="s">
        <v>770</v>
      </c>
      <c r="C19" s="21" t="s">
        <v>771</v>
      </c>
      <c r="D19" s="13" t="s">
        <v>150</v>
      </c>
      <c r="E19" s="85">
        <v>10</v>
      </c>
      <c r="F19" s="86"/>
      <c r="G19" s="87">
        <f t="shared" si="0"/>
        <v>10</v>
      </c>
      <c r="H19" s="83" t="s">
        <v>149</v>
      </c>
      <c r="I19" s="83"/>
      <c r="J19" s="93"/>
      <c r="K19" s="271"/>
      <c r="L19" s="272"/>
      <c r="M19" s="273"/>
      <c r="P19" s="75" t="s">
        <v>174</v>
      </c>
    </row>
    <row r="20" spans="1:16" ht="12" customHeight="1">
      <c r="A20" s="83">
        <f t="shared" si="1"/>
        <v>14</v>
      </c>
      <c r="B20" s="11" t="s">
        <v>772</v>
      </c>
      <c r="C20" s="21" t="s">
        <v>773</v>
      </c>
      <c r="D20" s="13" t="s">
        <v>174</v>
      </c>
      <c r="E20" s="85"/>
      <c r="F20" s="86"/>
      <c r="G20" s="87">
        <f t="shared" si="0"/>
        <v>2</v>
      </c>
      <c r="H20" s="83" t="s">
        <v>149</v>
      </c>
      <c r="I20" s="83"/>
      <c r="J20" s="93"/>
      <c r="K20" s="271"/>
      <c r="L20" s="272"/>
      <c r="M20" s="273"/>
    </row>
    <row r="21" spans="1:16" ht="12" customHeight="1">
      <c r="A21" s="83">
        <f t="shared" si="1"/>
        <v>15</v>
      </c>
      <c r="B21" s="74" t="s">
        <v>774</v>
      </c>
      <c r="C21" s="21" t="s">
        <v>775</v>
      </c>
      <c r="D21" s="13" t="s">
        <v>150</v>
      </c>
      <c r="E21" s="85">
        <v>10</v>
      </c>
      <c r="F21" s="86"/>
      <c r="G21" s="87">
        <f t="shared" si="0"/>
        <v>10</v>
      </c>
      <c r="H21" s="83" t="s">
        <v>149</v>
      </c>
      <c r="I21" s="83"/>
      <c r="J21" s="93"/>
      <c r="K21" s="271"/>
      <c r="L21" s="272"/>
      <c r="M21" s="273"/>
      <c r="P21" s="75" t="s">
        <v>195</v>
      </c>
    </row>
    <row r="22" spans="1:16" ht="12" customHeight="1">
      <c r="A22" s="83">
        <f t="shared" si="1"/>
        <v>16</v>
      </c>
      <c r="B22" s="74" t="s">
        <v>776</v>
      </c>
      <c r="C22" s="84" t="s">
        <v>777</v>
      </c>
      <c r="D22" s="88" t="s">
        <v>174</v>
      </c>
      <c r="E22" s="85"/>
      <c r="F22" s="86"/>
      <c r="G22" s="87">
        <f t="shared" si="0"/>
        <v>2</v>
      </c>
      <c r="H22" s="83" t="s">
        <v>149</v>
      </c>
      <c r="I22" s="83"/>
      <c r="J22" s="93"/>
      <c r="K22" s="271"/>
      <c r="L22" s="272"/>
      <c r="M22" s="273"/>
    </row>
    <row r="23" spans="1:16" ht="39.75" customHeight="1">
      <c r="A23" s="213">
        <f t="shared" si="1"/>
        <v>17</v>
      </c>
      <c r="B23" s="214" t="s">
        <v>818</v>
      </c>
      <c r="C23" s="215" t="s">
        <v>819</v>
      </c>
      <c r="D23" s="216" t="s">
        <v>150</v>
      </c>
      <c r="E23" s="217">
        <v>4</v>
      </c>
      <c r="F23" s="218"/>
      <c r="G23" s="219">
        <f t="shared" si="0"/>
        <v>4</v>
      </c>
      <c r="H23" s="213" t="s">
        <v>149</v>
      </c>
      <c r="I23" s="213"/>
      <c r="J23" s="222"/>
      <c r="K23" s="314" t="s">
        <v>820</v>
      </c>
      <c r="L23" s="315"/>
      <c r="M23" s="316"/>
    </row>
    <row r="24" spans="1:16" ht="27.6" customHeight="1">
      <c r="A24" s="213">
        <f t="shared" si="1"/>
        <v>18</v>
      </c>
      <c r="B24" s="220" t="s">
        <v>821</v>
      </c>
      <c r="C24" s="221" t="s">
        <v>822</v>
      </c>
      <c r="D24" s="216" t="s">
        <v>150</v>
      </c>
      <c r="E24" s="217">
        <v>7</v>
      </c>
      <c r="F24" s="218"/>
      <c r="G24" s="219">
        <f t="shared" si="0"/>
        <v>7</v>
      </c>
      <c r="H24" s="213" t="s">
        <v>149</v>
      </c>
      <c r="I24" s="213"/>
      <c r="J24" s="222"/>
      <c r="K24" s="314" t="s">
        <v>823</v>
      </c>
      <c r="L24" s="320"/>
      <c r="M24" s="321"/>
    </row>
    <row r="25" spans="1:16" ht="12" customHeight="1">
      <c r="A25" s="83">
        <f t="shared" si="1"/>
        <v>19</v>
      </c>
      <c r="B25" s="11" t="s">
        <v>840</v>
      </c>
      <c r="C25" s="212" t="s">
        <v>841</v>
      </c>
      <c r="D25" s="13" t="s">
        <v>150</v>
      </c>
      <c r="E25" s="85">
        <v>1</v>
      </c>
      <c r="F25" s="86"/>
      <c r="G25" s="87">
        <f t="shared" si="0"/>
        <v>1</v>
      </c>
      <c r="H25" s="83" t="s">
        <v>149</v>
      </c>
      <c r="I25" s="83"/>
      <c r="J25" s="93"/>
      <c r="K25" s="280" t="s">
        <v>842</v>
      </c>
      <c r="L25" s="291"/>
      <c r="M25" s="292"/>
    </row>
    <row r="26" spans="1:16" ht="12" customHeight="1">
      <c r="A26" s="83">
        <f t="shared" si="1"/>
        <v>20</v>
      </c>
      <c r="B26" s="11" t="s">
        <v>843</v>
      </c>
      <c r="C26" s="84" t="s">
        <v>844</v>
      </c>
      <c r="D26" s="88" t="s">
        <v>150</v>
      </c>
      <c r="E26" s="85">
        <v>1</v>
      </c>
      <c r="F26" s="86"/>
      <c r="G26" s="87">
        <f t="shared" si="0"/>
        <v>1</v>
      </c>
      <c r="H26" s="83" t="s">
        <v>149</v>
      </c>
      <c r="I26" s="83"/>
      <c r="J26" s="93"/>
      <c r="K26" s="280" t="s">
        <v>845</v>
      </c>
      <c r="L26" s="291"/>
      <c r="M26" s="292"/>
    </row>
    <row r="27" spans="1:16" ht="12" customHeight="1">
      <c r="A27" s="83">
        <f t="shared" si="1"/>
        <v>21</v>
      </c>
      <c r="B27" s="11" t="s">
        <v>846</v>
      </c>
      <c r="C27" s="84" t="s">
        <v>847</v>
      </c>
      <c r="D27" s="88" t="s">
        <v>150</v>
      </c>
      <c r="E27" s="85">
        <v>1</v>
      </c>
      <c r="F27" s="86"/>
      <c r="G27" s="87">
        <f t="shared" si="0"/>
        <v>1</v>
      </c>
      <c r="H27" s="83" t="s">
        <v>149</v>
      </c>
      <c r="I27" s="83"/>
      <c r="J27" s="93"/>
      <c r="K27" s="280" t="s">
        <v>848</v>
      </c>
      <c r="L27" s="291"/>
      <c r="M27" s="292"/>
    </row>
    <row r="28" spans="1:16" ht="12" customHeight="1">
      <c r="A28" s="83">
        <f t="shared" si="1"/>
        <v>22</v>
      </c>
      <c r="B28" s="11" t="s">
        <v>849</v>
      </c>
      <c r="C28" s="84" t="s">
        <v>850</v>
      </c>
      <c r="D28" s="88" t="s">
        <v>150</v>
      </c>
      <c r="E28" s="85">
        <v>1</v>
      </c>
      <c r="F28" s="86"/>
      <c r="G28" s="87">
        <f t="shared" si="0"/>
        <v>1</v>
      </c>
      <c r="H28" s="83" t="s">
        <v>149</v>
      </c>
      <c r="I28" s="83"/>
      <c r="J28" s="93"/>
      <c r="K28" s="280" t="s">
        <v>851</v>
      </c>
      <c r="L28" s="291"/>
      <c r="M28" s="292"/>
    </row>
    <row r="29" spans="1:16" ht="12" customHeight="1">
      <c r="A29" s="83">
        <f t="shared" si="1"/>
        <v>23</v>
      </c>
      <c r="B29" s="11" t="s">
        <v>852</v>
      </c>
      <c r="C29" s="84" t="s">
        <v>853</v>
      </c>
      <c r="D29" s="88" t="s">
        <v>150</v>
      </c>
      <c r="E29" s="85">
        <v>1</v>
      </c>
      <c r="F29" s="86"/>
      <c r="G29" s="87">
        <f t="shared" si="0"/>
        <v>1</v>
      </c>
      <c r="H29" s="83" t="s">
        <v>149</v>
      </c>
      <c r="I29" s="83"/>
      <c r="J29" s="93"/>
      <c r="K29" s="280" t="s">
        <v>854</v>
      </c>
      <c r="L29" s="291"/>
      <c r="M29" s="292"/>
    </row>
    <row r="30" spans="1:16" ht="12" customHeight="1">
      <c r="A30" s="83">
        <f t="shared" ref="A30:A48" si="2">IF(B30=""," ",A29+1)</f>
        <v>24</v>
      </c>
      <c r="B30" s="11" t="s">
        <v>855</v>
      </c>
      <c r="C30" s="84" t="s">
        <v>856</v>
      </c>
      <c r="D30" s="88" t="s">
        <v>150</v>
      </c>
      <c r="E30" s="85">
        <v>1</v>
      </c>
      <c r="F30" s="86"/>
      <c r="G30" s="87">
        <f t="shared" si="0"/>
        <v>1</v>
      </c>
      <c r="H30" s="83" t="s">
        <v>149</v>
      </c>
      <c r="I30" s="83"/>
      <c r="J30" s="93"/>
      <c r="K30" s="280" t="s">
        <v>857</v>
      </c>
      <c r="L30" s="291"/>
      <c r="M30" s="292"/>
    </row>
    <row r="31" spans="1:16" ht="12" customHeight="1">
      <c r="A31" s="83">
        <f t="shared" si="2"/>
        <v>25</v>
      </c>
      <c r="B31" s="11" t="s">
        <v>858</v>
      </c>
      <c r="C31" s="84" t="s">
        <v>859</v>
      </c>
      <c r="D31" s="88" t="s">
        <v>150</v>
      </c>
      <c r="E31" s="85">
        <v>1</v>
      </c>
      <c r="F31" s="86"/>
      <c r="G31" s="87">
        <f t="shared" si="0"/>
        <v>1</v>
      </c>
      <c r="H31" s="83" t="s">
        <v>149</v>
      </c>
      <c r="I31" s="83"/>
      <c r="J31" s="93"/>
      <c r="K31" s="280" t="s">
        <v>860</v>
      </c>
      <c r="L31" s="291"/>
      <c r="M31" s="292"/>
    </row>
    <row r="32" spans="1:16" ht="12" customHeight="1">
      <c r="A32" s="83">
        <f t="shared" si="2"/>
        <v>26</v>
      </c>
      <c r="B32" s="11" t="s">
        <v>861</v>
      </c>
      <c r="C32" s="84" t="s">
        <v>862</v>
      </c>
      <c r="D32" s="88" t="s">
        <v>150</v>
      </c>
      <c r="E32" s="85">
        <v>1</v>
      </c>
      <c r="F32" s="86"/>
      <c r="G32" s="87">
        <f t="shared" si="0"/>
        <v>1</v>
      </c>
      <c r="H32" s="83" t="s">
        <v>149</v>
      </c>
      <c r="I32" s="83"/>
      <c r="J32" s="93"/>
      <c r="K32" s="280" t="s">
        <v>863</v>
      </c>
      <c r="L32" s="291"/>
      <c r="M32" s="292"/>
    </row>
    <row r="33" spans="1:13" ht="12" customHeight="1">
      <c r="A33" s="83">
        <f t="shared" si="2"/>
        <v>27</v>
      </c>
      <c r="B33" s="11" t="s">
        <v>864</v>
      </c>
      <c r="C33" s="84" t="s">
        <v>865</v>
      </c>
      <c r="D33" s="88" t="s">
        <v>150</v>
      </c>
      <c r="E33" s="85">
        <v>1</v>
      </c>
      <c r="F33" s="86"/>
      <c r="G33" s="87">
        <f t="shared" si="0"/>
        <v>1</v>
      </c>
      <c r="H33" s="83" t="s">
        <v>149</v>
      </c>
      <c r="I33" s="83"/>
      <c r="J33" s="93"/>
      <c r="K33" s="280" t="s">
        <v>866</v>
      </c>
      <c r="L33" s="291"/>
      <c r="M33" s="292"/>
    </row>
    <row r="34" spans="1:13" ht="12" customHeight="1">
      <c r="A34" s="83">
        <f t="shared" si="2"/>
        <v>28</v>
      </c>
      <c r="B34" s="11" t="s">
        <v>867</v>
      </c>
      <c r="C34" s="84" t="s">
        <v>868</v>
      </c>
      <c r="D34" s="88" t="s">
        <v>150</v>
      </c>
      <c r="E34" s="85">
        <v>1</v>
      </c>
      <c r="F34" s="86"/>
      <c r="G34" s="87">
        <f t="shared" si="0"/>
        <v>1</v>
      </c>
      <c r="H34" s="83" t="s">
        <v>149</v>
      </c>
      <c r="I34" s="83"/>
      <c r="J34" s="93"/>
      <c r="K34" s="280" t="s">
        <v>869</v>
      </c>
      <c r="L34" s="291"/>
      <c r="M34" s="292"/>
    </row>
    <row r="35" spans="1:13" ht="12" customHeight="1">
      <c r="A35" s="83">
        <f t="shared" si="2"/>
        <v>29</v>
      </c>
      <c r="B35" s="11" t="s">
        <v>870</v>
      </c>
      <c r="C35" s="84" t="s">
        <v>871</v>
      </c>
      <c r="D35" s="88" t="s">
        <v>150</v>
      </c>
      <c r="E35" s="85">
        <v>1</v>
      </c>
      <c r="F35" s="86"/>
      <c r="G35" s="87">
        <f t="shared" si="0"/>
        <v>1</v>
      </c>
      <c r="H35" s="83" t="s">
        <v>149</v>
      </c>
      <c r="I35" s="83"/>
      <c r="J35" s="93"/>
      <c r="K35" s="280" t="s">
        <v>872</v>
      </c>
      <c r="L35" s="291"/>
      <c r="M35" s="292"/>
    </row>
    <row r="36" spans="1:13" ht="12" customHeight="1">
      <c r="A36" s="83">
        <f t="shared" si="2"/>
        <v>30</v>
      </c>
      <c r="B36" s="11" t="s">
        <v>873</v>
      </c>
      <c r="C36" s="84" t="s">
        <v>874</v>
      </c>
      <c r="D36" s="88" t="s">
        <v>150</v>
      </c>
      <c r="E36" s="85">
        <v>1</v>
      </c>
      <c r="F36" s="86"/>
      <c r="G36" s="87">
        <f t="shared" si="0"/>
        <v>1</v>
      </c>
      <c r="H36" s="83" t="s">
        <v>149</v>
      </c>
      <c r="I36" s="83"/>
      <c r="J36" s="93"/>
      <c r="K36" s="280" t="s">
        <v>875</v>
      </c>
      <c r="L36" s="291"/>
      <c r="M36" s="292"/>
    </row>
    <row r="37" spans="1:13" ht="12" customHeight="1">
      <c r="A37" s="83">
        <f t="shared" si="2"/>
        <v>31</v>
      </c>
      <c r="B37" s="11" t="s">
        <v>876</v>
      </c>
      <c r="C37" s="84" t="s">
        <v>877</v>
      </c>
      <c r="D37" s="88" t="s">
        <v>150</v>
      </c>
      <c r="E37" s="85">
        <v>1</v>
      </c>
      <c r="F37" s="86"/>
      <c r="G37" s="87">
        <f t="shared" si="0"/>
        <v>1</v>
      </c>
      <c r="H37" s="83" t="s">
        <v>149</v>
      </c>
      <c r="I37" s="83"/>
      <c r="J37" s="93"/>
      <c r="K37" s="280" t="s">
        <v>878</v>
      </c>
      <c r="L37" s="291"/>
      <c r="M37" s="292"/>
    </row>
    <row r="38" spans="1:13" ht="12" customHeight="1">
      <c r="A38" s="83">
        <f t="shared" si="2"/>
        <v>32</v>
      </c>
      <c r="B38" s="11" t="s">
        <v>879</v>
      </c>
      <c r="C38" s="84" t="s">
        <v>880</v>
      </c>
      <c r="D38" s="88" t="s">
        <v>150</v>
      </c>
      <c r="E38" s="85">
        <v>1</v>
      </c>
      <c r="F38" s="86"/>
      <c r="G38" s="87">
        <f t="shared" si="0"/>
        <v>1</v>
      </c>
      <c r="H38" s="83" t="s">
        <v>149</v>
      </c>
      <c r="I38" s="83"/>
      <c r="J38" s="93"/>
      <c r="K38" s="271" t="s">
        <v>881</v>
      </c>
      <c r="L38" s="272"/>
      <c r="M38" s="273"/>
    </row>
    <row r="39" spans="1:13" ht="12" customHeight="1">
      <c r="A39" s="83">
        <f t="shared" si="2"/>
        <v>33</v>
      </c>
      <c r="B39" s="11" t="s">
        <v>882</v>
      </c>
      <c r="C39" s="84" t="s">
        <v>883</v>
      </c>
      <c r="D39" s="88" t="s">
        <v>150</v>
      </c>
      <c r="E39" s="85">
        <v>1</v>
      </c>
      <c r="F39" s="86"/>
      <c r="G39" s="87">
        <f t="shared" si="0"/>
        <v>1</v>
      </c>
      <c r="H39" s="83" t="s">
        <v>149</v>
      </c>
      <c r="I39" s="83"/>
      <c r="J39" s="93"/>
      <c r="K39" s="280" t="s">
        <v>884</v>
      </c>
      <c r="L39" s="291"/>
      <c r="M39" s="292"/>
    </row>
    <row r="40" spans="1:13" ht="12" customHeight="1">
      <c r="A40" s="83">
        <f t="shared" si="2"/>
        <v>34</v>
      </c>
      <c r="B40" s="11" t="s">
        <v>885</v>
      </c>
      <c r="C40" s="84" t="s">
        <v>886</v>
      </c>
      <c r="D40" s="88" t="s">
        <v>150</v>
      </c>
      <c r="E40" s="85">
        <v>1</v>
      </c>
      <c r="F40" s="86"/>
      <c r="G40" s="87">
        <f t="shared" si="0"/>
        <v>1</v>
      </c>
      <c r="H40" s="83" t="s">
        <v>149</v>
      </c>
      <c r="I40" s="83"/>
      <c r="J40" s="93"/>
      <c r="K40" s="322" t="s">
        <v>887</v>
      </c>
      <c r="L40" s="323"/>
      <c r="M40" s="324"/>
    </row>
    <row r="41" spans="1:13" ht="12" customHeight="1">
      <c r="A41" s="83">
        <f t="shared" si="2"/>
        <v>35</v>
      </c>
      <c r="B41" s="11" t="s">
        <v>888</v>
      </c>
      <c r="C41" s="84" t="s">
        <v>889</v>
      </c>
      <c r="D41" s="88" t="s">
        <v>150</v>
      </c>
      <c r="E41" s="85">
        <v>1</v>
      </c>
      <c r="F41" s="86"/>
      <c r="G41" s="87">
        <f t="shared" si="0"/>
        <v>1</v>
      </c>
      <c r="H41" s="83" t="s">
        <v>149</v>
      </c>
      <c r="I41" s="83"/>
      <c r="J41" s="93"/>
      <c r="K41" s="325"/>
      <c r="L41" s="326"/>
      <c r="M41" s="327"/>
    </row>
    <row r="42" spans="1:13" ht="12" customHeight="1">
      <c r="A42" s="83">
        <f t="shared" si="2"/>
        <v>36</v>
      </c>
      <c r="B42" s="11" t="s">
        <v>890</v>
      </c>
      <c r="C42" s="84" t="s">
        <v>891</v>
      </c>
      <c r="D42" s="88" t="s">
        <v>150</v>
      </c>
      <c r="E42" s="85">
        <v>1</v>
      </c>
      <c r="F42" s="86"/>
      <c r="G42" s="87">
        <f t="shared" si="0"/>
        <v>1</v>
      </c>
      <c r="H42" s="83" t="s">
        <v>149</v>
      </c>
      <c r="I42" s="83"/>
      <c r="J42" s="93"/>
      <c r="K42" s="325"/>
      <c r="L42" s="326"/>
      <c r="M42" s="327"/>
    </row>
    <row r="43" spans="1:13" ht="12" customHeight="1">
      <c r="A43" s="83">
        <f t="shared" si="2"/>
        <v>37</v>
      </c>
      <c r="B43" s="11" t="s">
        <v>892</v>
      </c>
      <c r="C43" s="84" t="s">
        <v>893</v>
      </c>
      <c r="D43" s="88" t="s">
        <v>150</v>
      </c>
      <c r="E43" s="85">
        <v>1</v>
      </c>
      <c r="F43" s="86"/>
      <c r="G43" s="87">
        <f t="shared" si="0"/>
        <v>1</v>
      </c>
      <c r="H43" s="83" t="s">
        <v>149</v>
      </c>
      <c r="I43" s="83"/>
      <c r="J43" s="93"/>
      <c r="K43" s="325"/>
      <c r="L43" s="326"/>
      <c r="M43" s="327"/>
    </row>
    <row r="44" spans="1:13" ht="12" customHeight="1">
      <c r="A44" s="83">
        <f t="shared" si="2"/>
        <v>38</v>
      </c>
      <c r="B44" s="11" t="s">
        <v>894</v>
      </c>
      <c r="C44" s="84" t="s">
        <v>895</v>
      </c>
      <c r="D44" s="88" t="s">
        <v>150</v>
      </c>
      <c r="E44" s="85">
        <v>1</v>
      </c>
      <c r="F44" s="86"/>
      <c r="G44" s="87">
        <f t="shared" si="0"/>
        <v>1</v>
      </c>
      <c r="H44" s="83" t="s">
        <v>149</v>
      </c>
      <c r="I44" s="83"/>
      <c r="J44" s="93"/>
      <c r="K44" s="328"/>
      <c r="L44" s="329"/>
      <c r="M44" s="330"/>
    </row>
    <row r="45" spans="1:13" ht="12" customHeight="1">
      <c r="A45" s="83">
        <f t="shared" si="2"/>
        <v>39</v>
      </c>
      <c r="B45" s="11" t="s">
        <v>896</v>
      </c>
      <c r="C45" s="22" t="s">
        <v>897</v>
      </c>
      <c r="D45" s="88" t="s">
        <v>154</v>
      </c>
      <c r="E45" s="85">
        <v>256</v>
      </c>
      <c r="F45" s="86"/>
      <c r="G45" s="87">
        <v>40</v>
      </c>
      <c r="H45" s="83" t="s">
        <v>149</v>
      </c>
      <c r="I45" s="83"/>
      <c r="J45" s="93"/>
      <c r="K45" s="280" t="s">
        <v>842</v>
      </c>
      <c r="L45" s="291"/>
      <c r="M45" s="292"/>
    </row>
    <row r="46" spans="1:13" ht="12" customHeight="1">
      <c r="A46" s="83">
        <f t="shared" si="2"/>
        <v>40</v>
      </c>
      <c r="B46" s="20" t="s">
        <v>898</v>
      </c>
      <c r="C46" s="212" t="s">
        <v>899</v>
      </c>
      <c r="D46" s="88" t="s">
        <v>154</v>
      </c>
      <c r="E46" s="85">
        <v>256</v>
      </c>
      <c r="F46" s="86"/>
      <c r="G46" s="87">
        <v>40</v>
      </c>
      <c r="H46" s="83" t="s">
        <v>149</v>
      </c>
      <c r="I46" s="83"/>
      <c r="J46" s="93"/>
      <c r="K46" s="280" t="s">
        <v>900</v>
      </c>
      <c r="L46" s="291"/>
      <c r="M46" s="292"/>
    </row>
    <row r="47" spans="1:13" ht="12" customHeight="1">
      <c r="A47" s="83">
        <f t="shared" si="2"/>
        <v>41</v>
      </c>
      <c r="B47" s="11" t="s">
        <v>901</v>
      </c>
      <c r="C47" s="212" t="s">
        <v>902</v>
      </c>
      <c r="D47" s="88" t="s">
        <v>154</v>
      </c>
      <c r="E47" s="85">
        <v>256</v>
      </c>
      <c r="F47" s="86"/>
      <c r="G47" s="87">
        <v>40</v>
      </c>
      <c r="H47" s="83" t="s">
        <v>149</v>
      </c>
      <c r="I47" s="83"/>
      <c r="J47" s="93"/>
      <c r="K47" s="280" t="s">
        <v>848</v>
      </c>
      <c r="L47" s="291"/>
      <c r="M47" s="292"/>
    </row>
    <row r="48" spans="1:13" ht="12" customHeight="1">
      <c r="A48" s="83">
        <f t="shared" si="2"/>
        <v>42</v>
      </c>
      <c r="B48" s="11" t="s">
        <v>903</v>
      </c>
      <c r="C48" s="212" t="s">
        <v>904</v>
      </c>
      <c r="D48" s="88" t="s">
        <v>154</v>
      </c>
      <c r="E48" s="85">
        <v>256</v>
      </c>
      <c r="F48" s="86"/>
      <c r="G48" s="87">
        <v>40</v>
      </c>
      <c r="H48" s="83" t="s">
        <v>149</v>
      </c>
      <c r="I48" s="83"/>
      <c r="J48" s="93"/>
      <c r="K48" s="280" t="s">
        <v>851</v>
      </c>
      <c r="L48" s="291"/>
      <c r="M48" s="292"/>
    </row>
    <row r="49" spans="1:13" ht="12" customHeight="1">
      <c r="A49" s="83">
        <f t="shared" ref="A49:A80" si="3">IF(B49=""," ",A48+1)</f>
        <v>43</v>
      </c>
      <c r="B49" s="20" t="s">
        <v>905</v>
      </c>
      <c r="C49" s="212" t="s">
        <v>906</v>
      </c>
      <c r="D49" s="88" t="s">
        <v>154</v>
      </c>
      <c r="E49" s="85">
        <v>256</v>
      </c>
      <c r="F49" s="86"/>
      <c r="G49" s="87">
        <v>40</v>
      </c>
      <c r="H49" s="83" t="s">
        <v>149</v>
      </c>
      <c r="I49" s="83"/>
      <c r="J49" s="93"/>
      <c r="K49" s="280" t="s">
        <v>854</v>
      </c>
      <c r="L49" s="291"/>
      <c r="M49" s="292"/>
    </row>
    <row r="50" spans="1:13" ht="12" customHeight="1">
      <c r="A50" s="83">
        <f t="shared" si="3"/>
        <v>44</v>
      </c>
      <c r="B50" s="11" t="s">
        <v>907</v>
      </c>
      <c r="C50" s="212" t="s">
        <v>908</v>
      </c>
      <c r="D50" s="88" t="s">
        <v>154</v>
      </c>
      <c r="E50" s="85">
        <v>256</v>
      </c>
      <c r="F50" s="86"/>
      <c r="G50" s="87">
        <v>40</v>
      </c>
      <c r="H50" s="83" t="s">
        <v>149</v>
      </c>
      <c r="I50" s="83"/>
      <c r="J50" s="93"/>
      <c r="K50" s="280" t="s">
        <v>857</v>
      </c>
      <c r="L50" s="291"/>
      <c r="M50" s="292"/>
    </row>
    <row r="51" spans="1:13" ht="12" customHeight="1">
      <c r="A51" s="83">
        <f t="shared" si="3"/>
        <v>45</v>
      </c>
      <c r="B51" s="20" t="s">
        <v>909</v>
      </c>
      <c r="C51" s="212" t="s">
        <v>910</v>
      </c>
      <c r="D51" s="88" t="s">
        <v>154</v>
      </c>
      <c r="E51" s="85">
        <v>256</v>
      </c>
      <c r="F51" s="86"/>
      <c r="G51" s="87">
        <v>40</v>
      </c>
      <c r="H51" s="83" t="s">
        <v>149</v>
      </c>
      <c r="I51" s="83"/>
      <c r="J51" s="93"/>
      <c r="K51" s="280" t="s">
        <v>860</v>
      </c>
      <c r="L51" s="291"/>
      <c r="M51" s="292"/>
    </row>
    <row r="52" spans="1:13" ht="12" customHeight="1">
      <c r="A52" s="83">
        <f t="shared" si="3"/>
        <v>46</v>
      </c>
      <c r="B52" s="20" t="s">
        <v>911</v>
      </c>
      <c r="C52" s="212" t="s">
        <v>912</v>
      </c>
      <c r="D52" s="88" t="s">
        <v>154</v>
      </c>
      <c r="E52" s="85">
        <v>1024</v>
      </c>
      <c r="F52" s="86"/>
      <c r="G52" s="87">
        <v>40</v>
      </c>
      <c r="H52" s="83" t="s">
        <v>149</v>
      </c>
      <c r="I52" s="83"/>
      <c r="J52" s="93"/>
      <c r="K52" s="280" t="s">
        <v>863</v>
      </c>
      <c r="L52" s="291"/>
      <c r="M52" s="292"/>
    </row>
    <row r="53" spans="1:13" ht="12" customHeight="1">
      <c r="A53" s="83">
        <f t="shared" si="3"/>
        <v>47</v>
      </c>
      <c r="B53" s="11" t="s">
        <v>913</v>
      </c>
      <c r="C53" s="212" t="s">
        <v>914</v>
      </c>
      <c r="D53" s="88" t="s">
        <v>154</v>
      </c>
      <c r="E53" s="85">
        <v>256</v>
      </c>
      <c r="F53" s="86"/>
      <c r="G53" s="87">
        <v>40</v>
      </c>
      <c r="H53" s="83" t="s">
        <v>149</v>
      </c>
      <c r="I53" s="83"/>
      <c r="J53" s="93"/>
      <c r="K53" s="280" t="s">
        <v>866</v>
      </c>
      <c r="L53" s="291"/>
      <c r="M53" s="292"/>
    </row>
    <row r="54" spans="1:13" ht="12" customHeight="1">
      <c r="A54" s="83">
        <f t="shared" si="3"/>
        <v>48</v>
      </c>
      <c r="B54" s="20" t="s">
        <v>915</v>
      </c>
      <c r="C54" s="212" t="s">
        <v>916</v>
      </c>
      <c r="D54" s="88" t="s">
        <v>154</v>
      </c>
      <c r="E54" s="85">
        <v>256</v>
      </c>
      <c r="F54" s="86"/>
      <c r="G54" s="87">
        <v>40</v>
      </c>
      <c r="H54" s="83" t="s">
        <v>149</v>
      </c>
      <c r="I54" s="83"/>
      <c r="J54" s="93"/>
      <c r="K54" s="280" t="s">
        <v>869</v>
      </c>
      <c r="L54" s="291"/>
      <c r="M54" s="292"/>
    </row>
    <row r="55" spans="1:13" ht="12" customHeight="1">
      <c r="A55" s="83">
        <f t="shared" si="3"/>
        <v>49</v>
      </c>
      <c r="B55" s="20" t="s">
        <v>917</v>
      </c>
      <c r="C55" s="212" t="s">
        <v>918</v>
      </c>
      <c r="D55" s="88" t="s">
        <v>154</v>
      </c>
      <c r="E55" s="85">
        <v>256</v>
      </c>
      <c r="F55" s="86"/>
      <c r="G55" s="87">
        <v>40</v>
      </c>
      <c r="H55" s="83" t="s">
        <v>149</v>
      </c>
      <c r="I55" s="83"/>
      <c r="J55" s="93"/>
      <c r="K55" s="280" t="s">
        <v>872</v>
      </c>
      <c r="L55" s="291"/>
      <c r="M55" s="292"/>
    </row>
    <row r="56" spans="1:13" ht="12" customHeight="1">
      <c r="A56" s="83">
        <f t="shared" si="3"/>
        <v>50</v>
      </c>
      <c r="B56" s="11" t="s">
        <v>919</v>
      </c>
      <c r="C56" s="212" t="s">
        <v>920</v>
      </c>
      <c r="D56" s="88" t="s">
        <v>154</v>
      </c>
      <c r="E56" s="85">
        <v>256</v>
      </c>
      <c r="F56" s="86"/>
      <c r="G56" s="87">
        <v>40</v>
      </c>
      <c r="H56" s="83" t="s">
        <v>149</v>
      </c>
      <c r="I56" s="83"/>
      <c r="J56" s="93"/>
      <c r="K56" s="280" t="s">
        <v>875</v>
      </c>
      <c r="L56" s="291"/>
      <c r="M56" s="292"/>
    </row>
    <row r="57" spans="1:13" ht="12" customHeight="1">
      <c r="A57" s="83">
        <f t="shared" si="3"/>
        <v>51</v>
      </c>
      <c r="B57" s="20" t="s">
        <v>921</v>
      </c>
      <c r="C57" s="212" t="s">
        <v>922</v>
      </c>
      <c r="D57" s="88" t="s">
        <v>154</v>
      </c>
      <c r="E57" s="85">
        <v>256</v>
      </c>
      <c r="F57" s="86"/>
      <c r="G57" s="87">
        <v>40</v>
      </c>
      <c r="H57" s="83" t="s">
        <v>149</v>
      </c>
      <c r="I57" s="83"/>
      <c r="J57" s="93"/>
      <c r="K57" s="280" t="s">
        <v>878</v>
      </c>
      <c r="L57" s="291"/>
      <c r="M57" s="292"/>
    </row>
    <row r="58" spans="1:13" ht="12" customHeight="1">
      <c r="A58" s="83">
        <f t="shared" si="3"/>
        <v>52</v>
      </c>
      <c r="B58" s="20" t="s">
        <v>923</v>
      </c>
      <c r="C58" s="84" t="s">
        <v>924</v>
      </c>
      <c r="D58" s="88" t="s">
        <v>154</v>
      </c>
      <c r="E58" s="85">
        <v>256</v>
      </c>
      <c r="F58" s="86"/>
      <c r="G58" s="87">
        <v>40</v>
      </c>
      <c r="H58" s="83" t="s">
        <v>149</v>
      </c>
      <c r="I58" s="83"/>
      <c r="J58" s="93"/>
      <c r="K58" s="280" t="s">
        <v>900</v>
      </c>
      <c r="L58" s="291"/>
      <c r="M58" s="292"/>
    </row>
    <row r="59" spans="1:13" ht="12" customHeight="1">
      <c r="A59" s="83">
        <f t="shared" si="3"/>
        <v>53</v>
      </c>
      <c r="B59" s="11" t="s">
        <v>925</v>
      </c>
      <c r="C59" s="84" t="s">
        <v>926</v>
      </c>
      <c r="D59" s="88" t="s">
        <v>154</v>
      </c>
      <c r="E59" s="85">
        <v>256</v>
      </c>
      <c r="F59" s="86"/>
      <c r="G59" s="87">
        <v>40</v>
      </c>
      <c r="H59" s="83" t="s">
        <v>149</v>
      </c>
      <c r="I59" s="83"/>
      <c r="J59" s="93"/>
      <c r="K59" s="280" t="s">
        <v>884</v>
      </c>
      <c r="L59" s="291"/>
      <c r="M59" s="292"/>
    </row>
    <row r="60" spans="1:13" ht="12" customHeight="1">
      <c r="A60" s="83">
        <f t="shared" si="3"/>
        <v>54</v>
      </c>
      <c r="B60" s="20" t="s">
        <v>927</v>
      </c>
      <c r="C60" s="84" t="s">
        <v>928</v>
      </c>
      <c r="D60" s="88" t="s">
        <v>154</v>
      </c>
      <c r="E60" s="85">
        <v>256</v>
      </c>
      <c r="F60" s="86"/>
      <c r="G60" s="87">
        <v>40</v>
      </c>
      <c r="H60" s="83" t="s">
        <v>149</v>
      </c>
      <c r="I60" s="83"/>
      <c r="J60" s="93"/>
      <c r="K60" s="322" t="s">
        <v>929</v>
      </c>
      <c r="L60" s="323"/>
      <c r="M60" s="324"/>
    </row>
    <row r="61" spans="1:13" ht="12" customHeight="1">
      <c r="A61" s="83">
        <f t="shared" si="3"/>
        <v>55</v>
      </c>
      <c r="B61" s="20" t="s">
        <v>930</v>
      </c>
      <c r="C61" s="84" t="s">
        <v>931</v>
      </c>
      <c r="D61" s="88" t="s">
        <v>154</v>
      </c>
      <c r="E61" s="85">
        <v>256</v>
      </c>
      <c r="F61" s="86"/>
      <c r="G61" s="87">
        <v>40</v>
      </c>
      <c r="H61" s="83" t="s">
        <v>149</v>
      </c>
      <c r="I61" s="83"/>
      <c r="J61" s="93"/>
      <c r="K61" s="325"/>
      <c r="L61" s="326"/>
      <c r="M61" s="327"/>
    </row>
    <row r="62" spans="1:13" ht="12" customHeight="1">
      <c r="A62" s="83">
        <f t="shared" si="3"/>
        <v>56</v>
      </c>
      <c r="B62" s="20" t="s">
        <v>932</v>
      </c>
      <c r="C62" s="84" t="s">
        <v>933</v>
      </c>
      <c r="D62" s="88" t="s">
        <v>154</v>
      </c>
      <c r="E62" s="85">
        <v>256</v>
      </c>
      <c r="F62" s="86"/>
      <c r="G62" s="87">
        <v>40</v>
      </c>
      <c r="H62" s="83" t="s">
        <v>149</v>
      </c>
      <c r="I62" s="83"/>
      <c r="J62" s="93"/>
      <c r="K62" s="325"/>
      <c r="L62" s="326"/>
      <c r="M62" s="327"/>
    </row>
    <row r="63" spans="1:13" ht="12" customHeight="1">
      <c r="A63" s="83">
        <f t="shared" si="3"/>
        <v>57</v>
      </c>
      <c r="B63" s="11" t="s">
        <v>934</v>
      </c>
      <c r="C63" s="84" t="s">
        <v>935</v>
      </c>
      <c r="D63" s="88" t="s">
        <v>154</v>
      </c>
      <c r="E63" s="85">
        <v>256</v>
      </c>
      <c r="F63" s="86"/>
      <c r="G63" s="87">
        <v>40</v>
      </c>
      <c r="H63" s="83" t="s">
        <v>149</v>
      </c>
      <c r="I63" s="83"/>
      <c r="J63" s="93"/>
      <c r="K63" s="325"/>
      <c r="L63" s="326"/>
      <c r="M63" s="327"/>
    </row>
    <row r="64" spans="1:13" ht="12" customHeight="1">
      <c r="A64" s="83">
        <f t="shared" si="3"/>
        <v>58</v>
      </c>
      <c r="B64" s="20" t="s">
        <v>936</v>
      </c>
      <c r="C64" s="84" t="s">
        <v>937</v>
      </c>
      <c r="D64" s="88" t="s">
        <v>154</v>
      </c>
      <c r="E64" s="85">
        <v>256</v>
      </c>
      <c r="F64" s="86"/>
      <c r="G64" s="87">
        <v>40</v>
      </c>
      <c r="H64" s="83" t="s">
        <v>149</v>
      </c>
      <c r="I64" s="83"/>
      <c r="J64" s="93"/>
      <c r="K64" s="328"/>
      <c r="L64" s="329"/>
      <c r="M64" s="330"/>
    </row>
    <row r="65" spans="1:18" ht="12" customHeight="1">
      <c r="A65" s="83">
        <f t="shared" si="3"/>
        <v>59</v>
      </c>
      <c r="B65" s="74" t="s">
        <v>232</v>
      </c>
      <c r="C65" s="84" t="s">
        <v>233</v>
      </c>
      <c r="D65" s="88" t="s">
        <v>234</v>
      </c>
      <c r="E65" s="85"/>
      <c r="F65" s="86"/>
      <c r="G65" s="87">
        <f t="shared" si="0"/>
        <v>10</v>
      </c>
      <c r="H65" s="83" t="s">
        <v>149</v>
      </c>
      <c r="I65" s="83"/>
      <c r="J65" s="93"/>
      <c r="K65" s="280"/>
      <c r="L65" s="291"/>
      <c r="M65" s="292"/>
    </row>
    <row r="66" spans="1:18" ht="12" customHeight="1">
      <c r="A66" s="83" t="str">
        <f t="shared" si="3"/>
        <v xml:space="preserve"> </v>
      </c>
      <c r="B66" s="74"/>
      <c r="C66" s="84"/>
      <c r="D66" s="88"/>
      <c r="E66" s="85"/>
      <c r="F66" s="86"/>
      <c r="G66" s="87"/>
      <c r="H66" s="83"/>
      <c r="I66" s="83"/>
      <c r="J66" s="93"/>
      <c r="K66" s="280"/>
      <c r="L66" s="291"/>
      <c r="M66" s="292"/>
      <c r="R66" s="75">
        <f>SUM(E7:E65)</f>
        <v>5988</v>
      </c>
    </row>
    <row r="67" spans="1:18" ht="12" customHeight="1">
      <c r="A67" s="83" t="str">
        <f t="shared" si="3"/>
        <v xml:space="preserve"> </v>
      </c>
      <c r="B67" s="74"/>
      <c r="C67" s="84"/>
      <c r="D67" s="88"/>
      <c r="E67" s="85"/>
      <c r="F67" s="86"/>
      <c r="G67" s="87"/>
      <c r="H67" s="83"/>
      <c r="I67" s="83"/>
      <c r="J67" s="93"/>
      <c r="K67" s="280"/>
      <c r="L67" s="291"/>
      <c r="M67" s="292"/>
    </row>
    <row r="68" spans="1:18" ht="12" customHeight="1">
      <c r="A68" s="83" t="str">
        <f t="shared" si="3"/>
        <v xml:space="preserve"> </v>
      </c>
      <c r="B68" s="74"/>
      <c r="C68" s="84"/>
      <c r="D68" s="88"/>
      <c r="E68" s="85"/>
      <c r="F68" s="86"/>
      <c r="G68" s="87"/>
      <c r="H68" s="83"/>
      <c r="I68" s="83"/>
      <c r="J68" s="93"/>
      <c r="K68" s="280"/>
      <c r="L68" s="291"/>
      <c r="M68" s="292"/>
    </row>
    <row r="69" spans="1:18" ht="12" customHeight="1">
      <c r="A69" s="83" t="str">
        <f t="shared" si="3"/>
        <v xml:space="preserve"> </v>
      </c>
      <c r="B69" s="74"/>
      <c r="C69" s="84"/>
      <c r="D69" s="88"/>
      <c r="E69" s="85"/>
      <c r="F69" s="86"/>
      <c r="G69" s="87"/>
      <c r="H69" s="83"/>
      <c r="I69" s="83"/>
      <c r="J69" s="93"/>
      <c r="K69" s="280"/>
      <c r="L69" s="291"/>
      <c r="M69" s="292"/>
    </row>
    <row r="70" spans="1:18" ht="12" customHeight="1">
      <c r="A70" s="83" t="str">
        <f t="shared" si="3"/>
        <v xml:space="preserve"> </v>
      </c>
      <c r="B70" s="74"/>
      <c r="C70" s="84"/>
      <c r="D70" s="88"/>
      <c r="E70" s="85"/>
      <c r="F70" s="86"/>
      <c r="G70" s="87"/>
      <c r="H70" s="83"/>
      <c r="I70" s="83"/>
      <c r="J70" s="93"/>
      <c r="K70" s="280"/>
      <c r="L70" s="291"/>
      <c r="M70" s="292"/>
    </row>
    <row r="71" spans="1:18" ht="12" customHeight="1">
      <c r="A71" s="83" t="str">
        <f t="shared" si="3"/>
        <v xml:space="preserve"> </v>
      </c>
      <c r="B71" s="74"/>
      <c r="C71" s="84"/>
      <c r="D71" s="88"/>
      <c r="E71" s="85"/>
      <c r="F71" s="86"/>
      <c r="G71" s="87"/>
      <c r="H71" s="83"/>
      <c r="I71" s="83"/>
      <c r="J71" s="93"/>
      <c r="K71" s="280"/>
      <c r="L71" s="291"/>
      <c r="M71" s="292"/>
    </row>
    <row r="72" spans="1:18" ht="12" customHeight="1">
      <c r="A72" s="83" t="str">
        <f t="shared" si="3"/>
        <v xml:space="preserve"> </v>
      </c>
      <c r="B72" s="74"/>
      <c r="C72" s="84"/>
      <c r="D72" s="88"/>
      <c r="E72" s="85"/>
      <c r="F72" s="86"/>
      <c r="G72" s="87"/>
      <c r="H72" s="83"/>
      <c r="I72" s="83"/>
      <c r="J72" s="93"/>
      <c r="K72" s="280"/>
      <c r="L72" s="291"/>
      <c r="M72" s="292"/>
    </row>
    <row r="73" spans="1:18" ht="12" customHeight="1">
      <c r="A73" s="83" t="str">
        <f t="shared" si="3"/>
        <v xml:space="preserve"> </v>
      </c>
      <c r="B73" s="74"/>
      <c r="C73" s="84"/>
      <c r="D73" s="88"/>
      <c r="E73" s="85"/>
      <c r="F73" s="86"/>
      <c r="G73" s="87"/>
      <c r="H73" s="83"/>
      <c r="I73" s="83"/>
      <c r="J73" s="93"/>
      <c r="K73" s="280"/>
      <c r="L73" s="291"/>
      <c r="M73" s="292"/>
    </row>
    <row r="74" spans="1:18" ht="12" customHeight="1">
      <c r="A74" s="83" t="str">
        <f t="shared" si="3"/>
        <v xml:space="preserve"> </v>
      </c>
      <c r="B74" s="74"/>
      <c r="C74" s="84"/>
      <c r="D74" s="88"/>
      <c r="E74" s="85"/>
      <c r="F74" s="86"/>
      <c r="G74" s="87"/>
      <c r="H74" s="83"/>
      <c r="I74" s="83"/>
      <c r="J74" s="93"/>
      <c r="K74" s="280"/>
      <c r="L74" s="291"/>
      <c r="M74" s="292"/>
    </row>
    <row r="75" spans="1:18" ht="12" customHeight="1">
      <c r="A75" s="83" t="str">
        <f t="shared" si="3"/>
        <v xml:space="preserve"> </v>
      </c>
      <c r="B75" s="74"/>
      <c r="C75" s="84"/>
      <c r="D75" s="88"/>
      <c r="E75" s="85"/>
      <c r="F75" s="86"/>
      <c r="G75" s="87"/>
      <c r="H75" s="83"/>
      <c r="I75" s="83"/>
      <c r="J75" s="93"/>
      <c r="K75" s="280"/>
      <c r="L75" s="291"/>
      <c r="M75" s="292"/>
    </row>
    <row r="76" spans="1:18" ht="12" customHeight="1">
      <c r="A76" s="83" t="str">
        <f t="shared" si="3"/>
        <v xml:space="preserve"> </v>
      </c>
      <c r="B76" s="74"/>
      <c r="C76" s="84"/>
      <c r="D76" s="88"/>
      <c r="E76" s="85"/>
      <c r="F76" s="86"/>
      <c r="G76" s="87"/>
      <c r="H76" s="83"/>
      <c r="I76" s="83"/>
      <c r="J76" s="93"/>
      <c r="K76" s="280"/>
      <c r="L76" s="291"/>
      <c r="M76" s="292"/>
    </row>
    <row r="77" spans="1:18" ht="12" customHeight="1">
      <c r="A77" s="83" t="str">
        <f t="shared" si="3"/>
        <v xml:space="preserve"> </v>
      </c>
      <c r="B77" s="74"/>
      <c r="C77" s="84"/>
      <c r="D77" s="88"/>
      <c r="E77" s="85"/>
      <c r="F77" s="86"/>
      <c r="G77" s="87"/>
      <c r="H77" s="83"/>
      <c r="I77" s="83"/>
      <c r="J77" s="93"/>
      <c r="K77" s="280"/>
      <c r="L77" s="291"/>
      <c r="M77" s="292"/>
    </row>
    <row r="78" spans="1:18" ht="12" customHeight="1">
      <c r="A78" s="83" t="str">
        <f t="shared" si="3"/>
        <v xml:space="preserve"> </v>
      </c>
      <c r="B78" s="74"/>
      <c r="C78" s="84"/>
      <c r="D78" s="88"/>
      <c r="E78" s="85"/>
      <c r="F78" s="86"/>
      <c r="G78" s="87"/>
      <c r="H78" s="83"/>
      <c r="I78" s="83"/>
      <c r="J78" s="93"/>
      <c r="K78" s="280"/>
      <c r="L78" s="291"/>
      <c r="M78" s="292"/>
    </row>
    <row r="79" spans="1:18" ht="12" customHeight="1">
      <c r="A79" s="83" t="str">
        <f t="shared" si="3"/>
        <v xml:space="preserve"> </v>
      </c>
      <c r="B79" s="74"/>
      <c r="C79" s="84"/>
      <c r="D79" s="88"/>
      <c r="E79" s="85"/>
      <c r="F79" s="86"/>
      <c r="G79" s="87"/>
      <c r="H79" s="83"/>
      <c r="I79" s="83"/>
      <c r="J79" s="93"/>
      <c r="K79" s="280"/>
      <c r="L79" s="291"/>
      <c r="M79" s="292"/>
    </row>
    <row r="80" spans="1:18" ht="12" customHeight="1">
      <c r="A80" s="83" t="str">
        <f t="shared" si="3"/>
        <v xml:space="preserve"> </v>
      </c>
      <c r="B80" s="74"/>
      <c r="C80" s="84"/>
      <c r="D80" s="88"/>
      <c r="E80" s="85"/>
      <c r="F80" s="86"/>
      <c r="G80" s="87"/>
      <c r="H80" s="83"/>
      <c r="I80" s="83"/>
      <c r="J80" s="93"/>
      <c r="K80" s="280"/>
      <c r="L80" s="291"/>
      <c r="M80" s="292"/>
    </row>
    <row r="81" spans="1:13" ht="12" customHeight="1">
      <c r="A81" s="83" t="str">
        <f t="shared" ref="A81:A88" si="4">IF(B81=""," ",A80+1)</f>
        <v xml:space="preserve"> </v>
      </c>
      <c r="B81" s="74"/>
      <c r="C81" s="84"/>
      <c r="D81" s="88"/>
      <c r="E81" s="85"/>
      <c r="F81" s="86"/>
      <c r="G81" s="87"/>
      <c r="H81" s="83"/>
      <c r="I81" s="83"/>
      <c r="J81" s="93"/>
      <c r="K81" s="280"/>
      <c r="L81" s="291"/>
      <c r="M81" s="292"/>
    </row>
    <row r="82" spans="1:13" ht="12" customHeight="1">
      <c r="A82" s="83" t="str">
        <f t="shared" si="4"/>
        <v xml:space="preserve"> </v>
      </c>
      <c r="B82" s="74"/>
      <c r="C82" s="84"/>
      <c r="D82" s="88"/>
      <c r="E82" s="85"/>
      <c r="F82" s="86"/>
      <c r="G82" s="87"/>
      <c r="H82" s="83"/>
      <c r="I82" s="83"/>
      <c r="J82" s="93"/>
      <c r="K82" s="280"/>
      <c r="L82" s="291"/>
      <c r="M82" s="292"/>
    </row>
    <row r="83" spans="1:13" ht="12" customHeight="1">
      <c r="A83" s="83" t="str">
        <f t="shared" si="4"/>
        <v xml:space="preserve"> </v>
      </c>
      <c r="B83" s="74"/>
      <c r="C83" s="84"/>
      <c r="D83" s="88"/>
      <c r="E83" s="85"/>
      <c r="F83" s="86"/>
      <c r="G83" s="87"/>
      <c r="H83" s="83"/>
      <c r="I83" s="83"/>
      <c r="J83" s="93"/>
      <c r="K83" s="280"/>
      <c r="L83" s="291"/>
      <c r="M83" s="292"/>
    </row>
    <row r="84" spans="1:13" ht="12" customHeight="1">
      <c r="A84" s="83" t="str">
        <f t="shared" si="4"/>
        <v xml:space="preserve"> </v>
      </c>
      <c r="B84" s="74"/>
      <c r="C84" s="84"/>
      <c r="D84" s="88"/>
      <c r="E84" s="85"/>
      <c r="F84" s="86"/>
      <c r="G84" s="87"/>
      <c r="H84" s="83"/>
      <c r="I84" s="83"/>
      <c r="J84" s="93"/>
      <c r="K84" s="280"/>
      <c r="L84" s="291"/>
      <c r="M84" s="292"/>
    </row>
    <row r="85" spans="1:13" ht="12" customHeight="1">
      <c r="A85" s="83" t="str">
        <f t="shared" si="4"/>
        <v xml:space="preserve"> </v>
      </c>
      <c r="B85" s="74"/>
      <c r="C85" s="84"/>
      <c r="D85" s="88"/>
      <c r="E85" s="85"/>
      <c r="F85" s="86"/>
      <c r="G85" s="87"/>
      <c r="H85" s="83"/>
      <c r="I85" s="83"/>
      <c r="J85" s="93"/>
      <c r="K85" s="280"/>
      <c r="L85" s="291"/>
      <c r="M85" s="292"/>
    </row>
    <row r="86" spans="1:13" ht="12" customHeight="1">
      <c r="A86" s="83" t="str">
        <f t="shared" si="4"/>
        <v xml:space="preserve"> </v>
      </c>
      <c r="B86" s="74"/>
      <c r="C86" s="84"/>
      <c r="D86" s="88"/>
      <c r="E86" s="85"/>
      <c r="F86" s="86"/>
      <c r="G86" s="87"/>
      <c r="H86" s="83"/>
      <c r="I86" s="83"/>
      <c r="J86" s="93"/>
      <c r="K86" s="280"/>
      <c r="L86" s="291"/>
      <c r="M86" s="292"/>
    </row>
    <row r="87" spans="1:13" ht="12" customHeight="1">
      <c r="A87" s="83" t="str">
        <f t="shared" si="4"/>
        <v xml:space="preserve"> </v>
      </c>
      <c r="B87" s="74"/>
      <c r="C87" s="84"/>
      <c r="D87" s="88"/>
      <c r="E87" s="85"/>
      <c r="F87" s="86"/>
      <c r="G87" s="87"/>
      <c r="H87" s="83"/>
      <c r="I87" s="83"/>
      <c r="J87" s="93"/>
      <c r="K87" s="280"/>
      <c r="L87" s="291"/>
      <c r="M87" s="292"/>
    </row>
    <row r="88" spans="1:13" ht="12" customHeight="1">
      <c r="A88" s="83" t="str">
        <f t="shared" si="4"/>
        <v xml:space="preserve"> </v>
      </c>
      <c r="B88" s="74"/>
      <c r="C88" s="84"/>
      <c r="D88" s="88"/>
      <c r="E88" s="85"/>
      <c r="F88" s="86"/>
      <c r="G88" s="87"/>
      <c r="H88" s="83"/>
      <c r="I88" s="83"/>
      <c r="J88" s="93"/>
      <c r="K88" s="280"/>
      <c r="L88" s="291"/>
      <c r="M88" s="292"/>
    </row>
    <row r="89" spans="1:13" ht="12" customHeight="1">
      <c r="A89" s="83" t="str">
        <f t="shared" ref="A89:A100" si="5">IF(B89=""," ",A88+1)</f>
        <v xml:space="preserve"> </v>
      </c>
      <c r="B89" s="74"/>
      <c r="C89" s="84"/>
      <c r="D89" s="88"/>
      <c r="E89" s="85"/>
      <c r="F89" s="86"/>
      <c r="G89" s="87"/>
      <c r="H89" s="83"/>
      <c r="I89" s="83"/>
      <c r="J89" s="93"/>
      <c r="K89" s="280"/>
      <c r="L89" s="291"/>
      <c r="M89" s="292"/>
    </row>
    <row r="90" spans="1:13" ht="12" customHeight="1">
      <c r="A90" s="83" t="str">
        <f t="shared" si="5"/>
        <v xml:space="preserve"> </v>
      </c>
      <c r="B90" s="74"/>
      <c r="C90" s="84"/>
      <c r="D90" s="88"/>
      <c r="E90" s="85"/>
      <c r="F90" s="86"/>
      <c r="G90" s="87"/>
      <c r="H90" s="83"/>
      <c r="I90" s="83"/>
      <c r="J90" s="93"/>
      <c r="K90" s="280"/>
      <c r="L90" s="291"/>
      <c r="M90" s="292"/>
    </row>
    <row r="91" spans="1:13" ht="12" customHeight="1">
      <c r="A91" s="83" t="str">
        <f t="shared" si="5"/>
        <v xml:space="preserve"> </v>
      </c>
      <c r="B91" s="74"/>
      <c r="C91" s="84"/>
      <c r="D91" s="88"/>
      <c r="E91" s="85"/>
      <c r="F91" s="86"/>
      <c r="G91" s="87"/>
      <c r="H91" s="83"/>
      <c r="I91" s="83"/>
      <c r="J91" s="93"/>
      <c r="K91" s="280"/>
      <c r="L91" s="291"/>
      <c r="M91" s="292"/>
    </row>
    <row r="92" spans="1:13" ht="12" customHeight="1">
      <c r="A92" s="83" t="str">
        <f t="shared" si="5"/>
        <v xml:space="preserve"> </v>
      </c>
      <c r="B92" s="74"/>
      <c r="C92" s="84"/>
      <c r="D92" s="88"/>
      <c r="E92" s="85"/>
      <c r="F92" s="86"/>
      <c r="G92" s="87"/>
      <c r="H92" s="83"/>
      <c r="I92" s="83"/>
      <c r="J92" s="93"/>
      <c r="K92" s="280"/>
      <c r="L92" s="291"/>
      <c r="M92" s="292"/>
    </row>
    <row r="93" spans="1:13" ht="12" customHeight="1">
      <c r="A93" s="83" t="str">
        <f t="shared" si="5"/>
        <v xml:space="preserve"> </v>
      </c>
      <c r="B93" s="74"/>
      <c r="C93" s="84"/>
      <c r="D93" s="88"/>
      <c r="E93" s="85"/>
      <c r="F93" s="86"/>
      <c r="G93" s="87"/>
      <c r="H93" s="83"/>
      <c r="I93" s="83"/>
      <c r="J93" s="93"/>
      <c r="K93" s="280"/>
      <c r="L93" s="291"/>
      <c r="M93" s="292"/>
    </row>
    <row r="94" spans="1:13" ht="12" customHeight="1">
      <c r="A94" s="83" t="str">
        <f t="shared" si="5"/>
        <v xml:space="preserve"> </v>
      </c>
      <c r="B94" s="74"/>
      <c r="C94" s="84"/>
      <c r="D94" s="88"/>
      <c r="E94" s="85"/>
      <c r="F94" s="86"/>
      <c r="G94" s="87"/>
      <c r="H94" s="83"/>
      <c r="I94" s="83"/>
      <c r="J94" s="93"/>
      <c r="K94" s="280"/>
      <c r="L94" s="291"/>
      <c r="M94" s="292"/>
    </row>
    <row r="95" spans="1:13" ht="12" customHeight="1">
      <c r="A95" s="83" t="str">
        <f t="shared" si="5"/>
        <v xml:space="preserve"> </v>
      </c>
      <c r="B95" s="74"/>
      <c r="C95" s="84"/>
      <c r="D95" s="88"/>
      <c r="E95" s="85"/>
      <c r="F95" s="86"/>
      <c r="G95" s="87"/>
      <c r="H95" s="83"/>
      <c r="I95" s="83"/>
      <c r="J95" s="93"/>
      <c r="K95" s="280"/>
      <c r="L95" s="291"/>
      <c r="M95" s="292"/>
    </row>
    <row r="96" spans="1:13" ht="12" customHeight="1">
      <c r="A96" s="83" t="str">
        <f t="shared" si="5"/>
        <v xml:space="preserve"> </v>
      </c>
      <c r="B96" s="74"/>
      <c r="C96" s="84"/>
      <c r="D96" s="88"/>
      <c r="E96" s="85"/>
      <c r="F96" s="86"/>
      <c r="G96" s="87"/>
      <c r="H96" s="83"/>
      <c r="I96" s="83"/>
      <c r="J96" s="93"/>
      <c r="K96" s="280"/>
      <c r="L96" s="291"/>
      <c r="M96" s="292"/>
    </row>
    <row r="97" spans="1:13" ht="12" customHeight="1">
      <c r="A97" s="83" t="str">
        <f t="shared" si="5"/>
        <v xml:space="preserve"> </v>
      </c>
      <c r="B97" s="74"/>
      <c r="C97" s="84"/>
      <c r="D97" s="88"/>
      <c r="E97" s="85"/>
      <c r="F97" s="86"/>
      <c r="G97" s="87"/>
      <c r="H97" s="83"/>
      <c r="I97" s="83"/>
      <c r="J97" s="93"/>
      <c r="K97" s="280"/>
      <c r="L97" s="291"/>
      <c r="M97" s="292"/>
    </row>
    <row r="98" spans="1:13" ht="12" customHeight="1">
      <c r="A98" s="83" t="str">
        <f t="shared" si="5"/>
        <v xml:space="preserve"> </v>
      </c>
      <c r="B98" s="74"/>
      <c r="C98" s="84"/>
      <c r="D98" s="88"/>
      <c r="E98" s="85"/>
      <c r="F98" s="86"/>
      <c r="G98" s="87"/>
      <c r="H98" s="83"/>
      <c r="I98" s="83"/>
      <c r="J98" s="93"/>
      <c r="K98" s="280"/>
      <c r="L98" s="291"/>
      <c r="M98" s="292"/>
    </row>
    <row r="99" spans="1:13" ht="12" customHeight="1">
      <c r="A99" s="83" t="str">
        <f t="shared" si="5"/>
        <v xml:space="preserve"> </v>
      </c>
      <c r="B99" s="74"/>
      <c r="C99" s="84"/>
      <c r="D99" s="88"/>
      <c r="E99" s="85"/>
      <c r="F99" s="86"/>
      <c r="G99" s="87"/>
      <c r="H99" s="83"/>
      <c r="I99" s="83"/>
      <c r="J99" s="93"/>
      <c r="K99" s="280"/>
      <c r="L99" s="291"/>
      <c r="M99" s="292"/>
    </row>
    <row r="100" spans="1:13" ht="12" customHeight="1">
      <c r="A100" s="83" t="str">
        <f t="shared" si="5"/>
        <v xml:space="preserve"> </v>
      </c>
      <c r="B100" s="74"/>
      <c r="C100" s="84"/>
      <c r="D100" s="88"/>
      <c r="E100" s="85"/>
      <c r="F100" s="86"/>
      <c r="G100" s="87"/>
      <c r="H100" s="83"/>
      <c r="I100" s="83"/>
      <c r="J100" s="93"/>
      <c r="K100" s="280"/>
      <c r="L100" s="291"/>
      <c r="M100" s="292"/>
    </row>
    <row r="102" spans="1:13">
      <c r="B102" s="75" t="s">
        <v>235</v>
      </c>
    </row>
    <row r="104" spans="1:13">
      <c r="B104" s="75" t="s">
        <v>799</v>
      </c>
      <c r="C104" s="75" t="s">
        <v>938</v>
      </c>
    </row>
    <row r="106" spans="1:13">
      <c r="B106" s="75" t="s">
        <v>799</v>
      </c>
      <c r="C106" s="75" t="s">
        <v>939</v>
      </c>
    </row>
    <row r="108" spans="1:13">
      <c r="B108" s="75" t="s">
        <v>799</v>
      </c>
      <c r="C108" s="75" t="s">
        <v>940</v>
      </c>
    </row>
    <row r="110" spans="1:13">
      <c r="B110" s="75" t="s">
        <v>236</v>
      </c>
      <c r="C110" s="75" t="s">
        <v>237</v>
      </c>
    </row>
    <row r="112" spans="1:13">
      <c r="B112" s="75" t="s">
        <v>236</v>
      </c>
      <c r="C112" s="75" t="s">
        <v>588</v>
      </c>
    </row>
    <row r="114" spans="2:3">
      <c r="B114" s="75" t="s">
        <v>236</v>
      </c>
      <c r="C114" s="75" t="s">
        <v>238</v>
      </c>
    </row>
    <row r="116" spans="2:3">
      <c r="B116" s="75" t="s">
        <v>239</v>
      </c>
      <c r="C116" s="75" t="s">
        <v>240</v>
      </c>
    </row>
    <row r="117" spans="2:3">
      <c r="C117" s="75" t="s">
        <v>241</v>
      </c>
    </row>
    <row r="119" spans="2:3">
      <c r="B119" s="75" t="s">
        <v>941</v>
      </c>
      <c r="C119" s="3" t="s">
        <v>942</v>
      </c>
    </row>
    <row r="120" spans="2:3">
      <c r="C120" s="75" t="s">
        <v>943</v>
      </c>
    </row>
    <row r="121" spans="2:3">
      <c r="C121" s="75" t="s">
        <v>944</v>
      </c>
    </row>
  </sheetData>
  <mergeCells count="100">
    <mergeCell ref="K97:M97"/>
    <mergeCell ref="K98:M98"/>
    <mergeCell ref="K99:M99"/>
    <mergeCell ref="K100:M100"/>
    <mergeCell ref="A5:A6"/>
    <mergeCell ref="K5:M6"/>
    <mergeCell ref="K40:M44"/>
    <mergeCell ref="K60:M64"/>
    <mergeCell ref="K92:M92"/>
    <mergeCell ref="K93:M93"/>
    <mergeCell ref="K94:M94"/>
    <mergeCell ref="K95:M95"/>
    <mergeCell ref="K96:M96"/>
    <mergeCell ref="K87:M87"/>
    <mergeCell ref="K88:M88"/>
    <mergeCell ref="K89:M89"/>
    <mergeCell ref="K90:M90"/>
    <mergeCell ref="K91:M91"/>
    <mergeCell ref="K82:M82"/>
    <mergeCell ref="K83:M83"/>
    <mergeCell ref="K84:M84"/>
    <mergeCell ref="K85:M85"/>
    <mergeCell ref="K86:M86"/>
    <mergeCell ref="K77:M77"/>
    <mergeCell ref="K78:M78"/>
    <mergeCell ref="K79:M79"/>
    <mergeCell ref="K80:M80"/>
    <mergeCell ref="K81:M81"/>
    <mergeCell ref="K72:M72"/>
    <mergeCell ref="K73:M73"/>
    <mergeCell ref="K74:M74"/>
    <mergeCell ref="K75:M75"/>
    <mergeCell ref="K76:M76"/>
    <mergeCell ref="K67:M67"/>
    <mergeCell ref="K68:M68"/>
    <mergeCell ref="K69:M69"/>
    <mergeCell ref="K70:M70"/>
    <mergeCell ref="K71:M71"/>
    <mergeCell ref="K57:M57"/>
    <mergeCell ref="K58:M58"/>
    <mergeCell ref="K59:M59"/>
    <mergeCell ref="K65:M65"/>
    <mergeCell ref="K66:M66"/>
    <mergeCell ref="K52:M52"/>
    <mergeCell ref="K53:M53"/>
    <mergeCell ref="K54:M54"/>
    <mergeCell ref="K55:M55"/>
    <mergeCell ref="K56:M56"/>
    <mergeCell ref="K47:M47"/>
    <mergeCell ref="K48:M48"/>
    <mergeCell ref="K49:M49"/>
    <mergeCell ref="K50:M50"/>
    <mergeCell ref="K51:M51"/>
    <mergeCell ref="K37:M37"/>
    <mergeCell ref="K38:M38"/>
    <mergeCell ref="K39:M39"/>
    <mergeCell ref="K45:M45"/>
    <mergeCell ref="K46:M46"/>
    <mergeCell ref="K32:M32"/>
    <mergeCell ref="K33:M33"/>
    <mergeCell ref="K34:M34"/>
    <mergeCell ref="K35:M35"/>
    <mergeCell ref="K36:M36"/>
    <mergeCell ref="K27:M27"/>
    <mergeCell ref="K28:M28"/>
    <mergeCell ref="K29:M29"/>
    <mergeCell ref="K30:M30"/>
    <mergeCell ref="K31:M31"/>
    <mergeCell ref="K22:M22"/>
    <mergeCell ref="K23:M23"/>
    <mergeCell ref="K24:M24"/>
    <mergeCell ref="K25:M25"/>
    <mergeCell ref="K26:M26"/>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ageSetUpPr fitToPage="1"/>
  </sheetPr>
  <dimension ref="A1:S190"/>
  <sheetViews>
    <sheetView showGridLines="0" workbookViewId="0">
      <pane ySplit="6" topLeftCell="A97" activePane="bottomLeft" state="frozen"/>
      <selection pane="bottomLeft" activeCell="S101" sqref="S101"/>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8" width="78.25" style="75" customWidth="1"/>
    <col min="19" max="16384" width="9" style="75"/>
  </cols>
  <sheetData>
    <row r="1" spans="1:18" ht="12" customHeight="1">
      <c r="B1" s="3"/>
    </row>
    <row r="2" spans="1:18" ht="12" customHeight="1">
      <c r="A2" s="259" t="s">
        <v>136</v>
      </c>
      <c r="B2" s="260"/>
      <c r="C2" s="259" t="s">
        <v>1</v>
      </c>
      <c r="D2" s="261"/>
      <c r="E2" s="261"/>
      <c r="F2" s="261"/>
      <c r="G2" s="260"/>
      <c r="H2" s="259"/>
      <c r="I2" s="261"/>
      <c r="J2" s="260"/>
      <c r="K2" s="89"/>
      <c r="L2" s="78" t="s">
        <v>137</v>
      </c>
      <c r="M2" s="78" t="s">
        <v>138</v>
      </c>
    </row>
    <row r="3" spans="1:18" ht="12" customHeight="1">
      <c r="A3" s="262"/>
      <c r="B3" s="263"/>
      <c r="C3" s="264" t="s">
        <v>945</v>
      </c>
      <c r="D3" s="265"/>
      <c r="E3" s="265"/>
      <c r="F3" s="265"/>
      <c r="G3" s="266"/>
      <c r="H3" s="259" t="s">
        <v>140</v>
      </c>
      <c r="I3" s="260"/>
      <c r="J3" s="90">
        <f>COUNT(A7:A125)</f>
        <v>119</v>
      </c>
      <c r="K3" s="78" t="s">
        <v>141</v>
      </c>
      <c r="L3" s="91">
        <v>38644</v>
      </c>
      <c r="M3" s="92" t="s">
        <v>142</v>
      </c>
      <c r="O3" s="75" t="s">
        <v>143</v>
      </c>
      <c r="P3" s="75" t="s">
        <v>144</v>
      </c>
    </row>
    <row r="4" spans="1:18" ht="12" customHeight="1">
      <c r="A4" s="267" t="s">
        <v>145</v>
      </c>
      <c r="B4" s="268"/>
      <c r="C4" s="267" t="s">
        <v>34</v>
      </c>
      <c r="D4" s="269"/>
      <c r="E4" s="269"/>
      <c r="F4" s="269"/>
      <c r="G4" s="268"/>
      <c r="H4" s="259" t="s">
        <v>146</v>
      </c>
      <c r="I4" s="260"/>
      <c r="J4" s="90">
        <f>SUM(G7:G126)</f>
        <v>492</v>
      </c>
      <c r="K4" s="78" t="s">
        <v>147</v>
      </c>
      <c r="L4" s="91">
        <v>38878</v>
      </c>
      <c r="M4" s="92" t="s">
        <v>142</v>
      </c>
      <c r="O4" s="75" t="s">
        <v>149</v>
      </c>
      <c r="P4" s="75" t="s">
        <v>150</v>
      </c>
    </row>
    <row r="5" spans="1:18" ht="12" customHeight="1">
      <c r="A5" s="283" t="s">
        <v>0</v>
      </c>
      <c r="B5" s="259" t="s">
        <v>151</v>
      </c>
      <c r="C5" s="261"/>
      <c r="D5" s="270" t="s">
        <v>152</v>
      </c>
      <c r="E5" s="261"/>
      <c r="F5" s="261"/>
      <c r="G5" s="261"/>
      <c r="H5" s="261"/>
      <c r="I5" s="259" t="s">
        <v>153</v>
      </c>
      <c r="J5" s="260"/>
      <c r="K5" s="285" t="s">
        <v>4</v>
      </c>
      <c r="L5" s="286"/>
      <c r="M5" s="287"/>
      <c r="P5" s="75" t="s">
        <v>154</v>
      </c>
    </row>
    <row r="6" spans="1:18"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8" ht="12" customHeight="1">
      <c r="A7" s="83">
        <v>1</v>
      </c>
      <c r="B7" s="11" t="s">
        <v>812</v>
      </c>
      <c r="C7" s="84" t="s">
        <v>813</v>
      </c>
      <c r="D7" s="13" t="s">
        <v>164</v>
      </c>
      <c r="E7" s="85"/>
      <c r="F7" s="86"/>
      <c r="G7" s="87">
        <f t="shared" ref="G7:G21" si="0">IF(D7="DATE",4,IF(D7="CHAR",E7,IF(D7="SMALLINT",2,IF(D7="INTEGER",4,IF(D7="TIMESTAMP",10,IF(D7="TIME",3,0))))))</f>
        <v>4</v>
      </c>
      <c r="H7" s="83" t="s">
        <v>149</v>
      </c>
      <c r="I7" s="83" t="s">
        <v>149</v>
      </c>
      <c r="J7" s="93"/>
      <c r="K7" s="308"/>
      <c r="L7" s="278"/>
      <c r="M7" s="279"/>
      <c r="P7" s="75" t="s">
        <v>165</v>
      </c>
    </row>
    <row r="8" spans="1:18" ht="12" customHeight="1">
      <c r="A8" s="83">
        <f t="shared" ref="A8:A83" si="1">IF(B8=""," ",A7+1)</f>
        <v>2</v>
      </c>
      <c r="B8" s="11" t="s">
        <v>460</v>
      </c>
      <c r="C8" s="21" t="s">
        <v>461</v>
      </c>
      <c r="D8" s="13" t="s">
        <v>164</v>
      </c>
      <c r="E8" s="85"/>
      <c r="F8" s="86"/>
      <c r="G8" s="87">
        <f t="shared" si="0"/>
        <v>4</v>
      </c>
      <c r="H8" s="83" t="s">
        <v>149</v>
      </c>
      <c r="I8" s="83" t="s">
        <v>149</v>
      </c>
      <c r="J8" s="93"/>
      <c r="K8" s="21"/>
      <c r="L8" s="29"/>
      <c r="M8" s="30"/>
    </row>
    <row r="9" spans="1:18" ht="50.1" customHeight="1">
      <c r="A9" s="83">
        <f t="shared" si="1"/>
        <v>3</v>
      </c>
      <c r="B9" s="11" t="s">
        <v>462</v>
      </c>
      <c r="C9" s="21" t="s">
        <v>463</v>
      </c>
      <c r="D9" s="13" t="s">
        <v>150</v>
      </c>
      <c r="E9" s="85">
        <v>13</v>
      </c>
      <c r="F9" s="86"/>
      <c r="G9" s="87">
        <f t="shared" si="0"/>
        <v>13</v>
      </c>
      <c r="H9" s="83" t="s">
        <v>149</v>
      </c>
      <c r="I9" s="83" t="s">
        <v>149</v>
      </c>
      <c r="J9" s="93"/>
      <c r="K9" s="271" t="s">
        <v>946</v>
      </c>
      <c r="L9" s="281"/>
      <c r="M9" s="282"/>
      <c r="P9" s="75" t="s">
        <v>164</v>
      </c>
    </row>
    <row r="10" spans="1:18"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8" ht="12" customHeight="1">
      <c r="A11" s="83">
        <f t="shared" si="1"/>
        <v>5</v>
      </c>
      <c r="B11" s="11" t="s">
        <v>646</v>
      </c>
      <c r="C11" s="84" t="s">
        <v>647</v>
      </c>
      <c r="D11" s="88" t="s">
        <v>150</v>
      </c>
      <c r="E11" s="85">
        <v>16</v>
      </c>
      <c r="F11" s="86"/>
      <c r="G11" s="87">
        <f t="shared" si="0"/>
        <v>16</v>
      </c>
      <c r="H11" s="83" t="s">
        <v>149</v>
      </c>
      <c r="I11" s="83" t="s">
        <v>149</v>
      </c>
      <c r="J11" s="93"/>
      <c r="K11" s="308" t="s">
        <v>648</v>
      </c>
      <c r="L11" s="278"/>
      <c r="M11" s="279"/>
    </row>
    <row r="12" spans="1:18" ht="12" customHeight="1">
      <c r="A12" s="83">
        <f t="shared" si="1"/>
        <v>6</v>
      </c>
      <c r="B12" s="21" t="s">
        <v>596</v>
      </c>
      <c r="C12" s="84" t="s">
        <v>597</v>
      </c>
      <c r="D12" s="88" t="s">
        <v>150</v>
      </c>
      <c r="E12" s="85">
        <v>7</v>
      </c>
      <c r="F12" s="86"/>
      <c r="G12" s="87">
        <f t="shared" si="0"/>
        <v>7</v>
      </c>
      <c r="H12" s="83" t="s">
        <v>149</v>
      </c>
      <c r="I12" s="83" t="s">
        <v>149</v>
      </c>
      <c r="J12" s="93"/>
      <c r="K12" s="21"/>
      <c r="L12" s="29"/>
      <c r="M12" s="30"/>
    </row>
    <row r="13" spans="1:18" ht="12" customHeight="1">
      <c r="A13" s="83">
        <f t="shared" si="1"/>
        <v>7</v>
      </c>
      <c r="B13" s="11" t="s">
        <v>744</v>
      </c>
      <c r="C13" s="110" t="s">
        <v>745</v>
      </c>
      <c r="D13" s="88" t="s">
        <v>174</v>
      </c>
      <c r="E13" s="85"/>
      <c r="F13" s="86"/>
      <c r="G13" s="87">
        <f t="shared" si="0"/>
        <v>2</v>
      </c>
      <c r="H13" s="83" t="s">
        <v>149</v>
      </c>
      <c r="I13" s="83" t="s">
        <v>149</v>
      </c>
      <c r="J13" s="93"/>
      <c r="K13" s="271"/>
      <c r="L13" s="281"/>
      <c r="M13" s="282"/>
      <c r="R13" s="75" t="s">
        <v>947</v>
      </c>
    </row>
    <row r="14" spans="1:18" ht="27.6" customHeight="1">
      <c r="A14" s="83">
        <f t="shared" si="1"/>
        <v>8</v>
      </c>
      <c r="B14" s="11" t="s">
        <v>814</v>
      </c>
      <c r="C14" s="110" t="s">
        <v>815</v>
      </c>
      <c r="D14" s="88" t="s">
        <v>174</v>
      </c>
      <c r="E14" s="85"/>
      <c r="F14" s="86"/>
      <c r="G14" s="87">
        <f t="shared" si="0"/>
        <v>2</v>
      </c>
      <c r="H14" s="83" t="s">
        <v>149</v>
      </c>
      <c r="I14" s="83" t="s">
        <v>149</v>
      </c>
      <c r="J14" s="93"/>
      <c r="K14" s="280" t="s">
        <v>816</v>
      </c>
      <c r="L14" s="281"/>
      <c r="M14" s="282"/>
      <c r="R14" s="75" t="s">
        <v>948</v>
      </c>
    </row>
    <row r="15" spans="1:18" ht="39.950000000000003" customHeight="1">
      <c r="A15" s="83">
        <f t="shared" si="1"/>
        <v>9</v>
      </c>
      <c r="B15" s="74" t="s">
        <v>410</v>
      </c>
      <c r="C15" s="84" t="s">
        <v>411</v>
      </c>
      <c r="D15" s="88" t="s">
        <v>150</v>
      </c>
      <c r="E15" s="85">
        <v>1</v>
      </c>
      <c r="F15" s="86"/>
      <c r="G15" s="87">
        <f t="shared" si="0"/>
        <v>1</v>
      </c>
      <c r="H15" s="83" t="s">
        <v>149</v>
      </c>
      <c r="I15" s="83"/>
      <c r="J15" s="93"/>
      <c r="K15" s="280" t="s">
        <v>412</v>
      </c>
      <c r="L15" s="291"/>
      <c r="M15" s="292"/>
      <c r="R15" s="99" t="s">
        <v>949</v>
      </c>
    </row>
    <row r="16" spans="1:18" ht="87.75" customHeight="1">
      <c r="A16" s="83">
        <f t="shared" si="1"/>
        <v>10</v>
      </c>
      <c r="B16" s="21" t="s">
        <v>649</v>
      </c>
      <c r="C16" s="84" t="s">
        <v>650</v>
      </c>
      <c r="D16" s="88" t="s">
        <v>150</v>
      </c>
      <c r="E16" s="85">
        <v>1</v>
      </c>
      <c r="F16" s="86"/>
      <c r="G16" s="87">
        <f t="shared" si="0"/>
        <v>1</v>
      </c>
      <c r="H16" s="83" t="s">
        <v>149</v>
      </c>
      <c r="I16" s="83"/>
      <c r="J16" s="93"/>
      <c r="K16" s="271" t="s">
        <v>651</v>
      </c>
      <c r="L16" s="281"/>
      <c r="M16" s="282"/>
      <c r="R16" s="75" t="s">
        <v>950</v>
      </c>
    </row>
    <row r="17" spans="1:18" ht="64.5" customHeight="1">
      <c r="A17" s="83">
        <f t="shared" si="1"/>
        <v>11</v>
      </c>
      <c r="B17" s="11" t="s">
        <v>652</v>
      </c>
      <c r="C17" s="21" t="s">
        <v>653</v>
      </c>
      <c r="D17" s="88" t="s">
        <v>150</v>
      </c>
      <c r="E17" s="85">
        <v>1</v>
      </c>
      <c r="F17" s="86"/>
      <c r="G17" s="87">
        <f t="shared" si="0"/>
        <v>1</v>
      </c>
      <c r="H17" s="83" t="s">
        <v>149</v>
      </c>
      <c r="I17" s="83"/>
      <c r="J17" s="93"/>
      <c r="K17" s="280" t="s">
        <v>654</v>
      </c>
      <c r="L17" s="275"/>
      <c r="M17" s="276"/>
      <c r="R17" s="75" t="s">
        <v>951</v>
      </c>
    </row>
    <row r="18" spans="1:18" ht="12" customHeight="1">
      <c r="A18" s="83">
        <f t="shared" si="1"/>
        <v>12</v>
      </c>
      <c r="B18" s="11" t="s">
        <v>162</v>
      </c>
      <c r="C18" s="84" t="s">
        <v>163</v>
      </c>
      <c r="D18" s="13" t="s">
        <v>164</v>
      </c>
      <c r="E18" s="85"/>
      <c r="F18" s="86"/>
      <c r="G18" s="87">
        <f t="shared" si="0"/>
        <v>4</v>
      </c>
      <c r="H18" s="83" t="s">
        <v>149</v>
      </c>
      <c r="I18" s="83"/>
      <c r="J18" s="93"/>
      <c r="K18" s="308"/>
      <c r="L18" s="278"/>
      <c r="M18" s="279"/>
      <c r="P18" s="75" t="s">
        <v>165</v>
      </c>
    </row>
    <row r="19" spans="1:18" ht="12" customHeight="1">
      <c r="A19" s="83">
        <f t="shared" si="1"/>
        <v>13</v>
      </c>
      <c r="B19" s="11" t="s">
        <v>166</v>
      </c>
      <c r="C19" s="84" t="s">
        <v>167</v>
      </c>
      <c r="D19" s="13" t="s">
        <v>150</v>
      </c>
      <c r="E19" s="85">
        <v>11</v>
      </c>
      <c r="F19" s="86"/>
      <c r="G19" s="87">
        <f t="shared" si="0"/>
        <v>11</v>
      </c>
      <c r="H19" s="83" t="s">
        <v>149</v>
      </c>
      <c r="I19" s="83"/>
      <c r="J19" s="93"/>
      <c r="K19" s="21"/>
      <c r="L19" s="29"/>
      <c r="M19" s="30"/>
    </row>
    <row r="20" spans="1:18" ht="27" customHeight="1">
      <c r="A20" s="83">
        <f t="shared" si="1"/>
        <v>14</v>
      </c>
      <c r="B20" s="11" t="s">
        <v>169</v>
      </c>
      <c r="C20" s="19" t="s">
        <v>170</v>
      </c>
      <c r="D20" s="88" t="s">
        <v>150</v>
      </c>
      <c r="E20" s="85">
        <v>1</v>
      </c>
      <c r="F20" s="86"/>
      <c r="G20" s="87">
        <f t="shared" si="0"/>
        <v>1</v>
      </c>
      <c r="H20" s="83" t="s">
        <v>149</v>
      </c>
      <c r="I20" s="83"/>
      <c r="J20" s="93"/>
      <c r="K20" s="271" t="s">
        <v>171</v>
      </c>
      <c r="L20" s="272"/>
      <c r="M20" s="273"/>
    </row>
    <row r="21" spans="1:18" ht="12" customHeight="1">
      <c r="A21" s="83">
        <f t="shared" si="1"/>
        <v>15</v>
      </c>
      <c r="B21" s="11" t="s">
        <v>172</v>
      </c>
      <c r="C21" s="84" t="s">
        <v>173</v>
      </c>
      <c r="D21" s="88" t="s">
        <v>174</v>
      </c>
      <c r="E21" s="85"/>
      <c r="F21" s="86"/>
      <c r="G21" s="87">
        <f t="shared" si="0"/>
        <v>2</v>
      </c>
      <c r="H21" s="83" t="s">
        <v>149</v>
      </c>
      <c r="I21" s="83"/>
      <c r="J21" s="93"/>
      <c r="K21" s="277" t="s">
        <v>175</v>
      </c>
      <c r="L21" s="278"/>
      <c r="M21" s="279"/>
    </row>
    <row r="22" spans="1:18" ht="12" customHeight="1">
      <c r="A22" s="83">
        <f t="shared" si="1"/>
        <v>16</v>
      </c>
      <c r="B22" s="11" t="s">
        <v>817</v>
      </c>
      <c r="C22" s="84" t="s">
        <v>244</v>
      </c>
      <c r="D22" s="88" t="s">
        <v>150</v>
      </c>
      <c r="E22" s="85">
        <v>7</v>
      </c>
      <c r="F22" s="86"/>
      <c r="G22" s="87">
        <f t="shared" ref="G22:G57" si="2">IF(D22="DATE",4,IF(D22="CHAR",E22,IF(D22="SMALLINT",2,IF(D22="INTEGER",4,IF(D22="TIMESTAMP",10,IF(D22="TIME",3,0))))))</f>
        <v>7</v>
      </c>
      <c r="H22" s="83" t="s">
        <v>149</v>
      </c>
      <c r="I22" s="83"/>
      <c r="J22" s="93"/>
      <c r="K22" s="274"/>
      <c r="L22" s="275"/>
      <c r="M22" s="276"/>
    </row>
    <row r="23" spans="1:18" ht="12" customHeight="1">
      <c r="A23" s="83">
        <f t="shared" si="1"/>
        <v>17</v>
      </c>
      <c r="B23" s="20" t="s">
        <v>770</v>
      </c>
      <c r="C23" s="21" t="s">
        <v>771</v>
      </c>
      <c r="D23" s="13" t="s">
        <v>150</v>
      </c>
      <c r="E23" s="85">
        <v>10</v>
      </c>
      <c r="F23" s="86"/>
      <c r="G23" s="87">
        <f t="shared" si="2"/>
        <v>10</v>
      </c>
      <c r="H23" s="83" t="s">
        <v>149</v>
      </c>
      <c r="I23" s="83"/>
      <c r="J23" s="93"/>
      <c r="K23" s="308"/>
      <c r="L23" s="278"/>
      <c r="M23" s="279"/>
    </row>
    <row r="24" spans="1:18" ht="12" customHeight="1">
      <c r="A24" s="83">
        <f t="shared" si="1"/>
        <v>18</v>
      </c>
      <c r="B24" s="11" t="s">
        <v>772</v>
      </c>
      <c r="C24" s="21" t="s">
        <v>773</v>
      </c>
      <c r="D24" s="13" t="s">
        <v>174</v>
      </c>
      <c r="E24" s="85"/>
      <c r="F24" s="86"/>
      <c r="G24" s="87">
        <f t="shared" si="2"/>
        <v>2</v>
      </c>
      <c r="H24" s="83" t="s">
        <v>149</v>
      </c>
      <c r="I24" s="83"/>
      <c r="J24" s="93"/>
      <c r="K24" s="308"/>
      <c r="L24" s="278"/>
      <c r="M24" s="279"/>
      <c r="P24" s="75" t="s">
        <v>174</v>
      </c>
    </row>
    <row r="25" spans="1:18" ht="12" customHeight="1">
      <c r="A25" s="83">
        <f t="shared" si="1"/>
        <v>19</v>
      </c>
      <c r="B25" s="74" t="s">
        <v>774</v>
      </c>
      <c r="C25" s="21" t="s">
        <v>775</v>
      </c>
      <c r="D25" s="13" t="s">
        <v>150</v>
      </c>
      <c r="E25" s="85">
        <v>10</v>
      </c>
      <c r="F25" s="86"/>
      <c r="G25" s="87">
        <f t="shared" si="2"/>
        <v>10</v>
      </c>
      <c r="H25" s="83" t="s">
        <v>149</v>
      </c>
      <c r="I25" s="83"/>
      <c r="J25" s="93"/>
      <c r="K25" s="308"/>
      <c r="L25" s="278"/>
      <c r="M25" s="279"/>
    </row>
    <row r="26" spans="1:18" ht="12" customHeight="1">
      <c r="A26" s="83">
        <f t="shared" si="1"/>
        <v>20</v>
      </c>
      <c r="B26" s="74" t="s">
        <v>776</v>
      </c>
      <c r="C26" s="84" t="s">
        <v>777</v>
      </c>
      <c r="D26" s="88" t="s">
        <v>174</v>
      </c>
      <c r="E26" s="85"/>
      <c r="F26" s="86"/>
      <c r="G26" s="87">
        <f t="shared" si="2"/>
        <v>2</v>
      </c>
      <c r="H26" s="83" t="s">
        <v>149</v>
      </c>
      <c r="I26" s="83"/>
      <c r="J26" s="93"/>
      <c r="K26" s="274"/>
      <c r="L26" s="275"/>
      <c r="M26" s="276"/>
      <c r="P26" s="75" t="s">
        <v>195</v>
      </c>
    </row>
    <row r="27" spans="1:18" ht="12" customHeight="1">
      <c r="A27" s="83">
        <f t="shared" si="1"/>
        <v>21</v>
      </c>
      <c r="B27" s="11" t="s">
        <v>664</v>
      </c>
      <c r="C27" s="84" t="s">
        <v>665</v>
      </c>
      <c r="D27" s="88" t="s">
        <v>150</v>
      </c>
      <c r="E27" s="85">
        <v>7</v>
      </c>
      <c r="F27" s="86"/>
      <c r="G27" s="87">
        <f t="shared" si="2"/>
        <v>7</v>
      </c>
      <c r="H27" s="83" t="s">
        <v>149</v>
      </c>
      <c r="I27" s="83"/>
      <c r="J27" s="93"/>
      <c r="K27" s="271" t="s">
        <v>666</v>
      </c>
      <c r="L27" s="272"/>
      <c r="M27" s="273"/>
      <c r="R27" s="75" t="s">
        <v>952</v>
      </c>
    </row>
    <row r="28" spans="1:18" ht="27" customHeight="1">
      <c r="A28" s="83">
        <f t="shared" si="1"/>
        <v>22</v>
      </c>
      <c r="B28" s="11" t="s">
        <v>676</v>
      </c>
      <c r="C28" s="84" t="s">
        <v>677</v>
      </c>
      <c r="D28" s="88" t="s">
        <v>150</v>
      </c>
      <c r="E28" s="85">
        <v>2</v>
      </c>
      <c r="F28" s="86"/>
      <c r="G28" s="87">
        <f t="shared" si="2"/>
        <v>2</v>
      </c>
      <c r="H28" s="83" t="s">
        <v>149</v>
      </c>
      <c r="I28" s="83"/>
      <c r="J28" s="93"/>
      <c r="K28" s="280" t="s">
        <v>678</v>
      </c>
      <c r="L28" s="291"/>
      <c r="M28" s="292"/>
      <c r="P28" s="75" t="s">
        <v>195</v>
      </c>
      <c r="R28" s="75" t="s">
        <v>953</v>
      </c>
    </row>
    <row r="29" spans="1:18" ht="93" customHeight="1">
      <c r="A29" s="83">
        <f t="shared" si="1"/>
        <v>23</v>
      </c>
      <c r="B29" s="20" t="s">
        <v>682</v>
      </c>
      <c r="C29" s="22" t="s">
        <v>683</v>
      </c>
      <c r="D29" s="88" t="s">
        <v>150</v>
      </c>
      <c r="E29" s="85">
        <v>1</v>
      </c>
      <c r="F29" s="86"/>
      <c r="G29" s="87">
        <f t="shared" si="2"/>
        <v>1</v>
      </c>
      <c r="H29" s="83" t="s">
        <v>149</v>
      </c>
      <c r="I29" s="83"/>
      <c r="J29" s="93"/>
      <c r="K29" s="271" t="s">
        <v>684</v>
      </c>
      <c r="L29" s="272"/>
      <c r="M29" s="273"/>
      <c r="R29" s="75" t="s">
        <v>954</v>
      </c>
    </row>
    <row r="30" spans="1:18">
      <c r="A30" s="83">
        <f t="shared" si="1"/>
        <v>24</v>
      </c>
      <c r="B30" s="11" t="s">
        <v>667</v>
      </c>
      <c r="C30" s="84" t="s">
        <v>668</v>
      </c>
      <c r="D30" s="88" t="s">
        <v>150</v>
      </c>
      <c r="E30" s="85">
        <v>7</v>
      </c>
      <c r="F30" s="86"/>
      <c r="G30" s="87">
        <f t="shared" si="2"/>
        <v>7</v>
      </c>
      <c r="H30" s="83" t="s">
        <v>149</v>
      </c>
      <c r="I30" s="83"/>
      <c r="J30" s="93"/>
      <c r="K30" s="274" t="s">
        <v>669</v>
      </c>
      <c r="L30" s="275"/>
      <c r="M30" s="276"/>
      <c r="R30" s="75" t="s">
        <v>955</v>
      </c>
    </row>
    <row r="31" spans="1:18" ht="29.25" customHeight="1">
      <c r="A31" s="83">
        <f t="shared" si="1"/>
        <v>25</v>
      </c>
      <c r="B31" s="20" t="s">
        <v>818</v>
      </c>
      <c r="C31" s="84" t="s">
        <v>819</v>
      </c>
      <c r="D31" s="88" t="s">
        <v>150</v>
      </c>
      <c r="E31" s="85">
        <v>4</v>
      </c>
      <c r="F31" s="86"/>
      <c r="G31" s="87">
        <f t="shared" si="2"/>
        <v>4</v>
      </c>
      <c r="H31" s="83" t="s">
        <v>149</v>
      </c>
      <c r="I31" s="83"/>
      <c r="J31" s="93"/>
      <c r="K31" s="280"/>
      <c r="L31" s="291"/>
      <c r="M31" s="292"/>
      <c r="R31" s="75" t="s">
        <v>956</v>
      </c>
    </row>
    <row r="32" spans="1:18" ht="30.75" customHeight="1">
      <c r="A32" s="83">
        <f t="shared" si="1"/>
        <v>26</v>
      </c>
      <c r="B32" s="20" t="s">
        <v>957</v>
      </c>
      <c r="C32" s="84" t="s">
        <v>958</v>
      </c>
      <c r="D32" s="88" t="s">
        <v>150</v>
      </c>
      <c r="E32" s="85">
        <v>4</v>
      </c>
      <c r="F32" s="86"/>
      <c r="G32" s="87">
        <f t="shared" si="2"/>
        <v>4</v>
      </c>
      <c r="H32" s="83" t="s">
        <v>149</v>
      </c>
      <c r="I32" s="83"/>
      <c r="J32" s="93"/>
      <c r="K32" s="280"/>
      <c r="L32" s="291"/>
      <c r="M32" s="292"/>
      <c r="R32" s="75" t="s">
        <v>959</v>
      </c>
    </row>
    <row r="33" spans="1:18" ht="52.5" customHeight="1">
      <c r="A33" s="83">
        <f t="shared" si="1"/>
        <v>27</v>
      </c>
      <c r="B33" s="20" t="s">
        <v>960</v>
      </c>
      <c r="C33" s="84" t="s">
        <v>961</v>
      </c>
      <c r="D33" s="88" t="s">
        <v>150</v>
      </c>
      <c r="E33" s="85">
        <v>6</v>
      </c>
      <c r="F33" s="86"/>
      <c r="G33" s="87">
        <f t="shared" si="2"/>
        <v>6</v>
      </c>
      <c r="H33" s="83" t="s">
        <v>149</v>
      </c>
      <c r="I33" s="83"/>
      <c r="J33" s="93"/>
      <c r="K33" s="280" t="s">
        <v>962</v>
      </c>
      <c r="L33" s="291"/>
      <c r="M33" s="292"/>
      <c r="R33" s="99" t="s">
        <v>963</v>
      </c>
    </row>
    <row r="34" spans="1:18" ht="66" customHeight="1">
      <c r="A34" s="83">
        <f t="shared" si="1"/>
        <v>28</v>
      </c>
      <c r="B34" s="20" t="s">
        <v>964</v>
      </c>
      <c r="C34" s="84" t="s">
        <v>965</v>
      </c>
      <c r="D34" s="88" t="s">
        <v>161</v>
      </c>
      <c r="E34" s="85"/>
      <c r="F34" s="86"/>
      <c r="G34" s="87">
        <f t="shared" si="2"/>
        <v>4</v>
      </c>
      <c r="H34" s="83" t="s">
        <v>149</v>
      </c>
      <c r="I34" s="83"/>
      <c r="J34" s="93"/>
      <c r="K34" s="280" t="s">
        <v>966</v>
      </c>
      <c r="L34" s="291"/>
      <c r="M34" s="292"/>
      <c r="R34" s="75" t="s">
        <v>967</v>
      </c>
    </row>
    <row r="35" spans="1:18" ht="24">
      <c r="A35" s="83">
        <f t="shared" si="1"/>
        <v>29</v>
      </c>
      <c r="B35" s="20" t="s">
        <v>968</v>
      </c>
      <c r="C35" s="84" t="s">
        <v>969</v>
      </c>
      <c r="D35" s="88" t="s">
        <v>150</v>
      </c>
      <c r="E35" s="85">
        <v>2</v>
      </c>
      <c r="F35" s="86"/>
      <c r="G35" s="87">
        <f t="shared" si="2"/>
        <v>2</v>
      </c>
      <c r="H35" s="83" t="s">
        <v>149</v>
      </c>
      <c r="I35" s="83"/>
      <c r="J35" s="93"/>
      <c r="K35" s="280"/>
      <c r="L35" s="291"/>
      <c r="M35" s="292"/>
      <c r="R35" s="99" t="s">
        <v>970</v>
      </c>
    </row>
    <row r="36" spans="1:18" ht="12" customHeight="1">
      <c r="A36" s="83">
        <f t="shared" si="1"/>
        <v>30</v>
      </c>
      <c r="B36" s="20" t="s">
        <v>971</v>
      </c>
      <c r="C36" s="84" t="s">
        <v>972</v>
      </c>
      <c r="D36" s="88" t="s">
        <v>234</v>
      </c>
      <c r="E36" s="85"/>
      <c r="F36" s="86"/>
      <c r="G36" s="87">
        <f t="shared" si="2"/>
        <v>10</v>
      </c>
      <c r="H36" s="83" t="s">
        <v>149</v>
      </c>
      <c r="I36" s="83"/>
      <c r="J36" s="93"/>
      <c r="K36" s="280"/>
      <c r="L36" s="291"/>
      <c r="M36" s="292"/>
      <c r="R36" s="75" t="s">
        <v>973</v>
      </c>
    </row>
    <row r="37" spans="1:18" ht="12" customHeight="1">
      <c r="A37" s="83">
        <f t="shared" si="1"/>
        <v>31</v>
      </c>
      <c r="B37" s="11" t="s">
        <v>821</v>
      </c>
      <c r="C37" s="110" t="s">
        <v>822</v>
      </c>
      <c r="D37" s="88" t="s">
        <v>150</v>
      </c>
      <c r="E37" s="85">
        <v>7</v>
      </c>
      <c r="F37" s="86"/>
      <c r="G37" s="87">
        <f t="shared" si="2"/>
        <v>7</v>
      </c>
      <c r="H37" s="83" t="s">
        <v>149</v>
      </c>
      <c r="I37" s="83"/>
      <c r="J37" s="93"/>
      <c r="K37" s="280" t="s">
        <v>823</v>
      </c>
      <c r="L37" s="291"/>
      <c r="M37" s="292"/>
      <c r="R37" s="75" t="s">
        <v>974</v>
      </c>
    </row>
    <row r="38" spans="1:18">
      <c r="A38" s="83">
        <f t="shared" si="1"/>
        <v>32</v>
      </c>
      <c r="B38" s="11" t="s">
        <v>975</v>
      </c>
      <c r="C38" s="110" t="s">
        <v>976</v>
      </c>
      <c r="D38" s="88" t="s">
        <v>150</v>
      </c>
      <c r="E38" s="85">
        <v>1</v>
      </c>
      <c r="F38" s="86"/>
      <c r="G38" s="87">
        <f t="shared" si="2"/>
        <v>1</v>
      </c>
      <c r="H38" s="83" t="s">
        <v>149</v>
      </c>
      <c r="I38" s="83"/>
      <c r="J38" s="93"/>
      <c r="K38" s="274" t="s">
        <v>977</v>
      </c>
      <c r="L38" s="275"/>
      <c r="M38" s="276"/>
    </row>
    <row r="39" spans="1:18" ht="12" customHeight="1">
      <c r="A39" s="83">
        <f t="shared" si="1"/>
        <v>33</v>
      </c>
      <c r="B39" s="11" t="s">
        <v>535</v>
      </c>
      <c r="C39" s="84" t="s">
        <v>536</v>
      </c>
      <c r="D39" s="88" t="s">
        <v>150</v>
      </c>
      <c r="E39" s="85">
        <v>4</v>
      </c>
      <c r="F39" s="86"/>
      <c r="G39" s="87">
        <f t="shared" si="2"/>
        <v>4</v>
      </c>
      <c r="H39" s="83" t="s">
        <v>149</v>
      </c>
      <c r="I39" s="83"/>
      <c r="J39" s="93"/>
      <c r="K39" s="308"/>
      <c r="L39" s="278"/>
      <c r="M39" s="279"/>
    </row>
    <row r="40" spans="1:18" ht="48.75" customHeight="1">
      <c r="A40" s="83">
        <f t="shared" si="1"/>
        <v>34</v>
      </c>
      <c r="B40" s="20" t="s">
        <v>685</v>
      </c>
      <c r="C40" s="84" t="s">
        <v>686</v>
      </c>
      <c r="D40" s="88" t="s">
        <v>150</v>
      </c>
      <c r="E40" s="85">
        <v>2</v>
      </c>
      <c r="F40" s="86"/>
      <c r="G40" s="87">
        <f t="shared" si="2"/>
        <v>2</v>
      </c>
      <c r="H40" s="83" t="s">
        <v>149</v>
      </c>
      <c r="I40" s="83"/>
      <c r="J40" s="93"/>
      <c r="K40" s="271" t="s">
        <v>687</v>
      </c>
      <c r="L40" s="272"/>
      <c r="M40" s="273"/>
      <c r="R40" s="75" t="s">
        <v>948</v>
      </c>
    </row>
    <row r="41" spans="1:18" ht="46.5" customHeight="1">
      <c r="A41" s="83">
        <f t="shared" si="1"/>
        <v>35</v>
      </c>
      <c r="B41" s="11" t="s">
        <v>700</v>
      </c>
      <c r="C41" s="84" t="s">
        <v>701</v>
      </c>
      <c r="D41" s="88" t="s">
        <v>150</v>
      </c>
      <c r="E41" s="85">
        <v>3</v>
      </c>
      <c r="F41" s="86"/>
      <c r="G41" s="87">
        <f t="shared" si="2"/>
        <v>3</v>
      </c>
      <c r="H41" s="83" t="s">
        <v>149</v>
      </c>
      <c r="I41" s="83"/>
      <c r="J41" s="93"/>
      <c r="K41" s="280" t="s">
        <v>702</v>
      </c>
      <c r="L41" s="291"/>
      <c r="M41" s="292"/>
      <c r="R41" s="75" t="s">
        <v>978</v>
      </c>
    </row>
    <row r="42" spans="1:18" ht="55.5" customHeight="1">
      <c r="A42" s="83">
        <f t="shared" si="1"/>
        <v>36</v>
      </c>
      <c r="B42" s="11" t="s">
        <v>703</v>
      </c>
      <c r="C42" s="84" t="s">
        <v>704</v>
      </c>
      <c r="D42" s="88" t="s">
        <v>150</v>
      </c>
      <c r="E42" s="85">
        <v>1</v>
      </c>
      <c r="F42" s="86"/>
      <c r="G42" s="87">
        <f t="shared" si="2"/>
        <v>1</v>
      </c>
      <c r="H42" s="83" t="s">
        <v>149</v>
      </c>
      <c r="I42" s="83"/>
      <c r="J42" s="93"/>
      <c r="K42" s="280" t="s">
        <v>705</v>
      </c>
      <c r="L42" s="291"/>
      <c r="M42" s="292"/>
      <c r="R42" s="75" t="s">
        <v>948</v>
      </c>
    </row>
    <row r="43" spans="1:18" ht="50.1" customHeight="1">
      <c r="A43" s="83">
        <f t="shared" si="1"/>
        <v>37</v>
      </c>
      <c r="B43" s="11" t="s">
        <v>706</v>
      </c>
      <c r="C43" s="84" t="s">
        <v>707</v>
      </c>
      <c r="D43" s="88" t="s">
        <v>150</v>
      </c>
      <c r="E43" s="85">
        <v>3</v>
      </c>
      <c r="F43" s="86"/>
      <c r="G43" s="87">
        <f t="shared" si="2"/>
        <v>3</v>
      </c>
      <c r="H43" s="83" t="s">
        <v>149</v>
      </c>
      <c r="I43" s="83"/>
      <c r="J43" s="93"/>
      <c r="K43" s="271" t="s">
        <v>708</v>
      </c>
      <c r="L43" s="272"/>
      <c r="M43" s="273"/>
      <c r="R43" s="75" t="s">
        <v>948</v>
      </c>
    </row>
    <row r="44" spans="1:18" ht="70.5" customHeight="1">
      <c r="A44" s="83">
        <f t="shared" si="1"/>
        <v>38</v>
      </c>
      <c r="B44" s="11" t="s">
        <v>709</v>
      </c>
      <c r="C44" s="84" t="s">
        <v>710</v>
      </c>
      <c r="D44" s="88" t="s">
        <v>150</v>
      </c>
      <c r="E44" s="85">
        <v>1</v>
      </c>
      <c r="F44" s="86"/>
      <c r="G44" s="87">
        <f t="shared" si="2"/>
        <v>1</v>
      </c>
      <c r="H44" s="83" t="s">
        <v>149</v>
      </c>
      <c r="I44" s="83"/>
      <c r="J44" s="93"/>
      <c r="K44" s="280" t="s">
        <v>711</v>
      </c>
      <c r="L44" s="291"/>
      <c r="M44" s="292"/>
      <c r="R44" s="75" t="s">
        <v>948</v>
      </c>
    </row>
    <row r="45" spans="1:18" ht="32.25" customHeight="1">
      <c r="A45" s="83">
        <f t="shared" si="1"/>
        <v>39</v>
      </c>
      <c r="B45" s="11" t="s">
        <v>712</v>
      </c>
      <c r="C45" s="84" t="s">
        <v>713</v>
      </c>
      <c r="D45" s="88" t="s">
        <v>150</v>
      </c>
      <c r="E45" s="85">
        <v>24</v>
      </c>
      <c r="F45" s="86"/>
      <c r="G45" s="87">
        <f t="shared" si="2"/>
        <v>24</v>
      </c>
      <c r="H45" s="83" t="s">
        <v>149</v>
      </c>
      <c r="I45" s="83"/>
      <c r="J45" s="93"/>
      <c r="K45" s="280" t="s">
        <v>714</v>
      </c>
      <c r="L45" s="291"/>
      <c r="M45" s="292"/>
      <c r="R45" s="75" t="s">
        <v>948</v>
      </c>
    </row>
    <row r="46" spans="1:18">
      <c r="A46" s="83">
        <f t="shared" si="1"/>
        <v>40</v>
      </c>
      <c r="B46" s="74" t="s">
        <v>688</v>
      </c>
      <c r="C46" s="84" t="s">
        <v>689</v>
      </c>
      <c r="D46" s="88" t="s">
        <v>150</v>
      </c>
      <c r="E46" s="85">
        <v>1</v>
      </c>
      <c r="F46" s="86"/>
      <c r="G46" s="87">
        <f t="shared" si="2"/>
        <v>1</v>
      </c>
      <c r="H46" s="83" t="s">
        <v>149</v>
      </c>
      <c r="I46" s="83"/>
      <c r="J46" s="93"/>
      <c r="K46" s="280" t="s">
        <v>690</v>
      </c>
      <c r="L46" s="291"/>
      <c r="M46" s="292"/>
    </row>
    <row r="47" spans="1:18" ht="99.75" customHeight="1">
      <c r="A47" s="83">
        <f t="shared" si="1"/>
        <v>41</v>
      </c>
      <c r="B47" s="20" t="s">
        <v>715</v>
      </c>
      <c r="C47" s="84" t="s">
        <v>716</v>
      </c>
      <c r="D47" s="88" t="s">
        <v>150</v>
      </c>
      <c r="E47" s="85">
        <v>2</v>
      </c>
      <c r="F47" s="86"/>
      <c r="G47" s="87">
        <f t="shared" si="2"/>
        <v>2</v>
      </c>
      <c r="H47" s="83" t="s">
        <v>149</v>
      </c>
      <c r="I47" s="83"/>
      <c r="J47" s="93"/>
      <c r="K47" s="280" t="s">
        <v>717</v>
      </c>
      <c r="L47" s="291"/>
      <c r="M47" s="292"/>
    </row>
    <row r="48" spans="1:18" ht="59.25" customHeight="1">
      <c r="A48" s="83">
        <f t="shared" si="1"/>
        <v>42</v>
      </c>
      <c r="B48" s="11" t="s">
        <v>718</v>
      </c>
      <c r="C48" s="84" t="s">
        <v>719</v>
      </c>
      <c r="D48" s="88" t="s">
        <v>150</v>
      </c>
      <c r="E48" s="85">
        <v>2</v>
      </c>
      <c r="F48" s="86"/>
      <c r="G48" s="87">
        <f t="shared" si="2"/>
        <v>2</v>
      </c>
      <c r="H48" s="83" t="s">
        <v>149</v>
      </c>
      <c r="I48" s="83"/>
      <c r="J48" s="93"/>
      <c r="K48" s="280" t="s">
        <v>720</v>
      </c>
      <c r="L48" s="291"/>
      <c r="M48" s="292"/>
    </row>
    <row r="49" spans="1:18">
      <c r="A49" s="83">
        <f t="shared" si="1"/>
        <v>43</v>
      </c>
      <c r="B49" s="11" t="s">
        <v>979</v>
      </c>
      <c r="C49" s="21" t="s">
        <v>980</v>
      </c>
      <c r="D49" s="88" t="s">
        <v>150</v>
      </c>
      <c r="E49" s="85">
        <v>15</v>
      </c>
      <c r="F49" s="86"/>
      <c r="G49" s="87">
        <f t="shared" si="2"/>
        <v>15</v>
      </c>
      <c r="H49" s="83" t="s">
        <v>149</v>
      </c>
      <c r="I49" s="83"/>
      <c r="J49" s="93"/>
      <c r="K49" s="280" t="s">
        <v>981</v>
      </c>
      <c r="L49" s="291"/>
      <c r="M49" s="292"/>
      <c r="P49" s="75" t="s">
        <v>174</v>
      </c>
    </row>
    <row r="50" spans="1:18" ht="96" customHeight="1">
      <c r="A50" s="83">
        <f t="shared" si="1"/>
        <v>44</v>
      </c>
      <c r="B50" s="11" t="s">
        <v>734</v>
      </c>
      <c r="C50" s="84" t="s">
        <v>824</v>
      </c>
      <c r="D50" s="88" t="s">
        <v>150</v>
      </c>
      <c r="E50" s="85">
        <v>1</v>
      </c>
      <c r="F50" s="86"/>
      <c r="G50" s="87">
        <f t="shared" si="2"/>
        <v>1</v>
      </c>
      <c r="H50" s="83" t="s">
        <v>149</v>
      </c>
      <c r="I50" s="83"/>
      <c r="J50" s="93"/>
      <c r="K50" s="280" t="s">
        <v>736</v>
      </c>
      <c r="L50" s="291"/>
      <c r="M50" s="292"/>
    </row>
    <row r="51" spans="1:18" ht="46.5" customHeight="1">
      <c r="A51" s="83">
        <f t="shared" si="1"/>
        <v>45</v>
      </c>
      <c r="B51" s="11" t="s">
        <v>337</v>
      </c>
      <c r="C51" s="84" t="s">
        <v>338</v>
      </c>
      <c r="D51" s="88" t="s">
        <v>150</v>
      </c>
      <c r="E51" s="85">
        <v>1</v>
      </c>
      <c r="F51" s="86"/>
      <c r="G51" s="87">
        <f t="shared" si="2"/>
        <v>1</v>
      </c>
      <c r="H51" s="83" t="s">
        <v>149</v>
      </c>
      <c r="I51" s="83"/>
      <c r="J51" s="93"/>
      <c r="K51" s="280" t="s">
        <v>737</v>
      </c>
      <c r="L51" s="291"/>
      <c r="M51" s="292"/>
    </row>
    <row r="52" spans="1:18" ht="39.75" customHeight="1">
      <c r="A52" s="83">
        <f t="shared" si="1"/>
        <v>46</v>
      </c>
      <c r="B52" s="11" t="s">
        <v>738</v>
      </c>
      <c r="C52" s="84" t="s">
        <v>739</v>
      </c>
      <c r="D52" s="88" t="s">
        <v>174</v>
      </c>
      <c r="E52" s="85"/>
      <c r="F52" s="86"/>
      <c r="G52" s="87">
        <f t="shared" si="2"/>
        <v>2</v>
      </c>
      <c r="H52" s="83" t="s">
        <v>149</v>
      </c>
      <c r="I52" s="83"/>
      <c r="J52" s="93"/>
      <c r="K52" s="280" t="s">
        <v>740</v>
      </c>
      <c r="L52" s="291"/>
      <c r="M52" s="292"/>
    </row>
    <row r="53" spans="1:18" ht="75.75" customHeight="1">
      <c r="A53" s="83">
        <f t="shared" si="1"/>
        <v>47</v>
      </c>
      <c r="B53" s="11" t="s">
        <v>982</v>
      </c>
      <c r="C53" s="84" t="s">
        <v>983</v>
      </c>
      <c r="D53" s="88" t="s">
        <v>150</v>
      </c>
      <c r="E53" s="85">
        <v>1</v>
      </c>
      <c r="F53" s="86"/>
      <c r="G53" s="87">
        <f t="shared" si="2"/>
        <v>1</v>
      </c>
      <c r="H53" s="83" t="s">
        <v>149</v>
      </c>
      <c r="I53" s="83"/>
      <c r="J53" s="93"/>
      <c r="K53" s="271" t="s">
        <v>984</v>
      </c>
      <c r="L53" s="272"/>
      <c r="M53" s="273"/>
    </row>
    <row r="54" spans="1:18" ht="63" customHeight="1">
      <c r="A54" s="83">
        <f t="shared" si="1"/>
        <v>48</v>
      </c>
      <c r="B54" s="11" t="s">
        <v>985</v>
      </c>
      <c r="C54" s="21" t="s">
        <v>986</v>
      </c>
      <c r="D54" s="13" t="s">
        <v>150</v>
      </c>
      <c r="E54" s="85">
        <v>1</v>
      </c>
      <c r="F54" s="86"/>
      <c r="G54" s="87">
        <f t="shared" si="2"/>
        <v>1</v>
      </c>
      <c r="H54" s="83" t="s">
        <v>149</v>
      </c>
      <c r="I54" s="83"/>
      <c r="J54" s="93"/>
      <c r="K54" s="271" t="s">
        <v>987</v>
      </c>
      <c r="L54" s="272"/>
      <c r="M54" s="273"/>
    </row>
    <row r="55" spans="1:18" ht="66.75" customHeight="1">
      <c r="A55" s="83">
        <f t="shared" si="1"/>
        <v>49</v>
      </c>
      <c r="B55" s="11" t="s">
        <v>988</v>
      </c>
      <c r="C55" s="21" t="s">
        <v>989</v>
      </c>
      <c r="D55" s="13" t="s">
        <v>150</v>
      </c>
      <c r="E55" s="85">
        <v>1</v>
      </c>
      <c r="F55" s="86"/>
      <c r="G55" s="87">
        <f t="shared" si="2"/>
        <v>1</v>
      </c>
      <c r="H55" s="83" t="s">
        <v>149</v>
      </c>
      <c r="I55" s="83"/>
      <c r="J55" s="93"/>
      <c r="K55" s="271" t="s">
        <v>990</v>
      </c>
      <c r="L55" s="272"/>
      <c r="M55" s="273"/>
    </row>
    <row r="56" spans="1:18" ht="31.5" customHeight="1">
      <c r="A56" s="83">
        <f t="shared" si="1"/>
        <v>50</v>
      </c>
      <c r="B56" s="11" t="s">
        <v>991</v>
      </c>
      <c r="C56" s="84" t="s">
        <v>992</v>
      </c>
      <c r="D56" s="88" t="s">
        <v>150</v>
      </c>
      <c r="E56" s="85">
        <v>20</v>
      </c>
      <c r="F56" s="86"/>
      <c r="G56" s="87">
        <f t="shared" si="2"/>
        <v>20</v>
      </c>
      <c r="H56" s="83" t="s">
        <v>149</v>
      </c>
      <c r="I56" s="83"/>
      <c r="J56" s="93"/>
      <c r="K56" s="280" t="s">
        <v>993</v>
      </c>
      <c r="L56" s="291"/>
      <c r="M56" s="292"/>
      <c r="R56" s="75" t="s">
        <v>994</v>
      </c>
    </row>
    <row r="57" spans="1:18" ht="31.5" customHeight="1">
      <c r="A57" s="83">
        <f t="shared" si="1"/>
        <v>51</v>
      </c>
      <c r="B57" s="11" t="s">
        <v>995</v>
      </c>
      <c r="C57" s="84" t="s">
        <v>996</v>
      </c>
      <c r="D57" s="88" t="s">
        <v>150</v>
      </c>
      <c r="E57" s="85">
        <v>12</v>
      </c>
      <c r="F57" s="86"/>
      <c r="G57" s="87">
        <f t="shared" si="2"/>
        <v>12</v>
      </c>
      <c r="H57" s="83" t="s">
        <v>149</v>
      </c>
      <c r="I57" s="83"/>
      <c r="J57" s="93"/>
      <c r="K57" s="280" t="s">
        <v>997</v>
      </c>
      <c r="L57" s="291"/>
      <c r="M57" s="292"/>
      <c r="R57" s="75" t="s">
        <v>998</v>
      </c>
    </row>
    <row r="58" spans="1:18" ht="69" customHeight="1">
      <c r="A58" s="83">
        <f t="shared" si="1"/>
        <v>52</v>
      </c>
      <c r="B58" s="11" t="s">
        <v>999</v>
      </c>
      <c r="C58" s="84" t="s">
        <v>1000</v>
      </c>
      <c r="D58" s="88" t="s">
        <v>150</v>
      </c>
      <c r="E58" s="85">
        <v>24</v>
      </c>
      <c r="F58" s="86"/>
      <c r="G58" s="87">
        <f t="shared" ref="G58:G98" si="3">IF(D58="DATE",4,IF(D58="CHAR",E58,IF(D58="SMALLINT",2,IF(D58="INTEGER",4,IF(D58="TIMESTAMP",10,IF(D58="TIME",3,0))))))</f>
        <v>24</v>
      </c>
      <c r="H58" s="83" t="s">
        <v>149</v>
      </c>
      <c r="I58" s="83"/>
      <c r="J58" s="93"/>
      <c r="K58" s="280" t="s">
        <v>1001</v>
      </c>
      <c r="L58" s="291"/>
      <c r="M58" s="292"/>
      <c r="R58" s="75" t="s">
        <v>1002</v>
      </c>
    </row>
    <row r="59" spans="1:18" ht="75.75" customHeight="1">
      <c r="A59" s="83">
        <f t="shared" si="1"/>
        <v>53</v>
      </c>
      <c r="B59" s="11" t="s">
        <v>1003</v>
      </c>
      <c r="C59" s="84" t="s">
        <v>1004</v>
      </c>
      <c r="D59" s="88" t="s">
        <v>150</v>
      </c>
      <c r="E59" s="85">
        <v>2</v>
      </c>
      <c r="F59" s="86"/>
      <c r="G59" s="87">
        <f t="shared" si="3"/>
        <v>2</v>
      </c>
      <c r="H59" s="83" t="s">
        <v>149</v>
      </c>
      <c r="I59" s="83"/>
      <c r="J59" s="93"/>
      <c r="K59" s="280" t="s">
        <v>1005</v>
      </c>
      <c r="L59" s="291"/>
      <c r="M59" s="292"/>
      <c r="R59" s="99" t="s">
        <v>1006</v>
      </c>
    </row>
    <row r="60" spans="1:18" ht="65.25" customHeight="1">
      <c r="A60" s="83">
        <f t="shared" si="1"/>
        <v>54</v>
      </c>
      <c r="B60" s="11" t="s">
        <v>1007</v>
      </c>
      <c r="C60" s="84" t="s">
        <v>1008</v>
      </c>
      <c r="D60" s="88" t="s">
        <v>150</v>
      </c>
      <c r="E60" s="85">
        <v>3</v>
      </c>
      <c r="F60" s="86"/>
      <c r="G60" s="87">
        <f t="shared" si="3"/>
        <v>3</v>
      </c>
      <c r="H60" s="83" t="s">
        <v>149</v>
      </c>
      <c r="I60" s="83"/>
      <c r="J60" s="93"/>
      <c r="K60" s="274"/>
      <c r="L60" s="275"/>
      <c r="M60" s="276"/>
      <c r="R60" s="99" t="s">
        <v>1009</v>
      </c>
    </row>
    <row r="61" spans="1:18" ht="30.75" customHeight="1">
      <c r="A61" s="83">
        <f t="shared" si="1"/>
        <v>55</v>
      </c>
      <c r="B61" s="11" t="s">
        <v>1010</v>
      </c>
      <c r="C61" s="84" t="s">
        <v>1011</v>
      </c>
      <c r="D61" s="88" t="s">
        <v>150</v>
      </c>
      <c r="E61" s="85">
        <v>24</v>
      </c>
      <c r="F61" s="86"/>
      <c r="G61" s="87">
        <f t="shared" si="3"/>
        <v>24</v>
      </c>
      <c r="H61" s="83" t="s">
        <v>149</v>
      </c>
      <c r="I61" s="83"/>
      <c r="J61" s="93"/>
      <c r="K61" s="280" t="s">
        <v>1012</v>
      </c>
      <c r="L61" s="291"/>
      <c r="M61" s="292"/>
      <c r="P61" s="75" t="s">
        <v>174</v>
      </c>
      <c r="R61" s="75" t="s">
        <v>1013</v>
      </c>
    </row>
    <row r="62" spans="1:18" ht="27.75" customHeight="1">
      <c r="A62" s="83">
        <f t="shared" si="1"/>
        <v>56</v>
      </c>
      <c r="B62" s="11" t="s">
        <v>1014</v>
      </c>
      <c r="C62" s="84" t="s">
        <v>1015</v>
      </c>
      <c r="D62" s="88" t="s">
        <v>150</v>
      </c>
      <c r="E62" s="85">
        <v>3</v>
      </c>
      <c r="F62" s="86"/>
      <c r="G62" s="87">
        <f t="shared" si="3"/>
        <v>3</v>
      </c>
      <c r="H62" s="83" t="s">
        <v>149</v>
      </c>
      <c r="I62" s="83"/>
      <c r="J62" s="93"/>
      <c r="K62" s="274"/>
      <c r="L62" s="275"/>
      <c r="M62" s="276"/>
      <c r="R62" s="75" t="s">
        <v>948</v>
      </c>
    </row>
    <row r="63" spans="1:18" ht="33" customHeight="1">
      <c r="A63" s="83">
        <f t="shared" si="1"/>
        <v>57</v>
      </c>
      <c r="B63" s="11" t="s">
        <v>1016</v>
      </c>
      <c r="C63" s="84" t="s">
        <v>1017</v>
      </c>
      <c r="D63" s="88" t="s">
        <v>150</v>
      </c>
      <c r="E63" s="85">
        <v>5</v>
      </c>
      <c r="F63" s="86"/>
      <c r="G63" s="87">
        <f t="shared" si="3"/>
        <v>5</v>
      </c>
      <c r="H63" s="83" t="s">
        <v>149</v>
      </c>
      <c r="I63" s="83"/>
      <c r="J63" s="93"/>
      <c r="K63" s="280" t="s">
        <v>1018</v>
      </c>
      <c r="L63" s="291"/>
      <c r="M63" s="292"/>
      <c r="R63" s="99" t="s">
        <v>1019</v>
      </c>
    </row>
    <row r="64" spans="1:18" ht="33" customHeight="1">
      <c r="A64" s="83">
        <f t="shared" si="1"/>
        <v>58</v>
      </c>
      <c r="B64" s="20" t="s">
        <v>1020</v>
      </c>
      <c r="C64" s="84" t="s">
        <v>1021</v>
      </c>
      <c r="D64" s="88" t="s">
        <v>150</v>
      </c>
      <c r="E64" s="85">
        <v>5</v>
      </c>
      <c r="F64" s="86"/>
      <c r="G64" s="87">
        <f t="shared" si="3"/>
        <v>5</v>
      </c>
      <c r="H64" s="83" t="s">
        <v>149</v>
      </c>
      <c r="I64" s="83"/>
      <c r="J64" s="93"/>
      <c r="K64" s="280" t="s">
        <v>1018</v>
      </c>
      <c r="L64" s="291"/>
      <c r="M64" s="292"/>
      <c r="R64" s="99" t="s">
        <v>1022</v>
      </c>
    </row>
    <row r="65" spans="1:18" ht="27" customHeight="1">
      <c r="A65" s="83">
        <f t="shared" si="1"/>
        <v>59</v>
      </c>
      <c r="B65" s="11" t="s">
        <v>1023</v>
      </c>
      <c r="C65" s="21" t="s">
        <v>1024</v>
      </c>
      <c r="D65" s="13" t="s">
        <v>150</v>
      </c>
      <c r="E65" s="85">
        <v>1</v>
      </c>
      <c r="F65" s="86"/>
      <c r="G65" s="87">
        <f t="shared" si="3"/>
        <v>1</v>
      </c>
      <c r="H65" s="83" t="s">
        <v>149</v>
      </c>
      <c r="I65" s="83"/>
      <c r="J65" s="93"/>
      <c r="K65" s="271" t="s">
        <v>1025</v>
      </c>
      <c r="L65" s="272"/>
      <c r="M65" s="273"/>
      <c r="P65" s="75" t="s">
        <v>195</v>
      </c>
      <c r="R65" s="99" t="s">
        <v>1026</v>
      </c>
    </row>
    <row r="66" spans="1:18" ht="56.25" customHeight="1">
      <c r="A66" s="83">
        <f t="shared" si="1"/>
        <v>60</v>
      </c>
      <c r="B66" s="11" t="s">
        <v>1027</v>
      </c>
      <c r="C66" s="84" t="s">
        <v>1028</v>
      </c>
      <c r="D66" s="88" t="s">
        <v>150</v>
      </c>
      <c r="E66" s="85">
        <v>1</v>
      </c>
      <c r="F66" s="86"/>
      <c r="G66" s="87">
        <f t="shared" si="3"/>
        <v>1</v>
      </c>
      <c r="H66" s="83" t="s">
        <v>149</v>
      </c>
      <c r="I66" s="83"/>
      <c r="J66" s="93"/>
      <c r="K66" s="271" t="s">
        <v>1029</v>
      </c>
      <c r="L66" s="272"/>
      <c r="M66" s="273"/>
      <c r="R66" s="99" t="s">
        <v>1030</v>
      </c>
    </row>
    <row r="67" spans="1:18" ht="72" customHeight="1">
      <c r="A67" s="83">
        <f t="shared" si="1"/>
        <v>61</v>
      </c>
      <c r="B67" s="11" t="s">
        <v>1031</v>
      </c>
      <c r="C67" s="84" t="s">
        <v>1032</v>
      </c>
      <c r="D67" s="88" t="s">
        <v>150</v>
      </c>
      <c r="E67" s="85">
        <v>1</v>
      </c>
      <c r="F67" s="86"/>
      <c r="G67" s="87">
        <f t="shared" si="3"/>
        <v>1</v>
      </c>
      <c r="H67" s="83" t="s">
        <v>149</v>
      </c>
      <c r="I67" s="83"/>
      <c r="J67" s="93"/>
      <c r="K67" s="271" t="s">
        <v>1033</v>
      </c>
      <c r="L67" s="272"/>
      <c r="M67" s="273"/>
      <c r="R67" s="99" t="s">
        <v>1034</v>
      </c>
    </row>
    <row r="68" spans="1:18" ht="36.75" customHeight="1">
      <c r="A68" s="83">
        <f t="shared" si="1"/>
        <v>62</v>
      </c>
      <c r="B68" s="74" t="s">
        <v>1035</v>
      </c>
      <c r="C68" s="84" t="s">
        <v>1036</v>
      </c>
      <c r="D68" s="88" t="s">
        <v>150</v>
      </c>
      <c r="E68" s="85">
        <v>1</v>
      </c>
      <c r="F68" s="86"/>
      <c r="G68" s="87">
        <f t="shared" si="3"/>
        <v>1</v>
      </c>
      <c r="H68" s="83" t="s">
        <v>149</v>
      </c>
      <c r="I68" s="83"/>
      <c r="J68" s="93"/>
      <c r="K68" s="271" t="s">
        <v>1037</v>
      </c>
      <c r="L68" s="272"/>
      <c r="M68" s="273"/>
      <c r="R68" s="75" t="s">
        <v>1038</v>
      </c>
    </row>
    <row r="69" spans="1:18" ht="57.75" customHeight="1">
      <c r="A69" s="83">
        <f t="shared" si="1"/>
        <v>63</v>
      </c>
      <c r="B69" s="20" t="s">
        <v>1039</v>
      </c>
      <c r="C69" s="84" t="s">
        <v>1040</v>
      </c>
      <c r="D69" s="88" t="s">
        <v>150</v>
      </c>
      <c r="E69" s="85">
        <v>1</v>
      </c>
      <c r="F69" s="86"/>
      <c r="G69" s="87">
        <f t="shared" si="3"/>
        <v>1</v>
      </c>
      <c r="H69" s="83" t="s">
        <v>149</v>
      </c>
      <c r="I69" s="83"/>
      <c r="J69" s="93"/>
      <c r="K69" s="280" t="s">
        <v>1041</v>
      </c>
      <c r="L69" s="291"/>
      <c r="M69" s="292"/>
      <c r="R69" s="99" t="s">
        <v>1042</v>
      </c>
    </row>
    <row r="70" spans="1:18" ht="90.75" customHeight="1">
      <c r="A70" s="83">
        <f t="shared" si="1"/>
        <v>64</v>
      </c>
      <c r="B70" s="20" t="s">
        <v>1043</v>
      </c>
      <c r="C70" s="84" t="s">
        <v>1044</v>
      </c>
      <c r="D70" s="88" t="s">
        <v>150</v>
      </c>
      <c r="E70" s="85">
        <v>1</v>
      </c>
      <c r="F70" s="86"/>
      <c r="G70" s="87">
        <f t="shared" si="3"/>
        <v>1</v>
      </c>
      <c r="H70" s="83" t="s">
        <v>149</v>
      </c>
      <c r="I70" s="83"/>
      <c r="J70" s="93"/>
      <c r="K70" s="280" t="s">
        <v>1045</v>
      </c>
      <c r="L70" s="291"/>
      <c r="M70" s="292"/>
      <c r="R70" s="99" t="s">
        <v>1046</v>
      </c>
    </row>
    <row r="71" spans="1:18" ht="90.75" customHeight="1">
      <c r="A71" s="83">
        <f t="shared" si="1"/>
        <v>65</v>
      </c>
      <c r="B71" s="20" t="s">
        <v>1047</v>
      </c>
      <c r="C71" s="84" t="s">
        <v>1048</v>
      </c>
      <c r="D71" s="88" t="s">
        <v>150</v>
      </c>
      <c r="E71" s="85">
        <v>1</v>
      </c>
      <c r="F71" s="86"/>
      <c r="G71" s="87">
        <f t="shared" si="3"/>
        <v>1</v>
      </c>
      <c r="H71" s="83" t="s">
        <v>149</v>
      </c>
      <c r="I71" s="83"/>
      <c r="J71" s="93"/>
      <c r="K71" s="280" t="s">
        <v>1045</v>
      </c>
      <c r="L71" s="291"/>
      <c r="M71" s="292"/>
      <c r="R71" s="99" t="s">
        <v>1046</v>
      </c>
    </row>
    <row r="72" spans="1:18" ht="90.75" customHeight="1">
      <c r="A72" s="83">
        <f t="shared" si="1"/>
        <v>66</v>
      </c>
      <c r="B72" s="20" t="s">
        <v>1049</v>
      </c>
      <c r="C72" s="84" t="s">
        <v>1050</v>
      </c>
      <c r="D72" s="88" t="s">
        <v>150</v>
      </c>
      <c r="E72" s="85">
        <v>1</v>
      </c>
      <c r="F72" s="86"/>
      <c r="G72" s="87">
        <f t="shared" si="3"/>
        <v>1</v>
      </c>
      <c r="H72" s="83" t="s">
        <v>149</v>
      </c>
      <c r="I72" s="83"/>
      <c r="J72" s="93"/>
      <c r="K72" s="280" t="s">
        <v>1045</v>
      </c>
      <c r="L72" s="291"/>
      <c r="M72" s="292"/>
      <c r="R72" s="99" t="s">
        <v>1046</v>
      </c>
    </row>
    <row r="73" spans="1:18">
      <c r="A73" s="83">
        <f t="shared" si="1"/>
        <v>67</v>
      </c>
      <c r="B73" s="20" t="s">
        <v>1051</v>
      </c>
      <c r="C73" s="84" t="s">
        <v>1052</v>
      </c>
      <c r="D73" s="88" t="s">
        <v>150</v>
      </c>
      <c r="E73" s="85">
        <v>1</v>
      </c>
      <c r="F73" s="86"/>
      <c r="G73" s="87">
        <f t="shared" si="3"/>
        <v>1</v>
      </c>
      <c r="H73" s="83" t="s">
        <v>149</v>
      </c>
      <c r="I73" s="83"/>
      <c r="J73" s="93"/>
      <c r="K73" s="280" t="s">
        <v>1053</v>
      </c>
      <c r="L73" s="291"/>
      <c r="M73" s="292"/>
      <c r="R73" s="75" t="s">
        <v>1054</v>
      </c>
    </row>
    <row r="74" spans="1:18" ht="12" customHeight="1">
      <c r="A74" s="83">
        <f t="shared" si="1"/>
        <v>68</v>
      </c>
      <c r="B74" s="20" t="s">
        <v>1055</v>
      </c>
      <c r="C74" s="84" t="s">
        <v>1056</v>
      </c>
      <c r="D74" s="88" t="s">
        <v>150</v>
      </c>
      <c r="E74" s="85">
        <v>1</v>
      </c>
      <c r="F74" s="86"/>
      <c r="G74" s="87">
        <f t="shared" si="3"/>
        <v>1</v>
      </c>
      <c r="H74" s="83" t="s">
        <v>149</v>
      </c>
      <c r="I74" s="83"/>
      <c r="J74" s="93"/>
      <c r="K74" s="280" t="s">
        <v>1053</v>
      </c>
      <c r="L74" s="291"/>
      <c r="M74" s="292"/>
      <c r="R74" s="75" t="s">
        <v>1054</v>
      </c>
    </row>
    <row r="75" spans="1:18" ht="12" customHeight="1">
      <c r="A75" s="83">
        <f t="shared" si="1"/>
        <v>69</v>
      </c>
      <c r="B75" s="20" t="s">
        <v>1057</v>
      </c>
      <c r="C75" s="84" t="s">
        <v>1058</v>
      </c>
      <c r="D75" s="88" t="s">
        <v>150</v>
      </c>
      <c r="E75" s="85">
        <v>1</v>
      </c>
      <c r="F75" s="86"/>
      <c r="G75" s="87">
        <f t="shared" si="3"/>
        <v>1</v>
      </c>
      <c r="H75" s="83" t="s">
        <v>149</v>
      </c>
      <c r="I75" s="83"/>
      <c r="J75" s="93"/>
      <c r="K75" s="280" t="s">
        <v>1053</v>
      </c>
      <c r="L75" s="291"/>
      <c r="M75" s="292"/>
      <c r="R75" s="75" t="s">
        <v>1054</v>
      </c>
    </row>
    <row r="76" spans="1:18" ht="36" customHeight="1">
      <c r="A76" s="83">
        <f t="shared" si="1"/>
        <v>70</v>
      </c>
      <c r="B76" s="207" t="s">
        <v>1059</v>
      </c>
      <c r="C76" s="84" t="s">
        <v>1060</v>
      </c>
      <c r="D76" s="88" t="s">
        <v>150</v>
      </c>
      <c r="E76" s="85">
        <v>2</v>
      </c>
      <c r="F76" s="86"/>
      <c r="G76" s="87">
        <f t="shared" si="3"/>
        <v>2</v>
      </c>
      <c r="H76" s="83" t="s">
        <v>149</v>
      </c>
      <c r="I76" s="83"/>
      <c r="J76" s="93"/>
      <c r="K76" s="331" t="s">
        <v>1061</v>
      </c>
      <c r="L76" s="291"/>
      <c r="M76" s="292"/>
      <c r="R76" s="99" t="s">
        <v>1062</v>
      </c>
    </row>
    <row r="77" spans="1:18">
      <c r="A77" s="83">
        <f t="shared" si="1"/>
        <v>71</v>
      </c>
      <c r="B77" s="74" t="s">
        <v>1063</v>
      </c>
      <c r="C77" s="84" t="s">
        <v>1064</v>
      </c>
      <c r="D77" s="88" t="s">
        <v>150</v>
      </c>
      <c r="E77" s="85">
        <v>3</v>
      </c>
      <c r="F77" s="86"/>
      <c r="G77" s="87">
        <f t="shared" si="3"/>
        <v>3</v>
      </c>
      <c r="H77" s="83" t="s">
        <v>149</v>
      </c>
      <c r="I77" s="83"/>
      <c r="J77" s="93"/>
      <c r="K77" s="280" t="s">
        <v>1065</v>
      </c>
      <c r="L77" s="291"/>
      <c r="M77" s="292"/>
      <c r="N77" s="99"/>
      <c r="R77" s="75" t="s">
        <v>1066</v>
      </c>
    </row>
    <row r="78" spans="1:18" ht="32.25" customHeight="1">
      <c r="A78" s="83">
        <f t="shared" si="1"/>
        <v>72</v>
      </c>
      <c r="B78" s="73" t="s">
        <v>1067</v>
      </c>
      <c r="C78" s="84" t="s">
        <v>1068</v>
      </c>
      <c r="D78" s="88" t="s">
        <v>150</v>
      </c>
      <c r="E78" s="85">
        <v>2</v>
      </c>
      <c r="F78" s="86"/>
      <c r="G78" s="87">
        <f t="shared" si="3"/>
        <v>2</v>
      </c>
      <c r="H78" s="83" t="s">
        <v>149</v>
      </c>
      <c r="I78" s="83"/>
      <c r="J78" s="93"/>
      <c r="K78" s="331" t="s">
        <v>1061</v>
      </c>
      <c r="L78" s="291"/>
      <c r="M78" s="292"/>
      <c r="N78" s="99"/>
      <c r="R78" s="99" t="s">
        <v>1069</v>
      </c>
    </row>
    <row r="79" spans="1:18">
      <c r="A79" s="83">
        <f t="shared" si="1"/>
        <v>73</v>
      </c>
      <c r="B79" s="11" t="s">
        <v>1070</v>
      </c>
      <c r="C79" s="84" t="s">
        <v>1071</v>
      </c>
      <c r="D79" s="88" t="s">
        <v>150</v>
      </c>
      <c r="E79" s="85">
        <v>3</v>
      </c>
      <c r="F79" s="86"/>
      <c r="G79" s="87">
        <f t="shared" si="3"/>
        <v>3</v>
      </c>
      <c r="H79" s="83" t="s">
        <v>149</v>
      </c>
      <c r="I79" s="83"/>
      <c r="J79" s="93"/>
      <c r="K79" s="280" t="s">
        <v>1065</v>
      </c>
      <c r="L79" s="291"/>
      <c r="M79" s="292"/>
      <c r="N79" s="99"/>
      <c r="R79" s="75" t="s">
        <v>1066</v>
      </c>
    </row>
    <row r="80" spans="1:18" ht="34.5" customHeight="1">
      <c r="A80" s="83">
        <f t="shared" si="1"/>
        <v>74</v>
      </c>
      <c r="B80" s="74" t="s">
        <v>1072</v>
      </c>
      <c r="C80" s="84" t="s">
        <v>1073</v>
      </c>
      <c r="D80" s="88" t="s">
        <v>150</v>
      </c>
      <c r="E80" s="85">
        <v>2</v>
      </c>
      <c r="F80" s="86"/>
      <c r="G80" s="87">
        <f t="shared" si="3"/>
        <v>2</v>
      </c>
      <c r="H80" s="83" t="s">
        <v>149</v>
      </c>
      <c r="I80" s="83"/>
      <c r="J80" s="93"/>
      <c r="K80" s="280"/>
      <c r="L80" s="291"/>
      <c r="M80" s="292"/>
      <c r="N80" s="99"/>
      <c r="R80" s="99" t="s">
        <v>1074</v>
      </c>
    </row>
    <row r="81" spans="1:18" ht="12" customHeight="1">
      <c r="A81" s="83">
        <f t="shared" si="1"/>
        <v>75</v>
      </c>
      <c r="B81" s="74" t="s">
        <v>1075</v>
      </c>
      <c r="C81" s="84" t="s">
        <v>1076</v>
      </c>
      <c r="D81" s="88" t="s">
        <v>150</v>
      </c>
      <c r="E81" s="85">
        <v>3</v>
      </c>
      <c r="F81" s="86"/>
      <c r="G81" s="87">
        <f t="shared" si="3"/>
        <v>3</v>
      </c>
      <c r="H81" s="83" t="s">
        <v>149</v>
      </c>
      <c r="I81" s="83"/>
      <c r="J81" s="93"/>
      <c r="K81" s="280"/>
      <c r="L81" s="291"/>
      <c r="M81" s="292"/>
      <c r="N81" s="99"/>
      <c r="R81" s="75" t="s">
        <v>1066</v>
      </c>
    </row>
    <row r="82" spans="1:18" ht="29.25" customHeight="1">
      <c r="A82" s="83">
        <f t="shared" si="1"/>
        <v>76</v>
      </c>
      <c r="B82" s="74" t="s">
        <v>1077</v>
      </c>
      <c r="C82" s="84" t="s">
        <v>1078</v>
      </c>
      <c r="D82" s="88" t="s">
        <v>161</v>
      </c>
      <c r="E82" s="85"/>
      <c r="F82" s="86"/>
      <c r="G82" s="87">
        <f t="shared" si="3"/>
        <v>4</v>
      </c>
      <c r="H82" s="83" t="s">
        <v>149</v>
      </c>
      <c r="I82" s="83"/>
      <c r="J82" s="93"/>
      <c r="K82" s="280" t="s">
        <v>1079</v>
      </c>
      <c r="L82" s="291"/>
      <c r="M82" s="292"/>
      <c r="N82" s="99"/>
      <c r="R82" s="75" t="s">
        <v>1080</v>
      </c>
    </row>
    <row r="83" spans="1:18" ht="42.75" customHeight="1">
      <c r="A83" s="83">
        <f t="shared" si="1"/>
        <v>77</v>
      </c>
      <c r="B83" s="11" t="s">
        <v>825</v>
      </c>
      <c r="C83" s="84" t="s">
        <v>826</v>
      </c>
      <c r="D83" s="88" t="s">
        <v>161</v>
      </c>
      <c r="E83" s="85"/>
      <c r="F83" s="86"/>
      <c r="G83" s="87">
        <f t="shared" si="3"/>
        <v>4</v>
      </c>
      <c r="H83" s="83" t="s">
        <v>149</v>
      </c>
      <c r="I83" s="83"/>
      <c r="J83" s="93"/>
      <c r="K83" s="280" t="s">
        <v>1081</v>
      </c>
      <c r="L83" s="291"/>
      <c r="M83" s="292"/>
      <c r="R83" s="99" t="s">
        <v>1082</v>
      </c>
    </row>
    <row r="84" spans="1:18" ht="39" customHeight="1">
      <c r="A84" s="83">
        <f t="shared" ref="A84:A126" si="4">IF(B84=""," ",A83+1)</f>
        <v>78</v>
      </c>
      <c r="B84" s="73" t="s">
        <v>827</v>
      </c>
      <c r="C84" s="84" t="s">
        <v>828</v>
      </c>
      <c r="D84" s="88" t="s">
        <v>174</v>
      </c>
      <c r="E84" s="85"/>
      <c r="F84" s="86"/>
      <c r="G84" s="87">
        <f t="shared" si="3"/>
        <v>2</v>
      </c>
      <c r="H84" s="83" t="s">
        <v>149</v>
      </c>
      <c r="I84" s="83"/>
      <c r="J84" s="93"/>
      <c r="K84" s="280"/>
      <c r="L84" s="291"/>
      <c r="M84" s="292"/>
      <c r="R84" s="75" t="s">
        <v>1038</v>
      </c>
    </row>
    <row r="85" spans="1:18" ht="36" customHeight="1">
      <c r="A85" s="83">
        <f t="shared" si="4"/>
        <v>79</v>
      </c>
      <c r="B85" s="207" t="s">
        <v>1083</v>
      </c>
      <c r="C85" s="22" t="s">
        <v>1084</v>
      </c>
      <c r="D85" s="30" t="s">
        <v>161</v>
      </c>
      <c r="E85" s="85"/>
      <c r="F85" s="86"/>
      <c r="G85" s="87">
        <f t="shared" si="3"/>
        <v>4</v>
      </c>
      <c r="H85" s="83" t="s">
        <v>149</v>
      </c>
      <c r="I85" s="83"/>
      <c r="J85" s="93"/>
      <c r="K85" s="280" t="s">
        <v>1085</v>
      </c>
      <c r="L85" s="291"/>
      <c r="M85" s="292"/>
      <c r="R85" s="75" t="s">
        <v>1066</v>
      </c>
    </row>
    <row r="86" spans="1:18" ht="28.5" customHeight="1">
      <c r="A86" s="83">
        <f t="shared" si="4"/>
        <v>80</v>
      </c>
      <c r="B86" s="74" t="s">
        <v>1086</v>
      </c>
      <c r="C86" s="22" t="s">
        <v>1087</v>
      </c>
      <c r="D86" s="30" t="s">
        <v>161</v>
      </c>
      <c r="E86" s="85"/>
      <c r="F86" s="86"/>
      <c r="G86" s="87">
        <f t="shared" si="3"/>
        <v>4</v>
      </c>
      <c r="H86" s="83" t="s">
        <v>149</v>
      </c>
      <c r="I86" s="83"/>
      <c r="J86" s="93"/>
      <c r="K86" s="280" t="s">
        <v>1088</v>
      </c>
      <c r="L86" s="291"/>
      <c r="M86" s="292"/>
      <c r="R86" s="75" t="s">
        <v>1066</v>
      </c>
    </row>
    <row r="87" spans="1:18" ht="28.5" customHeight="1">
      <c r="A87" s="83">
        <f t="shared" si="4"/>
        <v>81</v>
      </c>
      <c r="B87" s="74" t="s">
        <v>1089</v>
      </c>
      <c r="C87" s="84" t="s">
        <v>1090</v>
      </c>
      <c r="D87" s="88" t="s">
        <v>150</v>
      </c>
      <c r="E87" s="85">
        <v>8</v>
      </c>
      <c r="F87" s="86"/>
      <c r="G87" s="87">
        <f t="shared" si="3"/>
        <v>8</v>
      </c>
      <c r="H87" s="83" t="s">
        <v>149</v>
      </c>
      <c r="I87" s="83"/>
      <c r="J87" s="93"/>
      <c r="K87" s="280"/>
      <c r="L87" s="291"/>
      <c r="M87" s="292"/>
      <c r="R87" s="75" t="s">
        <v>1091</v>
      </c>
    </row>
    <row r="88" spans="1:18" ht="12" customHeight="1">
      <c r="A88" s="83">
        <f t="shared" si="4"/>
        <v>82</v>
      </c>
      <c r="B88" s="73" t="s">
        <v>1092</v>
      </c>
      <c r="C88" s="84" t="s">
        <v>1093</v>
      </c>
      <c r="D88" s="88" t="s">
        <v>234</v>
      </c>
      <c r="E88" s="85"/>
      <c r="F88" s="86"/>
      <c r="G88" s="87">
        <f t="shared" si="3"/>
        <v>10</v>
      </c>
      <c r="H88" s="83" t="s">
        <v>149</v>
      </c>
      <c r="I88" s="83"/>
      <c r="J88" s="93"/>
      <c r="K88" s="280"/>
      <c r="L88" s="291"/>
      <c r="M88" s="292"/>
      <c r="N88" s="99"/>
    </row>
    <row r="89" spans="1:18" ht="12" customHeight="1">
      <c r="A89" s="83">
        <f t="shared" si="4"/>
        <v>83</v>
      </c>
      <c r="B89" s="74" t="s">
        <v>1094</v>
      </c>
      <c r="C89" s="84" t="s">
        <v>1095</v>
      </c>
      <c r="D89" s="88" t="s">
        <v>234</v>
      </c>
      <c r="E89" s="85"/>
      <c r="F89" s="86"/>
      <c r="G89" s="87">
        <f t="shared" si="3"/>
        <v>10</v>
      </c>
      <c r="H89" s="83" t="s">
        <v>149</v>
      </c>
      <c r="I89" s="83"/>
      <c r="J89" s="93"/>
      <c r="K89" s="280"/>
      <c r="L89" s="291"/>
      <c r="M89" s="292"/>
      <c r="N89" s="99"/>
    </row>
    <row r="90" spans="1:18" ht="12" customHeight="1">
      <c r="A90" s="83">
        <f t="shared" si="4"/>
        <v>84</v>
      </c>
      <c r="B90" s="74" t="s">
        <v>1096</v>
      </c>
      <c r="C90" s="84" t="s">
        <v>1097</v>
      </c>
      <c r="D90" s="88" t="s">
        <v>234</v>
      </c>
      <c r="E90" s="85"/>
      <c r="F90" s="86"/>
      <c r="G90" s="87">
        <f t="shared" si="3"/>
        <v>10</v>
      </c>
      <c r="H90" s="83" t="s">
        <v>149</v>
      </c>
      <c r="I90" s="83"/>
      <c r="J90" s="93"/>
      <c r="K90" s="280"/>
      <c r="L90" s="291"/>
      <c r="M90" s="292"/>
      <c r="N90" s="99"/>
    </row>
    <row r="91" spans="1:18" ht="32.25" customHeight="1">
      <c r="A91" s="83">
        <f t="shared" si="4"/>
        <v>85</v>
      </c>
      <c r="B91" s="11" t="s">
        <v>1098</v>
      </c>
      <c r="C91" s="84" t="s">
        <v>378</v>
      </c>
      <c r="D91" s="88" t="s">
        <v>195</v>
      </c>
      <c r="E91" s="85"/>
      <c r="F91" s="86"/>
      <c r="G91" s="87">
        <f t="shared" si="3"/>
        <v>3</v>
      </c>
      <c r="H91" s="83" t="s">
        <v>149</v>
      </c>
      <c r="I91" s="83"/>
      <c r="J91" s="93"/>
      <c r="K91" s="280" t="s">
        <v>1099</v>
      </c>
      <c r="L91" s="291"/>
      <c r="M91" s="292"/>
      <c r="N91" s="99"/>
      <c r="R91" s="75" t="s">
        <v>1100</v>
      </c>
    </row>
    <row r="92" spans="1:18" ht="45.75" customHeight="1">
      <c r="A92" s="83">
        <f t="shared" si="4"/>
        <v>86</v>
      </c>
      <c r="B92" s="20" t="s">
        <v>1101</v>
      </c>
      <c r="C92" s="110" t="s">
        <v>1102</v>
      </c>
      <c r="D92" s="88" t="s">
        <v>164</v>
      </c>
      <c r="E92" s="85"/>
      <c r="F92" s="86"/>
      <c r="G92" s="87">
        <f t="shared" si="3"/>
        <v>4</v>
      </c>
      <c r="H92" s="83" t="s">
        <v>149</v>
      </c>
      <c r="I92" s="83"/>
      <c r="J92" s="93"/>
      <c r="K92" s="280" t="s">
        <v>1103</v>
      </c>
      <c r="L92" s="291"/>
      <c r="M92" s="292"/>
      <c r="R92" s="75" t="s">
        <v>1104</v>
      </c>
    </row>
    <row r="93" spans="1:18">
      <c r="A93" s="83">
        <f t="shared" si="4"/>
        <v>87</v>
      </c>
      <c r="B93" s="74" t="s">
        <v>1105</v>
      </c>
      <c r="C93" s="84" t="s">
        <v>1106</v>
      </c>
      <c r="D93" s="88" t="s">
        <v>150</v>
      </c>
      <c r="E93" s="85">
        <v>4</v>
      </c>
      <c r="F93" s="86"/>
      <c r="G93" s="87">
        <f t="shared" si="3"/>
        <v>4</v>
      </c>
      <c r="H93" s="83" t="s">
        <v>149</v>
      </c>
      <c r="I93" s="83"/>
      <c r="J93" s="93"/>
      <c r="K93" s="280" t="s">
        <v>1107</v>
      </c>
      <c r="L93" s="291"/>
      <c r="M93" s="292"/>
      <c r="N93" s="99"/>
      <c r="R93" s="75" t="s">
        <v>1054</v>
      </c>
    </row>
    <row r="94" spans="1:18" ht="59.25" customHeight="1">
      <c r="A94" s="83">
        <f t="shared" si="4"/>
        <v>88</v>
      </c>
      <c r="B94" s="11" t="s">
        <v>1108</v>
      </c>
      <c r="C94" s="84" t="s">
        <v>1109</v>
      </c>
      <c r="D94" s="88" t="s">
        <v>150</v>
      </c>
      <c r="E94" s="85">
        <v>1</v>
      </c>
      <c r="F94" s="86"/>
      <c r="G94" s="87">
        <f t="shared" si="3"/>
        <v>1</v>
      </c>
      <c r="H94" s="83" t="s">
        <v>149</v>
      </c>
      <c r="I94" s="83"/>
      <c r="J94" s="93"/>
      <c r="K94" s="280" t="s">
        <v>1110</v>
      </c>
      <c r="L94" s="291"/>
      <c r="M94" s="292"/>
      <c r="N94" s="99"/>
      <c r="R94" s="75" t="s">
        <v>1038</v>
      </c>
    </row>
    <row r="95" spans="1:18" ht="50.1" customHeight="1">
      <c r="A95" s="83">
        <f t="shared" si="4"/>
        <v>89</v>
      </c>
      <c r="B95" s="73" t="s">
        <v>1111</v>
      </c>
      <c r="C95" s="22" t="s">
        <v>1112</v>
      </c>
      <c r="D95" s="30" t="s">
        <v>150</v>
      </c>
      <c r="E95" s="85">
        <v>1</v>
      </c>
      <c r="F95" s="86"/>
      <c r="G95" s="87">
        <f t="shared" si="3"/>
        <v>1</v>
      </c>
      <c r="H95" s="83" t="s">
        <v>149</v>
      </c>
      <c r="I95" s="83"/>
      <c r="J95" s="93"/>
      <c r="K95" s="280" t="s">
        <v>1113</v>
      </c>
      <c r="L95" s="291"/>
      <c r="M95" s="292"/>
      <c r="N95" s="99"/>
      <c r="R95" s="75" t="s">
        <v>1038</v>
      </c>
    </row>
    <row r="96" spans="1:18" ht="39" customHeight="1">
      <c r="A96" s="83">
        <f t="shared" si="4"/>
        <v>90</v>
      </c>
      <c r="B96" s="207" t="s">
        <v>1114</v>
      </c>
      <c r="C96" s="84" t="s">
        <v>1115</v>
      </c>
      <c r="D96" s="88" t="s">
        <v>150</v>
      </c>
      <c r="E96" s="85">
        <v>1</v>
      </c>
      <c r="F96" s="86"/>
      <c r="G96" s="87">
        <f t="shared" si="3"/>
        <v>1</v>
      </c>
      <c r="H96" s="83" t="s">
        <v>149</v>
      </c>
      <c r="I96" s="83"/>
      <c r="J96" s="93"/>
      <c r="K96" s="280" t="s">
        <v>1116</v>
      </c>
      <c r="L96" s="291"/>
      <c r="M96" s="292"/>
      <c r="N96" s="99"/>
      <c r="R96" s="75" t="s">
        <v>1117</v>
      </c>
    </row>
    <row r="97" spans="1:19" ht="39" customHeight="1">
      <c r="A97" s="83">
        <f t="shared" si="4"/>
        <v>91</v>
      </c>
      <c r="B97" s="73" t="s">
        <v>1118</v>
      </c>
      <c r="C97" s="84" t="s">
        <v>1119</v>
      </c>
      <c r="D97" s="88" t="s">
        <v>150</v>
      </c>
      <c r="E97" s="85">
        <v>1</v>
      </c>
      <c r="F97" s="86"/>
      <c r="G97" s="87">
        <f t="shared" si="3"/>
        <v>1</v>
      </c>
      <c r="H97" s="83" t="s">
        <v>149</v>
      </c>
      <c r="I97" s="83"/>
      <c r="J97" s="93"/>
      <c r="K97" s="280" t="s">
        <v>1120</v>
      </c>
      <c r="L97" s="291"/>
      <c r="M97" s="292"/>
      <c r="N97" s="99"/>
      <c r="R97" s="99" t="s">
        <v>1121</v>
      </c>
    </row>
    <row r="98" spans="1:19" ht="39.950000000000003" customHeight="1">
      <c r="A98" s="83">
        <f t="shared" si="4"/>
        <v>92</v>
      </c>
      <c r="B98" s="73" t="s">
        <v>1122</v>
      </c>
      <c r="C98" s="84" t="s">
        <v>1123</v>
      </c>
      <c r="D98" s="88" t="s">
        <v>150</v>
      </c>
      <c r="E98" s="85">
        <v>1</v>
      </c>
      <c r="F98" s="86"/>
      <c r="G98" s="87">
        <f t="shared" si="3"/>
        <v>1</v>
      </c>
      <c r="H98" s="83" t="s">
        <v>149</v>
      </c>
      <c r="I98" s="83"/>
      <c r="J98" s="93"/>
      <c r="K98" s="280" t="s">
        <v>1124</v>
      </c>
      <c r="L98" s="291"/>
      <c r="M98" s="292"/>
      <c r="N98" s="99"/>
      <c r="R98" s="75" t="s">
        <v>1125</v>
      </c>
    </row>
    <row r="99" spans="1:19" ht="39.950000000000003" customHeight="1">
      <c r="A99" s="83">
        <f t="shared" si="4"/>
        <v>93</v>
      </c>
      <c r="B99" s="73" t="s">
        <v>1126</v>
      </c>
      <c r="C99" s="84" t="s">
        <v>1127</v>
      </c>
      <c r="D99" s="88" t="s">
        <v>150</v>
      </c>
      <c r="E99" s="85">
        <v>1</v>
      </c>
      <c r="F99" s="86"/>
      <c r="G99" s="87">
        <f t="shared" ref="G99:G126" si="5">IF(D99="DATE",4,IF(D99="CHAR",E99,IF(D99="SMALLINT",2,IF(D99="INTEGER",4,IF(D99="TIMESTAMP",10,IF(D99="TIME",3,0))))))</f>
        <v>1</v>
      </c>
      <c r="H99" s="83" t="s">
        <v>149</v>
      </c>
      <c r="I99" s="83"/>
      <c r="J99" s="93"/>
      <c r="K99" s="280" t="s">
        <v>1128</v>
      </c>
      <c r="L99" s="291"/>
      <c r="M99" s="292"/>
      <c r="N99" s="99"/>
      <c r="R99" s="99" t="s">
        <v>1121</v>
      </c>
    </row>
    <row r="100" spans="1:19" ht="106.5" customHeight="1">
      <c r="A100" s="83">
        <f t="shared" si="4"/>
        <v>94</v>
      </c>
      <c r="B100" s="74" t="s">
        <v>1129</v>
      </c>
      <c r="C100" s="84" t="s">
        <v>1130</v>
      </c>
      <c r="D100" s="88" t="s">
        <v>150</v>
      </c>
      <c r="E100" s="85">
        <v>1</v>
      </c>
      <c r="F100" s="86"/>
      <c r="G100" s="87">
        <f t="shared" si="5"/>
        <v>1</v>
      </c>
      <c r="H100" s="83" t="s">
        <v>149</v>
      </c>
      <c r="I100" s="83"/>
      <c r="J100" s="93"/>
      <c r="K100" s="332" t="s">
        <v>1131</v>
      </c>
      <c r="L100" s="333"/>
      <c r="M100" s="334"/>
      <c r="N100" s="99"/>
      <c r="R100" s="99" t="s">
        <v>1132</v>
      </c>
      <c r="S100" s="75" t="s">
        <v>1133</v>
      </c>
    </row>
    <row r="101" spans="1:19" ht="69.75" customHeight="1">
      <c r="A101" s="83">
        <f t="shared" si="4"/>
        <v>95</v>
      </c>
      <c r="B101" s="11" t="s">
        <v>1134</v>
      </c>
      <c r="C101" s="212" t="s">
        <v>841</v>
      </c>
      <c r="D101" s="13" t="s">
        <v>150</v>
      </c>
      <c r="E101" s="85">
        <v>1</v>
      </c>
      <c r="F101" s="86"/>
      <c r="G101" s="87">
        <f t="shared" si="5"/>
        <v>1</v>
      </c>
      <c r="H101" s="83" t="s">
        <v>149</v>
      </c>
      <c r="I101" s="83"/>
      <c r="J101" s="93"/>
      <c r="K101" s="280" t="s">
        <v>1135</v>
      </c>
      <c r="L101" s="291"/>
      <c r="M101" s="292"/>
      <c r="N101" s="99"/>
      <c r="R101" s="99" t="s">
        <v>1136</v>
      </c>
    </row>
    <row r="102" spans="1:19" ht="60" customHeight="1">
      <c r="A102" s="83">
        <f t="shared" si="4"/>
        <v>96</v>
      </c>
      <c r="B102" s="11" t="s">
        <v>1137</v>
      </c>
      <c r="C102" s="84" t="s">
        <v>844</v>
      </c>
      <c r="D102" s="88" t="s">
        <v>150</v>
      </c>
      <c r="E102" s="85">
        <v>1</v>
      </c>
      <c r="F102" s="86"/>
      <c r="G102" s="87">
        <f t="shared" si="5"/>
        <v>1</v>
      </c>
      <c r="H102" s="83" t="s">
        <v>149</v>
      </c>
      <c r="I102" s="83"/>
      <c r="J102" s="93"/>
      <c r="K102" s="280" t="s">
        <v>1138</v>
      </c>
      <c r="L102" s="291"/>
      <c r="M102" s="292"/>
      <c r="R102" s="99" t="s">
        <v>1139</v>
      </c>
    </row>
    <row r="103" spans="1:19" ht="68.25" customHeight="1">
      <c r="A103" s="83">
        <f t="shared" si="4"/>
        <v>97</v>
      </c>
      <c r="B103" s="11" t="s">
        <v>1140</v>
      </c>
      <c r="C103" s="84" t="s">
        <v>847</v>
      </c>
      <c r="D103" s="88" t="s">
        <v>150</v>
      </c>
      <c r="E103" s="85">
        <v>1</v>
      </c>
      <c r="F103" s="86"/>
      <c r="G103" s="87">
        <f t="shared" si="5"/>
        <v>1</v>
      </c>
      <c r="H103" s="83" t="s">
        <v>149</v>
      </c>
      <c r="I103" s="83"/>
      <c r="J103" s="93"/>
      <c r="K103" s="280" t="s">
        <v>1141</v>
      </c>
      <c r="L103" s="291"/>
      <c r="M103" s="292"/>
      <c r="R103" s="99" t="s">
        <v>1142</v>
      </c>
    </row>
    <row r="104" spans="1:19" ht="12" customHeight="1">
      <c r="A104" s="83">
        <f t="shared" si="4"/>
        <v>98</v>
      </c>
      <c r="B104" s="11" t="s">
        <v>1143</v>
      </c>
      <c r="C104" s="84" t="s">
        <v>850</v>
      </c>
      <c r="D104" s="88" t="s">
        <v>150</v>
      </c>
      <c r="E104" s="85">
        <v>1</v>
      </c>
      <c r="F104" s="86"/>
      <c r="G104" s="87">
        <f t="shared" si="5"/>
        <v>1</v>
      </c>
      <c r="H104" s="83" t="s">
        <v>149</v>
      </c>
      <c r="I104" s="83"/>
      <c r="J104" s="93"/>
      <c r="K104" s="280" t="s">
        <v>851</v>
      </c>
      <c r="L104" s="291"/>
      <c r="M104" s="292"/>
      <c r="R104" s="75" t="s">
        <v>1038</v>
      </c>
    </row>
    <row r="105" spans="1:19" ht="12" customHeight="1">
      <c r="A105" s="83">
        <f t="shared" si="4"/>
        <v>99</v>
      </c>
      <c r="B105" s="11" t="s">
        <v>1144</v>
      </c>
      <c r="C105" s="84" t="s">
        <v>853</v>
      </c>
      <c r="D105" s="88" t="s">
        <v>150</v>
      </c>
      <c r="E105" s="85">
        <v>1</v>
      </c>
      <c r="F105" s="86"/>
      <c r="G105" s="87">
        <f t="shared" si="5"/>
        <v>1</v>
      </c>
      <c r="H105" s="83" t="s">
        <v>149</v>
      </c>
      <c r="I105" s="83"/>
      <c r="J105" s="93"/>
      <c r="K105" s="280" t="s">
        <v>854</v>
      </c>
      <c r="L105" s="291"/>
      <c r="M105" s="292"/>
      <c r="R105" s="75" t="s">
        <v>1145</v>
      </c>
    </row>
    <row r="106" spans="1:19" ht="12" customHeight="1">
      <c r="A106" s="83">
        <f t="shared" si="4"/>
        <v>100</v>
      </c>
      <c r="B106" s="11" t="s">
        <v>1146</v>
      </c>
      <c r="C106" s="84" t="s">
        <v>856</v>
      </c>
      <c r="D106" s="88" t="s">
        <v>150</v>
      </c>
      <c r="E106" s="85">
        <v>1</v>
      </c>
      <c r="F106" s="86"/>
      <c r="G106" s="87">
        <f t="shared" si="5"/>
        <v>1</v>
      </c>
      <c r="H106" s="83" t="s">
        <v>149</v>
      </c>
      <c r="I106" s="83"/>
      <c r="J106" s="93"/>
      <c r="K106" s="280" t="s">
        <v>857</v>
      </c>
      <c r="L106" s="291"/>
      <c r="M106" s="292"/>
      <c r="R106" s="75" t="s">
        <v>1145</v>
      </c>
    </row>
    <row r="107" spans="1:19" ht="60" customHeight="1">
      <c r="A107" s="83">
        <f t="shared" si="4"/>
        <v>101</v>
      </c>
      <c r="B107" s="11" t="s">
        <v>1147</v>
      </c>
      <c r="C107" s="84" t="s">
        <v>859</v>
      </c>
      <c r="D107" s="88" t="s">
        <v>150</v>
      </c>
      <c r="E107" s="85">
        <v>1</v>
      </c>
      <c r="F107" s="86"/>
      <c r="G107" s="87">
        <f t="shared" si="5"/>
        <v>1</v>
      </c>
      <c r="H107" s="83" t="s">
        <v>149</v>
      </c>
      <c r="I107" s="83"/>
      <c r="J107" s="93"/>
      <c r="K107" s="280" t="s">
        <v>1148</v>
      </c>
      <c r="L107" s="291"/>
      <c r="M107" s="292"/>
      <c r="R107" s="99" t="s">
        <v>1149</v>
      </c>
    </row>
    <row r="108" spans="1:19" ht="12" customHeight="1">
      <c r="A108" s="83">
        <f t="shared" si="4"/>
        <v>102</v>
      </c>
      <c r="B108" s="11" t="s">
        <v>1150</v>
      </c>
      <c r="C108" s="84" t="s">
        <v>862</v>
      </c>
      <c r="D108" s="88" t="s">
        <v>150</v>
      </c>
      <c r="E108" s="85">
        <v>1</v>
      </c>
      <c r="F108" s="86"/>
      <c r="G108" s="87">
        <f t="shared" si="5"/>
        <v>1</v>
      </c>
      <c r="H108" s="83" t="s">
        <v>149</v>
      </c>
      <c r="I108" s="83"/>
      <c r="J108" s="93"/>
      <c r="K108" s="280" t="s">
        <v>863</v>
      </c>
      <c r="L108" s="291"/>
      <c r="M108" s="292"/>
      <c r="R108" s="75" t="s">
        <v>1145</v>
      </c>
    </row>
    <row r="109" spans="1:19" ht="12" customHeight="1">
      <c r="A109" s="83">
        <f t="shared" si="4"/>
        <v>103</v>
      </c>
      <c r="B109" s="11" t="s">
        <v>1151</v>
      </c>
      <c r="C109" s="84" t="s">
        <v>865</v>
      </c>
      <c r="D109" s="88" t="s">
        <v>150</v>
      </c>
      <c r="E109" s="85">
        <v>1</v>
      </c>
      <c r="F109" s="86"/>
      <c r="G109" s="87">
        <f t="shared" si="5"/>
        <v>1</v>
      </c>
      <c r="H109" s="83" t="s">
        <v>149</v>
      </c>
      <c r="I109" s="83"/>
      <c r="J109" s="93"/>
      <c r="K109" s="280" t="s">
        <v>866</v>
      </c>
      <c r="L109" s="291"/>
      <c r="M109" s="292"/>
      <c r="R109" s="75" t="s">
        <v>1038</v>
      </c>
    </row>
    <row r="110" spans="1:19" ht="12" customHeight="1">
      <c r="A110" s="83">
        <f t="shared" si="4"/>
        <v>104</v>
      </c>
      <c r="B110" s="11" t="s">
        <v>1152</v>
      </c>
      <c r="C110" s="84" t="s">
        <v>868</v>
      </c>
      <c r="D110" s="88" t="s">
        <v>150</v>
      </c>
      <c r="E110" s="85">
        <v>1</v>
      </c>
      <c r="F110" s="86"/>
      <c r="G110" s="87">
        <f t="shared" si="5"/>
        <v>1</v>
      </c>
      <c r="H110" s="83" t="s">
        <v>149</v>
      </c>
      <c r="I110" s="83"/>
      <c r="J110" s="93"/>
      <c r="K110" s="280" t="s">
        <v>869</v>
      </c>
      <c r="L110" s="291"/>
      <c r="M110" s="292"/>
      <c r="R110" s="75" t="s">
        <v>1038</v>
      </c>
    </row>
    <row r="111" spans="1:19" ht="52.5" customHeight="1">
      <c r="A111" s="83">
        <f t="shared" si="4"/>
        <v>105</v>
      </c>
      <c r="B111" s="11" t="s">
        <v>1153</v>
      </c>
      <c r="C111" s="84" t="s">
        <v>871</v>
      </c>
      <c r="D111" s="88" t="s">
        <v>150</v>
      </c>
      <c r="E111" s="85">
        <v>1</v>
      </c>
      <c r="F111" s="86"/>
      <c r="G111" s="87">
        <f t="shared" si="5"/>
        <v>1</v>
      </c>
      <c r="H111" s="83" t="s">
        <v>149</v>
      </c>
      <c r="I111" s="83"/>
      <c r="J111" s="93"/>
      <c r="K111" s="280" t="s">
        <v>1154</v>
      </c>
      <c r="L111" s="291"/>
      <c r="M111" s="292"/>
      <c r="R111" s="99" t="s">
        <v>1155</v>
      </c>
    </row>
    <row r="112" spans="1:19" ht="12" customHeight="1">
      <c r="A112" s="83">
        <f t="shared" si="4"/>
        <v>106</v>
      </c>
      <c r="B112" s="11" t="s">
        <v>1156</v>
      </c>
      <c r="C112" s="84" t="s">
        <v>874</v>
      </c>
      <c r="D112" s="88" t="s">
        <v>150</v>
      </c>
      <c r="E112" s="85">
        <v>1</v>
      </c>
      <c r="F112" s="86"/>
      <c r="G112" s="87">
        <f t="shared" si="5"/>
        <v>1</v>
      </c>
      <c r="H112" s="83" t="s">
        <v>149</v>
      </c>
      <c r="I112" s="83"/>
      <c r="J112" s="93"/>
      <c r="K112" s="280" t="s">
        <v>875</v>
      </c>
      <c r="L112" s="291"/>
      <c r="M112" s="292"/>
      <c r="R112" s="75" t="s">
        <v>1038</v>
      </c>
    </row>
    <row r="113" spans="1:18" ht="12" customHeight="1">
      <c r="A113" s="83">
        <f t="shared" si="4"/>
        <v>107</v>
      </c>
      <c r="B113" s="11" t="s">
        <v>1157</v>
      </c>
      <c r="C113" s="84" t="s">
        <v>877</v>
      </c>
      <c r="D113" s="88" t="s">
        <v>150</v>
      </c>
      <c r="E113" s="85">
        <v>1</v>
      </c>
      <c r="F113" s="86"/>
      <c r="G113" s="87">
        <f t="shared" si="5"/>
        <v>1</v>
      </c>
      <c r="H113" s="83" t="s">
        <v>149</v>
      </c>
      <c r="I113" s="83"/>
      <c r="J113" s="93"/>
      <c r="K113" s="280" t="s">
        <v>878</v>
      </c>
      <c r="L113" s="291"/>
      <c r="M113" s="292"/>
      <c r="R113" s="75" t="s">
        <v>1038</v>
      </c>
    </row>
    <row r="114" spans="1:18" ht="12" customHeight="1">
      <c r="A114" s="83">
        <f t="shared" si="4"/>
        <v>108</v>
      </c>
      <c r="B114" s="11" t="s">
        <v>1158</v>
      </c>
      <c r="C114" s="84" t="s">
        <v>880</v>
      </c>
      <c r="D114" s="88" t="s">
        <v>150</v>
      </c>
      <c r="E114" s="85">
        <v>1</v>
      </c>
      <c r="F114" s="86"/>
      <c r="G114" s="87">
        <f t="shared" si="5"/>
        <v>1</v>
      </c>
      <c r="H114" s="83" t="s">
        <v>149</v>
      </c>
      <c r="I114" s="83"/>
      <c r="J114" s="93"/>
      <c r="K114" s="271" t="s">
        <v>881</v>
      </c>
      <c r="L114" s="272"/>
      <c r="M114" s="273"/>
      <c r="R114" s="75" t="s">
        <v>1145</v>
      </c>
    </row>
    <row r="115" spans="1:18" ht="12" customHeight="1">
      <c r="A115" s="83">
        <f t="shared" si="4"/>
        <v>109</v>
      </c>
      <c r="B115" s="11" t="s">
        <v>1159</v>
      </c>
      <c r="C115" s="84" t="s">
        <v>883</v>
      </c>
      <c r="D115" s="88" t="s">
        <v>150</v>
      </c>
      <c r="E115" s="85">
        <v>1</v>
      </c>
      <c r="F115" s="86"/>
      <c r="G115" s="87">
        <f t="shared" si="5"/>
        <v>1</v>
      </c>
      <c r="H115" s="83" t="s">
        <v>149</v>
      </c>
      <c r="I115" s="83"/>
      <c r="J115" s="93"/>
      <c r="K115" s="280" t="s">
        <v>884</v>
      </c>
      <c r="L115" s="291"/>
      <c r="M115" s="292"/>
      <c r="R115" s="75" t="s">
        <v>1038</v>
      </c>
    </row>
    <row r="116" spans="1:18" ht="48" customHeight="1">
      <c r="A116" s="83">
        <f t="shared" si="4"/>
        <v>110</v>
      </c>
      <c r="B116" s="11" t="s">
        <v>1160</v>
      </c>
      <c r="C116" s="84" t="s">
        <v>886</v>
      </c>
      <c r="D116" s="88" t="s">
        <v>150</v>
      </c>
      <c r="E116" s="85">
        <v>1</v>
      </c>
      <c r="F116" s="86"/>
      <c r="G116" s="87">
        <f t="shared" si="5"/>
        <v>1</v>
      </c>
      <c r="H116" s="83" t="s">
        <v>149</v>
      </c>
      <c r="I116" s="83"/>
      <c r="J116" s="93"/>
      <c r="K116" s="322" t="s">
        <v>1161</v>
      </c>
      <c r="L116" s="323"/>
      <c r="M116" s="324"/>
      <c r="R116" s="99" t="s">
        <v>1162</v>
      </c>
    </row>
    <row r="117" spans="1:18" ht="12" customHeight="1">
      <c r="A117" s="83">
        <f t="shared" si="4"/>
        <v>111</v>
      </c>
      <c r="B117" s="11" t="s">
        <v>1163</v>
      </c>
      <c r="C117" s="84" t="s">
        <v>889</v>
      </c>
      <c r="D117" s="88" t="s">
        <v>150</v>
      </c>
      <c r="E117" s="85">
        <v>1</v>
      </c>
      <c r="F117" s="86"/>
      <c r="G117" s="87">
        <f t="shared" si="5"/>
        <v>1</v>
      </c>
      <c r="H117" s="83" t="s">
        <v>149</v>
      </c>
      <c r="I117" s="83"/>
      <c r="J117" s="93"/>
      <c r="K117" s="325"/>
      <c r="L117" s="326"/>
      <c r="M117" s="327"/>
      <c r="R117" s="75" t="s">
        <v>1038</v>
      </c>
    </row>
    <row r="118" spans="1:18" ht="12" customHeight="1">
      <c r="A118" s="83">
        <f t="shared" si="4"/>
        <v>112</v>
      </c>
      <c r="B118" s="11" t="s">
        <v>1164</v>
      </c>
      <c r="C118" s="84" t="s">
        <v>891</v>
      </c>
      <c r="D118" s="88" t="s">
        <v>150</v>
      </c>
      <c r="E118" s="85">
        <v>1</v>
      </c>
      <c r="F118" s="86"/>
      <c r="G118" s="87">
        <f t="shared" si="5"/>
        <v>1</v>
      </c>
      <c r="H118" s="83" t="s">
        <v>149</v>
      </c>
      <c r="I118" s="83"/>
      <c r="J118" s="93"/>
      <c r="K118" s="325"/>
      <c r="L118" s="326"/>
      <c r="M118" s="327"/>
      <c r="R118" s="75" t="s">
        <v>1145</v>
      </c>
    </row>
    <row r="119" spans="1:18" ht="12" customHeight="1">
      <c r="A119" s="83">
        <f t="shared" si="4"/>
        <v>113</v>
      </c>
      <c r="B119" s="11" t="s">
        <v>1165</v>
      </c>
      <c r="C119" s="84" t="s">
        <v>893</v>
      </c>
      <c r="D119" s="88" t="s">
        <v>150</v>
      </c>
      <c r="E119" s="85">
        <v>1</v>
      </c>
      <c r="F119" s="86"/>
      <c r="G119" s="87">
        <f t="shared" si="5"/>
        <v>1</v>
      </c>
      <c r="H119" s="83" t="s">
        <v>149</v>
      </c>
      <c r="I119" s="83"/>
      <c r="J119" s="93"/>
      <c r="K119" s="325"/>
      <c r="L119" s="326"/>
      <c r="M119" s="327"/>
      <c r="R119" s="75" t="s">
        <v>1145</v>
      </c>
    </row>
    <row r="120" spans="1:18" ht="12" customHeight="1">
      <c r="A120" s="83">
        <f t="shared" si="4"/>
        <v>114</v>
      </c>
      <c r="B120" s="11" t="s">
        <v>1166</v>
      </c>
      <c r="C120" s="84" t="s">
        <v>895</v>
      </c>
      <c r="D120" s="88" t="s">
        <v>150</v>
      </c>
      <c r="E120" s="85">
        <v>1</v>
      </c>
      <c r="F120" s="86"/>
      <c r="G120" s="87">
        <f t="shared" si="5"/>
        <v>1</v>
      </c>
      <c r="H120" s="83" t="s">
        <v>149</v>
      </c>
      <c r="I120" s="83"/>
      <c r="J120" s="93"/>
      <c r="K120" s="328"/>
      <c r="L120" s="329"/>
      <c r="M120" s="330"/>
      <c r="R120" s="75" t="s">
        <v>1145</v>
      </c>
    </row>
    <row r="121" spans="1:18" ht="12" customHeight="1">
      <c r="A121" s="83">
        <f t="shared" si="4"/>
        <v>115</v>
      </c>
      <c r="B121" s="74" t="s">
        <v>1167</v>
      </c>
      <c r="C121" s="84" t="s">
        <v>1168</v>
      </c>
      <c r="D121" s="88" t="s">
        <v>150</v>
      </c>
      <c r="E121" s="85">
        <v>3</v>
      </c>
      <c r="F121" s="86"/>
      <c r="G121" s="87">
        <f t="shared" si="5"/>
        <v>3</v>
      </c>
      <c r="H121" s="83" t="s">
        <v>149</v>
      </c>
      <c r="I121" s="83"/>
      <c r="J121" s="93"/>
      <c r="K121" s="280" t="s">
        <v>1169</v>
      </c>
      <c r="L121" s="291"/>
      <c r="M121" s="292"/>
      <c r="R121" s="75" t="s">
        <v>1054</v>
      </c>
    </row>
    <row r="122" spans="1:18" ht="12" customHeight="1">
      <c r="A122" s="83">
        <f t="shared" si="4"/>
        <v>116</v>
      </c>
      <c r="B122" s="74" t="s">
        <v>1170</v>
      </c>
      <c r="C122" s="84" t="s">
        <v>1171</v>
      </c>
      <c r="D122" s="88" t="s">
        <v>150</v>
      </c>
      <c r="E122" s="85">
        <v>3</v>
      </c>
      <c r="F122" s="86"/>
      <c r="G122" s="87">
        <f t="shared" si="5"/>
        <v>3</v>
      </c>
      <c r="H122" s="83" t="s">
        <v>149</v>
      </c>
      <c r="I122" s="83"/>
      <c r="J122" s="93"/>
      <c r="K122" s="280" t="s">
        <v>1169</v>
      </c>
      <c r="L122" s="291"/>
      <c r="M122" s="292"/>
      <c r="N122" s="99"/>
      <c r="R122" s="75" t="s">
        <v>1054</v>
      </c>
    </row>
    <row r="123" spans="1:18" ht="12" customHeight="1">
      <c r="A123" s="83">
        <f t="shared" si="4"/>
        <v>117</v>
      </c>
      <c r="B123" s="74" t="s">
        <v>1172</v>
      </c>
      <c r="C123" s="84" t="s">
        <v>1173</v>
      </c>
      <c r="D123" s="88" t="s">
        <v>150</v>
      </c>
      <c r="E123" s="85">
        <v>3</v>
      </c>
      <c r="F123" s="86"/>
      <c r="G123" s="87">
        <f t="shared" si="5"/>
        <v>3</v>
      </c>
      <c r="H123" s="83" t="s">
        <v>149</v>
      </c>
      <c r="I123" s="83"/>
      <c r="J123" s="93"/>
      <c r="K123" s="280" t="s">
        <v>1169</v>
      </c>
      <c r="L123" s="291"/>
      <c r="M123" s="292"/>
      <c r="N123" s="99"/>
      <c r="R123" s="75" t="s">
        <v>1054</v>
      </c>
    </row>
    <row r="124" spans="1:18" ht="12" customHeight="1">
      <c r="A124" s="83">
        <f t="shared" si="4"/>
        <v>118</v>
      </c>
      <c r="B124" s="74" t="s">
        <v>232</v>
      </c>
      <c r="C124" s="84" t="s">
        <v>233</v>
      </c>
      <c r="D124" s="88" t="s">
        <v>234</v>
      </c>
      <c r="E124" s="85"/>
      <c r="F124" s="86"/>
      <c r="G124" s="87">
        <f t="shared" si="5"/>
        <v>10</v>
      </c>
      <c r="H124" s="83" t="s">
        <v>149</v>
      </c>
      <c r="I124" s="83"/>
      <c r="J124" s="93"/>
      <c r="K124" s="274"/>
      <c r="L124" s="275"/>
      <c r="M124" s="276"/>
      <c r="N124" s="99"/>
      <c r="R124" s="75" t="s">
        <v>1174</v>
      </c>
    </row>
    <row r="125" spans="1:18" ht="12" customHeight="1">
      <c r="A125" s="83">
        <f t="shared" si="4"/>
        <v>119</v>
      </c>
      <c r="B125" s="74" t="s">
        <v>447</v>
      </c>
      <c r="C125" s="84" t="s">
        <v>448</v>
      </c>
      <c r="D125" s="88" t="s">
        <v>234</v>
      </c>
      <c r="E125" s="85"/>
      <c r="F125" s="86"/>
      <c r="G125" s="87">
        <f t="shared" si="5"/>
        <v>10</v>
      </c>
      <c r="H125" s="83" t="s">
        <v>149</v>
      </c>
      <c r="I125" s="83"/>
      <c r="J125" s="93"/>
      <c r="K125" s="274" t="s">
        <v>449</v>
      </c>
      <c r="L125" s="275"/>
      <c r="M125" s="276"/>
      <c r="R125" s="75" t="s">
        <v>974</v>
      </c>
    </row>
    <row r="126" spans="1:18" ht="30.75" customHeight="1">
      <c r="A126" s="83">
        <f t="shared" si="4"/>
        <v>120</v>
      </c>
      <c r="B126" s="11" t="s">
        <v>1175</v>
      </c>
      <c r="C126" s="84" t="s">
        <v>1176</v>
      </c>
      <c r="D126" s="88" t="s">
        <v>150</v>
      </c>
      <c r="E126" s="85">
        <v>24</v>
      </c>
      <c r="F126" s="86"/>
      <c r="G126" s="87">
        <f t="shared" si="5"/>
        <v>24</v>
      </c>
      <c r="H126" s="83" t="s">
        <v>149</v>
      </c>
      <c r="I126" s="83"/>
      <c r="J126" s="93"/>
      <c r="K126" s="280" t="s">
        <v>1177</v>
      </c>
      <c r="L126" s="291"/>
      <c r="M126" s="292"/>
      <c r="P126" s="75" t="s">
        <v>174</v>
      </c>
      <c r="R126" s="75" t="s">
        <v>1178</v>
      </c>
    </row>
    <row r="127" spans="1:18">
      <c r="B127" s="75" t="s">
        <v>235</v>
      </c>
    </row>
    <row r="129" spans="2:3">
      <c r="B129" s="75" t="s">
        <v>799</v>
      </c>
      <c r="C129" s="75" t="s">
        <v>1179</v>
      </c>
    </row>
    <row r="131" spans="2:3">
      <c r="B131" s="75" t="s">
        <v>236</v>
      </c>
      <c r="C131" s="75" t="s">
        <v>237</v>
      </c>
    </row>
    <row r="133" spans="2:3">
      <c r="B133" s="75" t="s">
        <v>236</v>
      </c>
      <c r="C133" s="75" t="s">
        <v>588</v>
      </c>
    </row>
    <row r="135" spans="2:3">
      <c r="B135" s="75" t="s">
        <v>236</v>
      </c>
      <c r="C135" s="75" t="s">
        <v>238</v>
      </c>
    </row>
    <row r="137" spans="2:3">
      <c r="B137" s="75" t="s">
        <v>450</v>
      </c>
      <c r="C137" s="75" t="s">
        <v>1180</v>
      </c>
    </row>
    <row r="139" spans="2:3">
      <c r="B139" s="75" t="s">
        <v>450</v>
      </c>
      <c r="C139" s="75" t="s">
        <v>1181</v>
      </c>
    </row>
    <row r="141" spans="2:3">
      <c r="B141" s="75" t="s">
        <v>450</v>
      </c>
      <c r="C141" s="75" t="s">
        <v>758</v>
      </c>
    </row>
    <row r="143" spans="2:3">
      <c r="B143" s="75" t="s">
        <v>239</v>
      </c>
      <c r="C143" s="75" t="s">
        <v>759</v>
      </c>
    </row>
    <row r="145" spans="2:3">
      <c r="B145" s="75" t="s">
        <v>239</v>
      </c>
      <c r="C145" s="75" t="s">
        <v>240</v>
      </c>
    </row>
    <row r="146" spans="2:3">
      <c r="C146" s="75" t="s">
        <v>241</v>
      </c>
    </row>
    <row r="148" spans="2:3">
      <c r="B148" s="75" t="s">
        <v>239</v>
      </c>
      <c r="C148" s="75" t="s">
        <v>1182</v>
      </c>
    </row>
    <row r="149" spans="2:3">
      <c r="C149" s="75" t="s">
        <v>1183</v>
      </c>
    </row>
    <row r="150" spans="2:3">
      <c r="C150" s="75" t="s">
        <v>1184</v>
      </c>
    </row>
    <row r="151" spans="2:3">
      <c r="C151" s="75" t="s">
        <v>1185</v>
      </c>
    </row>
    <row r="152" spans="2:3">
      <c r="C152" s="75" t="s">
        <v>1186</v>
      </c>
    </row>
    <row r="153" spans="2:3">
      <c r="C153" s="75" t="s">
        <v>1187</v>
      </c>
    </row>
    <row r="154" spans="2:3">
      <c r="C154" s="75" t="s">
        <v>1188</v>
      </c>
    </row>
    <row r="156" spans="2:3">
      <c r="B156" s="75" t="s">
        <v>1189</v>
      </c>
      <c r="C156" s="75" t="s">
        <v>1190</v>
      </c>
    </row>
    <row r="158" spans="2:3">
      <c r="B158" s="75" t="s">
        <v>761</v>
      </c>
      <c r="C158" s="75" t="s">
        <v>762</v>
      </c>
    </row>
    <row r="160" spans="2:3">
      <c r="B160" s="75" t="s">
        <v>452</v>
      </c>
      <c r="C160" s="75" t="s">
        <v>763</v>
      </c>
    </row>
    <row r="161" spans="2:5">
      <c r="C161" s="75" t="s">
        <v>453</v>
      </c>
    </row>
    <row r="162" spans="2:5">
      <c r="C162" s="75" t="s">
        <v>1191</v>
      </c>
    </row>
    <row r="163" spans="2:5">
      <c r="C163" s="75" t="s">
        <v>1192</v>
      </c>
    </row>
    <row r="164" spans="2:5">
      <c r="C164" s="75" t="s">
        <v>1193</v>
      </c>
    </row>
    <row r="165" spans="2:5">
      <c r="C165" s="75" t="s">
        <v>1194</v>
      </c>
    </row>
    <row r="167" spans="2:5">
      <c r="B167" s="75" t="s">
        <v>591</v>
      </c>
      <c r="C167" s="3" t="s">
        <v>837</v>
      </c>
    </row>
    <row r="169" spans="2:5">
      <c r="B169" s="75" t="s">
        <v>941</v>
      </c>
      <c r="C169" s="3" t="s">
        <v>1195</v>
      </c>
    </row>
    <row r="170" spans="2:5">
      <c r="C170" s="75" t="s">
        <v>1196</v>
      </c>
    </row>
    <row r="172" spans="2:5">
      <c r="B172" s="100" t="s">
        <v>1197</v>
      </c>
      <c r="C172" s="75" t="s">
        <v>1129</v>
      </c>
      <c r="D172" s="75" t="s">
        <v>1198</v>
      </c>
    </row>
    <row r="173" spans="2:5">
      <c r="B173" s="75" t="s">
        <v>435</v>
      </c>
    </row>
    <row r="174" spans="2:5">
      <c r="B174" s="100" t="s">
        <v>1199</v>
      </c>
      <c r="C174" s="75" t="s">
        <v>1200</v>
      </c>
      <c r="D174" s="36" t="s">
        <v>1201</v>
      </c>
      <c r="E174" s="36"/>
    </row>
    <row r="175" spans="2:5">
      <c r="D175" s="36" t="s">
        <v>1202</v>
      </c>
      <c r="E175" s="36"/>
    </row>
    <row r="176" spans="2:5">
      <c r="D176" s="36" t="s">
        <v>1203</v>
      </c>
      <c r="E176" s="36"/>
    </row>
    <row r="177" spans="2:7">
      <c r="D177" s="36" t="s">
        <v>1204</v>
      </c>
      <c r="E177" s="36"/>
    </row>
    <row r="178" spans="2:7">
      <c r="D178" s="36" t="s">
        <v>1205</v>
      </c>
      <c r="E178" s="36"/>
    </row>
    <row r="179" spans="2:7">
      <c r="D179" s="36" t="s">
        <v>1206</v>
      </c>
      <c r="E179" s="36"/>
    </row>
    <row r="180" spans="2:7">
      <c r="D180" s="36" t="s">
        <v>1207</v>
      </c>
      <c r="E180" s="36"/>
    </row>
    <row r="181" spans="2:7">
      <c r="D181" s="36" t="s">
        <v>1208</v>
      </c>
      <c r="E181" s="36"/>
    </row>
    <row r="182" spans="2:7">
      <c r="D182" s="75" t="s">
        <v>1209</v>
      </c>
    </row>
    <row r="184" spans="2:7">
      <c r="B184" s="75" t="s">
        <v>454</v>
      </c>
      <c r="C184" s="102" t="s">
        <v>455</v>
      </c>
      <c r="D184" s="102"/>
      <c r="E184" s="102"/>
      <c r="G184" s="75" t="s">
        <v>838</v>
      </c>
    </row>
    <row r="186" spans="2:7">
      <c r="B186" s="100" t="s">
        <v>456</v>
      </c>
      <c r="C186" s="75" t="s">
        <v>457</v>
      </c>
      <c r="D186" s="75" t="s">
        <v>458</v>
      </c>
    </row>
    <row r="188" spans="2:7">
      <c r="B188" s="75" t="s">
        <v>1210</v>
      </c>
      <c r="C188" s="75" t="s">
        <v>457</v>
      </c>
      <c r="D188" s="75" t="s">
        <v>1211</v>
      </c>
    </row>
    <row r="190" spans="2:7">
      <c r="C190" s="75" t="s">
        <v>1212</v>
      </c>
      <c r="D190" s="75" t="s">
        <v>1213</v>
      </c>
    </row>
  </sheetData>
  <mergeCells count="131">
    <mergeCell ref="K124:M124"/>
    <mergeCell ref="K125:M125"/>
    <mergeCell ref="K126:M126"/>
    <mergeCell ref="A5:A6"/>
    <mergeCell ref="K5:M6"/>
    <mergeCell ref="K115:M115"/>
    <mergeCell ref="K116:M116"/>
    <mergeCell ref="K117:M117"/>
    <mergeCell ref="K118:M118"/>
    <mergeCell ref="K119:M119"/>
    <mergeCell ref="K120:M120"/>
    <mergeCell ref="K121:M121"/>
    <mergeCell ref="K122:M122"/>
    <mergeCell ref="K123:M123"/>
    <mergeCell ref="K106:M106"/>
    <mergeCell ref="K107:M107"/>
    <mergeCell ref="K108:M108"/>
    <mergeCell ref="K109:M109"/>
    <mergeCell ref="K110:M110"/>
    <mergeCell ref="K111:M111"/>
    <mergeCell ref="K112:M112"/>
    <mergeCell ref="K113:M113"/>
    <mergeCell ref="K114:M114"/>
    <mergeCell ref="K97:M97"/>
    <mergeCell ref="K98:M98"/>
    <mergeCell ref="K99:M99"/>
    <mergeCell ref="K100:M100"/>
    <mergeCell ref="K101:M101"/>
    <mergeCell ref="K102:M102"/>
    <mergeCell ref="K103:M103"/>
    <mergeCell ref="K104:M104"/>
    <mergeCell ref="K105:M105"/>
    <mergeCell ref="K88:M88"/>
    <mergeCell ref="K89:M89"/>
    <mergeCell ref="K90:M90"/>
    <mergeCell ref="K91:M91"/>
    <mergeCell ref="K92:M92"/>
    <mergeCell ref="K93:M93"/>
    <mergeCell ref="K94:M94"/>
    <mergeCell ref="K95:M95"/>
    <mergeCell ref="K96:M96"/>
    <mergeCell ref="K79:M79"/>
    <mergeCell ref="K80:M80"/>
    <mergeCell ref="K81:M81"/>
    <mergeCell ref="K82:M82"/>
    <mergeCell ref="K83:M83"/>
    <mergeCell ref="K84:M84"/>
    <mergeCell ref="K85:M85"/>
    <mergeCell ref="K86:M86"/>
    <mergeCell ref="K87:M87"/>
    <mergeCell ref="K70:M70"/>
    <mergeCell ref="K71:M71"/>
    <mergeCell ref="K72:M72"/>
    <mergeCell ref="K73:M73"/>
    <mergeCell ref="K74:M74"/>
    <mergeCell ref="K75:M75"/>
    <mergeCell ref="K76:M76"/>
    <mergeCell ref="K77:M77"/>
    <mergeCell ref="K78:M78"/>
    <mergeCell ref="K61:M61"/>
    <mergeCell ref="K62:M62"/>
    <mergeCell ref="K63:M63"/>
    <mergeCell ref="K64:M64"/>
    <mergeCell ref="K65:M65"/>
    <mergeCell ref="K66:M66"/>
    <mergeCell ref="K67:M67"/>
    <mergeCell ref="K68:M68"/>
    <mergeCell ref="K69:M69"/>
    <mergeCell ref="K52:M52"/>
    <mergeCell ref="K53:M53"/>
    <mergeCell ref="K54:M54"/>
    <mergeCell ref="K55:M55"/>
    <mergeCell ref="K56:M56"/>
    <mergeCell ref="K57:M57"/>
    <mergeCell ref="K58:M58"/>
    <mergeCell ref="K59:M59"/>
    <mergeCell ref="K60:M60"/>
    <mergeCell ref="K43:M43"/>
    <mergeCell ref="K44:M44"/>
    <mergeCell ref="K45:M45"/>
    <mergeCell ref="K46:M46"/>
    <mergeCell ref="K47:M47"/>
    <mergeCell ref="K48:M48"/>
    <mergeCell ref="K49:M49"/>
    <mergeCell ref="K50:M50"/>
    <mergeCell ref="K51:M51"/>
    <mergeCell ref="K34:M34"/>
    <mergeCell ref="K35:M35"/>
    <mergeCell ref="K36:M36"/>
    <mergeCell ref="K37:M37"/>
    <mergeCell ref="K38:M38"/>
    <mergeCell ref="K39:M39"/>
    <mergeCell ref="K40:M40"/>
    <mergeCell ref="K41:M41"/>
    <mergeCell ref="K42:M42"/>
    <mergeCell ref="K25:M25"/>
    <mergeCell ref="K26:M26"/>
    <mergeCell ref="K27:M27"/>
    <mergeCell ref="K28:M28"/>
    <mergeCell ref="K29:M29"/>
    <mergeCell ref="K30:M30"/>
    <mergeCell ref="K31:M31"/>
    <mergeCell ref="K32:M32"/>
    <mergeCell ref="K33:M33"/>
    <mergeCell ref="K15:M15"/>
    <mergeCell ref="K16:M16"/>
    <mergeCell ref="K17:M17"/>
    <mergeCell ref="K18:M18"/>
    <mergeCell ref="K20:M20"/>
    <mergeCell ref="K21:M21"/>
    <mergeCell ref="K22:M22"/>
    <mergeCell ref="K23:M23"/>
    <mergeCell ref="K24:M24"/>
    <mergeCell ref="B5:C5"/>
    <mergeCell ref="D5:H5"/>
    <mergeCell ref="I5:J5"/>
    <mergeCell ref="K7:M7"/>
    <mergeCell ref="K9:M9"/>
    <mergeCell ref="K10:M10"/>
    <mergeCell ref="K11:M11"/>
    <mergeCell ref="K13:M13"/>
    <mergeCell ref="K14:M14"/>
    <mergeCell ref="A2:B2"/>
    <mergeCell ref="C2:G2"/>
    <mergeCell ref="H2:J2"/>
    <mergeCell ref="A3:B3"/>
    <mergeCell ref="C3:G3"/>
    <mergeCell ref="H3:I3"/>
    <mergeCell ref="A4:B4"/>
    <mergeCell ref="C4:G4"/>
    <mergeCell ref="H4:I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ageSetUpPr fitToPage="1"/>
  </sheetPr>
  <dimension ref="A1:Q110"/>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c r="B1" s="3"/>
    </row>
    <row r="2" spans="1:16">
      <c r="A2" s="259" t="s">
        <v>136</v>
      </c>
      <c r="B2" s="260"/>
      <c r="C2" s="259" t="s">
        <v>1</v>
      </c>
      <c r="D2" s="261"/>
      <c r="E2" s="261"/>
      <c r="F2" s="261"/>
      <c r="G2" s="260"/>
      <c r="H2" s="259"/>
      <c r="I2" s="261"/>
      <c r="J2" s="260"/>
      <c r="K2" s="89"/>
      <c r="L2" s="78" t="s">
        <v>137</v>
      </c>
      <c r="M2" s="78" t="s">
        <v>138</v>
      </c>
    </row>
    <row r="3" spans="1:16">
      <c r="A3" s="262"/>
      <c r="B3" s="263"/>
      <c r="C3" s="264" t="s">
        <v>1214</v>
      </c>
      <c r="D3" s="265"/>
      <c r="E3" s="265"/>
      <c r="F3" s="265"/>
      <c r="G3" s="266"/>
      <c r="H3" s="259" t="s">
        <v>140</v>
      </c>
      <c r="I3" s="260"/>
      <c r="J3" s="90">
        <f>COUNT(A7:A100)</f>
        <v>15</v>
      </c>
      <c r="K3" s="78" t="s">
        <v>141</v>
      </c>
      <c r="L3" s="91">
        <v>38644</v>
      </c>
      <c r="M3" s="92" t="s">
        <v>142</v>
      </c>
      <c r="O3" s="75" t="s">
        <v>143</v>
      </c>
      <c r="P3" s="75" t="s">
        <v>144</v>
      </c>
    </row>
    <row r="4" spans="1:16">
      <c r="A4" s="267" t="s">
        <v>145</v>
      </c>
      <c r="B4" s="268"/>
      <c r="C4" s="267" t="s">
        <v>37</v>
      </c>
      <c r="D4" s="269"/>
      <c r="E4" s="269"/>
      <c r="F4" s="269"/>
      <c r="G4" s="268"/>
      <c r="H4" s="259" t="s">
        <v>146</v>
      </c>
      <c r="I4" s="260"/>
      <c r="J4" s="90">
        <f>SUM(G7:G100)</f>
        <v>16464</v>
      </c>
      <c r="K4" s="78" t="s">
        <v>147</v>
      </c>
      <c r="L4" s="91">
        <v>38878</v>
      </c>
      <c r="M4" s="83" t="s">
        <v>142</v>
      </c>
      <c r="O4" s="75" t="s">
        <v>149</v>
      </c>
      <c r="P4" s="75" t="s">
        <v>150</v>
      </c>
    </row>
    <row r="5" spans="1:16">
      <c r="A5" s="283" t="s">
        <v>0</v>
      </c>
      <c r="B5" s="259" t="s">
        <v>151</v>
      </c>
      <c r="C5" s="261"/>
      <c r="D5" s="270" t="s">
        <v>152</v>
      </c>
      <c r="E5" s="261"/>
      <c r="F5" s="261"/>
      <c r="G5" s="261"/>
      <c r="H5" s="261"/>
      <c r="I5" s="259" t="s">
        <v>153</v>
      </c>
      <c r="J5" s="260"/>
      <c r="K5" s="285" t="s">
        <v>4</v>
      </c>
      <c r="L5" s="286"/>
      <c r="M5" s="287"/>
      <c r="P5" s="75" t="s">
        <v>154</v>
      </c>
    </row>
    <row r="6" spans="1:16">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21" si="0">IF(D7="DATE",4,IF(D7="CHAR",E7,IF(D7="SMALLINT",2,IF(D7="INTEGER",4,IF(D7="TIMESTAMP",10,IF(D7="TIME",3,0))))))</f>
        <v>4</v>
      </c>
      <c r="H7" s="83" t="s">
        <v>149</v>
      </c>
      <c r="I7" s="83" t="s">
        <v>149</v>
      </c>
      <c r="J7" s="93"/>
      <c r="K7" s="308"/>
      <c r="L7" s="278"/>
      <c r="M7" s="279"/>
      <c r="P7" s="75" t="s">
        <v>165</v>
      </c>
    </row>
    <row r="8" spans="1:16" ht="12" customHeight="1">
      <c r="A8" s="83">
        <f t="shared" ref="A8:A21" si="1">IF(B8=""," ",A7+1)</f>
        <v>2</v>
      </c>
      <c r="B8" s="11" t="s">
        <v>460</v>
      </c>
      <c r="C8" s="21" t="s">
        <v>461</v>
      </c>
      <c r="D8" s="13" t="s">
        <v>164</v>
      </c>
      <c r="E8" s="85"/>
      <c r="F8" s="86"/>
      <c r="G8" s="87">
        <f t="shared" si="0"/>
        <v>4</v>
      </c>
      <c r="H8" s="83" t="s">
        <v>149</v>
      </c>
      <c r="I8" s="83" t="s">
        <v>149</v>
      </c>
      <c r="J8" s="93"/>
      <c r="K8" s="21"/>
      <c r="L8" s="29"/>
      <c r="M8" s="30"/>
    </row>
    <row r="9" spans="1:16" ht="12" customHeight="1">
      <c r="A9" s="83">
        <f t="shared" si="1"/>
        <v>3</v>
      </c>
      <c r="B9" s="11" t="s">
        <v>462</v>
      </c>
      <c r="C9" s="21" t="s">
        <v>463</v>
      </c>
      <c r="D9" s="13" t="s">
        <v>150</v>
      </c>
      <c r="E9" s="85">
        <v>13</v>
      </c>
      <c r="F9" s="86"/>
      <c r="G9" s="87">
        <f t="shared" si="0"/>
        <v>13</v>
      </c>
      <c r="H9" s="83" t="s">
        <v>149</v>
      </c>
      <c r="I9" s="83" t="s">
        <v>149</v>
      </c>
      <c r="J9" s="93"/>
      <c r="K9" s="21"/>
      <c r="L9" s="29"/>
      <c r="M9" s="30"/>
      <c r="P9" s="75" t="s">
        <v>164</v>
      </c>
    </row>
    <row r="10" spans="1:16"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6" ht="12" customHeight="1">
      <c r="A11" s="83">
        <f t="shared" si="1"/>
        <v>5</v>
      </c>
      <c r="B11" s="11" t="s">
        <v>646</v>
      </c>
      <c r="C11" s="84" t="s">
        <v>647</v>
      </c>
      <c r="D11" s="88" t="s">
        <v>150</v>
      </c>
      <c r="E11" s="85">
        <v>16</v>
      </c>
      <c r="F11" s="86"/>
      <c r="G11" s="87">
        <f t="shared" si="0"/>
        <v>16</v>
      </c>
      <c r="H11" s="83" t="s">
        <v>149</v>
      </c>
      <c r="I11" s="83" t="s">
        <v>149</v>
      </c>
      <c r="J11" s="93"/>
      <c r="K11" s="308" t="s">
        <v>648</v>
      </c>
      <c r="L11" s="278"/>
      <c r="M11" s="279"/>
    </row>
    <row r="12" spans="1:16" ht="12" customHeight="1">
      <c r="A12" s="83">
        <f t="shared" si="1"/>
        <v>6</v>
      </c>
      <c r="B12" s="21" t="s">
        <v>596</v>
      </c>
      <c r="C12" s="84" t="s">
        <v>597</v>
      </c>
      <c r="D12" s="88" t="s">
        <v>150</v>
      </c>
      <c r="E12" s="85">
        <v>7</v>
      </c>
      <c r="F12" s="86"/>
      <c r="G12" s="87">
        <f t="shared" si="0"/>
        <v>7</v>
      </c>
      <c r="H12" s="83" t="s">
        <v>149</v>
      </c>
      <c r="I12" s="83" t="s">
        <v>149</v>
      </c>
      <c r="J12" s="93"/>
      <c r="K12" s="21"/>
      <c r="L12" s="29"/>
      <c r="M12" s="30"/>
    </row>
    <row r="13" spans="1:16" ht="12" customHeight="1">
      <c r="A13" s="83">
        <f t="shared" si="1"/>
        <v>7</v>
      </c>
      <c r="B13" s="11" t="s">
        <v>744</v>
      </c>
      <c r="C13" s="110" t="s">
        <v>745</v>
      </c>
      <c r="D13" s="88" t="s">
        <v>174</v>
      </c>
      <c r="E13" s="85"/>
      <c r="F13" s="86"/>
      <c r="G13" s="87">
        <f t="shared" si="0"/>
        <v>2</v>
      </c>
      <c r="H13" s="83" t="s">
        <v>149</v>
      </c>
      <c r="I13" s="83" t="s">
        <v>149</v>
      </c>
      <c r="J13" s="93"/>
      <c r="K13" s="271"/>
      <c r="L13" s="281"/>
      <c r="M13" s="282"/>
    </row>
    <row r="14" spans="1:16" ht="27.6" customHeight="1">
      <c r="A14" s="83">
        <f t="shared" si="1"/>
        <v>8</v>
      </c>
      <c r="B14" s="11" t="s">
        <v>814</v>
      </c>
      <c r="C14" s="110" t="s">
        <v>815</v>
      </c>
      <c r="D14" s="88" t="s">
        <v>174</v>
      </c>
      <c r="E14" s="85"/>
      <c r="F14" s="86"/>
      <c r="G14" s="87">
        <f t="shared" si="0"/>
        <v>2</v>
      </c>
      <c r="H14" s="83" t="s">
        <v>149</v>
      </c>
      <c r="I14" s="83" t="s">
        <v>149</v>
      </c>
      <c r="J14" s="93"/>
      <c r="K14" s="280" t="s">
        <v>816</v>
      </c>
      <c r="L14" s="281"/>
      <c r="M14" s="282"/>
    </row>
    <row r="15" spans="1:16">
      <c r="A15" s="83">
        <f t="shared" si="1"/>
        <v>9</v>
      </c>
      <c r="B15" s="11" t="s">
        <v>1215</v>
      </c>
      <c r="C15" s="84" t="s">
        <v>1216</v>
      </c>
      <c r="D15" s="88" t="s">
        <v>150</v>
      </c>
      <c r="E15" s="85">
        <v>1</v>
      </c>
      <c r="F15" s="86"/>
      <c r="G15" s="87">
        <f t="shared" si="0"/>
        <v>1</v>
      </c>
      <c r="H15" s="83" t="s">
        <v>149</v>
      </c>
      <c r="I15" s="83" t="s">
        <v>149</v>
      </c>
      <c r="J15" s="93"/>
      <c r="K15" s="335" t="s">
        <v>1217</v>
      </c>
      <c r="L15" s="278"/>
      <c r="M15" s="279"/>
    </row>
    <row r="16" spans="1:16">
      <c r="A16" s="83">
        <f t="shared" si="1"/>
        <v>10</v>
      </c>
      <c r="B16" s="11" t="s">
        <v>1218</v>
      </c>
      <c r="C16" s="84" t="s">
        <v>1219</v>
      </c>
      <c r="D16" s="88" t="s">
        <v>154</v>
      </c>
      <c r="E16" s="211">
        <v>16384</v>
      </c>
      <c r="F16" s="86"/>
      <c r="G16" s="87">
        <v>16384</v>
      </c>
      <c r="H16" s="83" t="s">
        <v>149</v>
      </c>
      <c r="I16" s="83"/>
      <c r="J16" s="93"/>
      <c r="K16" s="308" t="s">
        <v>1220</v>
      </c>
      <c r="L16" s="278"/>
      <c r="M16" s="279"/>
    </row>
    <row r="17" spans="1:16" ht="64.5" customHeight="1">
      <c r="A17" s="83">
        <f t="shared" si="1"/>
        <v>11</v>
      </c>
      <c r="B17" s="20" t="s">
        <v>1221</v>
      </c>
      <c r="C17" s="84" t="s">
        <v>1222</v>
      </c>
      <c r="D17" s="88" t="s">
        <v>150</v>
      </c>
      <c r="E17" s="85">
        <v>1</v>
      </c>
      <c r="F17" s="86"/>
      <c r="G17" s="87">
        <f t="shared" si="0"/>
        <v>1</v>
      </c>
      <c r="H17" s="83" t="s">
        <v>149</v>
      </c>
      <c r="I17" s="83"/>
      <c r="J17" s="93"/>
      <c r="K17" s="280" t="s">
        <v>1223</v>
      </c>
      <c r="L17" s="291"/>
      <c r="M17" s="292"/>
    </row>
    <row r="18" spans="1:16" ht="39.950000000000003" customHeight="1">
      <c r="A18" s="83">
        <f t="shared" si="1"/>
        <v>12</v>
      </c>
      <c r="B18" s="74" t="s">
        <v>1224</v>
      </c>
      <c r="C18" s="84" t="s">
        <v>1225</v>
      </c>
      <c r="D18" s="88" t="s">
        <v>150</v>
      </c>
      <c r="E18" s="85">
        <v>1</v>
      </c>
      <c r="F18" s="86"/>
      <c r="G18" s="87">
        <f t="shared" si="0"/>
        <v>1</v>
      </c>
      <c r="H18" s="83" t="s">
        <v>149</v>
      </c>
      <c r="I18" s="83"/>
      <c r="J18" s="93"/>
      <c r="K18" s="280" t="s">
        <v>1226</v>
      </c>
      <c r="L18" s="291"/>
      <c r="M18" s="292"/>
      <c r="N18" s="99"/>
    </row>
    <row r="19" spans="1:16" ht="12" customHeight="1">
      <c r="A19" s="83">
        <f t="shared" si="1"/>
        <v>13</v>
      </c>
      <c r="B19" s="74" t="s">
        <v>1089</v>
      </c>
      <c r="C19" s="84" t="s">
        <v>1090</v>
      </c>
      <c r="D19" s="88" t="s">
        <v>150</v>
      </c>
      <c r="E19" s="85">
        <v>8</v>
      </c>
      <c r="F19" s="86"/>
      <c r="G19" s="87">
        <f t="shared" si="0"/>
        <v>8</v>
      </c>
      <c r="H19" s="83" t="s">
        <v>149</v>
      </c>
      <c r="I19" s="83"/>
      <c r="J19" s="93"/>
      <c r="K19" s="280"/>
      <c r="L19" s="291"/>
      <c r="M19" s="292"/>
      <c r="N19" s="99"/>
    </row>
    <row r="20" spans="1:16" ht="12" customHeight="1">
      <c r="A20" s="83">
        <f t="shared" si="1"/>
        <v>14</v>
      </c>
      <c r="B20" s="73" t="s">
        <v>1092</v>
      </c>
      <c r="C20" s="84" t="s">
        <v>1093</v>
      </c>
      <c r="D20" s="88" t="s">
        <v>234</v>
      </c>
      <c r="E20" s="85"/>
      <c r="F20" s="86"/>
      <c r="G20" s="87">
        <f t="shared" si="0"/>
        <v>10</v>
      </c>
      <c r="H20" s="83" t="s">
        <v>149</v>
      </c>
      <c r="I20" s="83"/>
      <c r="J20" s="93"/>
      <c r="K20" s="280"/>
      <c r="L20" s="291"/>
      <c r="M20" s="292"/>
      <c r="N20" s="99"/>
    </row>
    <row r="21" spans="1:16" ht="12" customHeight="1">
      <c r="A21" s="83">
        <f t="shared" si="1"/>
        <v>15</v>
      </c>
      <c r="B21" s="74" t="s">
        <v>232</v>
      </c>
      <c r="C21" s="84" t="s">
        <v>233</v>
      </c>
      <c r="D21" s="88" t="s">
        <v>234</v>
      </c>
      <c r="E21" s="85"/>
      <c r="F21" s="86"/>
      <c r="G21" s="87">
        <f t="shared" si="0"/>
        <v>10</v>
      </c>
      <c r="H21" s="83" t="s">
        <v>149</v>
      </c>
      <c r="I21" s="83"/>
      <c r="J21" s="93"/>
      <c r="K21" s="84"/>
      <c r="L21" s="94"/>
      <c r="M21" s="95"/>
    </row>
    <row r="22" spans="1:16" ht="12" customHeight="1">
      <c r="A22" s="83" t="str">
        <f>IF(B22=""," ",A16+1)</f>
        <v xml:space="preserve"> </v>
      </c>
      <c r="B22" s="11"/>
      <c r="C22" s="84"/>
      <c r="D22" s="88"/>
      <c r="E22" s="85"/>
      <c r="F22" s="86"/>
      <c r="G22" s="87"/>
      <c r="H22" s="83"/>
      <c r="I22" s="83"/>
      <c r="J22" s="93"/>
      <c r="K22" s="274"/>
      <c r="L22" s="275"/>
      <c r="M22" s="276"/>
    </row>
    <row r="23" spans="1:16" ht="12" customHeight="1">
      <c r="A23" s="83" t="str">
        <f t="shared" ref="A23:A52" si="2">IF(B23=""," ",A22+1)</f>
        <v xml:space="preserve"> </v>
      </c>
      <c r="B23" s="20"/>
      <c r="C23" s="84"/>
      <c r="D23" s="88"/>
      <c r="E23" s="85"/>
      <c r="F23" s="86"/>
      <c r="G23" s="87"/>
      <c r="H23" s="83"/>
      <c r="I23" s="83"/>
      <c r="J23" s="93"/>
      <c r="K23" s="271"/>
      <c r="L23" s="272"/>
      <c r="M23" s="273"/>
      <c r="P23" s="75" t="s">
        <v>174</v>
      </c>
    </row>
    <row r="24" spans="1:16" ht="12" customHeight="1">
      <c r="A24" s="83" t="str">
        <f t="shared" si="2"/>
        <v xml:space="preserve"> </v>
      </c>
      <c r="B24" s="11"/>
      <c r="C24" s="84"/>
      <c r="D24" s="88"/>
      <c r="E24" s="85"/>
      <c r="F24" s="86"/>
      <c r="G24" s="87"/>
      <c r="H24" s="83"/>
      <c r="I24" s="83"/>
      <c r="J24" s="93"/>
      <c r="K24" s="84"/>
      <c r="L24" s="94"/>
      <c r="M24" s="95"/>
    </row>
    <row r="25" spans="1:16" ht="12" customHeight="1">
      <c r="A25" s="83" t="str">
        <f t="shared" si="2"/>
        <v xml:space="preserve"> </v>
      </c>
      <c r="B25" s="11"/>
      <c r="C25" s="84"/>
      <c r="D25" s="88"/>
      <c r="E25" s="85"/>
      <c r="F25" s="86"/>
      <c r="G25" s="87"/>
      <c r="H25" s="83"/>
      <c r="I25" s="83"/>
      <c r="J25" s="93"/>
      <c r="K25" s="271"/>
      <c r="L25" s="272"/>
      <c r="M25" s="273"/>
      <c r="P25" s="75" t="s">
        <v>195</v>
      </c>
    </row>
    <row r="26" spans="1:16" ht="12" customHeight="1">
      <c r="A26" s="83" t="str">
        <f t="shared" si="2"/>
        <v xml:space="preserve"> </v>
      </c>
      <c r="B26" s="20"/>
      <c r="C26" s="84"/>
      <c r="D26" s="88"/>
      <c r="E26" s="85"/>
      <c r="F26" s="86"/>
      <c r="G26" s="87"/>
      <c r="H26" s="83"/>
      <c r="I26" s="83"/>
      <c r="J26" s="93"/>
      <c r="K26" s="271"/>
      <c r="L26" s="272"/>
      <c r="M26" s="273"/>
    </row>
    <row r="27" spans="1:16" ht="12" customHeight="1">
      <c r="A27" s="83" t="str">
        <f t="shared" si="2"/>
        <v xml:space="preserve"> </v>
      </c>
      <c r="B27" s="11"/>
      <c r="C27" s="84"/>
      <c r="D27" s="88"/>
      <c r="E27" s="85"/>
      <c r="F27" s="86"/>
      <c r="G27" s="87"/>
      <c r="H27" s="83"/>
      <c r="I27" s="83"/>
      <c r="J27" s="93"/>
      <c r="K27" s="274"/>
      <c r="L27" s="275"/>
      <c r="M27" s="276"/>
    </row>
    <row r="28" spans="1:16" ht="12" customHeight="1">
      <c r="A28" s="83" t="str">
        <f t="shared" si="2"/>
        <v xml:space="preserve"> </v>
      </c>
      <c r="B28" s="11"/>
      <c r="C28" s="84"/>
      <c r="D28" s="88"/>
      <c r="E28" s="85"/>
      <c r="F28" s="86"/>
      <c r="G28" s="87"/>
      <c r="H28" s="83"/>
      <c r="I28" s="83"/>
      <c r="J28" s="93"/>
      <c r="K28" s="271"/>
      <c r="L28" s="272"/>
      <c r="M28" s="273"/>
    </row>
    <row r="29" spans="1:16" ht="12" customHeight="1">
      <c r="A29" s="83" t="str">
        <f t="shared" si="2"/>
        <v xml:space="preserve"> </v>
      </c>
      <c r="B29" s="11"/>
      <c r="C29" s="84"/>
      <c r="D29" s="88"/>
      <c r="E29" s="85"/>
      <c r="F29" s="86"/>
      <c r="G29" s="87"/>
      <c r="H29" s="83"/>
      <c r="I29" s="83"/>
      <c r="J29" s="93"/>
      <c r="K29" s="274"/>
      <c r="L29" s="275"/>
      <c r="M29" s="276"/>
    </row>
    <row r="30" spans="1:16" ht="12" customHeight="1">
      <c r="A30" s="83" t="str">
        <f t="shared" si="2"/>
        <v xml:space="preserve"> </v>
      </c>
      <c r="B30" s="11"/>
      <c r="C30" s="84"/>
      <c r="D30" s="88"/>
      <c r="E30" s="85"/>
      <c r="F30" s="86"/>
      <c r="G30" s="87"/>
      <c r="H30" s="83"/>
      <c r="I30" s="83"/>
      <c r="J30" s="93"/>
      <c r="K30" s="274"/>
      <c r="L30" s="275"/>
      <c r="M30" s="276"/>
    </row>
    <row r="31" spans="1:16" ht="12" customHeight="1">
      <c r="A31" s="83" t="str">
        <f t="shared" si="2"/>
        <v xml:space="preserve"> </v>
      </c>
      <c r="B31" s="11"/>
      <c r="C31" s="84"/>
      <c r="D31" s="88"/>
      <c r="E31" s="85"/>
      <c r="F31" s="86"/>
      <c r="G31" s="87"/>
      <c r="H31" s="83"/>
      <c r="I31" s="83"/>
      <c r="J31" s="93"/>
      <c r="K31" s="84"/>
      <c r="L31" s="94"/>
      <c r="M31" s="95"/>
    </row>
    <row r="32" spans="1:16" ht="12" customHeight="1">
      <c r="A32" s="83" t="str">
        <f t="shared" si="2"/>
        <v xml:space="preserve"> </v>
      </c>
      <c r="B32" s="11"/>
      <c r="C32" s="84"/>
      <c r="D32" s="88"/>
      <c r="E32" s="85"/>
      <c r="F32" s="86"/>
      <c r="G32" s="87"/>
      <c r="H32" s="83"/>
      <c r="I32" s="83"/>
      <c r="J32" s="93"/>
      <c r="K32" s="84"/>
      <c r="L32" s="94"/>
      <c r="M32" s="95"/>
    </row>
    <row r="33" spans="1:13" ht="12" customHeight="1">
      <c r="A33" s="83" t="str">
        <f t="shared" si="2"/>
        <v xml:space="preserve"> </v>
      </c>
      <c r="B33" s="20"/>
      <c r="C33" s="84"/>
      <c r="D33" s="88"/>
      <c r="E33" s="85"/>
      <c r="F33" s="86"/>
      <c r="G33" s="87"/>
      <c r="H33" s="83"/>
      <c r="I33" s="83"/>
      <c r="J33" s="93"/>
      <c r="K33" s="84"/>
      <c r="L33" s="94"/>
      <c r="M33" s="95"/>
    </row>
    <row r="34" spans="1:13" ht="12" customHeight="1">
      <c r="A34" s="83" t="str">
        <f t="shared" si="2"/>
        <v xml:space="preserve"> </v>
      </c>
      <c r="B34" s="11"/>
      <c r="C34" s="84"/>
      <c r="D34" s="88"/>
      <c r="E34" s="85"/>
      <c r="F34" s="86"/>
      <c r="G34" s="87"/>
      <c r="H34" s="83"/>
      <c r="I34" s="83"/>
      <c r="J34" s="93"/>
      <c r="K34" s="84"/>
      <c r="L34" s="94"/>
      <c r="M34" s="95"/>
    </row>
    <row r="35" spans="1:13" ht="12" customHeight="1">
      <c r="A35" s="83" t="str">
        <f t="shared" si="2"/>
        <v xml:space="preserve"> </v>
      </c>
      <c r="B35" s="74"/>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si="2"/>
        <v xml:space="preserve"> </v>
      </c>
      <c r="B44" s="74"/>
      <c r="C44" s="84"/>
      <c r="D44" s="88"/>
      <c r="E44" s="85"/>
      <c r="F44" s="86"/>
      <c r="G44" s="87"/>
      <c r="H44" s="83"/>
      <c r="I44" s="83"/>
      <c r="J44" s="93"/>
      <c r="K44" s="84"/>
      <c r="L44" s="94"/>
      <c r="M44" s="95"/>
    </row>
    <row r="45" spans="1:13" ht="12" customHeight="1">
      <c r="A45" s="83" t="str">
        <f t="shared" si="2"/>
        <v xml:space="preserve"> </v>
      </c>
      <c r="B45" s="74"/>
      <c r="C45" s="84"/>
      <c r="D45" s="88"/>
      <c r="E45" s="85"/>
      <c r="F45" s="86"/>
      <c r="G45" s="87"/>
      <c r="H45" s="83"/>
      <c r="I45" s="83"/>
      <c r="J45" s="93"/>
      <c r="K45" s="84"/>
      <c r="L45" s="94"/>
      <c r="M45" s="95"/>
    </row>
    <row r="46" spans="1:13" ht="12" customHeight="1">
      <c r="A46" s="83" t="str">
        <f t="shared" si="2"/>
        <v xml:space="preserve"> </v>
      </c>
      <c r="B46" s="74"/>
      <c r="C46" s="84"/>
      <c r="D46" s="88"/>
      <c r="E46" s="85"/>
      <c r="F46" s="86"/>
      <c r="G46" s="87"/>
      <c r="H46" s="83"/>
      <c r="I46" s="83"/>
      <c r="J46" s="93"/>
      <c r="K46" s="84"/>
      <c r="L46" s="94"/>
      <c r="M46" s="95"/>
    </row>
    <row r="47" spans="1:13" ht="12" customHeight="1">
      <c r="A47" s="83" t="str">
        <f t="shared" si="2"/>
        <v xml:space="preserve"> </v>
      </c>
      <c r="B47" s="74"/>
      <c r="C47" s="84"/>
      <c r="D47" s="88"/>
      <c r="E47" s="85"/>
      <c r="F47" s="86"/>
      <c r="G47" s="87"/>
      <c r="H47" s="83"/>
      <c r="I47" s="83"/>
      <c r="J47" s="93"/>
      <c r="K47" s="84"/>
      <c r="L47" s="94"/>
      <c r="M47" s="95"/>
    </row>
    <row r="48" spans="1:13" ht="12" customHeight="1">
      <c r="A48" s="83" t="str">
        <f t="shared" si="2"/>
        <v xml:space="preserve"> </v>
      </c>
      <c r="B48" s="74"/>
      <c r="C48" s="84"/>
      <c r="D48" s="88"/>
      <c r="E48" s="85"/>
      <c r="F48" s="86"/>
      <c r="G48" s="87"/>
      <c r="H48" s="83"/>
      <c r="I48" s="83"/>
      <c r="J48" s="93"/>
      <c r="K48" s="84"/>
      <c r="L48" s="94"/>
      <c r="M48" s="95"/>
    </row>
    <row r="49" spans="1:16" ht="12" customHeight="1">
      <c r="A49" s="83" t="str">
        <f t="shared" si="2"/>
        <v xml:space="preserve"> </v>
      </c>
      <c r="B49" s="74"/>
      <c r="C49" s="84"/>
      <c r="D49" s="88"/>
      <c r="E49" s="85"/>
      <c r="F49" s="86"/>
      <c r="G49" s="87"/>
      <c r="H49" s="83"/>
      <c r="I49" s="83"/>
      <c r="J49" s="93"/>
      <c r="K49" s="84"/>
      <c r="L49" s="94"/>
      <c r="M49" s="95"/>
    </row>
    <row r="50" spans="1:16" ht="12" customHeight="1">
      <c r="A50" s="83" t="str">
        <f t="shared" si="2"/>
        <v xml:space="preserve"> </v>
      </c>
      <c r="B50" s="74"/>
      <c r="C50" s="84"/>
      <c r="D50" s="88"/>
      <c r="E50" s="85"/>
      <c r="F50" s="86"/>
      <c r="G50" s="87"/>
      <c r="H50" s="83"/>
      <c r="I50" s="83"/>
      <c r="J50" s="93"/>
      <c r="K50" s="84"/>
      <c r="L50" s="94"/>
      <c r="M50" s="95"/>
    </row>
    <row r="51" spans="1:16" ht="12" customHeight="1">
      <c r="A51" s="83" t="str">
        <f t="shared" si="2"/>
        <v xml:space="preserve"> </v>
      </c>
      <c r="B51" s="74"/>
      <c r="C51" s="84"/>
      <c r="D51" s="88"/>
      <c r="E51" s="85"/>
      <c r="F51" s="86"/>
      <c r="G51" s="87"/>
      <c r="H51" s="83"/>
      <c r="I51" s="83"/>
      <c r="J51" s="93"/>
      <c r="K51" s="84"/>
      <c r="L51" s="94"/>
      <c r="M51" s="95"/>
    </row>
    <row r="52" spans="1:16" ht="12" customHeight="1">
      <c r="A52" s="83" t="str">
        <f t="shared" si="2"/>
        <v xml:space="preserve"> </v>
      </c>
      <c r="B52" s="74"/>
      <c r="C52" s="84"/>
      <c r="D52" s="88"/>
      <c r="E52" s="85"/>
      <c r="F52" s="86"/>
      <c r="G52" s="87"/>
      <c r="H52" s="83"/>
      <c r="I52" s="83"/>
      <c r="J52" s="93"/>
      <c r="K52" s="84"/>
      <c r="L52" s="94"/>
      <c r="M52" s="95"/>
    </row>
    <row r="53" spans="1:16" ht="12" customHeight="1">
      <c r="A53" s="83" t="str">
        <f t="shared" ref="A53:A81" si="3">IF(B53=""," ",A52+1)</f>
        <v xml:space="preserve"> </v>
      </c>
      <c r="B53" s="20"/>
      <c r="C53" s="84"/>
      <c r="D53" s="88"/>
      <c r="E53" s="85"/>
      <c r="F53" s="86"/>
      <c r="G53" s="87"/>
      <c r="H53" s="83"/>
      <c r="I53" s="83"/>
      <c r="J53" s="93"/>
      <c r="K53" s="271"/>
      <c r="L53" s="272"/>
      <c r="M53" s="273"/>
      <c r="P53" s="75" t="s">
        <v>174</v>
      </c>
    </row>
    <row r="54" spans="1:16" ht="12" customHeight="1">
      <c r="A54" s="83" t="str">
        <f t="shared" si="3"/>
        <v xml:space="preserve"> </v>
      </c>
      <c r="B54" s="11"/>
      <c r="C54" s="84"/>
      <c r="D54" s="88"/>
      <c r="E54" s="85"/>
      <c r="F54" s="86"/>
      <c r="G54" s="87"/>
      <c r="H54" s="83"/>
      <c r="I54" s="83"/>
      <c r="J54" s="93"/>
      <c r="K54" s="84"/>
      <c r="L54" s="94"/>
      <c r="M54" s="95"/>
    </row>
    <row r="55" spans="1:16" ht="12" customHeight="1">
      <c r="A55" s="83" t="str">
        <f t="shared" si="3"/>
        <v xml:space="preserve"> </v>
      </c>
      <c r="B55" s="11"/>
      <c r="C55" s="84"/>
      <c r="D55" s="88"/>
      <c r="E55" s="85"/>
      <c r="F55" s="86"/>
      <c r="G55" s="87"/>
      <c r="H55" s="83"/>
      <c r="I55" s="83"/>
      <c r="J55" s="93"/>
      <c r="K55" s="271"/>
      <c r="L55" s="272"/>
      <c r="M55" s="273"/>
      <c r="P55" s="75" t="s">
        <v>195</v>
      </c>
    </row>
    <row r="56" spans="1:16" ht="12" customHeight="1">
      <c r="A56" s="83" t="str">
        <f t="shared" si="3"/>
        <v xml:space="preserve"> </v>
      </c>
      <c r="B56" s="20"/>
      <c r="C56" s="84"/>
      <c r="D56" s="88"/>
      <c r="E56" s="85"/>
      <c r="F56" s="86"/>
      <c r="G56" s="87"/>
      <c r="H56" s="83"/>
      <c r="I56" s="83"/>
      <c r="J56" s="93"/>
      <c r="K56" s="271"/>
      <c r="L56" s="272"/>
      <c r="M56" s="273"/>
    </row>
    <row r="57" spans="1:16" ht="12" customHeight="1">
      <c r="A57" s="83" t="str">
        <f t="shared" si="3"/>
        <v xml:space="preserve"> </v>
      </c>
      <c r="B57" s="11"/>
      <c r="C57" s="84"/>
      <c r="D57" s="88"/>
      <c r="E57" s="85"/>
      <c r="F57" s="86"/>
      <c r="G57" s="87"/>
      <c r="H57" s="83"/>
      <c r="I57" s="83"/>
      <c r="J57" s="93"/>
      <c r="K57" s="274"/>
      <c r="L57" s="275"/>
      <c r="M57" s="276"/>
    </row>
    <row r="58" spans="1:16" ht="12" customHeight="1">
      <c r="A58" s="83" t="str">
        <f t="shared" si="3"/>
        <v xml:space="preserve"> </v>
      </c>
      <c r="B58" s="11"/>
      <c r="C58" s="84"/>
      <c r="D58" s="88"/>
      <c r="E58" s="85"/>
      <c r="F58" s="86"/>
      <c r="G58" s="87"/>
      <c r="H58" s="83"/>
      <c r="I58" s="83"/>
      <c r="J58" s="93"/>
      <c r="K58" s="271"/>
      <c r="L58" s="272"/>
      <c r="M58" s="273"/>
    </row>
    <row r="59" spans="1:16" ht="12" customHeight="1">
      <c r="A59" s="83" t="str">
        <f t="shared" si="3"/>
        <v xml:space="preserve"> </v>
      </c>
      <c r="B59" s="11"/>
      <c r="C59" s="84"/>
      <c r="D59" s="88"/>
      <c r="E59" s="85"/>
      <c r="F59" s="86"/>
      <c r="G59" s="87"/>
      <c r="H59" s="83"/>
      <c r="I59" s="83"/>
      <c r="J59" s="93"/>
      <c r="K59" s="274"/>
      <c r="L59" s="275"/>
      <c r="M59" s="276"/>
    </row>
    <row r="60" spans="1:16" ht="12" customHeight="1">
      <c r="A60" s="83" t="str">
        <f t="shared" si="3"/>
        <v xml:space="preserve"> </v>
      </c>
      <c r="B60" s="11"/>
      <c r="C60" s="84"/>
      <c r="D60" s="88"/>
      <c r="E60" s="85"/>
      <c r="F60" s="86"/>
      <c r="G60" s="87"/>
      <c r="H60" s="83"/>
      <c r="I60" s="83"/>
      <c r="J60" s="93"/>
      <c r="K60" s="274"/>
      <c r="L60" s="275"/>
      <c r="M60" s="276"/>
    </row>
    <row r="61" spans="1:16" ht="12" customHeight="1">
      <c r="A61" s="83" t="str">
        <f t="shared" si="3"/>
        <v xml:space="preserve"> </v>
      </c>
      <c r="B61" s="11"/>
      <c r="C61" s="84"/>
      <c r="D61" s="88"/>
      <c r="E61" s="85"/>
      <c r="F61" s="86"/>
      <c r="G61" s="87"/>
      <c r="H61" s="83"/>
      <c r="I61" s="83"/>
      <c r="J61" s="93"/>
      <c r="K61" s="84"/>
      <c r="L61" s="94"/>
      <c r="M61" s="95"/>
    </row>
    <row r="62" spans="1:16" ht="12" customHeight="1">
      <c r="A62" s="83" t="str">
        <f t="shared" si="3"/>
        <v xml:space="preserve"> </v>
      </c>
      <c r="B62" s="11"/>
      <c r="C62" s="84"/>
      <c r="D62" s="88"/>
      <c r="E62" s="85"/>
      <c r="F62" s="86"/>
      <c r="G62" s="87"/>
      <c r="H62" s="83"/>
      <c r="I62" s="83"/>
      <c r="J62" s="93"/>
      <c r="K62" s="84"/>
      <c r="L62" s="94"/>
      <c r="M62" s="95"/>
    </row>
    <row r="63" spans="1:16" ht="12" customHeight="1">
      <c r="A63" s="83" t="str">
        <f t="shared" si="3"/>
        <v xml:space="preserve"> </v>
      </c>
      <c r="B63" s="20"/>
      <c r="C63" s="84"/>
      <c r="D63" s="88"/>
      <c r="E63" s="85"/>
      <c r="F63" s="86"/>
      <c r="G63" s="87"/>
      <c r="H63" s="83"/>
      <c r="I63" s="83"/>
      <c r="J63" s="93"/>
      <c r="K63" s="84"/>
      <c r="L63" s="94"/>
      <c r="M63" s="95"/>
    </row>
    <row r="64" spans="1:16" ht="12" customHeight="1">
      <c r="A64" s="83" t="str">
        <f t="shared" si="3"/>
        <v xml:space="preserve"> </v>
      </c>
      <c r="B64" s="11"/>
      <c r="C64" s="84"/>
      <c r="D64" s="88"/>
      <c r="E64" s="85"/>
      <c r="F64" s="86"/>
      <c r="G64" s="87"/>
      <c r="H64" s="83"/>
      <c r="I64" s="83"/>
      <c r="J64" s="93"/>
      <c r="K64" s="84"/>
      <c r="L64" s="94"/>
      <c r="M64" s="95"/>
    </row>
    <row r="65" spans="1:13" ht="12" customHeight="1">
      <c r="A65" s="83" t="str">
        <f t="shared" si="3"/>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6" ht="12" customHeight="1">
      <c r="A81" s="83" t="str">
        <f t="shared" si="3"/>
        <v xml:space="preserve"> </v>
      </c>
      <c r="B81" s="74"/>
      <c r="C81" s="84"/>
      <c r="D81" s="88"/>
      <c r="E81" s="85"/>
      <c r="F81" s="86"/>
      <c r="G81" s="87"/>
      <c r="H81" s="83"/>
      <c r="I81" s="83"/>
      <c r="J81" s="93"/>
      <c r="K81" s="84"/>
      <c r="L81" s="94"/>
      <c r="M81" s="95"/>
    </row>
    <row r="82" spans="1:16" ht="12" customHeight="1">
      <c r="A82" s="83" t="str">
        <f t="shared" ref="A82:A100" si="4">IF(B82=""," ",A81+1)</f>
        <v xml:space="preserve"> </v>
      </c>
      <c r="B82" s="20"/>
      <c r="C82" s="84"/>
      <c r="D82" s="88"/>
      <c r="E82" s="85"/>
      <c r="F82" s="86"/>
      <c r="G82" s="87"/>
      <c r="H82" s="83"/>
      <c r="I82" s="83"/>
      <c r="J82" s="93"/>
      <c r="K82" s="271"/>
      <c r="L82" s="272"/>
      <c r="M82" s="273"/>
      <c r="P82" s="75" t="s">
        <v>174</v>
      </c>
    </row>
    <row r="83" spans="1:16" ht="12" customHeight="1">
      <c r="A83" s="83" t="str">
        <f t="shared" si="4"/>
        <v xml:space="preserve"> </v>
      </c>
      <c r="B83" s="11"/>
      <c r="C83" s="84"/>
      <c r="D83" s="88"/>
      <c r="E83" s="85"/>
      <c r="F83" s="86"/>
      <c r="G83" s="87"/>
      <c r="H83" s="83"/>
      <c r="I83" s="83"/>
      <c r="J83" s="93"/>
      <c r="K83" s="84"/>
      <c r="L83" s="94"/>
      <c r="M83" s="95"/>
    </row>
    <row r="84" spans="1:16" ht="12" customHeight="1">
      <c r="A84" s="83" t="str">
        <f t="shared" si="4"/>
        <v xml:space="preserve"> </v>
      </c>
      <c r="B84" s="11"/>
      <c r="C84" s="84"/>
      <c r="D84" s="88"/>
      <c r="E84" s="85"/>
      <c r="F84" s="86"/>
      <c r="G84" s="87"/>
      <c r="H84" s="83"/>
      <c r="I84" s="83"/>
      <c r="J84" s="93"/>
      <c r="K84" s="271"/>
      <c r="L84" s="272"/>
      <c r="M84" s="273"/>
      <c r="P84" s="75" t="s">
        <v>195</v>
      </c>
    </row>
    <row r="85" spans="1:16" ht="12" customHeight="1">
      <c r="A85" s="83" t="str">
        <f t="shared" si="4"/>
        <v xml:space="preserve"> </v>
      </c>
      <c r="B85" s="20"/>
      <c r="C85" s="84"/>
      <c r="D85" s="88"/>
      <c r="E85" s="85"/>
      <c r="F85" s="86"/>
      <c r="G85" s="87"/>
      <c r="H85" s="83"/>
      <c r="I85" s="83"/>
      <c r="J85" s="93"/>
      <c r="K85" s="271"/>
      <c r="L85" s="272"/>
      <c r="M85" s="273"/>
    </row>
    <row r="86" spans="1:16" ht="12" customHeight="1">
      <c r="A86" s="83" t="str">
        <f t="shared" si="4"/>
        <v xml:space="preserve"> </v>
      </c>
      <c r="B86" s="11"/>
      <c r="C86" s="84"/>
      <c r="D86" s="88"/>
      <c r="E86" s="85"/>
      <c r="F86" s="86"/>
      <c r="G86" s="87"/>
      <c r="H86" s="83"/>
      <c r="I86" s="83"/>
      <c r="J86" s="93"/>
      <c r="K86" s="274"/>
      <c r="L86" s="275"/>
      <c r="M86" s="276"/>
    </row>
    <row r="87" spans="1:16" ht="12" customHeight="1">
      <c r="A87" s="83" t="str">
        <f t="shared" si="4"/>
        <v xml:space="preserve"> </v>
      </c>
      <c r="B87" s="11"/>
      <c r="C87" s="84"/>
      <c r="D87" s="88"/>
      <c r="E87" s="85"/>
      <c r="F87" s="86"/>
      <c r="G87" s="87"/>
      <c r="H87" s="83"/>
      <c r="I87" s="83"/>
      <c r="J87" s="93"/>
      <c r="K87" s="271"/>
      <c r="L87" s="272"/>
      <c r="M87" s="273"/>
    </row>
    <row r="88" spans="1:16" ht="12" customHeight="1">
      <c r="A88" s="83" t="str">
        <f t="shared" si="4"/>
        <v xml:space="preserve"> </v>
      </c>
      <c r="B88" s="11"/>
      <c r="C88" s="84"/>
      <c r="D88" s="88"/>
      <c r="E88" s="85"/>
      <c r="F88" s="86"/>
      <c r="G88" s="87"/>
      <c r="H88" s="83"/>
      <c r="I88" s="83"/>
      <c r="J88" s="93"/>
      <c r="K88" s="274"/>
      <c r="L88" s="275"/>
      <c r="M88" s="276"/>
    </row>
    <row r="89" spans="1:16" ht="12" customHeight="1">
      <c r="A89" s="83" t="str">
        <f t="shared" si="4"/>
        <v xml:space="preserve"> </v>
      </c>
      <c r="B89" s="11"/>
      <c r="C89" s="84"/>
      <c r="D89" s="88"/>
      <c r="E89" s="85"/>
      <c r="F89" s="86"/>
      <c r="G89" s="87"/>
      <c r="H89" s="83"/>
      <c r="I89" s="83"/>
      <c r="J89" s="93"/>
      <c r="K89" s="274"/>
      <c r="L89" s="275"/>
      <c r="M89" s="276"/>
    </row>
    <row r="90" spans="1:16" ht="12" customHeight="1">
      <c r="A90" s="83" t="str">
        <f t="shared" si="4"/>
        <v xml:space="preserve"> </v>
      </c>
      <c r="B90" s="11"/>
      <c r="C90" s="84"/>
      <c r="D90" s="88"/>
      <c r="E90" s="85"/>
      <c r="F90" s="86"/>
      <c r="G90" s="87"/>
      <c r="H90" s="83"/>
      <c r="I90" s="83"/>
      <c r="J90" s="93"/>
      <c r="K90" s="84"/>
      <c r="L90" s="94"/>
      <c r="M90" s="95"/>
    </row>
    <row r="91" spans="1:16" ht="12" customHeight="1">
      <c r="A91" s="83" t="str">
        <f t="shared" si="4"/>
        <v xml:space="preserve"> </v>
      </c>
      <c r="B91" s="11"/>
      <c r="C91" s="84"/>
      <c r="D91" s="88"/>
      <c r="E91" s="85"/>
      <c r="F91" s="86"/>
      <c r="G91" s="87"/>
      <c r="H91" s="83"/>
      <c r="I91" s="83"/>
      <c r="J91" s="93"/>
      <c r="K91" s="84"/>
      <c r="L91" s="94"/>
      <c r="M91" s="95"/>
    </row>
    <row r="92" spans="1:16" ht="12" customHeight="1">
      <c r="A92" s="83" t="str">
        <f t="shared" si="4"/>
        <v xml:space="preserve"> </v>
      </c>
      <c r="B92" s="20"/>
      <c r="C92" s="84"/>
      <c r="D92" s="88"/>
      <c r="E92" s="85"/>
      <c r="F92" s="86"/>
      <c r="G92" s="87"/>
      <c r="H92" s="83"/>
      <c r="I92" s="83"/>
      <c r="J92" s="93"/>
      <c r="K92" s="84"/>
      <c r="L92" s="94"/>
      <c r="M92" s="95"/>
    </row>
    <row r="93" spans="1:16" ht="12" customHeight="1">
      <c r="A93" s="83" t="str">
        <f t="shared" si="4"/>
        <v xml:space="preserve"> </v>
      </c>
      <c r="B93" s="11"/>
      <c r="C93" s="84"/>
      <c r="D93" s="88"/>
      <c r="E93" s="85"/>
      <c r="F93" s="86"/>
      <c r="G93" s="87"/>
      <c r="H93" s="83"/>
      <c r="I93" s="83"/>
      <c r="J93" s="93"/>
      <c r="K93" s="84"/>
      <c r="L93" s="94"/>
      <c r="M93" s="95"/>
    </row>
    <row r="94" spans="1:16" ht="12" customHeight="1">
      <c r="A94" s="83" t="str">
        <f t="shared" si="4"/>
        <v xml:space="preserve"> </v>
      </c>
      <c r="B94" s="74"/>
      <c r="C94" s="84"/>
      <c r="D94" s="88"/>
      <c r="E94" s="85"/>
      <c r="F94" s="86"/>
      <c r="G94" s="87"/>
      <c r="H94" s="83"/>
      <c r="I94" s="83"/>
      <c r="J94" s="93"/>
      <c r="K94" s="84"/>
      <c r="L94" s="94"/>
      <c r="M94" s="95"/>
    </row>
    <row r="95" spans="1:16" ht="12" customHeight="1">
      <c r="A95" s="83" t="str">
        <f t="shared" si="4"/>
        <v xml:space="preserve"> </v>
      </c>
      <c r="B95" s="74"/>
      <c r="C95" s="84"/>
      <c r="D95" s="88"/>
      <c r="E95" s="85"/>
      <c r="F95" s="86"/>
      <c r="G95" s="87"/>
      <c r="H95" s="83"/>
      <c r="I95" s="83"/>
      <c r="J95" s="93"/>
      <c r="K95" s="84"/>
      <c r="L95" s="94"/>
      <c r="M95" s="95"/>
    </row>
    <row r="96" spans="1:16"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 t="shared" si="4"/>
        <v xml:space="preserve"> </v>
      </c>
      <c r="B99" s="74"/>
      <c r="C99" s="84"/>
      <c r="D99" s="88"/>
      <c r="E99" s="85"/>
      <c r="F99" s="86"/>
      <c r="G99" s="87"/>
      <c r="H99" s="83"/>
      <c r="I99" s="83"/>
      <c r="J99" s="93"/>
      <c r="K99" s="84"/>
      <c r="L99" s="94"/>
      <c r="M99" s="95"/>
    </row>
    <row r="100" spans="1:13" ht="12" customHeight="1">
      <c r="A100" s="83" t="str">
        <f t="shared" si="4"/>
        <v xml:space="preserve"> </v>
      </c>
      <c r="B100" s="74"/>
      <c r="C100" s="84"/>
      <c r="D100" s="88"/>
      <c r="E100" s="85"/>
      <c r="F100" s="86"/>
      <c r="G100" s="87"/>
      <c r="H100" s="83"/>
      <c r="I100" s="83"/>
      <c r="J100" s="93"/>
      <c r="K100" s="84"/>
      <c r="L100" s="94"/>
      <c r="M100" s="95"/>
    </row>
    <row r="102" spans="1:13">
      <c r="B102" s="75" t="s">
        <v>235</v>
      </c>
    </row>
    <row r="104" spans="1:13">
      <c r="B104" s="75" t="s">
        <v>236</v>
      </c>
      <c r="C104" s="75" t="s">
        <v>588</v>
      </c>
    </row>
    <row r="106" spans="1:13">
      <c r="B106" s="75" t="s">
        <v>236</v>
      </c>
      <c r="C106" s="75" t="s">
        <v>238</v>
      </c>
    </row>
    <row r="108" spans="1:13">
      <c r="B108" s="75" t="s">
        <v>756</v>
      </c>
      <c r="C108" s="75" t="s">
        <v>1227</v>
      </c>
    </row>
    <row r="110" spans="1:13">
      <c r="B110" s="100"/>
    </row>
  </sheetData>
  <mergeCells count="47">
    <mergeCell ref="K87:M87"/>
    <mergeCell ref="K88:M88"/>
    <mergeCell ref="K89:M89"/>
    <mergeCell ref="A5:A6"/>
    <mergeCell ref="K5:M6"/>
    <mergeCell ref="K60:M60"/>
    <mergeCell ref="K82:M82"/>
    <mergeCell ref="K84:M84"/>
    <mergeCell ref="K85:M85"/>
    <mergeCell ref="K86:M86"/>
    <mergeCell ref="K55:M55"/>
    <mergeCell ref="K56:M56"/>
    <mergeCell ref="K57:M57"/>
    <mergeCell ref="K58:M58"/>
    <mergeCell ref="K59:M59"/>
    <mergeCell ref="K27:M27"/>
    <mergeCell ref="K28:M28"/>
    <mergeCell ref="K29:M29"/>
    <mergeCell ref="K30:M30"/>
    <mergeCell ref="K53:M53"/>
    <mergeCell ref="K20:M20"/>
    <mergeCell ref="K22:M22"/>
    <mergeCell ref="K23:M23"/>
    <mergeCell ref="K25:M25"/>
    <mergeCell ref="K26:M26"/>
    <mergeCell ref="K15:M15"/>
    <mergeCell ref="K16:M16"/>
    <mergeCell ref="K17:M17"/>
    <mergeCell ref="K18:M18"/>
    <mergeCell ref="K19:M19"/>
    <mergeCell ref="K7:M7"/>
    <mergeCell ref="K10:M10"/>
    <mergeCell ref="K11:M11"/>
    <mergeCell ref="K13:M13"/>
    <mergeCell ref="K14:M14"/>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ageSetUpPr fitToPage="1"/>
  </sheetPr>
  <dimension ref="A1:Q119"/>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1228</v>
      </c>
      <c r="D3" s="265"/>
      <c r="E3" s="265"/>
      <c r="F3" s="265"/>
      <c r="G3" s="266"/>
      <c r="H3" s="259" t="s">
        <v>140</v>
      </c>
      <c r="I3" s="260"/>
      <c r="J3" s="90">
        <f>COUNT(A7:A100)</f>
        <v>27</v>
      </c>
      <c r="K3" s="78" t="s">
        <v>141</v>
      </c>
      <c r="L3" s="91">
        <v>38644</v>
      </c>
      <c r="M3" s="92" t="s">
        <v>142</v>
      </c>
      <c r="O3" s="75" t="s">
        <v>143</v>
      </c>
      <c r="P3" s="75" t="s">
        <v>144</v>
      </c>
    </row>
    <row r="4" spans="1:16" ht="12" customHeight="1">
      <c r="A4" s="267" t="s">
        <v>145</v>
      </c>
      <c r="B4" s="268"/>
      <c r="C4" s="267" t="s">
        <v>40</v>
      </c>
      <c r="D4" s="269"/>
      <c r="E4" s="269"/>
      <c r="F4" s="269"/>
      <c r="G4" s="268"/>
      <c r="H4" s="259" t="s">
        <v>146</v>
      </c>
      <c r="I4" s="260"/>
      <c r="J4" s="90">
        <f>SUM(G7:G100)</f>
        <v>200</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84" t="s">
        <v>163</v>
      </c>
      <c r="D7" s="13" t="s">
        <v>164</v>
      </c>
      <c r="E7" s="85"/>
      <c r="F7" s="86"/>
      <c r="G7" s="87">
        <f t="shared" ref="G7:G33" si="0">IF(D7="DATE",4,IF(D7="CHAR",E7,IF(D7="SMALLINT",2,IF(D7="INTEGER",4,IF(D7="TIMESTAMP",10,IF(D7="TIME",3,0))))))</f>
        <v>4</v>
      </c>
      <c r="H7" s="83" t="s">
        <v>149</v>
      </c>
      <c r="I7" s="83" t="s">
        <v>149</v>
      </c>
      <c r="J7" s="93"/>
      <c r="K7" s="308"/>
      <c r="L7" s="278"/>
      <c r="M7" s="279"/>
      <c r="P7" s="75" t="s">
        <v>165</v>
      </c>
    </row>
    <row r="8" spans="1:16" ht="12" customHeight="1">
      <c r="A8" s="83">
        <f t="shared" ref="A8:A32" si="1">IF(B8=""," ",A7+1)</f>
        <v>2</v>
      </c>
      <c r="B8" s="11" t="s">
        <v>166</v>
      </c>
      <c r="C8" s="84" t="s">
        <v>167</v>
      </c>
      <c r="D8" s="13" t="s">
        <v>150</v>
      </c>
      <c r="E8" s="85">
        <v>11</v>
      </c>
      <c r="F8" s="86"/>
      <c r="G8" s="87">
        <f t="shared" si="0"/>
        <v>11</v>
      </c>
      <c r="H8" s="83" t="s">
        <v>149</v>
      </c>
      <c r="I8" s="83" t="s">
        <v>149</v>
      </c>
      <c r="J8" s="93"/>
      <c r="K8" s="308"/>
      <c r="L8" s="278"/>
      <c r="M8" s="279"/>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t="s">
        <v>149</v>
      </c>
      <c r="J10" s="93"/>
      <c r="K10" s="277" t="s">
        <v>175</v>
      </c>
      <c r="L10" s="278"/>
      <c r="M10" s="279"/>
    </row>
    <row r="11" spans="1:16" ht="12" customHeight="1">
      <c r="A11" s="83">
        <f t="shared" si="1"/>
        <v>5</v>
      </c>
      <c r="B11" s="11" t="s">
        <v>646</v>
      </c>
      <c r="C11" s="84" t="s">
        <v>647</v>
      </c>
      <c r="D11" s="88" t="s">
        <v>150</v>
      </c>
      <c r="E11" s="85">
        <v>16</v>
      </c>
      <c r="F11" s="86"/>
      <c r="G11" s="87">
        <f t="shared" si="0"/>
        <v>16</v>
      </c>
      <c r="H11" s="83" t="s">
        <v>149</v>
      </c>
      <c r="I11" s="83" t="s">
        <v>149</v>
      </c>
      <c r="J11" s="93"/>
      <c r="K11" s="308" t="s">
        <v>648</v>
      </c>
      <c r="L11" s="278"/>
      <c r="M11" s="279"/>
    </row>
    <row r="12" spans="1:16" ht="12" customHeight="1">
      <c r="A12" s="83">
        <f t="shared" si="1"/>
        <v>6</v>
      </c>
      <c r="B12" s="21" t="s">
        <v>596</v>
      </c>
      <c r="C12" s="84" t="s">
        <v>597</v>
      </c>
      <c r="D12" s="88" t="s">
        <v>150</v>
      </c>
      <c r="E12" s="85">
        <v>7</v>
      </c>
      <c r="F12" s="86"/>
      <c r="G12" s="87">
        <f t="shared" si="0"/>
        <v>7</v>
      </c>
      <c r="H12" s="83" t="s">
        <v>149</v>
      </c>
      <c r="I12" s="83" t="s">
        <v>149</v>
      </c>
      <c r="J12" s="93"/>
      <c r="K12" s="308"/>
      <c r="L12" s="278"/>
      <c r="M12" s="279"/>
    </row>
    <row r="13" spans="1:16" ht="12" customHeight="1">
      <c r="A13" s="83">
        <f t="shared" si="1"/>
        <v>7</v>
      </c>
      <c r="B13" s="21" t="s">
        <v>1229</v>
      </c>
      <c r="C13" s="84" t="s">
        <v>1230</v>
      </c>
      <c r="D13" s="88" t="s">
        <v>150</v>
      </c>
      <c r="E13" s="85">
        <v>7</v>
      </c>
      <c r="F13" s="86"/>
      <c r="G13" s="87">
        <f t="shared" si="0"/>
        <v>7</v>
      </c>
      <c r="H13" s="83" t="s">
        <v>149</v>
      </c>
      <c r="I13" s="83"/>
      <c r="J13" s="93"/>
      <c r="K13" s="308" t="s">
        <v>1231</v>
      </c>
      <c r="L13" s="278"/>
      <c r="M13" s="279"/>
    </row>
    <row r="14" spans="1:16" ht="12" customHeight="1">
      <c r="A14" s="83">
        <f t="shared" si="1"/>
        <v>8</v>
      </c>
      <c r="B14" s="11" t="s">
        <v>460</v>
      </c>
      <c r="C14" s="21" t="s">
        <v>461</v>
      </c>
      <c r="D14" s="13" t="s">
        <v>164</v>
      </c>
      <c r="E14" s="85"/>
      <c r="F14" s="86"/>
      <c r="G14" s="87">
        <f t="shared" si="0"/>
        <v>4</v>
      </c>
      <c r="H14" s="83" t="s">
        <v>149</v>
      </c>
      <c r="I14" s="83"/>
      <c r="J14" s="93"/>
      <c r="K14" s="308"/>
      <c r="L14" s="278"/>
      <c r="M14" s="279"/>
    </row>
    <row r="15" spans="1:16" ht="12" customHeight="1">
      <c r="A15" s="83">
        <f t="shared" si="1"/>
        <v>9</v>
      </c>
      <c r="B15" s="11" t="s">
        <v>462</v>
      </c>
      <c r="C15" s="21" t="s">
        <v>463</v>
      </c>
      <c r="D15" s="13" t="s">
        <v>150</v>
      </c>
      <c r="E15" s="85">
        <v>13</v>
      </c>
      <c r="F15" s="86"/>
      <c r="G15" s="87">
        <f t="shared" si="0"/>
        <v>13</v>
      </c>
      <c r="H15" s="83" t="s">
        <v>149</v>
      </c>
      <c r="I15" s="83"/>
      <c r="J15" s="93"/>
      <c r="K15" s="308"/>
      <c r="L15" s="278"/>
      <c r="M15" s="279"/>
      <c r="P15" s="75" t="s">
        <v>164</v>
      </c>
    </row>
    <row r="16" spans="1:16" ht="27" customHeight="1">
      <c r="A16" s="83">
        <f t="shared" si="1"/>
        <v>10</v>
      </c>
      <c r="B16" s="11" t="s">
        <v>464</v>
      </c>
      <c r="C16" s="19" t="s">
        <v>465</v>
      </c>
      <c r="D16" s="88" t="s">
        <v>150</v>
      </c>
      <c r="E16" s="85">
        <v>1</v>
      </c>
      <c r="F16" s="86"/>
      <c r="G16" s="87">
        <f t="shared" si="0"/>
        <v>1</v>
      </c>
      <c r="H16" s="83" t="s">
        <v>149</v>
      </c>
      <c r="I16" s="83"/>
      <c r="J16" s="93"/>
      <c r="K16" s="271" t="s">
        <v>171</v>
      </c>
      <c r="L16" s="272"/>
      <c r="M16" s="273"/>
    </row>
    <row r="17" spans="1:16" ht="12" customHeight="1">
      <c r="A17" s="83">
        <f t="shared" si="1"/>
        <v>11</v>
      </c>
      <c r="B17" s="11" t="s">
        <v>1232</v>
      </c>
      <c r="C17" s="21" t="s">
        <v>1233</v>
      </c>
      <c r="D17" s="13" t="s">
        <v>164</v>
      </c>
      <c r="E17" s="85"/>
      <c r="F17" s="86"/>
      <c r="G17" s="87">
        <f t="shared" si="0"/>
        <v>4</v>
      </c>
      <c r="H17" s="83" t="s">
        <v>149</v>
      </c>
      <c r="I17" s="83"/>
      <c r="J17" s="93"/>
      <c r="K17" s="308" t="s">
        <v>1234</v>
      </c>
      <c r="L17" s="278"/>
      <c r="M17" s="279"/>
    </row>
    <row r="18" spans="1:16" ht="12" customHeight="1">
      <c r="A18" s="83">
        <f t="shared" si="1"/>
        <v>12</v>
      </c>
      <c r="B18" s="11" t="s">
        <v>1235</v>
      </c>
      <c r="C18" s="21" t="s">
        <v>1236</v>
      </c>
      <c r="D18" s="13" t="s">
        <v>150</v>
      </c>
      <c r="E18" s="85">
        <v>13</v>
      </c>
      <c r="F18" s="86"/>
      <c r="G18" s="87">
        <f t="shared" si="0"/>
        <v>13</v>
      </c>
      <c r="H18" s="83" t="s">
        <v>149</v>
      </c>
      <c r="I18" s="83"/>
      <c r="J18" s="93"/>
      <c r="K18" s="308" t="s">
        <v>1237</v>
      </c>
      <c r="L18" s="278"/>
      <c r="M18" s="279"/>
      <c r="P18" s="75" t="s">
        <v>164</v>
      </c>
    </row>
    <row r="19" spans="1:16" ht="12" customHeight="1">
      <c r="A19" s="83">
        <f t="shared" si="1"/>
        <v>13</v>
      </c>
      <c r="B19" s="11" t="s">
        <v>1238</v>
      </c>
      <c r="C19" s="21" t="s">
        <v>1239</v>
      </c>
      <c r="D19" s="13" t="s">
        <v>150</v>
      </c>
      <c r="E19" s="85">
        <v>3</v>
      </c>
      <c r="F19" s="86"/>
      <c r="G19" s="87">
        <f t="shared" si="0"/>
        <v>3</v>
      </c>
      <c r="H19" s="83" t="s">
        <v>149</v>
      </c>
      <c r="I19" s="83"/>
      <c r="J19" s="93"/>
      <c r="K19" s="308" t="s">
        <v>1240</v>
      </c>
      <c r="L19" s="278"/>
      <c r="M19" s="279"/>
    </row>
    <row r="20" spans="1:16" ht="12" customHeight="1">
      <c r="A20" s="83">
        <f t="shared" si="1"/>
        <v>14</v>
      </c>
      <c r="B20" s="11" t="s">
        <v>991</v>
      </c>
      <c r="C20" s="84" t="s">
        <v>992</v>
      </c>
      <c r="D20" s="88" t="s">
        <v>150</v>
      </c>
      <c r="E20" s="85">
        <v>20</v>
      </c>
      <c r="F20" s="86"/>
      <c r="G20" s="87">
        <f t="shared" si="0"/>
        <v>20</v>
      </c>
      <c r="H20" s="83" t="s">
        <v>149</v>
      </c>
      <c r="I20" s="83"/>
      <c r="J20" s="93"/>
      <c r="K20" s="280"/>
      <c r="L20" s="275"/>
      <c r="M20" s="276"/>
    </row>
    <row r="21" spans="1:16" ht="27" customHeight="1">
      <c r="A21" s="83">
        <f t="shared" si="1"/>
        <v>15</v>
      </c>
      <c r="B21" s="11" t="s">
        <v>995</v>
      </c>
      <c r="C21" s="84" t="s">
        <v>996</v>
      </c>
      <c r="D21" s="88" t="s">
        <v>150</v>
      </c>
      <c r="E21" s="85">
        <v>12</v>
      </c>
      <c r="F21" s="86"/>
      <c r="G21" s="87">
        <f t="shared" si="0"/>
        <v>12</v>
      </c>
      <c r="H21" s="83" t="s">
        <v>149</v>
      </c>
      <c r="I21" s="83"/>
      <c r="J21" s="93"/>
      <c r="K21" s="280" t="s">
        <v>997</v>
      </c>
      <c r="L21" s="275"/>
      <c r="M21" s="276"/>
    </row>
    <row r="22" spans="1:16" ht="65.099999999999994" customHeight="1">
      <c r="A22" s="83">
        <f t="shared" si="1"/>
        <v>16</v>
      </c>
      <c r="B22" s="11" t="s">
        <v>999</v>
      </c>
      <c r="C22" s="84" t="s">
        <v>1000</v>
      </c>
      <c r="D22" s="88" t="s">
        <v>150</v>
      </c>
      <c r="E22" s="85">
        <v>24</v>
      </c>
      <c r="F22" s="86"/>
      <c r="G22" s="87">
        <f t="shared" si="0"/>
        <v>24</v>
      </c>
      <c r="H22" s="83" t="s">
        <v>149</v>
      </c>
      <c r="I22" s="83"/>
      <c r="J22" s="93"/>
      <c r="K22" s="280" t="s">
        <v>1001</v>
      </c>
      <c r="L22" s="275"/>
      <c r="M22" s="276"/>
    </row>
    <row r="23" spans="1:16" ht="65.25" customHeight="1">
      <c r="A23" s="83">
        <f t="shared" si="1"/>
        <v>17</v>
      </c>
      <c r="B23" s="11" t="s">
        <v>1003</v>
      </c>
      <c r="C23" s="84" t="s">
        <v>1004</v>
      </c>
      <c r="D23" s="88" t="s">
        <v>150</v>
      </c>
      <c r="E23" s="85">
        <v>2</v>
      </c>
      <c r="F23" s="86"/>
      <c r="G23" s="87">
        <f t="shared" si="0"/>
        <v>2</v>
      </c>
      <c r="H23" s="83" t="s">
        <v>149</v>
      </c>
      <c r="I23" s="83"/>
      <c r="J23" s="93"/>
      <c r="K23" s="280" t="s">
        <v>1005</v>
      </c>
      <c r="L23" s="275"/>
      <c r="M23" s="276"/>
    </row>
    <row r="24" spans="1:16" ht="12" customHeight="1">
      <c r="A24" s="83">
        <f t="shared" si="1"/>
        <v>18</v>
      </c>
      <c r="B24" s="11" t="s">
        <v>1007</v>
      </c>
      <c r="C24" s="84" t="s">
        <v>1008</v>
      </c>
      <c r="D24" s="88" t="s">
        <v>150</v>
      </c>
      <c r="E24" s="85">
        <v>3</v>
      </c>
      <c r="F24" s="86"/>
      <c r="G24" s="87">
        <f t="shared" si="0"/>
        <v>3</v>
      </c>
      <c r="H24" s="83" t="s">
        <v>149</v>
      </c>
      <c r="I24" s="83"/>
      <c r="J24" s="93"/>
      <c r="K24" s="274"/>
      <c r="L24" s="275"/>
      <c r="M24" s="276"/>
      <c r="P24" s="75" t="s">
        <v>174</v>
      </c>
    </row>
    <row r="25" spans="1:16" ht="12" customHeight="1">
      <c r="A25" s="83">
        <f t="shared" si="1"/>
        <v>19</v>
      </c>
      <c r="B25" s="11" t="s">
        <v>1014</v>
      </c>
      <c r="C25" s="84" t="s">
        <v>1015</v>
      </c>
      <c r="D25" s="88" t="s">
        <v>150</v>
      </c>
      <c r="E25" s="85">
        <v>3</v>
      </c>
      <c r="F25" s="86"/>
      <c r="G25" s="87">
        <f t="shared" si="0"/>
        <v>3</v>
      </c>
      <c r="H25" s="83" t="s">
        <v>149</v>
      </c>
      <c r="I25" s="83"/>
      <c r="J25" s="93"/>
      <c r="K25" s="84"/>
      <c r="L25" s="94"/>
      <c r="M25" s="95"/>
    </row>
    <row r="26" spans="1:16" ht="27" customHeight="1">
      <c r="A26" s="83">
        <f t="shared" si="1"/>
        <v>20</v>
      </c>
      <c r="B26" s="11" t="s">
        <v>1016</v>
      </c>
      <c r="C26" s="84" t="s">
        <v>1017</v>
      </c>
      <c r="D26" s="88" t="s">
        <v>150</v>
      </c>
      <c r="E26" s="85">
        <v>5</v>
      </c>
      <c r="F26" s="86"/>
      <c r="G26" s="87">
        <f t="shared" si="0"/>
        <v>5</v>
      </c>
      <c r="H26" s="83" t="s">
        <v>149</v>
      </c>
      <c r="I26" s="83"/>
      <c r="J26" s="93"/>
      <c r="K26" s="280" t="s">
        <v>1018</v>
      </c>
      <c r="L26" s="291"/>
      <c r="M26" s="292"/>
    </row>
    <row r="27" spans="1:16" ht="27" customHeight="1">
      <c r="A27" s="83">
        <f t="shared" si="1"/>
        <v>21</v>
      </c>
      <c r="B27" s="20" t="s">
        <v>1020</v>
      </c>
      <c r="C27" s="84" t="s">
        <v>1021</v>
      </c>
      <c r="D27" s="88" t="s">
        <v>150</v>
      </c>
      <c r="E27" s="85">
        <v>5</v>
      </c>
      <c r="F27" s="86"/>
      <c r="G27" s="87">
        <f t="shared" si="0"/>
        <v>5</v>
      </c>
      <c r="H27" s="83" t="s">
        <v>149</v>
      </c>
      <c r="I27" s="83"/>
      <c r="J27" s="93"/>
      <c r="K27" s="280" t="s">
        <v>1018</v>
      </c>
      <c r="L27" s="291"/>
      <c r="M27" s="292"/>
      <c r="P27" s="75" t="s">
        <v>195</v>
      </c>
    </row>
    <row r="28" spans="1:16" ht="28.5" customHeight="1">
      <c r="A28" s="83">
        <f t="shared" si="1"/>
        <v>22</v>
      </c>
      <c r="B28" s="11" t="s">
        <v>1023</v>
      </c>
      <c r="C28" s="21" t="s">
        <v>1024</v>
      </c>
      <c r="D28" s="13" t="s">
        <v>150</v>
      </c>
      <c r="E28" s="85">
        <v>1</v>
      </c>
      <c r="F28" s="86"/>
      <c r="G28" s="87">
        <f t="shared" si="0"/>
        <v>1</v>
      </c>
      <c r="H28" s="83" t="s">
        <v>149</v>
      </c>
      <c r="I28" s="83"/>
      <c r="J28" s="93"/>
      <c r="K28" s="271" t="s">
        <v>1025</v>
      </c>
      <c r="L28" s="272"/>
      <c r="M28" s="273"/>
    </row>
    <row r="29" spans="1:16" ht="12" customHeight="1">
      <c r="A29" s="83">
        <f t="shared" si="1"/>
        <v>23</v>
      </c>
      <c r="B29" s="11" t="s">
        <v>1241</v>
      </c>
      <c r="C29" s="21" t="s">
        <v>1242</v>
      </c>
      <c r="D29" s="88" t="s">
        <v>150</v>
      </c>
      <c r="E29" s="85">
        <v>15</v>
      </c>
      <c r="F29" s="86"/>
      <c r="G29" s="87">
        <f t="shared" si="0"/>
        <v>15</v>
      </c>
      <c r="H29" s="83" t="s">
        <v>149</v>
      </c>
      <c r="I29" s="83"/>
      <c r="J29" s="93"/>
      <c r="K29" s="280"/>
      <c r="L29" s="275"/>
      <c r="M29" s="276"/>
    </row>
    <row r="30" spans="1:16" ht="12" customHeight="1">
      <c r="A30" s="83">
        <f t="shared" si="1"/>
        <v>24</v>
      </c>
      <c r="B30" s="11" t="s">
        <v>1243</v>
      </c>
      <c r="C30" s="208" t="s">
        <v>1244</v>
      </c>
      <c r="D30" s="88" t="s">
        <v>150</v>
      </c>
      <c r="E30" s="85">
        <v>2</v>
      </c>
      <c r="F30" s="86"/>
      <c r="G30" s="87">
        <f t="shared" si="0"/>
        <v>2</v>
      </c>
      <c r="H30" s="83" t="s">
        <v>149</v>
      </c>
      <c r="I30" s="83"/>
      <c r="J30" s="93"/>
      <c r="K30" s="274"/>
      <c r="L30" s="275"/>
      <c r="M30" s="276"/>
    </row>
    <row r="31" spans="1:16" ht="12" customHeight="1">
      <c r="A31" s="83">
        <f t="shared" si="1"/>
        <v>25</v>
      </c>
      <c r="B31" s="11" t="s">
        <v>1245</v>
      </c>
      <c r="C31" s="22" t="s">
        <v>1246</v>
      </c>
      <c r="D31" s="30" t="s">
        <v>150</v>
      </c>
      <c r="E31" s="85">
        <v>2</v>
      </c>
      <c r="F31" s="86"/>
      <c r="G31" s="87">
        <f t="shared" si="0"/>
        <v>2</v>
      </c>
      <c r="H31" s="83" t="s">
        <v>149</v>
      </c>
      <c r="I31" s="83"/>
      <c r="J31" s="93"/>
      <c r="K31" s="271"/>
      <c r="L31" s="272"/>
      <c r="M31" s="273"/>
    </row>
    <row r="32" spans="1:16" ht="12" customHeight="1">
      <c r="A32" s="83">
        <f t="shared" si="1"/>
        <v>26</v>
      </c>
      <c r="B32" s="74" t="s">
        <v>232</v>
      </c>
      <c r="C32" s="84" t="s">
        <v>233</v>
      </c>
      <c r="D32" s="88" t="s">
        <v>234</v>
      </c>
      <c r="E32" s="85"/>
      <c r="F32" s="86"/>
      <c r="G32" s="87">
        <f t="shared" si="0"/>
        <v>10</v>
      </c>
      <c r="H32" s="83" t="s">
        <v>149</v>
      </c>
      <c r="I32" s="83"/>
      <c r="J32" s="93"/>
      <c r="K32" s="274"/>
      <c r="L32" s="275"/>
      <c r="M32" s="276"/>
    </row>
    <row r="33" spans="1:13" ht="12" customHeight="1">
      <c r="A33" s="83">
        <f t="shared" ref="A33:A50" si="2">IF(B33=""," ",A32+1)</f>
        <v>27</v>
      </c>
      <c r="B33" s="74" t="s">
        <v>447</v>
      </c>
      <c r="C33" s="84" t="s">
        <v>448</v>
      </c>
      <c r="D33" s="88" t="s">
        <v>234</v>
      </c>
      <c r="E33" s="85"/>
      <c r="F33" s="86"/>
      <c r="G33" s="87">
        <f t="shared" si="0"/>
        <v>10</v>
      </c>
      <c r="H33" s="83" t="s">
        <v>149</v>
      </c>
      <c r="I33" s="83"/>
      <c r="J33" s="93"/>
      <c r="K33" s="274" t="s">
        <v>449</v>
      </c>
      <c r="L33" s="275"/>
      <c r="M33" s="276"/>
    </row>
    <row r="34" spans="1:13" ht="12" customHeight="1">
      <c r="A34" s="83" t="str">
        <f t="shared" si="2"/>
        <v xml:space="preserve"> </v>
      </c>
      <c r="B34" s="20"/>
      <c r="C34" s="84"/>
      <c r="D34" s="88"/>
      <c r="E34" s="85"/>
      <c r="F34" s="86"/>
      <c r="G34" s="87"/>
      <c r="H34" s="83"/>
      <c r="I34" s="83"/>
      <c r="J34" s="93"/>
      <c r="K34" s="274"/>
      <c r="L34" s="275"/>
      <c r="M34" s="276"/>
    </row>
    <row r="35" spans="1:13" ht="12" customHeight="1">
      <c r="A35" s="83" t="str">
        <f t="shared" si="2"/>
        <v xml:space="preserve"> </v>
      </c>
      <c r="B35" s="20"/>
      <c r="C35" s="84"/>
      <c r="D35" s="88"/>
      <c r="E35" s="85"/>
      <c r="F35" s="86"/>
      <c r="G35" s="87"/>
      <c r="H35" s="83"/>
      <c r="I35" s="83"/>
      <c r="J35" s="93"/>
      <c r="K35" s="274"/>
      <c r="L35" s="275"/>
      <c r="M35" s="276"/>
    </row>
    <row r="36" spans="1:13" ht="12" customHeight="1">
      <c r="A36" s="83" t="str">
        <f t="shared" si="2"/>
        <v xml:space="preserve"> </v>
      </c>
      <c r="B36" s="74"/>
      <c r="C36" s="84"/>
      <c r="D36" s="88"/>
      <c r="E36" s="85"/>
      <c r="F36" s="86"/>
      <c r="G36" s="87"/>
      <c r="H36" s="83"/>
      <c r="I36" s="83"/>
      <c r="J36" s="93"/>
      <c r="K36" s="274"/>
      <c r="L36" s="275"/>
      <c r="M36" s="276"/>
    </row>
    <row r="37" spans="1:13" ht="12" customHeight="1">
      <c r="A37" s="83" t="str">
        <f t="shared" si="2"/>
        <v xml:space="preserve"> </v>
      </c>
      <c r="B37" s="74"/>
      <c r="C37" s="84"/>
      <c r="D37" s="88"/>
      <c r="E37" s="85"/>
      <c r="F37" s="86"/>
      <c r="G37" s="87"/>
      <c r="H37" s="83"/>
      <c r="I37" s="83"/>
      <c r="J37" s="93"/>
      <c r="K37" s="274"/>
      <c r="L37" s="275"/>
      <c r="M37" s="276"/>
    </row>
    <row r="38" spans="1:13" ht="12" customHeight="1">
      <c r="A38" s="83" t="str">
        <f t="shared" si="2"/>
        <v xml:space="preserve"> </v>
      </c>
      <c r="B38" s="74"/>
      <c r="C38" s="84"/>
      <c r="D38" s="88"/>
      <c r="E38" s="85"/>
      <c r="F38" s="86"/>
      <c r="G38" s="87"/>
      <c r="H38" s="83"/>
      <c r="I38" s="83"/>
      <c r="J38" s="93"/>
      <c r="K38" s="274"/>
      <c r="L38" s="275"/>
      <c r="M38" s="276"/>
    </row>
    <row r="39" spans="1:13" ht="12" customHeight="1">
      <c r="A39" s="83" t="str">
        <f t="shared" si="2"/>
        <v xml:space="preserve"> </v>
      </c>
      <c r="B39" s="74"/>
      <c r="C39" s="84"/>
      <c r="D39" s="88"/>
      <c r="E39" s="85"/>
      <c r="F39" s="86"/>
      <c r="G39" s="87"/>
      <c r="H39" s="83"/>
      <c r="I39" s="83"/>
      <c r="J39" s="93"/>
      <c r="K39" s="274"/>
      <c r="L39" s="275"/>
      <c r="M39" s="276"/>
    </row>
    <row r="40" spans="1:13" ht="12" customHeight="1">
      <c r="A40" s="83" t="str">
        <f t="shared" si="2"/>
        <v xml:space="preserve"> </v>
      </c>
      <c r="B40" s="74"/>
      <c r="C40" s="84"/>
      <c r="D40" s="88"/>
      <c r="E40" s="85"/>
      <c r="F40" s="86"/>
      <c r="G40" s="87"/>
      <c r="H40" s="83"/>
      <c r="I40" s="83"/>
      <c r="J40" s="93"/>
      <c r="K40" s="274"/>
      <c r="L40" s="275"/>
      <c r="M40" s="276"/>
    </row>
    <row r="41" spans="1:13" ht="12" customHeight="1">
      <c r="A41" s="83" t="str">
        <f t="shared" si="2"/>
        <v xml:space="preserve"> </v>
      </c>
      <c r="B41" s="74"/>
      <c r="C41" s="84"/>
      <c r="D41" s="88"/>
      <c r="E41" s="85"/>
      <c r="F41" s="86"/>
      <c r="G41" s="87"/>
      <c r="H41" s="83"/>
      <c r="I41" s="83"/>
      <c r="J41" s="93"/>
      <c r="K41" s="274"/>
      <c r="L41" s="275"/>
      <c r="M41" s="276"/>
    </row>
    <row r="42" spans="1:13" ht="12" customHeight="1">
      <c r="A42" s="83" t="str">
        <f t="shared" si="2"/>
        <v xml:space="preserve"> </v>
      </c>
      <c r="B42" s="74"/>
      <c r="C42" s="84"/>
      <c r="D42" s="88"/>
      <c r="E42" s="85"/>
      <c r="F42" s="86"/>
      <c r="G42" s="87"/>
      <c r="H42" s="83"/>
      <c r="I42" s="83"/>
      <c r="J42" s="93"/>
      <c r="K42" s="274"/>
      <c r="L42" s="275"/>
      <c r="M42" s="276"/>
    </row>
    <row r="43" spans="1:13" ht="12" customHeight="1">
      <c r="A43" s="83" t="str">
        <f t="shared" si="2"/>
        <v xml:space="preserve"> </v>
      </c>
      <c r="B43" s="74"/>
      <c r="C43" s="84"/>
      <c r="D43" s="88"/>
      <c r="E43" s="85"/>
      <c r="F43" s="86"/>
      <c r="G43" s="87"/>
      <c r="H43" s="83"/>
      <c r="I43" s="83"/>
      <c r="J43" s="93"/>
      <c r="K43" s="274"/>
      <c r="L43" s="275"/>
      <c r="M43" s="276"/>
    </row>
    <row r="44" spans="1:13" ht="12" customHeight="1">
      <c r="A44" s="83" t="str">
        <f t="shared" si="2"/>
        <v xml:space="preserve"> </v>
      </c>
      <c r="B44" s="74"/>
      <c r="C44" s="84"/>
      <c r="D44" s="88"/>
      <c r="E44" s="85"/>
      <c r="F44" s="86"/>
      <c r="G44" s="87"/>
      <c r="H44" s="83"/>
      <c r="I44" s="83"/>
      <c r="J44" s="93"/>
      <c r="K44" s="274"/>
      <c r="L44" s="275"/>
      <c r="M44" s="276"/>
    </row>
    <row r="45" spans="1:13" ht="12" customHeight="1">
      <c r="A45" s="83" t="str">
        <f t="shared" si="2"/>
        <v xml:space="preserve"> </v>
      </c>
      <c r="B45" s="74"/>
      <c r="C45" s="84"/>
      <c r="D45" s="88"/>
      <c r="E45" s="85"/>
      <c r="F45" s="86"/>
      <c r="G45" s="87"/>
      <c r="H45" s="83"/>
      <c r="I45" s="83"/>
      <c r="J45" s="93"/>
      <c r="K45" s="274"/>
      <c r="L45" s="275"/>
      <c r="M45" s="276"/>
    </row>
    <row r="46" spans="1:13" ht="12" customHeight="1">
      <c r="A46" s="83" t="str">
        <f t="shared" si="2"/>
        <v xml:space="preserve"> </v>
      </c>
      <c r="B46" s="74"/>
      <c r="C46" s="84"/>
      <c r="D46" s="88"/>
      <c r="E46" s="85"/>
      <c r="F46" s="86"/>
      <c r="G46" s="87"/>
      <c r="H46" s="83"/>
      <c r="I46" s="83"/>
      <c r="J46" s="93"/>
      <c r="K46" s="274"/>
      <c r="L46" s="275"/>
      <c r="M46" s="276"/>
    </row>
    <row r="47" spans="1:13" ht="12" customHeight="1">
      <c r="A47" s="83" t="str">
        <f t="shared" si="2"/>
        <v xml:space="preserve"> </v>
      </c>
      <c r="B47" s="74"/>
      <c r="C47" s="84"/>
      <c r="D47" s="88"/>
      <c r="E47" s="85"/>
      <c r="F47" s="86"/>
      <c r="G47" s="87"/>
      <c r="H47" s="83"/>
      <c r="I47" s="83"/>
      <c r="J47" s="93"/>
      <c r="K47" s="274"/>
      <c r="L47" s="275"/>
      <c r="M47" s="276"/>
    </row>
    <row r="48" spans="1:13" ht="12" customHeight="1">
      <c r="A48" s="83" t="str">
        <f t="shared" si="2"/>
        <v xml:space="preserve"> </v>
      </c>
      <c r="B48" s="74"/>
      <c r="C48" s="84"/>
      <c r="D48" s="88"/>
      <c r="E48" s="85"/>
      <c r="F48" s="86"/>
      <c r="G48" s="87"/>
      <c r="H48" s="83"/>
      <c r="I48" s="83"/>
      <c r="J48" s="93"/>
      <c r="K48" s="274"/>
      <c r="L48" s="275"/>
      <c r="M48" s="276"/>
    </row>
    <row r="49" spans="1:13" ht="12" customHeight="1">
      <c r="A49" s="83" t="str">
        <f t="shared" si="2"/>
        <v xml:space="preserve"> </v>
      </c>
      <c r="B49" s="74"/>
      <c r="C49" s="84"/>
      <c r="D49" s="88"/>
      <c r="E49" s="85"/>
      <c r="F49" s="86"/>
      <c r="G49" s="87"/>
      <c r="H49" s="83"/>
      <c r="I49" s="83"/>
      <c r="J49" s="93"/>
      <c r="K49" s="274"/>
      <c r="L49" s="275"/>
      <c r="M49" s="276"/>
    </row>
    <row r="50" spans="1:13" ht="12" customHeight="1">
      <c r="A50" s="83" t="str">
        <f t="shared" si="2"/>
        <v xml:space="preserve"> </v>
      </c>
      <c r="B50" s="74"/>
      <c r="C50" s="84"/>
      <c r="D50" s="88"/>
      <c r="E50" s="85"/>
      <c r="F50" s="86"/>
      <c r="G50" s="87"/>
      <c r="H50" s="83"/>
      <c r="I50" s="83"/>
      <c r="J50" s="93"/>
      <c r="K50" s="274"/>
      <c r="L50" s="275"/>
      <c r="M50" s="276"/>
    </row>
    <row r="51" spans="1:13" ht="12" customHeight="1">
      <c r="A51" s="83" t="str">
        <f t="shared" ref="A51:A58" si="3">IF(B51=""," ",A50+1)</f>
        <v xml:space="preserve"> </v>
      </c>
      <c r="B51" s="74"/>
      <c r="C51" s="84"/>
      <c r="D51" s="88"/>
      <c r="E51" s="85"/>
      <c r="F51" s="86"/>
      <c r="G51" s="87"/>
      <c r="H51" s="83"/>
      <c r="I51" s="83"/>
      <c r="J51" s="93"/>
      <c r="K51" s="274"/>
      <c r="L51" s="275"/>
      <c r="M51" s="276"/>
    </row>
    <row r="52" spans="1:13" ht="12" customHeight="1">
      <c r="A52" s="83" t="str">
        <f t="shared" si="3"/>
        <v xml:space="preserve"> </v>
      </c>
      <c r="B52" s="74"/>
      <c r="C52" s="84"/>
      <c r="D52" s="88"/>
      <c r="E52" s="85"/>
      <c r="F52" s="86"/>
      <c r="G52" s="87"/>
      <c r="H52" s="83"/>
      <c r="I52" s="83"/>
      <c r="J52" s="93"/>
      <c r="K52" s="274"/>
      <c r="L52" s="275"/>
      <c r="M52" s="276"/>
    </row>
    <row r="53" spans="1:13" ht="12" customHeight="1">
      <c r="A53" s="83" t="str">
        <f t="shared" si="3"/>
        <v xml:space="preserve"> </v>
      </c>
      <c r="B53" s="74"/>
      <c r="C53" s="84"/>
      <c r="D53" s="88"/>
      <c r="E53" s="85"/>
      <c r="F53" s="86"/>
      <c r="G53" s="87"/>
      <c r="H53" s="83"/>
      <c r="I53" s="83"/>
      <c r="J53" s="93"/>
      <c r="K53" s="274"/>
      <c r="L53" s="275"/>
      <c r="M53" s="276"/>
    </row>
    <row r="54" spans="1:13" ht="12" customHeight="1">
      <c r="A54" s="83" t="str">
        <f t="shared" si="3"/>
        <v xml:space="preserve"> </v>
      </c>
      <c r="B54" s="74"/>
      <c r="C54" s="84"/>
      <c r="D54" s="88"/>
      <c r="E54" s="85"/>
      <c r="F54" s="86"/>
      <c r="G54" s="87"/>
      <c r="H54" s="83"/>
      <c r="I54" s="83"/>
      <c r="J54" s="93"/>
      <c r="K54" s="274"/>
      <c r="L54" s="275"/>
      <c r="M54" s="276"/>
    </row>
    <row r="55" spans="1:13" ht="12" customHeight="1">
      <c r="A55" s="83" t="str">
        <f t="shared" si="3"/>
        <v xml:space="preserve"> </v>
      </c>
      <c r="B55" s="74"/>
      <c r="C55" s="84"/>
      <c r="D55" s="88"/>
      <c r="E55" s="85"/>
      <c r="F55" s="86"/>
      <c r="G55" s="87"/>
      <c r="H55" s="83"/>
      <c r="I55" s="83"/>
      <c r="J55" s="93"/>
      <c r="K55" s="274"/>
      <c r="L55" s="275"/>
      <c r="M55" s="276"/>
    </row>
    <row r="56" spans="1:13" ht="12" customHeight="1">
      <c r="A56" s="83" t="str">
        <f t="shared" si="3"/>
        <v xml:space="preserve"> </v>
      </c>
      <c r="B56" s="74"/>
      <c r="C56" s="84"/>
      <c r="D56" s="88"/>
      <c r="E56" s="85"/>
      <c r="F56" s="86"/>
      <c r="G56" s="87"/>
      <c r="H56" s="83"/>
      <c r="I56" s="83"/>
      <c r="J56" s="93"/>
      <c r="K56" s="274"/>
      <c r="L56" s="275"/>
      <c r="M56" s="276"/>
    </row>
    <row r="57" spans="1:13" ht="12" customHeight="1">
      <c r="A57" s="83" t="str">
        <f t="shared" si="3"/>
        <v xml:space="preserve"> </v>
      </c>
      <c r="B57" s="74"/>
      <c r="C57" s="84"/>
      <c r="D57" s="88"/>
      <c r="E57" s="85"/>
      <c r="F57" s="86"/>
      <c r="G57" s="87"/>
      <c r="H57" s="83"/>
      <c r="I57" s="83"/>
      <c r="J57" s="93"/>
      <c r="K57" s="274"/>
      <c r="L57" s="275"/>
      <c r="M57" s="276"/>
    </row>
    <row r="58" spans="1:13" ht="12" customHeight="1">
      <c r="A58" s="83" t="str">
        <f t="shared" si="3"/>
        <v xml:space="preserve"> </v>
      </c>
      <c r="B58" s="74"/>
      <c r="C58" s="84"/>
      <c r="D58" s="88"/>
      <c r="E58" s="85"/>
      <c r="F58" s="86"/>
      <c r="G58" s="87"/>
      <c r="H58" s="83"/>
      <c r="I58" s="83"/>
      <c r="J58" s="93"/>
      <c r="K58" s="274"/>
      <c r="L58" s="275"/>
      <c r="M58" s="276"/>
    </row>
    <row r="59" spans="1:13" ht="12" customHeight="1">
      <c r="A59" s="83" t="str">
        <f t="shared" ref="A59:A100" si="4">IF(B59=""," ",A58+1)</f>
        <v xml:space="preserve"> </v>
      </c>
      <c r="B59" s="74"/>
      <c r="C59" s="84"/>
      <c r="D59" s="88"/>
      <c r="E59" s="85"/>
      <c r="F59" s="86"/>
      <c r="G59" s="87"/>
      <c r="H59" s="83"/>
      <c r="I59" s="83"/>
      <c r="J59" s="93"/>
      <c r="K59" s="274"/>
      <c r="L59" s="275"/>
      <c r="M59" s="276"/>
    </row>
    <row r="60" spans="1:13" ht="12" customHeight="1">
      <c r="A60" s="83" t="str">
        <f t="shared" si="4"/>
        <v xml:space="preserve"> </v>
      </c>
      <c r="B60" s="74"/>
      <c r="C60" s="84"/>
      <c r="D60" s="88"/>
      <c r="E60" s="85"/>
      <c r="F60" s="86"/>
      <c r="G60" s="87"/>
      <c r="H60" s="83"/>
      <c r="I60" s="83"/>
      <c r="J60" s="93"/>
      <c r="K60" s="274"/>
      <c r="L60" s="275"/>
      <c r="M60" s="276"/>
    </row>
    <row r="61" spans="1:13" ht="12" customHeight="1">
      <c r="A61" s="83" t="str">
        <f t="shared" si="4"/>
        <v xml:space="preserve"> </v>
      </c>
      <c r="B61" s="74"/>
      <c r="C61" s="84"/>
      <c r="D61" s="88"/>
      <c r="E61" s="85"/>
      <c r="F61" s="86"/>
      <c r="G61" s="87"/>
      <c r="H61" s="83"/>
      <c r="I61" s="83"/>
      <c r="J61" s="93"/>
      <c r="K61" s="274"/>
      <c r="L61" s="275"/>
      <c r="M61" s="276"/>
    </row>
    <row r="62" spans="1:13" ht="12" customHeight="1">
      <c r="A62" s="83" t="str">
        <f t="shared" si="4"/>
        <v xml:space="preserve"> </v>
      </c>
      <c r="B62" s="74"/>
      <c r="C62" s="84"/>
      <c r="D62" s="88"/>
      <c r="E62" s="85"/>
      <c r="F62" s="86"/>
      <c r="G62" s="87"/>
      <c r="H62" s="83"/>
      <c r="I62" s="83"/>
      <c r="J62" s="93"/>
      <c r="K62" s="274"/>
      <c r="L62" s="275"/>
      <c r="M62" s="276"/>
    </row>
    <row r="63" spans="1:13" ht="12" customHeight="1">
      <c r="A63" s="83" t="str">
        <f t="shared" si="4"/>
        <v xml:space="preserve"> </v>
      </c>
      <c r="B63" s="74"/>
      <c r="C63" s="84"/>
      <c r="D63" s="88"/>
      <c r="E63" s="85"/>
      <c r="F63" s="86"/>
      <c r="G63" s="87"/>
      <c r="H63" s="83"/>
      <c r="I63" s="83"/>
      <c r="J63" s="93"/>
      <c r="K63" s="274"/>
      <c r="L63" s="275"/>
      <c r="M63" s="276"/>
    </row>
    <row r="64" spans="1:13" ht="12" customHeight="1">
      <c r="A64" s="83" t="str">
        <f t="shared" si="4"/>
        <v xml:space="preserve"> </v>
      </c>
      <c r="B64" s="74"/>
      <c r="C64" s="84"/>
      <c r="D64" s="88"/>
      <c r="E64" s="85"/>
      <c r="F64" s="86"/>
      <c r="G64" s="87"/>
      <c r="H64" s="83"/>
      <c r="I64" s="83"/>
      <c r="J64" s="93"/>
      <c r="K64" s="274"/>
      <c r="L64" s="275"/>
      <c r="M64" s="276"/>
    </row>
    <row r="65" spans="1:13" ht="12" customHeight="1">
      <c r="A65" s="83" t="str">
        <f t="shared" si="4"/>
        <v xml:space="preserve"> </v>
      </c>
      <c r="B65" s="74"/>
      <c r="C65" s="84"/>
      <c r="D65" s="88"/>
      <c r="E65" s="85"/>
      <c r="F65" s="86"/>
      <c r="G65" s="87"/>
      <c r="H65" s="83"/>
      <c r="I65" s="83"/>
      <c r="J65" s="93"/>
      <c r="K65" s="274"/>
      <c r="L65" s="275"/>
      <c r="M65" s="276"/>
    </row>
    <row r="66" spans="1:13" ht="12" customHeight="1">
      <c r="A66" s="83" t="str">
        <f t="shared" si="4"/>
        <v xml:space="preserve"> </v>
      </c>
      <c r="B66" s="74"/>
      <c r="C66" s="84"/>
      <c r="D66" s="88"/>
      <c r="E66" s="85"/>
      <c r="F66" s="86"/>
      <c r="G66" s="87"/>
      <c r="H66" s="83"/>
      <c r="I66" s="83"/>
      <c r="J66" s="93"/>
      <c r="K66" s="274"/>
      <c r="L66" s="275"/>
      <c r="M66" s="276"/>
    </row>
    <row r="67" spans="1:13" ht="12" customHeight="1">
      <c r="A67" s="83" t="str">
        <f t="shared" si="4"/>
        <v xml:space="preserve"> </v>
      </c>
      <c r="B67" s="74"/>
      <c r="C67" s="84"/>
      <c r="D67" s="88"/>
      <c r="E67" s="85"/>
      <c r="F67" s="86"/>
      <c r="G67" s="87"/>
      <c r="H67" s="83"/>
      <c r="I67" s="83"/>
      <c r="J67" s="93"/>
      <c r="K67" s="274"/>
      <c r="L67" s="275"/>
      <c r="M67" s="276"/>
    </row>
    <row r="68" spans="1:13" ht="12" customHeight="1">
      <c r="A68" s="83" t="str">
        <f t="shared" si="4"/>
        <v xml:space="preserve"> </v>
      </c>
      <c r="B68" s="74"/>
      <c r="C68" s="84"/>
      <c r="D68" s="88"/>
      <c r="E68" s="85"/>
      <c r="F68" s="86"/>
      <c r="G68" s="87"/>
      <c r="H68" s="83"/>
      <c r="I68" s="83"/>
      <c r="J68" s="93"/>
      <c r="K68" s="274"/>
      <c r="L68" s="275"/>
      <c r="M68" s="276"/>
    </row>
    <row r="69" spans="1:13" ht="12" customHeight="1">
      <c r="A69" s="83" t="str">
        <f t="shared" si="4"/>
        <v xml:space="preserve"> </v>
      </c>
      <c r="B69" s="74"/>
      <c r="C69" s="84"/>
      <c r="D69" s="88"/>
      <c r="E69" s="85"/>
      <c r="F69" s="86"/>
      <c r="G69" s="87"/>
      <c r="H69" s="83"/>
      <c r="I69" s="83"/>
      <c r="J69" s="93"/>
      <c r="K69" s="274"/>
      <c r="L69" s="275"/>
      <c r="M69" s="276"/>
    </row>
    <row r="70" spans="1:13" ht="12" customHeight="1">
      <c r="A70" s="83" t="str">
        <f t="shared" si="4"/>
        <v xml:space="preserve"> </v>
      </c>
      <c r="B70" s="74"/>
      <c r="C70" s="84"/>
      <c r="D70" s="88"/>
      <c r="E70" s="85"/>
      <c r="F70" s="86"/>
      <c r="G70" s="87"/>
      <c r="H70" s="83"/>
      <c r="I70" s="83"/>
      <c r="J70" s="93"/>
      <c r="K70" s="274"/>
      <c r="L70" s="275"/>
      <c r="M70" s="276"/>
    </row>
    <row r="71" spans="1:13" ht="12" customHeight="1">
      <c r="A71" s="83" t="str">
        <f t="shared" si="4"/>
        <v xml:space="preserve"> </v>
      </c>
      <c r="B71" s="74"/>
      <c r="C71" s="84"/>
      <c r="D71" s="88"/>
      <c r="E71" s="85"/>
      <c r="F71" s="86"/>
      <c r="G71" s="87"/>
      <c r="H71" s="83"/>
      <c r="I71" s="83"/>
      <c r="J71" s="93"/>
      <c r="K71" s="274"/>
      <c r="L71" s="275"/>
      <c r="M71" s="276"/>
    </row>
    <row r="72" spans="1:13" ht="12" customHeight="1">
      <c r="A72" s="83" t="str">
        <f t="shared" si="4"/>
        <v xml:space="preserve"> </v>
      </c>
      <c r="B72" s="74"/>
      <c r="C72" s="84"/>
      <c r="D72" s="88"/>
      <c r="E72" s="85"/>
      <c r="F72" s="86"/>
      <c r="G72" s="87"/>
      <c r="H72" s="83"/>
      <c r="I72" s="83"/>
      <c r="J72" s="93"/>
      <c r="K72" s="274"/>
      <c r="L72" s="275"/>
      <c r="M72" s="276"/>
    </row>
    <row r="73" spans="1:13" ht="12" customHeight="1">
      <c r="A73" s="83" t="str">
        <f t="shared" si="4"/>
        <v xml:space="preserve"> </v>
      </c>
      <c r="B73" s="74"/>
      <c r="C73" s="84"/>
      <c r="D73" s="88"/>
      <c r="E73" s="85"/>
      <c r="F73" s="86"/>
      <c r="G73" s="87"/>
      <c r="H73" s="83"/>
      <c r="I73" s="83"/>
      <c r="J73" s="93"/>
      <c r="K73" s="274"/>
      <c r="L73" s="275"/>
      <c r="M73" s="276"/>
    </row>
    <row r="74" spans="1:13" ht="12" customHeight="1">
      <c r="A74" s="83" t="str">
        <f t="shared" si="4"/>
        <v xml:space="preserve"> </v>
      </c>
      <c r="B74" s="74"/>
      <c r="C74" s="84"/>
      <c r="D74" s="88"/>
      <c r="E74" s="85"/>
      <c r="F74" s="86"/>
      <c r="G74" s="87"/>
      <c r="H74" s="83"/>
      <c r="I74" s="83"/>
      <c r="J74" s="93"/>
      <c r="K74" s="274"/>
      <c r="L74" s="275"/>
      <c r="M74" s="276"/>
    </row>
    <row r="75" spans="1:13" ht="12" customHeight="1">
      <c r="A75" s="83" t="str">
        <f t="shared" si="4"/>
        <v xml:space="preserve"> </v>
      </c>
      <c r="B75" s="74"/>
      <c r="C75" s="84"/>
      <c r="D75" s="88"/>
      <c r="E75" s="85"/>
      <c r="F75" s="86"/>
      <c r="G75" s="87"/>
      <c r="H75" s="83"/>
      <c r="I75" s="83"/>
      <c r="J75" s="93"/>
      <c r="K75" s="274"/>
      <c r="L75" s="275"/>
      <c r="M75" s="276"/>
    </row>
    <row r="76" spans="1:13" ht="12" customHeight="1">
      <c r="A76" s="83" t="str">
        <f t="shared" si="4"/>
        <v xml:space="preserve"> </v>
      </c>
      <c r="B76" s="74"/>
      <c r="C76" s="84"/>
      <c r="D76" s="88"/>
      <c r="E76" s="85"/>
      <c r="F76" s="86"/>
      <c r="G76" s="87"/>
      <c r="H76" s="83"/>
      <c r="I76" s="83"/>
      <c r="J76" s="93"/>
      <c r="K76" s="274"/>
      <c r="L76" s="275"/>
      <c r="M76" s="276"/>
    </row>
    <row r="77" spans="1:13" ht="12" customHeight="1">
      <c r="A77" s="83" t="str">
        <f t="shared" si="4"/>
        <v xml:space="preserve"> </v>
      </c>
      <c r="B77" s="74"/>
      <c r="C77" s="84"/>
      <c r="D77" s="88"/>
      <c r="E77" s="85"/>
      <c r="F77" s="86"/>
      <c r="G77" s="87"/>
      <c r="H77" s="83"/>
      <c r="I77" s="83"/>
      <c r="J77" s="93"/>
      <c r="K77" s="274"/>
      <c r="L77" s="275"/>
      <c r="M77" s="276"/>
    </row>
    <row r="78" spans="1:13" ht="12" customHeight="1">
      <c r="A78" s="83" t="str">
        <f t="shared" si="4"/>
        <v xml:space="preserve"> </v>
      </c>
      <c r="B78" s="74"/>
      <c r="C78" s="84"/>
      <c r="D78" s="88"/>
      <c r="E78" s="85"/>
      <c r="F78" s="86"/>
      <c r="G78" s="87"/>
      <c r="H78" s="83"/>
      <c r="I78" s="83"/>
      <c r="J78" s="93"/>
      <c r="K78" s="274"/>
      <c r="L78" s="275"/>
      <c r="M78" s="276"/>
    </row>
    <row r="79" spans="1:13" ht="12" customHeight="1">
      <c r="A79" s="83" t="str">
        <f t="shared" si="4"/>
        <v xml:space="preserve"> </v>
      </c>
      <c r="B79" s="74"/>
      <c r="C79" s="84"/>
      <c r="D79" s="88"/>
      <c r="E79" s="85"/>
      <c r="F79" s="86"/>
      <c r="G79" s="87"/>
      <c r="H79" s="83"/>
      <c r="I79" s="83"/>
      <c r="J79" s="93"/>
      <c r="K79" s="274"/>
      <c r="L79" s="275"/>
      <c r="M79" s="276"/>
    </row>
    <row r="80" spans="1:13" ht="12" customHeight="1">
      <c r="A80" s="83" t="str">
        <f t="shared" si="4"/>
        <v xml:space="preserve"> </v>
      </c>
      <c r="B80" s="74"/>
      <c r="C80" s="84"/>
      <c r="D80" s="88"/>
      <c r="E80" s="85"/>
      <c r="F80" s="86"/>
      <c r="G80" s="87"/>
      <c r="H80" s="83"/>
      <c r="I80" s="83"/>
      <c r="J80" s="93"/>
      <c r="K80" s="274"/>
      <c r="L80" s="275"/>
      <c r="M80" s="276"/>
    </row>
    <row r="81" spans="1:13" ht="12" customHeight="1">
      <c r="A81" s="83" t="str">
        <f t="shared" si="4"/>
        <v xml:space="preserve"> </v>
      </c>
      <c r="B81" s="74"/>
      <c r="C81" s="84"/>
      <c r="D81" s="88"/>
      <c r="E81" s="85"/>
      <c r="F81" s="86"/>
      <c r="G81" s="87"/>
      <c r="H81" s="83"/>
      <c r="I81" s="83"/>
      <c r="J81" s="93"/>
      <c r="K81" s="274"/>
      <c r="L81" s="275"/>
      <c r="M81" s="276"/>
    </row>
    <row r="82" spans="1:13" ht="12" customHeight="1">
      <c r="A82" s="83" t="str">
        <f t="shared" si="4"/>
        <v xml:space="preserve"> </v>
      </c>
      <c r="B82" s="74"/>
      <c r="C82" s="84"/>
      <c r="D82" s="88"/>
      <c r="E82" s="85"/>
      <c r="F82" s="86"/>
      <c r="G82" s="87"/>
      <c r="H82" s="83"/>
      <c r="I82" s="83"/>
      <c r="J82" s="93"/>
      <c r="K82" s="274"/>
      <c r="L82" s="275"/>
      <c r="M82" s="276"/>
    </row>
    <row r="83" spans="1:13" ht="12" customHeight="1">
      <c r="A83" s="83" t="str">
        <f t="shared" si="4"/>
        <v xml:space="preserve"> </v>
      </c>
      <c r="B83" s="74"/>
      <c r="C83" s="84"/>
      <c r="D83" s="88"/>
      <c r="E83" s="85"/>
      <c r="F83" s="86"/>
      <c r="G83" s="87"/>
      <c r="H83" s="83"/>
      <c r="I83" s="83"/>
      <c r="J83" s="93"/>
      <c r="K83" s="274"/>
      <c r="L83" s="275"/>
      <c r="M83" s="276"/>
    </row>
    <row r="84" spans="1:13" ht="12" customHeight="1">
      <c r="A84" s="83" t="str">
        <f t="shared" si="4"/>
        <v xml:space="preserve"> </v>
      </c>
      <c r="B84" s="74"/>
      <c r="C84" s="84"/>
      <c r="D84" s="88"/>
      <c r="E84" s="85"/>
      <c r="F84" s="86"/>
      <c r="G84" s="87"/>
      <c r="H84" s="83"/>
      <c r="I84" s="83"/>
      <c r="J84" s="93"/>
      <c r="K84" s="274"/>
      <c r="L84" s="275"/>
      <c r="M84" s="276"/>
    </row>
    <row r="85" spans="1:13" ht="12" customHeight="1">
      <c r="A85" s="83" t="str">
        <f t="shared" si="4"/>
        <v xml:space="preserve"> </v>
      </c>
      <c r="B85" s="74"/>
      <c r="C85" s="84"/>
      <c r="D85" s="88"/>
      <c r="E85" s="85"/>
      <c r="F85" s="86"/>
      <c r="G85" s="87"/>
      <c r="H85" s="83"/>
      <c r="I85" s="83"/>
      <c r="J85" s="93"/>
      <c r="K85" s="274"/>
      <c r="L85" s="275"/>
      <c r="M85" s="276"/>
    </row>
    <row r="86" spans="1:13" ht="12" customHeight="1">
      <c r="A86" s="83" t="str">
        <f t="shared" si="4"/>
        <v xml:space="preserve"> </v>
      </c>
      <c r="B86" s="74"/>
      <c r="C86" s="84"/>
      <c r="D86" s="88"/>
      <c r="E86" s="85"/>
      <c r="F86" s="86"/>
      <c r="G86" s="87"/>
      <c r="H86" s="83"/>
      <c r="I86" s="83"/>
      <c r="J86" s="93"/>
      <c r="K86" s="274"/>
      <c r="L86" s="275"/>
      <c r="M86" s="276"/>
    </row>
    <row r="87" spans="1:13" ht="12" customHeight="1">
      <c r="A87" s="83" t="str">
        <f t="shared" si="4"/>
        <v xml:space="preserve"> </v>
      </c>
      <c r="B87" s="74"/>
      <c r="C87" s="84"/>
      <c r="D87" s="88"/>
      <c r="E87" s="85"/>
      <c r="F87" s="86"/>
      <c r="G87" s="87"/>
      <c r="H87" s="83"/>
      <c r="I87" s="83"/>
      <c r="J87" s="93"/>
      <c r="K87" s="274"/>
      <c r="L87" s="275"/>
      <c r="M87" s="276"/>
    </row>
    <row r="88" spans="1:13" ht="12" customHeight="1">
      <c r="A88" s="83" t="str">
        <f t="shared" si="4"/>
        <v xml:space="preserve"> </v>
      </c>
      <c r="B88" s="74"/>
      <c r="C88" s="84"/>
      <c r="D88" s="88"/>
      <c r="E88" s="85"/>
      <c r="F88" s="86"/>
      <c r="G88" s="87"/>
      <c r="H88" s="83"/>
      <c r="I88" s="83"/>
      <c r="J88" s="93"/>
      <c r="K88" s="274"/>
      <c r="L88" s="275"/>
      <c r="M88" s="276"/>
    </row>
    <row r="89" spans="1:13" ht="12" customHeight="1">
      <c r="A89" s="83" t="str">
        <f t="shared" si="4"/>
        <v xml:space="preserve"> </v>
      </c>
      <c r="B89" s="74"/>
      <c r="C89" s="84"/>
      <c r="D89" s="88"/>
      <c r="E89" s="85"/>
      <c r="F89" s="86"/>
      <c r="G89" s="87"/>
      <c r="H89" s="83"/>
      <c r="I89" s="83"/>
      <c r="J89" s="93"/>
      <c r="K89" s="274"/>
      <c r="L89" s="275"/>
      <c r="M89" s="276"/>
    </row>
    <row r="90" spans="1:13" ht="12" customHeight="1">
      <c r="A90" s="83" t="str">
        <f t="shared" si="4"/>
        <v xml:space="preserve"> </v>
      </c>
      <c r="B90" s="74"/>
      <c r="C90" s="84"/>
      <c r="D90" s="88"/>
      <c r="E90" s="85"/>
      <c r="F90" s="86"/>
      <c r="G90" s="87"/>
      <c r="H90" s="83"/>
      <c r="I90" s="83"/>
      <c r="J90" s="93"/>
      <c r="K90" s="274"/>
      <c r="L90" s="275"/>
      <c r="M90" s="276"/>
    </row>
    <row r="91" spans="1:13" ht="12" customHeight="1">
      <c r="A91" s="83" t="str">
        <f t="shared" si="4"/>
        <v xml:space="preserve"> </v>
      </c>
      <c r="B91" s="74"/>
      <c r="C91" s="84"/>
      <c r="D91" s="88"/>
      <c r="E91" s="85"/>
      <c r="F91" s="86"/>
      <c r="G91" s="87"/>
      <c r="H91" s="83"/>
      <c r="I91" s="83"/>
      <c r="J91" s="93"/>
      <c r="K91" s="274"/>
      <c r="L91" s="275"/>
      <c r="M91" s="276"/>
    </row>
    <row r="92" spans="1:13" ht="12" customHeight="1">
      <c r="A92" s="83" t="str">
        <f t="shared" si="4"/>
        <v xml:space="preserve"> </v>
      </c>
      <c r="B92" s="74"/>
      <c r="C92" s="84"/>
      <c r="D92" s="88"/>
      <c r="E92" s="85"/>
      <c r="F92" s="86"/>
      <c r="G92" s="87"/>
      <c r="H92" s="83"/>
      <c r="I92" s="83"/>
      <c r="J92" s="93"/>
      <c r="K92" s="274"/>
      <c r="L92" s="275"/>
      <c r="M92" s="276"/>
    </row>
    <row r="93" spans="1:13" ht="12" customHeight="1">
      <c r="A93" s="83" t="str">
        <f t="shared" si="4"/>
        <v xml:space="preserve"> </v>
      </c>
      <c r="B93" s="74"/>
      <c r="C93" s="84"/>
      <c r="D93" s="88"/>
      <c r="E93" s="85"/>
      <c r="F93" s="86"/>
      <c r="G93" s="87"/>
      <c r="H93" s="83"/>
      <c r="I93" s="83"/>
      <c r="J93" s="93"/>
      <c r="K93" s="274"/>
      <c r="L93" s="275"/>
      <c r="M93" s="276"/>
    </row>
    <row r="94" spans="1:13" ht="12" customHeight="1">
      <c r="A94" s="83" t="str">
        <f t="shared" si="4"/>
        <v xml:space="preserve"> </v>
      </c>
      <c r="B94" s="74"/>
      <c r="C94" s="84"/>
      <c r="D94" s="88"/>
      <c r="E94" s="85"/>
      <c r="F94" s="86"/>
      <c r="G94" s="87"/>
      <c r="H94" s="83"/>
      <c r="I94" s="83"/>
      <c r="J94" s="93"/>
      <c r="K94" s="274"/>
      <c r="L94" s="275"/>
      <c r="M94" s="276"/>
    </row>
    <row r="95" spans="1:13" ht="12" customHeight="1">
      <c r="A95" s="83" t="str">
        <f t="shared" si="4"/>
        <v xml:space="preserve"> </v>
      </c>
      <c r="B95" s="74"/>
      <c r="C95" s="84"/>
      <c r="D95" s="88"/>
      <c r="E95" s="85"/>
      <c r="F95" s="86"/>
      <c r="G95" s="87"/>
      <c r="H95" s="83"/>
      <c r="I95" s="83"/>
      <c r="J95" s="93"/>
      <c r="K95" s="274"/>
      <c r="L95" s="275"/>
      <c r="M95" s="276"/>
    </row>
    <row r="96" spans="1:13" ht="12" customHeight="1">
      <c r="A96" s="83" t="str">
        <f t="shared" si="4"/>
        <v xml:space="preserve"> </v>
      </c>
      <c r="B96" s="74"/>
      <c r="C96" s="84"/>
      <c r="D96" s="88"/>
      <c r="E96" s="85"/>
      <c r="F96" s="86"/>
      <c r="G96" s="87"/>
      <c r="H96" s="83"/>
      <c r="I96" s="83"/>
      <c r="J96" s="93"/>
      <c r="K96" s="274"/>
      <c r="L96" s="275"/>
      <c r="M96" s="276"/>
    </row>
    <row r="97" spans="1:13" ht="12" customHeight="1">
      <c r="A97" s="83" t="str">
        <f t="shared" si="4"/>
        <v xml:space="preserve"> </v>
      </c>
      <c r="B97" s="74"/>
      <c r="C97" s="84"/>
      <c r="D97" s="88"/>
      <c r="E97" s="85"/>
      <c r="F97" s="86"/>
      <c r="G97" s="87"/>
      <c r="H97" s="83"/>
      <c r="I97" s="83"/>
      <c r="J97" s="93"/>
      <c r="K97" s="274"/>
      <c r="L97" s="275"/>
      <c r="M97" s="276"/>
    </row>
    <row r="98" spans="1:13" ht="12" customHeight="1">
      <c r="A98" s="83" t="str">
        <f t="shared" si="4"/>
        <v xml:space="preserve"> </v>
      </c>
      <c r="B98" s="74"/>
      <c r="C98" s="84"/>
      <c r="D98" s="88"/>
      <c r="E98" s="85"/>
      <c r="F98" s="86"/>
      <c r="G98" s="87"/>
      <c r="H98" s="83"/>
      <c r="I98" s="83"/>
      <c r="J98" s="93"/>
      <c r="K98" s="274"/>
      <c r="L98" s="275"/>
      <c r="M98" s="276"/>
    </row>
    <row r="99" spans="1:13" ht="12" customHeight="1">
      <c r="A99" s="83" t="str">
        <f t="shared" si="4"/>
        <v xml:space="preserve"> </v>
      </c>
      <c r="B99" s="74"/>
      <c r="C99" s="84"/>
      <c r="D99" s="88"/>
      <c r="E99" s="85"/>
      <c r="F99" s="86"/>
      <c r="G99" s="87"/>
      <c r="H99" s="83"/>
      <c r="I99" s="83"/>
      <c r="J99" s="93"/>
      <c r="K99" s="274"/>
      <c r="L99" s="275"/>
      <c r="M99" s="276"/>
    </row>
    <row r="100" spans="1:13" ht="12" customHeight="1">
      <c r="A100" s="83" t="str">
        <f t="shared" si="4"/>
        <v xml:space="preserve"> </v>
      </c>
      <c r="B100" s="74"/>
      <c r="C100" s="84"/>
      <c r="D100" s="88"/>
      <c r="E100" s="85"/>
      <c r="F100" s="86"/>
      <c r="G100" s="87"/>
      <c r="H100" s="83"/>
      <c r="I100" s="83"/>
      <c r="J100" s="93"/>
      <c r="K100" s="274"/>
      <c r="L100" s="275"/>
      <c r="M100" s="276"/>
    </row>
    <row r="102" spans="1:13">
      <c r="B102" s="75" t="s">
        <v>235</v>
      </c>
    </row>
    <row r="104" spans="1:13">
      <c r="B104" s="75" t="s">
        <v>236</v>
      </c>
      <c r="C104" s="75" t="s">
        <v>237</v>
      </c>
    </row>
    <row r="106" spans="1:13">
      <c r="B106" s="75" t="s">
        <v>236</v>
      </c>
      <c r="C106" s="75" t="s">
        <v>588</v>
      </c>
    </row>
    <row r="108" spans="1:13">
      <c r="B108" s="75" t="s">
        <v>236</v>
      </c>
      <c r="C108" s="75" t="s">
        <v>238</v>
      </c>
    </row>
    <row r="110" spans="1:13">
      <c r="B110" s="75" t="s">
        <v>239</v>
      </c>
      <c r="C110" s="75" t="s">
        <v>240</v>
      </c>
    </row>
    <row r="111" spans="1:13">
      <c r="C111" s="75" t="s">
        <v>241</v>
      </c>
    </row>
    <row r="113" spans="2:4">
      <c r="B113" s="75" t="s">
        <v>239</v>
      </c>
      <c r="C113" s="75" t="s">
        <v>1182</v>
      </c>
    </row>
    <row r="114" spans="2:4">
      <c r="C114" s="75" t="s">
        <v>1183</v>
      </c>
    </row>
    <row r="115" spans="2:4">
      <c r="C115" s="75" t="s">
        <v>1184</v>
      </c>
    </row>
    <row r="116" spans="2:4">
      <c r="C116" s="75" t="s">
        <v>1185</v>
      </c>
    </row>
    <row r="117" spans="2:4">
      <c r="C117" s="75" t="s">
        <v>1186</v>
      </c>
    </row>
    <row r="119" spans="2:4">
      <c r="B119" s="100" t="s">
        <v>456</v>
      </c>
      <c r="C119" s="75" t="s">
        <v>457</v>
      </c>
      <c r="D119" s="75" t="s">
        <v>458</v>
      </c>
    </row>
  </sheetData>
  <mergeCells count="107">
    <mergeCell ref="K95:M95"/>
    <mergeCell ref="K96:M96"/>
    <mergeCell ref="K97:M97"/>
    <mergeCell ref="K98:M98"/>
    <mergeCell ref="K99:M99"/>
    <mergeCell ref="K100:M100"/>
    <mergeCell ref="A5:A6"/>
    <mergeCell ref="K5:M6"/>
    <mergeCell ref="K86:M86"/>
    <mergeCell ref="K87:M87"/>
    <mergeCell ref="K88:M88"/>
    <mergeCell ref="K89:M89"/>
    <mergeCell ref="K90:M90"/>
    <mergeCell ref="K91:M91"/>
    <mergeCell ref="K92:M92"/>
    <mergeCell ref="K93:M93"/>
    <mergeCell ref="K94:M94"/>
    <mergeCell ref="K77:M77"/>
    <mergeCell ref="K78:M78"/>
    <mergeCell ref="K79:M79"/>
    <mergeCell ref="K80:M80"/>
    <mergeCell ref="K81:M81"/>
    <mergeCell ref="K82:M82"/>
    <mergeCell ref="K83:M83"/>
    <mergeCell ref="K84:M84"/>
    <mergeCell ref="K85:M85"/>
    <mergeCell ref="K68:M68"/>
    <mergeCell ref="K69:M69"/>
    <mergeCell ref="K70:M70"/>
    <mergeCell ref="K71:M71"/>
    <mergeCell ref="K72:M72"/>
    <mergeCell ref="K73:M73"/>
    <mergeCell ref="K74:M74"/>
    <mergeCell ref="K75:M75"/>
    <mergeCell ref="K76:M76"/>
    <mergeCell ref="K59:M59"/>
    <mergeCell ref="K60:M60"/>
    <mergeCell ref="K61:M61"/>
    <mergeCell ref="K62:M62"/>
    <mergeCell ref="K63:M63"/>
    <mergeCell ref="K64:M64"/>
    <mergeCell ref="K65:M65"/>
    <mergeCell ref="K66:M66"/>
    <mergeCell ref="K67:M67"/>
    <mergeCell ref="K50:M50"/>
    <mergeCell ref="K51:M51"/>
    <mergeCell ref="K52:M52"/>
    <mergeCell ref="K53:M53"/>
    <mergeCell ref="K54:M54"/>
    <mergeCell ref="K55:M55"/>
    <mergeCell ref="K56:M56"/>
    <mergeCell ref="K57:M57"/>
    <mergeCell ref="K58:M58"/>
    <mergeCell ref="K41:M41"/>
    <mergeCell ref="K42:M42"/>
    <mergeCell ref="K43:M43"/>
    <mergeCell ref="K44:M44"/>
    <mergeCell ref="K45:M45"/>
    <mergeCell ref="K46:M46"/>
    <mergeCell ref="K47:M47"/>
    <mergeCell ref="K48:M48"/>
    <mergeCell ref="K49:M49"/>
    <mergeCell ref="K32:M32"/>
    <mergeCell ref="K33:M33"/>
    <mergeCell ref="K34:M34"/>
    <mergeCell ref="K35:M35"/>
    <mergeCell ref="K36:M36"/>
    <mergeCell ref="K37:M37"/>
    <mergeCell ref="K38:M38"/>
    <mergeCell ref="K39:M39"/>
    <mergeCell ref="K40:M40"/>
    <mergeCell ref="K22:M22"/>
    <mergeCell ref="K23:M23"/>
    <mergeCell ref="K24:M24"/>
    <mergeCell ref="K26:M26"/>
    <mergeCell ref="K27:M27"/>
    <mergeCell ref="K28:M28"/>
    <mergeCell ref="K29:M29"/>
    <mergeCell ref="K30:M30"/>
    <mergeCell ref="K31:M31"/>
    <mergeCell ref="K13:M13"/>
    <mergeCell ref="K14:M14"/>
    <mergeCell ref="K15:M15"/>
    <mergeCell ref="K16:M16"/>
    <mergeCell ref="K17:M17"/>
    <mergeCell ref="K18:M18"/>
    <mergeCell ref="K19:M19"/>
    <mergeCell ref="K20:M20"/>
    <mergeCell ref="K21:M21"/>
    <mergeCell ref="B5:C5"/>
    <mergeCell ref="D5:H5"/>
    <mergeCell ref="I5:J5"/>
    <mergeCell ref="K7:M7"/>
    <mergeCell ref="K8:M8"/>
    <mergeCell ref="K9:M9"/>
    <mergeCell ref="K10:M10"/>
    <mergeCell ref="K11:M11"/>
    <mergeCell ref="K12:M12"/>
    <mergeCell ref="A2:B2"/>
    <mergeCell ref="C2:G2"/>
    <mergeCell ref="H2:J2"/>
    <mergeCell ref="A3:B3"/>
    <mergeCell ref="C3:G3"/>
    <mergeCell ref="H3:I3"/>
    <mergeCell ref="A4:B4"/>
    <mergeCell ref="C4:G4"/>
    <mergeCell ref="H4:I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pageSetUpPr fitToPage="1"/>
  </sheetPr>
  <dimension ref="A1:Q119"/>
  <sheetViews>
    <sheetView showGridLines="0" workbookViewId="0">
      <pane ySplit="6" topLeftCell="A7" activePane="bottomLeft" state="frozen"/>
      <selection pane="bottomLeft"/>
    </sheetView>
  </sheetViews>
  <sheetFormatPr defaultColWidth="9" defaultRowHeight="12" customHeight="1"/>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1247</v>
      </c>
      <c r="D3" s="265"/>
      <c r="E3" s="265"/>
      <c r="F3" s="265"/>
      <c r="G3" s="266"/>
      <c r="H3" s="259" t="s">
        <v>140</v>
      </c>
      <c r="I3" s="260"/>
      <c r="J3" s="90">
        <f>COUNT(A7:A98)</f>
        <v>31</v>
      </c>
      <c r="K3" s="78" t="s">
        <v>141</v>
      </c>
      <c r="L3" s="91">
        <v>38644</v>
      </c>
      <c r="M3" s="92" t="s">
        <v>142</v>
      </c>
      <c r="O3" s="75" t="s">
        <v>143</v>
      </c>
      <c r="P3" s="75" t="s">
        <v>144</v>
      </c>
    </row>
    <row r="4" spans="1:16" ht="12" customHeight="1">
      <c r="A4" s="267" t="s">
        <v>145</v>
      </c>
      <c r="B4" s="268"/>
      <c r="C4" s="267" t="s">
        <v>41</v>
      </c>
      <c r="D4" s="269"/>
      <c r="E4" s="269"/>
      <c r="F4" s="269"/>
      <c r="G4" s="268"/>
      <c r="H4" s="259" t="s">
        <v>146</v>
      </c>
      <c r="I4" s="260"/>
      <c r="J4" s="90">
        <f>SUM(G7:G98)</f>
        <v>273</v>
      </c>
      <c r="K4" s="78" t="s">
        <v>147</v>
      </c>
      <c r="L4" s="91">
        <v>39102</v>
      </c>
      <c r="M4" s="83" t="s">
        <v>1248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84" t="s">
        <v>163</v>
      </c>
      <c r="D7" s="13" t="s">
        <v>164</v>
      </c>
      <c r="E7" s="85"/>
      <c r="F7" s="86"/>
      <c r="G7" s="87">
        <f t="shared" ref="G7:G37" si="0">IF(D7="DATE",4,IF(D7="CHAR",E7,IF(D7="SMALLINT",2,IF(D7="INTEGER",4,IF(D7="TIMESTAMP",10,IF(D7="TIME",3,0))))))</f>
        <v>4</v>
      </c>
      <c r="H7" s="83" t="s">
        <v>149</v>
      </c>
      <c r="I7" s="83" t="s">
        <v>149</v>
      </c>
      <c r="J7" s="93"/>
      <c r="K7" s="308"/>
      <c r="L7" s="278"/>
      <c r="M7" s="279"/>
      <c r="P7" s="75" t="s">
        <v>165</v>
      </c>
    </row>
    <row r="8" spans="1:16" ht="12" customHeight="1">
      <c r="A8" s="83">
        <f t="shared" ref="A8:A39" si="1">IF(B8=""," ",A7+1)</f>
        <v>2</v>
      </c>
      <c r="B8" s="11" t="s">
        <v>166</v>
      </c>
      <c r="C8" s="84" t="s">
        <v>167</v>
      </c>
      <c r="D8" s="13" t="s">
        <v>150</v>
      </c>
      <c r="E8" s="85">
        <v>11</v>
      </c>
      <c r="F8" s="86"/>
      <c r="G8" s="87">
        <f t="shared" si="0"/>
        <v>11</v>
      </c>
      <c r="H8" s="83" t="s">
        <v>149</v>
      </c>
      <c r="I8" s="83" t="s">
        <v>149</v>
      </c>
      <c r="J8" s="93"/>
      <c r="K8" s="308"/>
      <c r="L8" s="278"/>
      <c r="M8" s="279"/>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t="s">
        <v>149</v>
      </c>
      <c r="J10" s="93"/>
      <c r="K10" s="277" t="s">
        <v>175</v>
      </c>
      <c r="L10" s="278"/>
      <c r="M10" s="279"/>
    </row>
    <row r="11" spans="1:16" ht="12" customHeight="1">
      <c r="A11" s="83">
        <f t="shared" si="1"/>
        <v>5</v>
      </c>
      <c r="B11" s="11" t="s">
        <v>646</v>
      </c>
      <c r="C11" s="84" t="s">
        <v>647</v>
      </c>
      <c r="D11" s="88" t="s">
        <v>150</v>
      </c>
      <c r="E11" s="85">
        <v>16</v>
      </c>
      <c r="F11" s="86"/>
      <c r="G11" s="87">
        <f t="shared" si="0"/>
        <v>16</v>
      </c>
      <c r="H11" s="83" t="s">
        <v>149</v>
      </c>
      <c r="I11" s="83" t="s">
        <v>149</v>
      </c>
      <c r="J11" s="93"/>
      <c r="K11" s="308" t="s">
        <v>648</v>
      </c>
      <c r="L11" s="278"/>
      <c r="M11" s="279"/>
    </row>
    <row r="12" spans="1:16" ht="12" customHeight="1">
      <c r="A12" s="83">
        <f t="shared" si="1"/>
        <v>6</v>
      </c>
      <c r="B12" s="21" t="s">
        <v>596</v>
      </c>
      <c r="C12" s="84" t="s">
        <v>597</v>
      </c>
      <c r="D12" s="88" t="s">
        <v>150</v>
      </c>
      <c r="E12" s="85">
        <v>7</v>
      </c>
      <c r="F12" s="86"/>
      <c r="G12" s="87">
        <f t="shared" si="0"/>
        <v>7</v>
      </c>
      <c r="H12" s="83" t="s">
        <v>149</v>
      </c>
      <c r="I12" s="83" t="s">
        <v>149</v>
      </c>
      <c r="J12" s="93"/>
      <c r="K12" s="308"/>
      <c r="L12" s="278"/>
      <c r="M12" s="279"/>
    </row>
    <row r="13" spans="1:16" ht="12" customHeight="1">
      <c r="A13" s="83">
        <f t="shared" si="1"/>
        <v>7</v>
      </c>
      <c r="B13" s="11" t="s">
        <v>243</v>
      </c>
      <c r="C13" s="84" t="s">
        <v>244</v>
      </c>
      <c r="D13" s="88" t="s">
        <v>150</v>
      </c>
      <c r="E13" s="85">
        <v>7</v>
      </c>
      <c r="F13" s="86"/>
      <c r="G13" s="87">
        <f t="shared" si="0"/>
        <v>7</v>
      </c>
      <c r="H13" s="83" t="s">
        <v>149</v>
      </c>
      <c r="I13" s="83"/>
      <c r="J13" s="93"/>
      <c r="K13" s="274"/>
      <c r="L13" s="275"/>
      <c r="M13" s="276"/>
    </row>
    <row r="14" spans="1:16" ht="12" customHeight="1">
      <c r="A14" s="83">
        <f t="shared" si="1"/>
        <v>8</v>
      </c>
      <c r="B14" s="11" t="s">
        <v>271</v>
      </c>
      <c r="C14" s="84" t="s">
        <v>272</v>
      </c>
      <c r="D14" s="88" t="s">
        <v>150</v>
      </c>
      <c r="E14" s="85">
        <v>40</v>
      </c>
      <c r="F14" s="86"/>
      <c r="G14" s="87">
        <f t="shared" si="0"/>
        <v>40</v>
      </c>
      <c r="H14" s="83" t="s">
        <v>149</v>
      </c>
      <c r="I14" s="83"/>
      <c r="J14" s="93"/>
      <c r="K14" s="274"/>
      <c r="L14" s="275"/>
      <c r="M14" s="276"/>
      <c r="N14" s="123"/>
    </row>
    <row r="15" spans="1:16" ht="99" customHeight="1">
      <c r="A15" s="83">
        <f t="shared" si="1"/>
        <v>9</v>
      </c>
      <c r="B15" s="11" t="s">
        <v>281</v>
      </c>
      <c r="C15" s="84" t="s">
        <v>282</v>
      </c>
      <c r="D15" s="88" t="s">
        <v>150</v>
      </c>
      <c r="E15" s="85">
        <v>60</v>
      </c>
      <c r="F15" s="86"/>
      <c r="G15" s="87">
        <f t="shared" si="0"/>
        <v>60</v>
      </c>
      <c r="H15" s="83" t="s">
        <v>149</v>
      </c>
      <c r="I15" s="83"/>
      <c r="J15" s="93"/>
      <c r="K15" s="336" t="s">
        <v>1249</v>
      </c>
      <c r="L15" s="300"/>
      <c r="M15" s="301"/>
      <c r="N15" s="123"/>
    </row>
    <row r="16" spans="1:16" ht="12" customHeight="1">
      <c r="A16" s="83">
        <f t="shared" si="1"/>
        <v>10</v>
      </c>
      <c r="B16" s="73" t="s">
        <v>291</v>
      </c>
      <c r="C16" s="84" t="s">
        <v>292</v>
      </c>
      <c r="D16" s="88" t="s">
        <v>150</v>
      </c>
      <c r="E16" s="85">
        <v>1</v>
      </c>
      <c r="F16" s="86"/>
      <c r="G16" s="87">
        <f t="shared" si="0"/>
        <v>1</v>
      </c>
      <c r="H16" s="83" t="s">
        <v>149</v>
      </c>
      <c r="I16" s="83"/>
      <c r="J16" s="93"/>
      <c r="K16" s="280" t="s">
        <v>293</v>
      </c>
      <c r="L16" s="291"/>
      <c r="M16" s="292"/>
      <c r="N16" s="122"/>
      <c r="O16" s="99"/>
      <c r="P16" s="99"/>
    </row>
    <row r="17" spans="1:16" ht="50.25" customHeight="1">
      <c r="A17" s="83">
        <f t="shared" si="1"/>
        <v>11</v>
      </c>
      <c r="B17" s="11" t="s">
        <v>300</v>
      </c>
      <c r="C17" s="84" t="s">
        <v>301</v>
      </c>
      <c r="D17" s="88" t="s">
        <v>150</v>
      </c>
      <c r="E17" s="85">
        <v>3</v>
      </c>
      <c r="F17" s="86"/>
      <c r="G17" s="87">
        <f t="shared" si="0"/>
        <v>3</v>
      </c>
      <c r="H17" s="83" t="s">
        <v>149</v>
      </c>
      <c r="I17" s="83"/>
      <c r="J17" s="93"/>
      <c r="K17" s="271" t="s">
        <v>1250</v>
      </c>
      <c r="L17" s="272"/>
      <c r="M17" s="273"/>
      <c r="N17" s="209"/>
      <c r="O17" s="210"/>
      <c r="P17" s="210"/>
    </row>
    <row r="18" spans="1:16" ht="51.75" customHeight="1">
      <c r="A18" s="83">
        <f t="shared" si="1"/>
        <v>12</v>
      </c>
      <c r="B18" s="73" t="s">
        <v>303</v>
      </c>
      <c r="C18" s="84" t="s">
        <v>304</v>
      </c>
      <c r="D18" s="88" t="s">
        <v>150</v>
      </c>
      <c r="E18" s="85">
        <v>1</v>
      </c>
      <c r="F18" s="86"/>
      <c r="G18" s="87">
        <f t="shared" si="0"/>
        <v>1</v>
      </c>
      <c r="H18" s="83" t="s">
        <v>149</v>
      </c>
      <c r="I18" s="83"/>
      <c r="J18" s="93"/>
      <c r="K18" s="280" t="s">
        <v>1251</v>
      </c>
      <c r="L18" s="291"/>
      <c r="M18" s="292"/>
      <c r="N18" s="209"/>
      <c r="O18" s="210"/>
      <c r="P18" s="210"/>
    </row>
    <row r="19" spans="1:16" ht="12" customHeight="1">
      <c r="A19" s="83">
        <f t="shared" si="1"/>
        <v>13</v>
      </c>
      <c r="B19" s="20" t="s">
        <v>818</v>
      </c>
      <c r="C19" s="84" t="s">
        <v>819</v>
      </c>
      <c r="D19" s="88" t="s">
        <v>150</v>
      </c>
      <c r="E19" s="85">
        <v>4</v>
      </c>
      <c r="F19" s="86"/>
      <c r="G19" s="87">
        <f t="shared" si="0"/>
        <v>4</v>
      </c>
      <c r="H19" s="83" t="s">
        <v>149</v>
      </c>
      <c r="I19" s="83"/>
      <c r="J19" s="93"/>
      <c r="K19" s="280"/>
      <c r="L19" s="281"/>
      <c r="M19" s="282"/>
    </row>
    <row r="20" spans="1:16" ht="12" customHeight="1">
      <c r="A20" s="83">
        <f t="shared" si="1"/>
        <v>14</v>
      </c>
      <c r="B20" s="20" t="s">
        <v>957</v>
      </c>
      <c r="C20" s="84" t="s">
        <v>958</v>
      </c>
      <c r="D20" s="88" t="s">
        <v>150</v>
      </c>
      <c r="E20" s="85">
        <v>4</v>
      </c>
      <c r="F20" s="86"/>
      <c r="G20" s="87">
        <f t="shared" si="0"/>
        <v>4</v>
      </c>
      <c r="H20" s="83" t="s">
        <v>149</v>
      </c>
      <c r="I20" s="83"/>
      <c r="J20" s="93"/>
      <c r="K20" s="96"/>
      <c r="L20" s="97"/>
      <c r="M20" s="98"/>
    </row>
    <row r="21" spans="1:16" ht="12" customHeight="1">
      <c r="A21" s="83">
        <f t="shared" si="1"/>
        <v>15</v>
      </c>
      <c r="B21" s="20" t="s">
        <v>960</v>
      </c>
      <c r="C21" s="84" t="s">
        <v>961</v>
      </c>
      <c r="D21" s="88" t="s">
        <v>150</v>
      </c>
      <c r="E21" s="85">
        <v>6</v>
      </c>
      <c r="F21" s="86"/>
      <c r="G21" s="87">
        <f t="shared" si="0"/>
        <v>6</v>
      </c>
      <c r="H21" s="83" t="s">
        <v>149</v>
      </c>
      <c r="I21" s="83"/>
      <c r="J21" s="93"/>
      <c r="K21" s="280" t="s">
        <v>962</v>
      </c>
      <c r="L21" s="281"/>
      <c r="M21" s="282"/>
    </row>
    <row r="22" spans="1:16" ht="12" customHeight="1">
      <c r="A22" s="83">
        <f t="shared" si="1"/>
        <v>16</v>
      </c>
      <c r="B22" s="11" t="s">
        <v>991</v>
      </c>
      <c r="C22" s="84" t="s">
        <v>992</v>
      </c>
      <c r="D22" s="88" t="s">
        <v>150</v>
      </c>
      <c r="E22" s="85">
        <v>20</v>
      </c>
      <c r="F22" s="86"/>
      <c r="G22" s="87">
        <f t="shared" si="0"/>
        <v>20</v>
      </c>
      <c r="H22" s="83" t="s">
        <v>149</v>
      </c>
      <c r="I22" s="83"/>
      <c r="J22" s="93"/>
      <c r="K22" s="280"/>
      <c r="L22" s="275"/>
      <c r="M22" s="276"/>
    </row>
    <row r="23" spans="1:16" ht="36.75" customHeight="1">
      <c r="A23" s="83">
        <f t="shared" si="1"/>
        <v>17</v>
      </c>
      <c r="B23" s="11" t="s">
        <v>1010</v>
      </c>
      <c r="C23" s="84" t="s">
        <v>1011</v>
      </c>
      <c r="D23" s="88" t="s">
        <v>150</v>
      </c>
      <c r="E23" s="85">
        <v>24</v>
      </c>
      <c r="F23" s="86"/>
      <c r="G23" s="87">
        <f t="shared" si="0"/>
        <v>24</v>
      </c>
      <c r="H23" s="83" t="s">
        <v>149</v>
      </c>
      <c r="I23" s="83"/>
      <c r="J23" s="93"/>
      <c r="K23" s="280" t="s">
        <v>1252</v>
      </c>
      <c r="L23" s="291"/>
      <c r="M23" s="292"/>
      <c r="P23" s="75" t="s">
        <v>174</v>
      </c>
    </row>
    <row r="24" spans="1:16" ht="27" customHeight="1">
      <c r="A24" s="83">
        <f t="shared" si="1"/>
        <v>18</v>
      </c>
      <c r="B24" s="11" t="s">
        <v>1016</v>
      </c>
      <c r="C24" s="84" t="s">
        <v>1017</v>
      </c>
      <c r="D24" s="88" t="s">
        <v>150</v>
      </c>
      <c r="E24" s="85">
        <v>5</v>
      </c>
      <c r="F24" s="86"/>
      <c r="G24" s="87">
        <f t="shared" si="0"/>
        <v>5</v>
      </c>
      <c r="H24" s="83" t="s">
        <v>149</v>
      </c>
      <c r="I24" s="83"/>
      <c r="J24" s="93"/>
      <c r="K24" s="280" t="s">
        <v>1018</v>
      </c>
      <c r="L24" s="291"/>
      <c r="M24" s="292"/>
    </row>
    <row r="25" spans="1:16" ht="27" customHeight="1">
      <c r="A25" s="83">
        <f t="shared" si="1"/>
        <v>19</v>
      </c>
      <c r="B25" s="20" t="s">
        <v>1020</v>
      </c>
      <c r="C25" s="84" t="s">
        <v>1021</v>
      </c>
      <c r="D25" s="88" t="s">
        <v>150</v>
      </c>
      <c r="E25" s="85">
        <v>5</v>
      </c>
      <c r="F25" s="86"/>
      <c r="G25" s="87">
        <f t="shared" si="0"/>
        <v>5</v>
      </c>
      <c r="H25" s="83" t="s">
        <v>149</v>
      </c>
      <c r="I25" s="83"/>
      <c r="J25" s="93"/>
      <c r="K25" s="280" t="s">
        <v>1018</v>
      </c>
      <c r="L25" s="291"/>
      <c r="M25" s="292"/>
      <c r="P25" s="75" t="s">
        <v>195</v>
      </c>
    </row>
    <row r="26" spans="1:16" ht="94.5" customHeight="1">
      <c r="A26" s="83">
        <f t="shared" si="1"/>
        <v>20</v>
      </c>
      <c r="B26" s="20" t="s">
        <v>1043</v>
      </c>
      <c r="C26" s="84" t="s">
        <v>1044</v>
      </c>
      <c r="D26" s="88" t="s">
        <v>150</v>
      </c>
      <c r="E26" s="85">
        <v>1</v>
      </c>
      <c r="F26" s="86"/>
      <c r="G26" s="87">
        <f t="shared" si="0"/>
        <v>1</v>
      </c>
      <c r="H26" s="83" t="s">
        <v>149</v>
      </c>
      <c r="I26" s="83"/>
      <c r="J26" s="93"/>
      <c r="K26" s="280" t="s">
        <v>1045</v>
      </c>
      <c r="L26" s="281"/>
      <c r="M26" s="282"/>
    </row>
    <row r="27" spans="1:16" ht="98.25" customHeight="1">
      <c r="A27" s="83">
        <f t="shared" si="1"/>
        <v>21</v>
      </c>
      <c r="B27" s="20" t="s">
        <v>1047</v>
      </c>
      <c r="C27" s="84" t="s">
        <v>1048</v>
      </c>
      <c r="D27" s="88" t="s">
        <v>150</v>
      </c>
      <c r="E27" s="85">
        <v>1</v>
      </c>
      <c r="F27" s="86"/>
      <c r="G27" s="87">
        <f t="shared" si="0"/>
        <v>1</v>
      </c>
      <c r="H27" s="83" t="s">
        <v>149</v>
      </c>
      <c r="I27" s="83"/>
      <c r="J27" s="93"/>
      <c r="K27" s="280" t="s">
        <v>1045</v>
      </c>
      <c r="L27" s="281"/>
      <c r="M27" s="282"/>
    </row>
    <row r="28" spans="1:16" ht="94.5" customHeight="1">
      <c r="A28" s="83">
        <f t="shared" si="1"/>
        <v>22</v>
      </c>
      <c r="B28" s="20" t="s">
        <v>1049</v>
      </c>
      <c r="C28" s="84" t="s">
        <v>1050</v>
      </c>
      <c r="D28" s="88" t="s">
        <v>150</v>
      </c>
      <c r="E28" s="85">
        <v>1</v>
      </c>
      <c r="F28" s="86"/>
      <c r="G28" s="87">
        <f t="shared" si="0"/>
        <v>1</v>
      </c>
      <c r="H28" s="83" t="s">
        <v>149</v>
      </c>
      <c r="I28" s="83"/>
      <c r="J28" s="93"/>
      <c r="K28" s="280" t="s">
        <v>1045</v>
      </c>
      <c r="L28" s="281"/>
      <c r="M28" s="282"/>
    </row>
    <row r="29" spans="1:16" ht="12" customHeight="1">
      <c r="A29" s="83">
        <f t="shared" si="1"/>
        <v>23</v>
      </c>
      <c r="B29" s="20" t="s">
        <v>1051</v>
      </c>
      <c r="C29" s="84" t="s">
        <v>1052</v>
      </c>
      <c r="D29" s="88" t="s">
        <v>150</v>
      </c>
      <c r="E29" s="85">
        <v>1</v>
      </c>
      <c r="F29" s="86"/>
      <c r="G29" s="87">
        <f t="shared" si="0"/>
        <v>1</v>
      </c>
      <c r="H29" s="83" t="s">
        <v>149</v>
      </c>
      <c r="I29" s="83"/>
      <c r="J29" s="93"/>
      <c r="K29" s="280" t="s">
        <v>1053</v>
      </c>
      <c r="L29" s="281"/>
      <c r="M29" s="282"/>
    </row>
    <row r="30" spans="1:16" ht="12" customHeight="1">
      <c r="A30" s="83">
        <f t="shared" si="1"/>
        <v>24</v>
      </c>
      <c r="B30" s="20" t="s">
        <v>1055</v>
      </c>
      <c r="C30" s="84" t="s">
        <v>1056</v>
      </c>
      <c r="D30" s="88" t="s">
        <v>150</v>
      </c>
      <c r="E30" s="85">
        <v>1</v>
      </c>
      <c r="F30" s="86"/>
      <c r="G30" s="87">
        <f t="shared" si="0"/>
        <v>1</v>
      </c>
      <c r="H30" s="83" t="s">
        <v>149</v>
      </c>
      <c r="I30" s="83"/>
      <c r="J30" s="93"/>
      <c r="K30" s="280" t="s">
        <v>1053</v>
      </c>
      <c r="L30" s="281"/>
      <c r="M30" s="282"/>
    </row>
    <row r="31" spans="1:16" ht="12" customHeight="1">
      <c r="A31" s="83">
        <f t="shared" si="1"/>
        <v>25</v>
      </c>
      <c r="B31" s="20" t="s">
        <v>1057</v>
      </c>
      <c r="C31" s="84" t="s">
        <v>1058</v>
      </c>
      <c r="D31" s="88" t="s">
        <v>150</v>
      </c>
      <c r="E31" s="85">
        <v>1</v>
      </c>
      <c r="F31" s="86"/>
      <c r="G31" s="87">
        <f t="shared" si="0"/>
        <v>1</v>
      </c>
      <c r="H31" s="83" t="s">
        <v>149</v>
      </c>
      <c r="I31" s="83"/>
      <c r="J31" s="93"/>
      <c r="K31" s="280" t="s">
        <v>1053</v>
      </c>
      <c r="L31" s="281"/>
      <c r="M31" s="282"/>
    </row>
    <row r="32" spans="1:16" ht="12" customHeight="1">
      <c r="A32" s="83">
        <f t="shared" si="1"/>
        <v>26</v>
      </c>
      <c r="B32" s="11" t="s">
        <v>1241</v>
      </c>
      <c r="C32" s="21" t="s">
        <v>1242</v>
      </c>
      <c r="D32" s="88" t="s">
        <v>150</v>
      </c>
      <c r="E32" s="85">
        <v>15</v>
      </c>
      <c r="F32" s="86"/>
      <c r="G32" s="87">
        <f t="shared" si="0"/>
        <v>15</v>
      </c>
      <c r="H32" s="83" t="s">
        <v>149</v>
      </c>
      <c r="I32" s="83"/>
      <c r="J32" s="93"/>
      <c r="K32" s="280"/>
      <c r="L32" s="275"/>
      <c r="M32" s="276"/>
    </row>
    <row r="33" spans="1:14" ht="12" customHeight="1">
      <c r="A33" s="83">
        <f t="shared" si="1"/>
        <v>27</v>
      </c>
      <c r="B33" s="11" t="s">
        <v>1243</v>
      </c>
      <c r="C33" s="208" t="s">
        <v>1244</v>
      </c>
      <c r="D33" s="88" t="s">
        <v>150</v>
      </c>
      <c r="E33" s="85">
        <v>2</v>
      </c>
      <c r="F33" s="86"/>
      <c r="G33" s="87">
        <f t="shared" si="0"/>
        <v>2</v>
      </c>
      <c r="H33" s="83" t="s">
        <v>149</v>
      </c>
      <c r="I33" s="83"/>
      <c r="J33" s="93"/>
      <c r="K33" s="274"/>
      <c r="L33" s="275"/>
      <c r="M33" s="276"/>
    </row>
    <row r="34" spans="1:14" ht="12" customHeight="1">
      <c r="A34" s="83">
        <f t="shared" si="1"/>
        <v>28</v>
      </c>
      <c r="B34" s="11" t="s">
        <v>1245</v>
      </c>
      <c r="C34" s="22" t="s">
        <v>1246</v>
      </c>
      <c r="D34" s="30" t="s">
        <v>150</v>
      </c>
      <c r="E34" s="85">
        <v>2</v>
      </c>
      <c r="F34" s="86"/>
      <c r="G34" s="87">
        <f t="shared" si="0"/>
        <v>2</v>
      </c>
      <c r="H34" s="83" t="s">
        <v>149</v>
      </c>
      <c r="I34" s="83"/>
      <c r="J34" s="93"/>
      <c r="K34" s="271"/>
      <c r="L34" s="272"/>
      <c r="M34" s="273"/>
    </row>
    <row r="35" spans="1:14" ht="12" customHeight="1">
      <c r="A35" s="83">
        <f t="shared" si="1"/>
        <v>29</v>
      </c>
      <c r="B35" s="74" t="s">
        <v>1096</v>
      </c>
      <c r="C35" s="84" t="s">
        <v>1097</v>
      </c>
      <c r="D35" s="88" t="s">
        <v>234</v>
      </c>
      <c r="E35" s="85"/>
      <c r="F35" s="86"/>
      <c r="G35" s="87">
        <f t="shared" si="0"/>
        <v>10</v>
      </c>
      <c r="H35" s="83" t="s">
        <v>149</v>
      </c>
      <c r="I35" s="83"/>
      <c r="J35" s="93"/>
      <c r="K35" s="280"/>
      <c r="L35" s="291"/>
      <c r="M35" s="292"/>
      <c r="N35" s="99"/>
    </row>
    <row r="36" spans="1:14" ht="12" customHeight="1">
      <c r="A36" s="83">
        <f t="shared" si="1"/>
        <v>30</v>
      </c>
      <c r="B36" s="74" t="s">
        <v>232</v>
      </c>
      <c r="C36" s="84" t="s">
        <v>233</v>
      </c>
      <c r="D36" s="88" t="s">
        <v>234</v>
      </c>
      <c r="E36" s="85"/>
      <c r="F36" s="86"/>
      <c r="G36" s="87">
        <f t="shared" si="0"/>
        <v>10</v>
      </c>
      <c r="H36" s="83" t="s">
        <v>149</v>
      </c>
      <c r="I36" s="83"/>
      <c r="J36" s="93"/>
      <c r="K36" s="84"/>
      <c r="L36" s="94"/>
      <c r="M36" s="95"/>
    </row>
    <row r="37" spans="1:14" ht="12" customHeight="1">
      <c r="A37" s="83">
        <f t="shared" si="1"/>
        <v>31</v>
      </c>
      <c r="B37" s="74" t="s">
        <v>444</v>
      </c>
      <c r="C37" s="84" t="s">
        <v>445</v>
      </c>
      <c r="D37" s="88" t="s">
        <v>150</v>
      </c>
      <c r="E37" s="85">
        <v>7</v>
      </c>
      <c r="F37" s="86"/>
      <c r="G37" s="87">
        <f t="shared" si="0"/>
        <v>7</v>
      </c>
      <c r="H37" s="83" t="s">
        <v>149</v>
      </c>
      <c r="I37" s="83"/>
      <c r="J37" s="93"/>
      <c r="K37" s="274" t="s">
        <v>446</v>
      </c>
      <c r="L37" s="275"/>
      <c r="M37" s="276"/>
    </row>
    <row r="38" spans="1:14" ht="12" customHeight="1">
      <c r="A38" s="83" t="str">
        <f t="shared" si="1"/>
        <v xml:space="preserve"> </v>
      </c>
      <c r="B38" s="11"/>
      <c r="C38" s="84"/>
      <c r="D38" s="88"/>
      <c r="E38" s="85"/>
      <c r="F38" s="86"/>
      <c r="G38" s="87"/>
      <c r="H38" s="83"/>
      <c r="I38" s="83"/>
      <c r="J38" s="93"/>
      <c r="K38" s="274"/>
      <c r="L38" s="275"/>
      <c r="M38" s="276"/>
    </row>
    <row r="39" spans="1:14" ht="12" customHeight="1">
      <c r="A39" s="83" t="str">
        <f t="shared" si="1"/>
        <v xml:space="preserve"> </v>
      </c>
      <c r="B39" s="11"/>
      <c r="C39" s="84"/>
      <c r="D39" s="88"/>
      <c r="E39" s="85"/>
      <c r="F39" s="86"/>
      <c r="G39" s="87"/>
      <c r="H39" s="83"/>
      <c r="I39" s="83"/>
      <c r="J39" s="93"/>
      <c r="K39" s="274"/>
      <c r="L39" s="275"/>
      <c r="M39" s="276"/>
    </row>
    <row r="40" spans="1:14" ht="12" customHeight="1">
      <c r="A40" s="83" t="str">
        <f t="shared" ref="A40:A71" si="2">IF(B40=""," ",A39+1)</f>
        <v xml:space="preserve"> </v>
      </c>
      <c r="B40" s="11"/>
      <c r="C40" s="84"/>
      <c r="D40" s="88"/>
      <c r="E40" s="85"/>
      <c r="F40" s="86"/>
      <c r="G40" s="87"/>
      <c r="H40" s="83"/>
      <c r="I40" s="83"/>
      <c r="J40" s="93"/>
      <c r="K40" s="274"/>
      <c r="L40" s="275"/>
      <c r="M40" s="276"/>
    </row>
    <row r="41" spans="1:14" ht="12" customHeight="1">
      <c r="A41" s="83" t="str">
        <f t="shared" si="2"/>
        <v xml:space="preserve"> </v>
      </c>
      <c r="B41" s="20"/>
      <c r="C41" s="84"/>
      <c r="D41" s="88"/>
      <c r="E41" s="85"/>
      <c r="F41" s="86"/>
      <c r="G41" s="87"/>
      <c r="H41" s="83"/>
      <c r="I41" s="83"/>
      <c r="J41" s="93"/>
      <c r="K41" s="274"/>
      <c r="L41" s="275"/>
      <c r="M41" s="276"/>
    </row>
    <row r="42" spans="1:14" ht="12" customHeight="1">
      <c r="A42" s="83" t="str">
        <f t="shared" si="2"/>
        <v xml:space="preserve"> </v>
      </c>
      <c r="B42" s="11"/>
      <c r="C42" s="84"/>
      <c r="D42" s="88"/>
      <c r="E42" s="85"/>
      <c r="F42" s="86"/>
      <c r="G42" s="87"/>
      <c r="H42" s="83"/>
      <c r="I42" s="83"/>
      <c r="J42" s="93"/>
      <c r="K42" s="84"/>
      <c r="L42" s="94"/>
      <c r="M42" s="95"/>
    </row>
    <row r="43" spans="1:14" ht="12" customHeight="1">
      <c r="A43" s="83" t="str">
        <f t="shared" si="2"/>
        <v xml:space="preserve"> </v>
      </c>
      <c r="B43" s="20"/>
      <c r="C43" s="84"/>
      <c r="D43" s="88"/>
      <c r="E43" s="85"/>
      <c r="F43" s="86"/>
      <c r="G43" s="87"/>
      <c r="H43" s="83"/>
      <c r="I43" s="83"/>
      <c r="J43" s="93"/>
      <c r="K43" s="84"/>
      <c r="L43" s="94"/>
      <c r="M43" s="95"/>
    </row>
    <row r="44" spans="1:14" ht="12" customHeight="1">
      <c r="A44" s="83" t="str">
        <f t="shared" si="2"/>
        <v xml:space="preserve"> </v>
      </c>
      <c r="B44" s="11"/>
      <c r="C44" s="84"/>
      <c r="D44" s="88"/>
      <c r="E44" s="85"/>
      <c r="F44" s="86"/>
      <c r="G44" s="87"/>
      <c r="H44" s="83"/>
      <c r="I44" s="83"/>
      <c r="J44" s="93"/>
      <c r="K44" s="84"/>
      <c r="L44" s="94"/>
      <c r="M44" s="95"/>
    </row>
    <row r="45" spans="1:14" ht="12" customHeight="1">
      <c r="A45" s="83" t="str">
        <f t="shared" si="2"/>
        <v xml:space="preserve"> </v>
      </c>
      <c r="B45" s="11"/>
      <c r="C45" s="84"/>
      <c r="D45" s="88"/>
      <c r="E45" s="85"/>
      <c r="F45" s="86"/>
      <c r="G45" s="87"/>
      <c r="H45" s="83"/>
      <c r="I45" s="83"/>
      <c r="J45" s="93"/>
      <c r="K45" s="84"/>
      <c r="L45" s="94"/>
      <c r="M45" s="95"/>
    </row>
    <row r="46" spans="1:14" ht="12" customHeight="1">
      <c r="A46" s="83" t="str">
        <f t="shared" si="2"/>
        <v xml:space="preserve"> </v>
      </c>
      <c r="B46" s="11"/>
      <c r="C46" s="84"/>
      <c r="D46" s="88"/>
      <c r="E46" s="85"/>
      <c r="F46" s="86"/>
      <c r="G46" s="87"/>
      <c r="H46" s="83"/>
      <c r="I46" s="83"/>
      <c r="J46" s="93"/>
      <c r="K46" s="84"/>
      <c r="L46" s="94"/>
      <c r="M46" s="95"/>
    </row>
    <row r="47" spans="1:14" ht="12" customHeight="1">
      <c r="A47" s="83" t="str">
        <f t="shared" si="2"/>
        <v xml:space="preserve"> </v>
      </c>
      <c r="B47" s="11"/>
      <c r="C47" s="84"/>
      <c r="D47" s="88"/>
      <c r="E47" s="85"/>
      <c r="F47" s="86"/>
      <c r="G47" s="87"/>
      <c r="H47" s="83"/>
      <c r="I47" s="83"/>
      <c r="J47" s="93"/>
      <c r="K47" s="84"/>
      <c r="L47" s="94"/>
      <c r="M47" s="95"/>
    </row>
    <row r="48" spans="1:14" ht="12" customHeight="1">
      <c r="A48" s="83" t="str">
        <f t="shared" si="2"/>
        <v xml:space="preserve"> </v>
      </c>
      <c r="B48" s="11"/>
      <c r="C48" s="84"/>
      <c r="D48" s="88"/>
      <c r="E48" s="85"/>
      <c r="F48" s="86"/>
      <c r="G48" s="87"/>
      <c r="H48" s="83"/>
      <c r="I48" s="83"/>
      <c r="J48" s="93"/>
      <c r="K48" s="84"/>
      <c r="L48" s="94"/>
      <c r="M48" s="95"/>
    </row>
    <row r="49" spans="1:13" ht="12" customHeight="1">
      <c r="A49" s="83" t="str">
        <f t="shared" si="2"/>
        <v xml:space="preserve"> </v>
      </c>
      <c r="B49" s="11"/>
      <c r="C49" s="84"/>
      <c r="D49" s="88"/>
      <c r="E49" s="85"/>
      <c r="F49" s="86"/>
      <c r="G49" s="87"/>
      <c r="H49" s="83"/>
      <c r="I49" s="83"/>
      <c r="J49" s="93"/>
      <c r="K49" s="84"/>
      <c r="L49" s="94"/>
      <c r="M49" s="95"/>
    </row>
    <row r="50" spans="1:13" ht="12" customHeight="1">
      <c r="A50" s="83" t="str">
        <f t="shared" si="2"/>
        <v xml:space="preserve"> </v>
      </c>
      <c r="B50" s="20"/>
      <c r="C50" s="84"/>
      <c r="D50" s="88"/>
      <c r="E50" s="85"/>
      <c r="F50" s="86"/>
      <c r="G50" s="87"/>
      <c r="H50" s="83"/>
      <c r="I50" s="83"/>
      <c r="J50" s="93"/>
      <c r="K50" s="84"/>
      <c r="L50" s="94"/>
      <c r="M50" s="95"/>
    </row>
    <row r="51" spans="1:13" ht="12" customHeight="1">
      <c r="A51" s="83" t="str">
        <f t="shared" si="2"/>
        <v xml:space="preserve"> </v>
      </c>
      <c r="B51" s="11"/>
      <c r="C51" s="84"/>
      <c r="D51" s="88"/>
      <c r="E51" s="85"/>
      <c r="F51" s="86"/>
      <c r="G51" s="87"/>
      <c r="H51" s="83"/>
      <c r="I51" s="83"/>
      <c r="J51" s="93"/>
      <c r="K51" s="84"/>
      <c r="L51" s="94"/>
      <c r="M51" s="95"/>
    </row>
    <row r="52" spans="1:13" ht="12" customHeight="1">
      <c r="A52" s="83" t="str">
        <f t="shared" si="2"/>
        <v xml:space="preserve"> </v>
      </c>
      <c r="B52" s="20"/>
      <c r="C52" s="84"/>
      <c r="D52" s="88"/>
      <c r="E52" s="85"/>
      <c r="F52" s="86"/>
      <c r="G52" s="87"/>
      <c r="H52" s="83"/>
      <c r="I52" s="83"/>
      <c r="J52" s="93"/>
      <c r="K52" s="84"/>
      <c r="L52" s="94"/>
      <c r="M52" s="95"/>
    </row>
    <row r="53" spans="1:13" ht="12" customHeight="1">
      <c r="A53" s="83" t="str">
        <f t="shared" si="2"/>
        <v xml:space="preserve"> </v>
      </c>
      <c r="B53" s="11"/>
      <c r="C53" s="84"/>
      <c r="D53" s="88"/>
      <c r="E53" s="85"/>
      <c r="F53" s="86"/>
      <c r="G53" s="87"/>
      <c r="H53" s="83"/>
      <c r="I53" s="83"/>
      <c r="J53" s="93"/>
      <c r="K53" s="84"/>
      <c r="L53" s="94"/>
      <c r="M53" s="95"/>
    </row>
    <row r="54" spans="1:13" ht="12" customHeight="1">
      <c r="A54" s="83" t="str">
        <f t="shared" si="2"/>
        <v xml:space="preserve"> </v>
      </c>
      <c r="B54" s="74"/>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ref="A72:A98" si="3">IF(B72=""," ",A71+1)</f>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si="3"/>
        <v xml:space="preserve"> </v>
      </c>
      <c r="B91" s="74"/>
      <c r="C91" s="84"/>
      <c r="D91" s="88"/>
      <c r="E91" s="85"/>
      <c r="F91" s="86"/>
      <c r="G91" s="87"/>
      <c r="H91" s="83"/>
      <c r="I91" s="83"/>
      <c r="J91" s="93"/>
      <c r="K91" s="84"/>
      <c r="L91" s="94"/>
      <c r="M91" s="95"/>
    </row>
    <row r="92" spans="1:13" ht="12" customHeight="1">
      <c r="A92" s="83" t="str">
        <f t="shared" si="3"/>
        <v xml:space="preserve"> </v>
      </c>
      <c r="B92" s="74"/>
      <c r="C92" s="84"/>
      <c r="D92" s="88"/>
      <c r="E92" s="85"/>
      <c r="F92" s="86"/>
      <c r="G92" s="87"/>
      <c r="H92" s="83"/>
      <c r="I92" s="83"/>
      <c r="J92" s="93"/>
      <c r="K92" s="84"/>
      <c r="L92" s="94"/>
      <c r="M92" s="95"/>
    </row>
    <row r="93" spans="1:13" ht="12" customHeight="1">
      <c r="A93" s="83" t="str">
        <f t="shared" si="3"/>
        <v xml:space="preserve"> </v>
      </c>
      <c r="B93" s="74"/>
      <c r="C93" s="84"/>
      <c r="D93" s="88"/>
      <c r="E93" s="85"/>
      <c r="F93" s="86"/>
      <c r="G93" s="87"/>
      <c r="H93" s="83"/>
      <c r="I93" s="83"/>
      <c r="J93" s="93"/>
      <c r="K93" s="84"/>
      <c r="L93" s="94"/>
      <c r="M93" s="95"/>
    </row>
    <row r="94" spans="1:13" ht="12" customHeight="1">
      <c r="A94" s="83" t="str">
        <f t="shared" si="3"/>
        <v xml:space="preserve"> </v>
      </c>
      <c r="B94" s="74"/>
      <c r="C94" s="84"/>
      <c r="D94" s="88"/>
      <c r="E94" s="85"/>
      <c r="F94" s="86"/>
      <c r="G94" s="87"/>
      <c r="H94" s="83"/>
      <c r="I94" s="83"/>
      <c r="J94" s="93"/>
      <c r="K94" s="84"/>
      <c r="L94" s="94"/>
      <c r="M94" s="95"/>
    </row>
    <row r="95" spans="1:13" ht="12" customHeight="1">
      <c r="A95" s="83" t="str">
        <f t="shared" si="3"/>
        <v xml:space="preserve"> </v>
      </c>
      <c r="B95" s="74"/>
      <c r="C95" s="84"/>
      <c r="D95" s="88"/>
      <c r="E95" s="85"/>
      <c r="F95" s="86"/>
      <c r="G95" s="87"/>
      <c r="H95" s="83"/>
      <c r="I95" s="83"/>
      <c r="J95" s="93"/>
      <c r="K95" s="84"/>
      <c r="L95" s="94"/>
      <c r="M95" s="95"/>
    </row>
    <row r="96" spans="1:13" ht="12" customHeight="1">
      <c r="A96" s="83" t="str">
        <f t="shared" si="3"/>
        <v xml:space="preserve"> </v>
      </c>
      <c r="B96" s="74"/>
      <c r="C96" s="84"/>
      <c r="D96" s="88"/>
      <c r="E96" s="85"/>
      <c r="F96" s="86"/>
      <c r="G96" s="87"/>
      <c r="H96" s="83"/>
      <c r="I96" s="83"/>
      <c r="J96" s="93"/>
      <c r="K96" s="84"/>
      <c r="L96" s="94"/>
      <c r="M96" s="95"/>
    </row>
    <row r="97" spans="1:13" ht="12" customHeight="1">
      <c r="A97" s="83" t="str">
        <f t="shared" si="3"/>
        <v xml:space="preserve"> </v>
      </c>
      <c r="B97" s="74"/>
      <c r="C97" s="84"/>
      <c r="D97" s="88"/>
      <c r="E97" s="85"/>
      <c r="F97" s="86"/>
      <c r="G97" s="87"/>
      <c r="H97" s="83"/>
      <c r="I97" s="83"/>
      <c r="J97" s="93"/>
      <c r="K97" s="84"/>
      <c r="L97" s="94"/>
      <c r="M97" s="95"/>
    </row>
    <row r="98" spans="1:13" ht="12" customHeight="1">
      <c r="A98" s="83" t="str">
        <f t="shared" si="3"/>
        <v xml:space="preserve"> </v>
      </c>
      <c r="B98" s="74"/>
      <c r="C98" s="84"/>
      <c r="D98" s="88"/>
      <c r="E98" s="85"/>
      <c r="F98" s="86"/>
      <c r="G98" s="87"/>
      <c r="H98" s="83"/>
      <c r="I98" s="83"/>
      <c r="J98" s="93"/>
      <c r="K98" s="84"/>
      <c r="L98" s="94"/>
      <c r="M98" s="95"/>
    </row>
    <row r="100" spans="1:13">
      <c r="B100" s="75" t="s">
        <v>235</v>
      </c>
    </row>
    <row r="102" spans="1:13">
      <c r="B102" s="75" t="s">
        <v>236</v>
      </c>
      <c r="C102" s="75" t="s">
        <v>237</v>
      </c>
    </row>
    <row r="104" spans="1:13">
      <c r="B104" s="75" t="s">
        <v>236</v>
      </c>
      <c r="C104" s="75" t="s">
        <v>238</v>
      </c>
    </row>
    <row r="106" spans="1:13">
      <c r="B106" s="75" t="s">
        <v>239</v>
      </c>
      <c r="C106" s="75" t="s">
        <v>240</v>
      </c>
    </row>
    <row r="107" spans="1:13">
      <c r="C107" s="75" t="s">
        <v>241</v>
      </c>
    </row>
    <row r="109" spans="1:13">
      <c r="B109" s="75" t="s">
        <v>239</v>
      </c>
      <c r="C109" s="75" t="s">
        <v>1182</v>
      </c>
    </row>
    <row r="110" spans="1:13">
      <c r="C110" s="75" t="s">
        <v>1183</v>
      </c>
    </row>
    <row r="111" spans="1:13">
      <c r="C111" s="75" t="s">
        <v>1184</v>
      </c>
    </row>
    <row r="112" spans="1:13">
      <c r="C112" s="75" t="s">
        <v>1185</v>
      </c>
    </row>
    <row r="113" spans="2:4">
      <c r="C113" s="75" t="s">
        <v>1186</v>
      </c>
    </row>
    <row r="115" spans="2:4" ht="12" customHeight="1">
      <c r="B115" s="75" t="s">
        <v>456</v>
      </c>
      <c r="C115" s="75" t="s">
        <v>457</v>
      </c>
      <c r="D115" s="75" t="s">
        <v>1253</v>
      </c>
    </row>
    <row r="117" spans="2:4" ht="12" customHeight="1">
      <c r="B117" s="100" t="s">
        <v>1254</v>
      </c>
      <c r="C117" s="75" t="s">
        <v>1255</v>
      </c>
    </row>
    <row r="118" spans="2:4" ht="12" customHeight="1">
      <c r="C118" s="75" t="s">
        <v>1256</v>
      </c>
    </row>
    <row r="119" spans="2:4" ht="12" customHeight="1">
      <c r="C119" s="75" t="s">
        <v>1257</v>
      </c>
    </row>
  </sheetData>
  <mergeCells count="47">
    <mergeCell ref="K39:M39"/>
    <mergeCell ref="K40:M40"/>
    <mergeCell ref="K41:M41"/>
    <mergeCell ref="A5:A6"/>
    <mergeCell ref="K5:M6"/>
    <mergeCell ref="K33:M33"/>
    <mergeCell ref="K34:M34"/>
    <mergeCell ref="K35:M35"/>
    <mergeCell ref="K37:M37"/>
    <mergeCell ref="K38:M38"/>
    <mergeCell ref="K28:M28"/>
    <mergeCell ref="K29:M29"/>
    <mergeCell ref="K30:M30"/>
    <mergeCell ref="K31:M31"/>
    <mergeCell ref="K32:M32"/>
    <mergeCell ref="K23:M23"/>
    <mergeCell ref="K24:M24"/>
    <mergeCell ref="K25:M25"/>
    <mergeCell ref="K26:M26"/>
    <mergeCell ref="K27:M27"/>
    <mergeCell ref="K17:M17"/>
    <mergeCell ref="K18:M18"/>
    <mergeCell ref="K19:M19"/>
    <mergeCell ref="K21:M21"/>
    <mergeCell ref="K22:M22"/>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pageSetUpPr fitToPage="1"/>
  </sheetPr>
  <dimension ref="A1:Q119"/>
  <sheetViews>
    <sheetView showGridLines="0" workbookViewId="0">
      <pane ySplit="6" topLeftCell="A7" activePane="bottomLeft" state="frozen"/>
      <selection pane="bottomLeft"/>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1258</v>
      </c>
      <c r="D3" s="265"/>
      <c r="E3" s="265"/>
      <c r="F3" s="265"/>
      <c r="G3" s="266"/>
      <c r="H3" s="259" t="s">
        <v>140</v>
      </c>
      <c r="I3" s="260"/>
      <c r="J3" s="90">
        <f>COUNT(A7:A100)</f>
        <v>28</v>
      </c>
      <c r="K3" s="78" t="s">
        <v>141</v>
      </c>
      <c r="L3" s="91">
        <v>38671</v>
      </c>
      <c r="M3" s="92" t="s">
        <v>148</v>
      </c>
      <c r="O3" s="75" t="s">
        <v>143</v>
      </c>
      <c r="P3" s="75" t="s">
        <v>144</v>
      </c>
    </row>
    <row r="4" spans="1:16" ht="12" customHeight="1">
      <c r="A4" s="267" t="s">
        <v>145</v>
      </c>
      <c r="B4" s="268"/>
      <c r="C4" s="267" t="s">
        <v>45</v>
      </c>
      <c r="D4" s="269"/>
      <c r="E4" s="269"/>
      <c r="F4" s="269"/>
      <c r="G4" s="268"/>
      <c r="H4" s="259" t="s">
        <v>146</v>
      </c>
      <c r="I4" s="260"/>
      <c r="J4" s="90">
        <f>SUM(G7:G100)</f>
        <v>234</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162</v>
      </c>
      <c r="C7" s="84" t="s">
        <v>163</v>
      </c>
      <c r="D7" s="13" t="s">
        <v>164</v>
      </c>
      <c r="E7" s="85"/>
      <c r="F7" s="86"/>
      <c r="G7" s="87">
        <f t="shared" ref="G7:G34" si="0">IF(D7="DATE",4,IF(D7="CHAR",E7,IF(D7="SMALLINT",2,IF(D7="INTEGER",4,IF(D7="TIMESTAMP",10,IF(D7="TIME",3,0))))))</f>
        <v>4</v>
      </c>
      <c r="H7" s="83" t="s">
        <v>149</v>
      </c>
      <c r="I7" s="83" t="s">
        <v>149</v>
      </c>
      <c r="J7" s="93"/>
      <c r="K7" s="308"/>
      <c r="L7" s="278"/>
      <c r="M7" s="279"/>
      <c r="P7" s="75" t="s">
        <v>165</v>
      </c>
    </row>
    <row r="8" spans="1:16" ht="12" customHeight="1">
      <c r="A8" s="83">
        <f t="shared" ref="A8:A33" si="1">IF(B8=""," ",A7+1)</f>
        <v>2</v>
      </c>
      <c r="B8" s="11" t="s">
        <v>166</v>
      </c>
      <c r="C8" s="84" t="s">
        <v>167</v>
      </c>
      <c r="D8" s="13" t="s">
        <v>150</v>
      </c>
      <c r="E8" s="85">
        <v>11</v>
      </c>
      <c r="F8" s="86"/>
      <c r="G8" s="87">
        <f t="shared" si="0"/>
        <v>11</v>
      </c>
      <c r="H8" s="83" t="s">
        <v>149</v>
      </c>
      <c r="I8" s="83" t="s">
        <v>149</v>
      </c>
      <c r="J8" s="93"/>
      <c r="K8" s="308"/>
      <c r="L8" s="278"/>
      <c r="M8" s="279"/>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11" t="s">
        <v>172</v>
      </c>
      <c r="C10" s="84" t="s">
        <v>173</v>
      </c>
      <c r="D10" s="88" t="s">
        <v>174</v>
      </c>
      <c r="E10" s="85"/>
      <c r="F10" s="86"/>
      <c r="G10" s="87">
        <f t="shared" si="0"/>
        <v>2</v>
      </c>
      <c r="H10" s="83" t="s">
        <v>149</v>
      </c>
      <c r="I10" s="83" t="s">
        <v>149</v>
      </c>
      <c r="J10" s="93"/>
      <c r="K10" s="277" t="s">
        <v>175</v>
      </c>
      <c r="L10" s="278"/>
      <c r="M10" s="279"/>
    </row>
    <row r="11" spans="1:16" ht="12" customHeight="1">
      <c r="A11" s="83">
        <f t="shared" si="1"/>
        <v>5</v>
      </c>
      <c r="B11" s="11" t="s">
        <v>646</v>
      </c>
      <c r="C11" s="84" t="s">
        <v>647</v>
      </c>
      <c r="D11" s="88" t="s">
        <v>150</v>
      </c>
      <c r="E11" s="85">
        <v>16</v>
      </c>
      <c r="F11" s="86"/>
      <c r="G11" s="87">
        <f t="shared" si="0"/>
        <v>16</v>
      </c>
      <c r="H11" s="83" t="s">
        <v>149</v>
      </c>
      <c r="I11" s="83" t="s">
        <v>149</v>
      </c>
      <c r="J11" s="93"/>
      <c r="K11" s="308" t="s">
        <v>648</v>
      </c>
      <c r="L11" s="278"/>
      <c r="M11" s="279"/>
    </row>
    <row r="12" spans="1:16" ht="12" customHeight="1">
      <c r="A12" s="83">
        <f t="shared" si="1"/>
        <v>6</v>
      </c>
      <c r="B12" s="21" t="s">
        <v>596</v>
      </c>
      <c r="C12" s="84" t="s">
        <v>597</v>
      </c>
      <c r="D12" s="88" t="s">
        <v>150</v>
      </c>
      <c r="E12" s="85">
        <v>7</v>
      </c>
      <c r="F12" s="86"/>
      <c r="G12" s="87">
        <f t="shared" si="0"/>
        <v>7</v>
      </c>
      <c r="H12" s="83" t="s">
        <v>149</v>
      </c>
      <c r="I12" s="83" t="s">
        <v>149</v>
      </c>
      <c r="J12" s="93"/>
      <c r="K12" s="308"/>
      <c r="L12" s="278"/>
      <c r="M12" s="279"/>
    </row>
    <row r="13" spans="1:16" ht="12" customHeight="1">
      <c r="A13" s="83">
        <f t="shared" si="1"/>
        <v>7</v>
      </c>
      <c r="B13" s="11" t="s">
        <v>243</v>
      </c>
      <c r="C13" s="84" t="s">
        <v>244</v>
      </c>
      <c r="D13" s="88" t="s">
        <v>150</v>
      </c>
      <c r="E13" s="85">
        <v>7</v>
      </c>
      <c r="F13" s="86"/>
      <c r="G13" s="87">
        <f t="shared" si="0"/>
        <v>7</v>
      </c>
      <c r="H13" s="83" t="s">
        <v>149</v>
      </c>
      <c r="I13" s="83"/>
      <c r="J13" s="93"/>
      <c r="K13" s="274"/>
      <c r="L13" s="275"/>
      <c r="M13" s="276"/>
    </row>
    <row r="14" spans="1:16" ht="77.25" customHeight="1">
      <c r="A14" s="83">
        <f t="shared" si="1"/>
        <v>8</v>
      </c>
      <c r="B14" s="11" t="s">
        <v>275</v>
      </c>
      <c r="C14" s="84" t="s">
        <v>276</v>
      </c>
      <c r="D14" s="88" t="s">
        <v>150</v>
      </c>
      <c r="E14" s="85">
        <v>60</v>
      </c>
      <c r="F14" s="86"/>
      <c r="G14" s="87">
        <f t="shared" si="0"/>
        <v>60</v>
      </c>
      <c r="H14" s="83" t="s">
        <v>149</v>
      </c>
      <c r="I14" s="83"/>
      <c r="J14" s="93"/>
      <c r="K14" s="337" t="s">
        <v>277</v>
      </c>
      <c r="L14" s="300"/>
      <c r="M14" s="301"/>
      <c r="N14" s="123"/>
    </row>
    <row r="15" spans="1:16" ht="12" customHeight="1">
      <c r="A15" s="83">
        <f t="shared" si="1"/>
        <v>9</v>
      </c>
      <c r="B15" s="11" t="s">
        <v>991</v>
      </c>
      <c r="C15" s="84" t="s">
        <v>992</v>
      </c>
      <c r="D15" s="88" t="s">
        <v>150</v>
      </c>
      <c r="E15" s="85">
        <v>20</v>
      </c>
      <c r="F15" s="86"/>
      <c r="G15" s="87">
        <f t="shared" si="0"/>
        <v>20</v>
      </c>
      <c r="H15" s="83" t="s">
        <v>149</v>
      </c>
      <c r="I15" s="83"/>
      <c r="J15" s="93"/>
      <c r="K15" s="280"/>
      <c r="L15" s="275"/>
      <c r="M15" s="276"/>
    </row>
    <row r="16" spans="1:16" ht="27" customHeight="1">
      <c r="A16" s="83">
        <f t="shared" si="1"/>
        <v>10</v>
      </c>
      <c r="B16" s="11" t="s">
        <v>995</v>
      </c>
      <c r="C16" s="84" t="s">
        <v>996</v>
      </c>
      <c r="D16" s="88" t="s">
        <v>150</v>
      </c>
      <c r="E16" s="85">
        <v>12</v>
      </c>
      <c r="F16" s="86"/>
      <c r="G16" s="87">
        <f t="shared" si="0"/>
        <v>12</v>
      </c>
      <c r="H16" s="83" t="s">
        <v>149</v>
      </c>
      <c r="I16" s="83"/>
      <c r="J16" s="93"/>
      <c r="K16" s="280" t="s">
        <v>997</v>
      </c>
      <c r="L16" s="275"/>
      <c r="M16" s="276"/>
    </row>
    <row r="17" spans="1:16" ht="65.099999999999994" customHeight="1">
      <c r="A17" s="83">
        <f t="shared" si="1"/>
        <v>11</v>
      </c>
      <c r="B17" s="11" t="s">
        <v>999</v>
      </c>
      <c r="C17" s="84" t="s">
        <v>1000</v>
      </c>
      <c r="D17" s="88" t="s">
        <v>150</v>
      </c>
      <c r="E17" s="85">
        <v>24</v>
      </c>
      <c r="F17" s="86"/>
      <c r="G17" s="87">
        <f t="shared" si="0"/>
        <v>24</v>
      </c>
      <c r="H17" s="83" t="s">
        <v>149</v>
      </c>
      <c r="I17" s="83"/>
      <c r="J17" s="93"/>
      <c r="K17" s="280" t="s">
        <v>1001</v>
      </c>
      <c r="L17" s="275"/>
      <c r="M17" s="276"/>
    </row>
    <row r="18" spans="1:16" ht="65.25" customHeight="1">
      <c r="A18" s="83">
        <f t="shared" si="1"/>
        <v>12</v>
      </c>
      <c r="B18" s="11" t="s">
        <v>1003</v>
      </c>
      <c r="C18" s="84" t="s">
        <v>1004</v>
      </c>
      <c r="D18" s="88" t="s">
        <v>150</v>
      </c>
      <c r="E18" s="85">
        <v>2</v>
      </c>
      <c r="F18" s="86"/>
      <c r="G18" s="87">
        <f t="shared" si="0"/>
        <v>2</v>
      </c>
      <c r="H18" s="83" t="s">
        <v>149</v>
      </c>
      <c r="I18" s="83"/>
      <c r="J18" s="93"/>
      <c r="K18" s="280" t="s">
        <v>1005</v>
      </c>
      <c r="L18" s="275"/>
      <c r="M18" s="276"/>
    </row>
    <row r="19" spans="1:16" ht="12" customHeight="1">
      <c r="A19" s="83">
        <f t="shared" si="1"/>
        <v>13</v>
      </c>
      <c r="B19" s="11" t="s">
        <v>1007</v>
      </c>
      <c r="C19" s="84" t="s">
        <v>1008</v>
      </c>
      <c r="D19" s="88" t="s">
        <v>150</v>
      </c>
      <c r="E19" s="85">
        <v>3</v>
      </c>
      <c r="F19" s="86"/>
      <c r="G19" s="87">
        <f t="shared" si="0"/>
        <v>3</v>
      </c>
      <c r="H19" s="83" t="s">
        <v>149</v>
      </c>
      <c r="I19" s="83"/>
      <c r="J19" s="93"/>
      <c r="K19" s="274"/>
      <c r="L19" s="275"/>
      <c r="M19" s="276"/>
      <c r="P19" s="75" t="s">
        <v>174</v>
      </c>
    </row>
    <row r="20" spans="1:16" ht="12" customHeight="1">
      <c r="A20" s="83">
        <f t="shared" si="1"/>
        <v>14</v>
      </c>
      <c r="B20" s="11" t="s">
        <v>1014</v>
      </c>
      <c r="C20" s="84" t="s">
        <v>1015</v>
      </c>
      <c r="D20" s="88" t="s">
        <v>150</v>
      </c>
      <c r="E20" s="85">
        <v>3</v>
      </c>
      <c r="F20" s="86"/>
      <c r="G20" s="87">
        <f t="shared" si="0"/>
        <v>3</v>
      </c>
      <c r="H20" s="83" t="s">
        <v>149</v>
      </c>
      <c r="I20" s="83"/>
      <c r="J20" s="93"/>
      <c r="K20" s="84"/>
      <c r="L20" s="94"/>
      <c r="M20" s="95"/>
    </row>
    <row r="21" spans="1:16" ht="27" customHeight="1">
      <c r="A21" s="83">
        <f t="shared" si="1"/>
        <v>15</v>
      </c>
      <c r="B21" s="11" t="s">
        <v>1016</v>
      </c>
      <c r="C21" s="84" t="s">
        <v>1017</v>
      </c>
      <c r="D21" s="88" t="s">
        <v>150</v>
      </c>
      <c r="E21" s="85">
        <v>5</v>
      </c>
      <c r="F21" s="86"/>
      <c r="G21" s="87">
        <f t="shared" si="0"/>
        <v>5</v>
      </c>
      <c r="H21" s="83" t="s">
        <v>149</v>
      </c>
      <c r="I21" s="83"/>
      <c r="J21" s="93"/>
      <c r="K21" s="280" t="s">
        <v>1018</v>
      </c>
      <c r="L21" s="291"/>
      <c r="M21" s="292"/>
    </row>
    <row r="22" spans="1:16" ht="27" customHeight="1">
      <c r="A22" s="83">
        <f t="shared" si="1"/>
        <v>16</v>
      </c>
      <c r="B22" s="20" t="s">
        <v>1020</v>
      </c>
      <c r="C22" s="84" t="s">
        <v>1021</v>
      </c>
      <c r="D22" s="88" t="s">
        <v>150</v>
      </c>
      <c r="E22" s="85">
        <v>5</v>
      </c>
      <c r="F22" s="86"/>
      <c r="G22" s="87">
        <f t="shared" si="0"/>
        <v>5</v>
      </c>
      <c r="H22" s="83" t="s">
        <v>149</v>
      </c>
      <c r="I22" s="83"/>
      <c r="J22" s="93"/>
      <c r="K22" s="280" t="s">
        <v>1018</v>
      </c>
      <c r="L22" s="291"/>
      <c r="M22" s="292"/>
      <c r="P22" s="75" t="s">
        <v>195</v>
      </c>
    </row>
    <row r="23" spans="1:16" ht="87" customHeight="1">
      <c r="A23" s="83">
        <f t="shared" si="1"/>
        <v>17</v>
      </c>
      <c r="B23" s="20" t="s">
        <v>1043</v>
      </c>
      <c r="C23" s="84" t="s">
        <v>1044</v>
      </c>
      <c r="D23" s="88" t="s">
        <v>150</v>
      </c>
      <c r="E23" s="85">
        <v>1</v>
      </c>
      <c r="F23" s="86"/>
      <c r="G23" s="87">
        <f t="shared" si="0"/>
        <v>1</v>
      </c>
      <c r="H23" s="83" t="s">
        <v>149</v>
      </c>
      <c r="I23" s="83"/>
      <c r="J23" s="93"/>
      <c r="K23" s="280" t="s">
        <v>1045</v>
      </c>
      <c r="L23" s="281"/>
      <c r="M23" s="282"/>
    </row>
    <row r="24" spans="1:16" ht="87" customHeight="1">
      <c r="A24" s="83">
        <f t="shared" si="1"/>
        <v>18</v>
      </c>
      <c r="B24" s="20" t="s">
        <v>1047</v>
      </c>
      <c r="C24" s="84" t="s">
        <v>1048</v>
      </c>
      <c r="D24" s="88" t="s">
        <v>150</v>
      </c>
      <c r="E24" s="85">
        <v>1</v>
      </c>
      <c r="F24" s="86"/>
      <c r="G24" s="87">
        <f t="shared" si="0"/>
        <v>1</v>
      </c>
      <c r="H24" s="83" t="s">
        <v>149</v>
      </c>
      <c r="I24" s="83"/>
      <c r="J24" s="93"/>
      <c r="K24" s="280" t="s">
        <v>1045</v>
      </c>
      <c r="L24" s="281"/>
      <c r="M24" s="282"/>
    </row>
    <row r="25" spans="1:16" ht="87" customHeight="1">
      <c r="A25" s="83">
        <f t="shared" si="1"/>
        <v>19</v>
      </c>
      <c r="B25" s="20" t="s">
        <v>1049</v>
      </c>
      <c r="C25" s="84" t="s">
        <v>1050</v>
      </c>
      <c r="D25" s="88" t="s">
        <v>150</v>
      </c>
      <c r="E25" s="85">
        <v>1</v>
      </c>
      <c r="F25" s="86"/>
      <c r="G25" s="87">
        <f t="shared" si="0"/>
        <v>1</v>
      </c>
      <c r="H25" s="83" t="s">
        <v>149</v>
      </c>
      <c r="I25" s="83"/>
      <c r="J25" s="93"/>
      <c r="K25" s="280" t="s">
        <v>1045</v>
      </c>
      <c r="L25" s="281"/>
      <c r="M25" s="282"/>
    </row>
    <row r="26" spans="1:16" ht="12" customHeight="1">
      <c r="A26" s="83">
        <f t="shared" si="1"/>
        <v>20</v>
      </c>
      <c r="B26" s="20" t="s">
        <v>1051</v>
      </c>
      <c r="C26" s="84" t="s">
        <v>1052</v>
      </c>
      <c r="D26" s="88" t="s">
        <v>150</v>
      </c>
      <c r="E26" s="85">
        <v>1</v>
      </c>
      <c r="F26" s="86"/>
      <c r="G26" s="87">
        <f t="shared" si="0"/>
        <v>1</v>
      </c>
      <c r="H26" s="83" t="s">
        <v>149</v>
      </c>
      <c r="I26" s="83"/>
      <c r="J26" s="93"/>
      <c r="K26" s="280" t="s">
        <v>1053</v>
      </c>
      <c r="L26" s="281"/>
      <c r="M26" s="282"/>
    </row>
    <row r="27" spans="1:16" ht="12" customHeight="1">
      <c r="A27" s="83">
        <f t="shared" si="1"/>
        <v>21</v>
      </c>
      <c r="B27" s="20" t="s">
        <v>1055</v>
      </c>
      <c r="C27" s="84" t="s">
        <v>1056</v>
      </c>
      <c r="D27" s="88" t="s">
        <v>150</v>
      </c>
      <c r="E27" s="85">
        <v>1</v>
      </c>
      <c r="F27" s="86"/>
      <c r="G27" s="87">
        <f t="shared" si="0"/>
        <v>1</v>
      </c>
      <c r="H27" s="83" t="s">
        <v>149</v>
      </c>
      <c r="I27" s="83"/>
      <c r="J27" s="93"/>
      <c r="K27" s="280" t="s">
        <v>1053</v>
      </c>
      <c r="L27" s="281"/>
      <c r="M27" s="282"/>
    </row>
    <row r="28" spans="1:16" ht="12" customHeight="1">
      <c r="A28" s="83">
        <f t="shared" si="1"/>
        <v>22</v>
      </c>
      <c r="B28" s="20" t="s">
        <v>1057</v>
      </c>
      <c r="C28" s="84" t="s">
        <v>1058</v>
      </c>
      <c r="D28" s="88" t="s">
        <v>150</v>
      </c>
      <c r="E28" s="85">
        <v>1</v>
      </c>
      <c r="F28" s="86"/>
      <c r="G28" s="87">
        <f t="shared" si="0"/>
        <v>1</v>
      </c>
      <c r="H28" s="83" t="s">
        <v>149</v>
      </c>
      <c r="I28" s="83"/>
      <c r="J28" s="93"/>
      <c r="K28" s="280" t="s">
        <v>1053</v>
      </c>
      <c r="L28" s="281"/>
      <c r="M28" s="282"/>
    </row>
    <row r="29" spans="1:16" ht="12" customHeight="1">
      <c r="A29" s="83">
        <f t="shared" si="1"/>
        <v>23</v>
      </c>
      <c r="B29" s="11" t="s">
        <v>1241</v>
      </c>
      <c r="C29" s="21" t="s">
        <v>1242</v>
      </c>
      <c r="D29" s="88" t="s">
        <v>150</v>
      </c>
      <c r="E29" s="85">
        <v>15</v>
      </c>
      <c r="F29" s="86"/>
      <c r="G29" s="87">
        <f t="shared" si="0"/>
        <v>15</v>
      </c>
      <c r="H29" s="83" t="s">
        <v>149</v>
      </c>
      <c r="I29" s="83"/>
      <c r="J29" s="93"/>
      <c r="K29" s="280"/>
      <c r="L29" s="275"/>
      <c r="M29" s="276"/>
    </row>
    <row r="30" spans="1:16" ht="12" customHeight="1">
      <c r="A30" s="83">
        <f t="shared" si="1"/>
        <v>24</v>
      </c>
      <c r="B30" s="11" t="s">
        <v>1243</v>
      </c>
      <c r="C30" s="208" t="s">
        <v>1244</v>
      </c>
      <c r="D30" s="88" t="s">
        <v>150</v>
      </c>
      <c r="E30" s="85">
        <v>2</v>
      </c>
      <c r="F30" s="86"/>
      <c r="G30" s="87">
        <f t="shared" si="0"/>
        <v>2</v>
      </c>
      <c r="H30" s="83" t="s">
        <v>149</v>
      </c>
      <c r="I30" s="83"/>
      <c r="J30" s="93"/>
      <c r="K30" s="274"/>
      <c r="L30" s="275"/>
      <c r="M30" s="276"/>
    </row>
    <row r="31" spans="1:16" ht="12" customHeight="1">
      <c r="A31" s="83">
        <f t="shared" si="1"/>
        <v>25</v>
      </c>
      <c r="B31" s="11" t="s">
        <v>1245</v>
      </c>
      <c r="C31" s="22" t="s">
        <v>1246</v>
      </c>
      <c r="D31" s="30" t="s">
        <v>150</v>
      </c>
      <c r="E31" s="85">
        <v>2</v>
      </c>
      <c r="F31" s="86"/>
      <c r="G31" s="87">
        <f t="shared" si="0"/>
        <v>2</v>
      </c>
      <c r="H31" s="83" t="s">
        <v>149</v>
      </c>
      <c r="I31" s="83"/>
      <c r="J31" s="93"/>
      <c r="K31" s="271"/>
      <c r="L31" s="272"/>
      <c r="M31" s="273"/>
    </row>
    <row r="32" spans="1:16" ht="12" customHeight="1">
      <c r="A32" s="83">
        <f t="shared" si="1"/>
        <v>26</v>
      </c>
      <c r="B32" s="74" t="s">
        <v>1096</v>
      </c>
      <c r="C32" s="84" t="s">
        <v>1097</v>
      </c>
      <c r="D32" s="88" t="s">
        <v>234</v>
      </c>
      <c r="E32" s="85"/>
      <c r="F32" s="86"/>
      <c r="G32" s="87">
        <f t="shared" si="0"/>
        <v>10</v>
      </c>
      <c r="H32" s="83" t="s">
        <v>149</v>
      </c>
      <c r="I32" s="83"/>
      <c r="J32" s="93"/>
      <c r="K32" s="280"/>
      <c r="L32" s="291"/>
      <c r="M32" s="292"/>
      <c r="N32" s="99"/>
    </row>
    <row r="33" spans="1:13" ht="12" customHeight="1">
      <c r="A33" s="83">
        <f t="shared" si="1"/>
        <v>27</v>
      </c>
      <c r="B33" s="74" t="s">
        <v>232</v>
      </c>
      <c r="C33" s="84" t="s">
        <v>233</v>
      </c>
      <c r="D33" s="88" t="s">
        <v>234</v>
      </c>
      <c r="E33" s="85"/>
      <c r="F33" s="86"/>
      <c r="G33" s="87">
        <f t="shared" si="0"/>
        <v>10</v>
      </c>
      <c r="H33" s="83" t="s">
        <v>149</v>
      </c>
      <c r="I33" s="83"/>
      <c r="J33" s="93"/>
      <c r="K33" s="84"/>
      <c r="L33" s="94"/>
      <c r="M33" s="95"/>
    </row>
    <row r="34" spans="1:13" ht="12" customHeight="1">
      <c r="A34" s="83">
        <f t="shared" ref="A34:A78" si="2">IF(B34=""," ",A33+1)</f>
        <v>28</v>
      </c>
      <c r="B34" s="74" t="s">
        <v>444</v>
      </c>
      <c r="C34" s="84" t="s">
        <v>445</v>
      </c>
      <c r="D34" s="88" t="s">
        <v>150</v>
      </c>
      <c r="E34" s="85">
        <v>7</v>
      </c>
      <c r="F34" s="86"/>
      <c r="G34" s="87">
        <f t="shared" si="0"/>
        <v>7</v>
      </c>
      <c r="H34" s="83" t="s">
        <v>149</v>
      </c>
      <c r="I34" s="83"/>
      <c r="J34" s="93"/>
      <c r="K34" s="274" t="s">
        <v>446</v>
      </c>
      <c r="L34" s="275"/>
      <c r="M34" s="276"/>
    </row>
    <row r="35" spans="1:13" ht="12" customHeight="1">
      <c r="A35" s="83" t="str">
        <f t="shared" si="2"/>
        <v xml:space="preserve"> </v>
      </c>
      <c r="B35" s="11"/>
      <c r="C35" s="84"/>
      <c r="D35" s="88"/>
      <c r="E35" s="85"/>
      <c r="F35" s="86"/>
      <c r="G35" s="87"/>
      <c r="H35" s="83"/>
      <c r="I35" s="83"/>
      <c r="J35" s="93"/>
      <c r="K35" s="274"/>
      <c r="L35" s="275"/>
      <c r="M35" s="276"/>
    </row>
    <row r="36" spans="1:13" ht="12" customHeight="1">
      <c r="A36" s="83" t="str">
        <f t="shared" si="2"/>
        <v xml:space="preserve"> </v>
      </c>
      <c r="B36" s="11"/>
      <c r="C36" s="84"/>
      <c r="D36" s="88"/>
      <c r="E36" s="85"/>
      <c r="F36" s="86"/>
      <c r="G36" s="87"/>
      <c r="H36" s="83"/>
      <c r="I36" s="83"/>
      <c r="J36" s="93"/>
      <c r="K36" s="274"/>
      <c r="L36" s="275"/>
      <c r="M36" s="276"/>
    </row>
    <row r="37" spans="1:13" ht="12" customHeight="1">
      <c r="A37" s="83" t="str">
        <f t="shared" si="2"/>
        <v xml:space="preserve"> </v>
      </c>
      <c r="B37" s="11"/>
      <c r="C37" s="84"/>
      <c r="D37" s="88"/>
      <c r="E37" s="85"/>
      <c r="F37" s="86"/>
      <c r="G37" s="87"/>
      <c r="H37" s="83"/>
      <c r="I37" s="83"/>
      <c r="J37" s="93"/>
      <c r="K37" s="274"/>
      <c r="L37" s="275"/>
      <c r="M37" s="276"/>
    </row>
    <row r="38" spans="1:13" ht="12" customHeight="1">
      <c r="A38" s="83" t="str">
        <f t="shared" si="2"/>
        <v xml:space="preserve"> </v>
      </c>
      <c r="B38" s="20"/>
      <c r="C38" s="84"/>
      <c r="D38" s="88"/>
      <c r="E38" s="85"/>
      <c r="F38" s="86"/>
      <c r="G38" s="87"/>
      <c r="H38" s="83"/>
      <c r="I38" s="83"/>
      <c r="J38" s="93"/>
      <c r="K38" s="274"/>
      <c r="L38" s="275"/>
      <c r="M38" s="276"/>
    </row>
    <row r="39" spans="1:13" ht="12" customHeight="1">
      <c r="A39" s="83" t="str">
        <f t="shared" si="2"/>
        <v xml:space="preserve"> </v>
      </c>
      <c r="B39" s="11"/>
      <c r="C39" s="84"/>
      <c r="D39" s="88"/>
      <c r="E39" s="85"/>
      <c r="F39" s="86"/>
      <c r="G39" s="87"/>
      <c r="H39" s="83"/>
      <c r="I39" s="83"/>
      <c r="J39" s="93"/>
      <c r="K39" s="84"/>
      <c r="L39" s="94"/>
      <c r="M39" s="95"/>
    </row>
    <row r="40" spans="1:13" ht="12" customHeight="1">
      <c r="A40" s="83" t="str">
        <f t="shared" si="2"/>
        <v xml:space="preserve"> </v>
      </c>
      <c r="B40" s="20"/>
      <c r="C40" s="84"/>
      <c r="D40" s="88"/>
      <c r="E40" s="85"/>
      <c r="F40" s="86"/>
      <c r="G40" s="87"/>
      <c r="H40" s="83"/>
      <c r="I40" s="83"/>
      <c r="J40" s="93"/>
      <c r="K40" s="84"/>
      <c r="L40" s="94"/>
      <c r="M40" s="95"/>
    </row>
    <row r="41" spans="1:13" ht="12" customHeight="1">
      <c r="A41" s="83" t="str">
        <f t="shared" si="2"/>
        <v xml:space="preserve"> </v>
      </c>
      <c r="B41" s="11"/>
      <c r="C41" s="84"/>
      <c r="D41" s="88"/>
      <c r="E41" s="85"/>
      <c r="F41" s="86"/>
      <c r="G41" s="87"/>
      <c r="H41" s="83"/>
      <c r="I41" s="83"/>
      <c r="J41" s="93"/>
      <c r="K41" s="84"/>
      <c r="L41" s="94"/>
      <c r="M41" s="95"/>
    </row>
    <row r="42" spans="1:13" ht="12" customHeight="1">
      <c r="A42" s="83" t="str">
        <f t="shared" si="2"/>
        <v xml:space="preserve"> </v>
      </c>
      <c r="B42" s="11"/>
      <c r="C42" s="84"/>
      <c r="D42" s="88"/>
      <c r="E42" s="85"/>
      <c r="F42" s="86"/>
      <c r="G42" s="87"/>
      <c r="H42" s="83"/>
      <c r="I42" s="83"/>
      <c r="J42" s="93"/>
      <c r="K42" s="84"/>
      <c r="L42" s="94"/>
      <c r="M42" s="95"/>
    </row>
    <row r="43" spans="1:13" ht="12" customHeight="1">
      <c r="A43" s="83" t="str">
        <f t="shared" si="2"/>
        <v xml:space="preserve"> </v>
      </c>
      <c r="B43" s="11"/>
      <c r="C43" s="84"/>
      <c r="D43" s="88"/>
      <c r="E43" s="85"/>
      <c r="F43" s="86"/>
      <c r="G43" s="87"/>
      <c r="H43" s="83"/>
      <c r="I43" s="83"/>
      <c r="J43" s="93"/>
      <c r="K43" s="84"/>
      <c r="L43" s="94"/>
      <c r="M43" s="95"/>
    </row>
    <row r="44" spans="1:13" ht="12" customHeight="1">
      <c r="A44" s="83" t="str">
        <f t="shared" si="2"/>
        <v xml:space="preserve"> </v>
      </c>
      <c r="B44" s="11"/>
      <c r="C44" s="84"/>
      <c r="D44" s="88"/>
      <c r="E44" s="85"/>
      <c r="F44" s="86"/>
      <c r="G44" s="87"/>
      <c r="H44" s="83"/>
      <c r="I44" s="83"/>
      <c r="J44" s="93"/>
      <c r="K44" s="84"/>
      <c r="L44" s="94"/>
      <c r="M44" s="95"/>
    </row>
    <row r="45" spans="1:13" ht="12" customHeight="1">
      <c r="A45" s="83" t="str">
        <f t="shared" si="2"/>
        <v xml:space="preserve"> </v>
      </c>
      <c r="B45" s="11"/>
      <c r="C45" s="84"/>
      <c r="D45" s="88"/>
      <c r="E45" s="85"/>
      <c r="F45" s="86"/>
      <c r="G45" s="87"/>
      <c r="H45" s="83"/>
      <c r="I45" s="83"/>
      <c r="J45" s="93"/>
      <c r="K45" s="84"/>
      <c r="L45" s="94"/>
      <c r="M45" s="95"/>
    </row>
    <row r="46" spans="1:13" ht="12" customHeight="1">
      <c r="A46" s="83" t="str">
        <f t="shared" si="2"/>
        <v xml:space="preserve"> </v>
      </c>
      <c r="B46" s="11"/>
      <c r="C46" s="84"/>
      <c r="D46" s="88"/>
      <c r="E46" s="85"/>
      <c r="F46" s="86"/>
      <c r="G46" s="87"/>
      <c r="H46" s="83"/>
      <c r="I46" s="83"/>
      <c r="J46" s="93"/>
      <c r="K46" s="84"/>
      <c r="L46" s="94"/>
      <c r="M46" s="95"/>
    </row>
    <row r="47" spans="1:13" ht="12" customHeight="1">
      <c r="A47" s="83" t="str">
        <f t="shared" si="2"/>
        <v xml:space="preserve"> </v>
      </c>
      <c r="B47" s="20"/>
      <c r="C47" s="84"/>
      <c r="D47" s="88"/>
      <c r="E47" s="85"/>
      <c r="F47" s="86"/>
      <c r="G47" s="87"/>
      <c r="H47" s="83"/>
      <c r="I47" s="83"/>
      <c r="J47" s="93"/>
      <c r="K47" s="84"/>
      <c r="L47" s="94"/>
      <c r="M47" s="95"/>
    </row>
    <row r="48" spans="1:13" ht="12" customHeight="1">
      <c r="A48" s="83" t="str">
        <f t="shared" si="2"/>
        <v xml:space="preserve"> </v>
      </c>
      <c r="B48" s="11"/>
      <c r="C48" s="84"/>
      <c r="D48" s="88"/>
      <c r="E48" s="85"/>
      <c r="F48" s="86"/>
      <c r="G48" s="87"/>
      <c r="H48" s="83"/>
      <c r="I48" s="83"/>
      <c r="J48" s="93"/>
      <c r="K48" s="84"/>
      <c r="L48" s="94"/>
      <c r="M48" s="95"/>
    </row>
    <row r="49" spans="1:13" ht="12" customHeight="1">
      <c r="A49" s="83" t="str">
        <f t="shared" si="2"/>
        <v xml:space="preserve"> </v>
      </c>
      <c r="B49" s="20"/>
      <c r="C49" s="84"/>
      <c r="D49" s="88"/>
      <c r="E49" s="85"/>
      <c r="F49" s="86"/>
      <c r="G49" s="87"/>
      <c r="H49" s="83"/>
      <c r="I49" s="83"/>
      <c r="J49" s="93"/>
      <c r="K49" s="84"/>
      <c r="L49" s="94"/>
      <c r="M49" s="95"/>
    </row>
    <row r="50" spans="1:13" ht="12" customHeight="1">
      <c r="A50" s="83" t="str">
        <f t="shared" si="2"/>
        <v xml:space="preserve"> </v>
      </c>
      <c r="B50" s="11"/>
      <c r="C50" s="84"/>
      <c r="D50" s="88"/>
      <c r="E50" s="85"/>
      <c r="F50" s="86"/>
      <c r="G50" s="87"/>
      <c r="H50" s="83"/>
      <c r="I50" s="83"/>
      <c r="J50" s="93"/>
      <c r="K50" s="84"/>
      <c r="L50" s="94"/>
      <c r="M50" s="95"/>
    </row>
    <row r="51" spans="1:13" ht="12" customHeight="1">
      <c r="A51" s="83" t="str">
        <f t="shared" si="2"/>
        <v xml:space="preserve"> </v>
      </c>
      <c r="B51" s="74"/>
      <c r="C51" s="84"/>
      <c r="D51" s="88"/>
      <c r="E51" s="85"/>
      <c r="F51" s="86"/>
      <c r="G51" s="87"/>
      <c r="H51" s="83"/>
      <c r="I51" s="83"/>
      <c r="J51" s="93"/>
      <c r="K51" s="84"/>
      <c r="L51" s="94"/>
      <c r="M51" s="95"/>
    </row>
    <row r="52" spans="1:13" ht="12" customHeight="1">
      <c r="A52" s="83" t="str">
        <f t="shared" si="2"/>
        <v xml:space="preserve"> </v>
      </c>
      <c r="B52" s="74"/>
      <c r="C52" s="84"/>
      <c r="D52" s="88"/>
      <c r="E52" s="85"/>
      <c r="F52" s="86"/>
      <c r="G52" s="87"/>
      <c r="H52" s="83"/>
      <c r="I52" s="83"/>
      <c r="J52" s="93"/>
      <c r="K52" s="84"/>
      <c r="L52" s="94"/>
      <c r="M52" s="95"/>
    </row>
    <row r="53" spans="1:13" ht="12" customHeight="1">
      <c r="A53" s="83" t="str">
        <f t="shared" si="2"/>
        <v xml:space="preserve"> </v>
      </c>
      <c r="B53" s="74"/>
      <c r="C53" s="84"/>
      <c r="D53" s="88"/>
      <c r="E53" s="85"/>
      <c r="F53" s="86"/>
      <c r="G53" s="87"/>
      <c r="H53" s="83"/>
      <c r="I53" s="83"/>
      <c r="J53" s="93"/>
      <c r="K53" s="84"/>
      <c r="L53" s="94"/>
      <c r="M53" s="95"/>
    </row>
    <row r="54" spans="1:13" ht="12" customHeight="1">
      <c r="A54" s="83" t="str">
        <f t="shared" si="2"/>
        <v xml:space="preserve"> </v>
      </c>
      <c r="B54" s="74"/>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si="2"/>
        <v xml:space="preserve"> </v>
      </c>
      <c r="B72" s="74"/>
      <c r="C72" s="84"/>
      <c r="D72" s="88"/>
      <c r="E72" s="85"/>
      <c r="F72" s="86"/>
      <c r="G72" s="87"/>
      <c r="H72" s="83"/>
      <c r="I72" s="83"/>
      <c r="J72" s="93"/>
      <c r="K72" s="84"/>
      <c r="L72" s="94"/>
      <c r="M72" s="95"/>
    </row>
    <row r="73" spans="1:13" ht="12" customHeight="1">
      <c r="A73" s="83" t="str">
        <f t="shared" si="2"/>
        <v xml:space="preserve"> </v>
      </c>
      <c r="B73" s="74"/>
      <c r="C73" s="84"/>
      <c r="D73" s="88"/>
      <c r="E73" s="85"/>
      <c r="F73" s="86"/>
      <c r="G73" s="87"/>
      <c r="H73" s="83"/>
      <c r="I73" s="83"/>
      <c r="J73" s="93"/>
      <c r="K73" s="84"/>
      <c r="L73" s="94"/>
      <c r="M73" s="95"/>
    </row>
    <row r="74" spans="1:13" ht="12" customHeight="1">
      <c r="A74" s="83" t="str">
        <f t="shared" si="2"/>
        <v xml:space="preserve"> </v>
      </c>
      <c r="B74" s="74"/>
      <c r="C74" s="84"/>
      <c r="D74" s="88"/>
      <c r="E74" s="85"/>
      <c r="F74" s="86"/>
      <c r="G74" s="87"/>
      <c r="H74" s="83"/>
      <c r="I74" s="83"/>
      <c r="J74" s="93"/>
      <c r="K74" s="84"/>
      <c r="L74" s="94"/>
      <c r="M74" s="95"/>
    </row>
    <row r="75" spans="1:13" ht="12" customHeight="1">
      <c r="A75" s="83" t="str">
        <f t="shared" si="2"/>
        <v xml:space="preserve"> </v>
      </c>
      <c r="B75" s="74"/>
      <c r="C75" s="84"/>
      <c r="D75" s="88"/>
      <c r="E75" s="85"/>
      <c r="F75" s="86"/>
      <c r="G75" s="87"/>
      <c r="H75" s="83"/>
      <c r="I75" s="83"/>
      <c r="J75" s="93"/>
      <c r="K75" s="84"/>
      <c r="L75" s="94"/>
      <c r="M75" s="95"/>
    </row>
    <row r="76" spans="1:13" ht="12" customHeight="1">
      <c r="A76" s="83" t="str">
        <f t="shared" si="2"/>
        <v xml:space="preserve"> </v>
      </c>
      <c r="B76" s="74"/>
      <c r="C76" s="84"/>
      <c r="D76" s="88"/>
      <c r="E76" s="85"/>
      <c r="F76" s="86"/>
      <c r="G76" s="87"/>
      <c r="H76" s="83"/>
      <c r="I76" s="83"/>
      <c r="J76" s="93"/>
      <c r="K76" s="84"/>
      <c r="L76" s="94"/>
      <c r="M76" s="95"/>
    </row>
    <row r="77" spans="1:13" ht="12" customHeight="1">
      <c r="A77" s="83" t="str">
        <f t="shared" si="2"/>
        <v xml:space="preserve"> </v>
      </c>
      <c r="B77" s="74"/>
      <c r="C77" s="84"/>
      <c r="D77" s="88"/>
      <c r="E77" s="85"/>
      <c r="F77" s="86"/>
      <c r="G77" s="87"/>
      <c r="H77" s="83"/>
      <c r="I77" s="83"/>
      <c r="J77" s="93"/>
      <c r="K77" s="84"/>
      <c r="L77" s="94"/>
      <c r="M77" s="95"/>
    </row>
    <row r="78" spans="1:13" ht="12" customHeight="1">
      <c r="A78" s="83" t="str">
        <f t="shared" si="2"/>
        <v xml:space="preserve"> </v>
      </c>
      <c r="B78" s="74"/>
      <c r="C78" s="84"/>
      <c r="D78" s="88"/>
      <c r="E78" s="85"/>
      <c r="F78" s="86"/>
      <c r="G78" s="87"/>
      <c r="H78" s="83"/>
      <c r="I78" s="83"/>
      <c r="J78" s="93"/>
      <c r="K78" s="84"/>
      <c r="L78" s="94"/>
      <c r="M78" s="95"/>
    </row>
    <row r="79" spans="1:13" ht="12" customHeight="1">
      <c r="A79" s="83" t="str">
        <f t="shared" ref="A79:A90" si="3">IF(B79=""," ",A78+1)</f>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ref="A91:A100" si="4">IF(B91=""," ",A90+1)</f>
        <v xml:space="preserve"> </v>
      </c>
      <c r="B91" s="74"/>
      <c r="C91" s="84"/>
      <c r="D91" s="88"/>
      <c r="E91" s="85"/>
      <c r="F91" s="86"/>
      <c r="G91" s="87"/>
      <c r="H91" s="83"/>
      <c r="I91" s="83"/>
      <c r="J91" s="93"/>
      <c r="K91" s="84"/>
      <c r="L91" s="94"/>
      <c r="M91" s="95"/>
    </row>
    <row r="92" spans="1:13" ht="12" customHeight="1">
      <c r="A92" s="83" t="str">
        <f t="shared" si="4"/>
        <v xml:space="preserve"> </v>
      </c>
      <c r="B92" s="74"/>
      <c r="C92" s="84"/>
      <c r="D92" s="88"/>
      <c r="E92" s="85"/>
      <c r="F92" s="86"/>
      <c r="G92" s="87"/>
      <c r="H92" s="83"/>
      <c r="I92" s="83"/>
      <c r="J92" s="93"/>
      <c r="K92" s="84"/>
      <c r="L92" s="94"/>
      <c r="M92" s="95"/>
    </row>
    <row r="93" spans="1:13" ht="12" customHeight="1">
      <c r="A93" s="83" t="str">
        <f t="shared" si="4"/>
        <v xml:space="preserve"> </v>
      </c>
      <c r="B93" s="74"/>
      <c r="C93" s="84"/>
      <c r="D93" s="88"/>
      <c r="E93" s="85"/>
      <c r="F93" s="86"/>
      <c r="G93" s="87"/>
      <c r="H93" s="83"/>
      <c r="I93" s="83"/>
      <c r="J93" s="93"/>
      <c r="K93" s="84"/>
      <c r="L93" s="94"/>
      <c r="M93" s="95"/>
    </row>
    <row r="94" spans="1:13" ht="12" customHeight="1">
      <c r="A94" s="83" t="str">
        <f t="shared" si="4"/>
        <v xml:space="preserve"> </v>
      </c>
      <c r="B94" s="74"/>
      <c r="C94" s="84"/>
      <c r="D94" s="88"/>
      <c r="E94" s="85"/>
      <c r="F94" s="86"/>
      <c r="G94" s="87"/>
      <c r="H94" s="83"/>
      <c r="I94" s="83"/>
      <c r="J94" s="93"/>
      <c r="K94" s="84"/>
      <c r="L94" s="94"/>
      <c r="M94" s="95"/>
    </row>
    <row r="95" spans="1:13" ht="12" customHeight="1">
      <c r="A95" s="83" t="str">
        <f t="shared" si="4"/>
        <v xml:space="preserve"> </v>
      </c>
      <c r="B95" s="74"/>
      <c r="C95" s="84"/>
      <c r="D95" s="88"/>
      <c r="E95" s="85"/>
      <c r="F95" s="86"/>
      <c r="G95" s="87"/>
      <c r="H95" s="83"/>
      <c r="I95" s="83"/>
      <c r="J95" s="93"/>
      <c r="K95" s="84"/>
      <c r="L95" s="94"/>
      <c r="M95" s="95"/>
    </row>
    <row r="96" spans="1:13"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 t="shared" si="4"/>
        <v xml:space="preserve"> </v>
      </c>
      <c r="B99" s="74"/>
      <c r="C99" s="84"/>
      <c r="D99" s="88"/>
      <c r="E99" s="85"/>
      <c r="F99" s="86"/>
      <c r="G99" s="87"/>
      <c r="H99" s="83"/>
      <c r="I99" s="83"/>
      <c r="J99" s="93"/>
      <c r="K99" s="84"/>
      <c r="L99" s="94"/>
      <c r="M99" s="95"/>
    </row>
    <row r="100" spans="1:13" ht="12" customHeight="1">
      <c r="A100" s="83" t="str">
        <f t="shared" si="4"/>
        <v xml:space="preserve"> </v>
      </c>
      <c r="B100" s="74"/>
      <c r="C100" s="84"/>
      <c r="D100" s="88"/>
      <c r="E100" s="85"/>
      <c r="F100" s="86"/>
      <c r="G100" s="87"/>
      <c r="H100" s="83"/>
      <c r="I100" s="83"/>
      <c r="J100" s="93"/>
      <c r="K100" s="84"/>
      <c r="L100" s="94"/>
      <c r="M100" s="95"/>
    </row>
    <row r="102" spans="1:13">
      <c r="B102" s="75" t="s">
        <v>235</v>
      </c>
    </row>
    <row r="103" spans="1:13" ht="12" customHeight="1"/>
    <row r="104" spans="1:13">
      <c r="B104" s="75" t="s">
        <v>236</v>
      </c>
      <c r="C104" s="75" t="s">
        <v>237</v>
      </c>
    </row>
    <row r="105" spans="1:13" ht="12" customHeight="1"/>
    <row r="106" spans="1:13">
      <c r="B106" s="75" t="s">
        <v>236</v>
      </c>
      <c r="C106" s="75" t="s">
        <v>238</v>
      </c>
    </row>
    <row r="108" spans="1:13">
      <c r="B108" s="75" t="s">
        <v>239</v>
      </c>
      <c r="C108" s="75" t="s">
        <v>240</v>
      </c>
    </row>
    <row r="109" spans="1:13">
      <c r="C109" s="75" t="s">
        <v>241</v>
      </c>
    </row>
    <row r="111" spans="1:13">
      <c r="B111" s="75" t="s">
        <v>239</v>
      </c>
      <c r="C111" s="75" t="s">
        <v>1182</v>
      </c>
    </row>
    <row r="112" spans="1:13">
      <c r="C112" s="75" t="s">
        <v>1183</v>
      </c>
    </row>
    <row r="113" spans="2:4">
      <c r="C113" s="75" t="s">
        <v>1184</v>
      </c>
    </row>
    <row r="114" spans="2:4">
      <c r="C114" s="75" t="s">
        <v>1185</v>
      </c>
    </row>
    <row r="115" spans="2:4">
      <c r="C115" s="75" t="s">
        <v>1186</v>
      </c>
    </row>
    <row r="117" spans="2:4">
      <c r="B117" s="75" t="s">
        <v>452</v>
      </c>
      <c r="C117" s="75" t="s">
        <v>1259</v>
      </c>
    </row>
    <row r="119" spans="2:4">
      <c r="B119" s="75" t="s">
        <v>1260</v>
      </c>
      <c r="C119" s="75" t="s">
        <v>457</v>
      </c>
      <c r="D119" s="75" t="s">
        <v>1253</v>
      </c>
    </row>
  </sheetData>
  <mergeCells count="44">
    <mergeCell ref="K5:M6"/>
    <mergeCell ref="K34:M34"/>
    <mergeCell ref="K35:M35"/>
    <mergeCell ref="K36:M36"/>
    <mergeCell ref="K37:M37"/>
    <mergeCell ref="K38:M38"/>
    <mergeCell ref="K28:M28"/>
    <mergeCell ref="K29:M29"/>
    <mergeCell ref="K30:M30"/>
    <mergeCell ref="K31:M31"/>
    <mergeCell ref="K32:M32"/>
    <mergeCell ref="K23:M23"/>
    <mergeCell ref="K24:M24"/>
    <mergeCell ref="K25:M25"/>
    <mergeCell ref="K26:M26"/>
    <mergeCell ref="K27:M27"/>
    <mergeCell ref="K17:M17"/>
    <mergeCell ref="K18:M18"/>
    <mergeCell ref="K19:M19"/>
    <mergeCell ref="K21:M21"/>
    <mergeCell ref="K22:M22"/>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5:A6"/>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ageSetUpPr fitToPage="1"/>
  </sheetPr>
  <dimension ref="A1:Q108"/>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1261</v>
      </c>
      <c r="D3" s="265"/>
      <c r="E3" s="265"/>
      <c r="F3" s="265"/>
      <c r="G3" s="266"/>
      <c r="H3" s="259" t="s">
        <v>140</v>
      </c>
      <c r="I3" s="260"/>
      <c r="J3" s="90">
        <f>COUNT(A7:A100)</f>
        <v>19</v>
      </c>
      <c r="K3" s="78" t="s">
        <v>141</v>
      </c>
      <c r="L3" s="91">
        <v>38644</v>
      </c>
      <c r="M3" s="92" t="s">
        <v>142</v>
      </c>
      <c r="O3" s="75" t="s">
        <v>143</v>
      </c>
      <c r="P3" s="75" t="s">
        <v>144</v>
      </c>
    </row>
    <row r="4" spans="1:16" ht="12" customHeight="1">
      <c r="A4" s="267" t="s">
        <v>145</v>
      </c>
      <c r="B4" s="268"/>
      <c r="C4" s="267" t="s">
        <v>46</v>
      </c>
      <c r="D4" s="269"/>
      <c r="E4" s="269"/>
      <c r="F4" s="269"/>
      <c r="G4" s="268"/>
      <c r="H4" s="259" t="s">
        <v>146</v>
      </c>
      <c r="I4" s="260"/>
      <c r="J4" s="90">
        <f>SUM(G7:G100)</f>
        <v>110</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25" si="0">IF(D7="DATE",4,IF(D7="CHAR",E7,IF(D7="SMALLINT",2,IF(D7="INTEGER",4,IF(D7="TIMESTAMP",10,IF(D7="TIME",3,0))))))</f>
        <v>4</v>
      </c>
      <c r="H7" s="83" t="s">
        <v>149</v>
      </c>
      <c r="I7" s="83" t="s">
        <v>149</v>
      </c>
      <c r="J7" s="93"/>
      <c r="K7" s="308"/>
      <c r="L7" s="278"/>
      <c r="M7" s="279"/>
      <c r="P7" s="75" t="s">
        <v>165</v>
      </c>
    </row>
    <row r="8" spans="1:16" ht="12" customHeight="1">
      <c r="A8" s="83">
        <f t="shared" ref="A8:A25" si="1">IF(B8=""," ",A7+1)</f>
        <v>2</v>
      </c>
      <c r="B8" s="20" t="s">
        <v>818</v>
      </c>
      <c r="C8" s="84" t="s">
        <v>819</v>
      </c>
      <c r="D8" s="88" t="s">
        <v>150</v>
      </c>
      <c r="E8" s="85">
        <v>4</v>
      </c>
      <c r="F8" s="86"/>
      <c r="G8" s="87">
        <f t="shared" si="0"/>
        <v>4</v>
      </c>
      <c r="H8" s="83" t="s">
        <v>149</v>
      </c>
      <c r="I8" s="83" t="s">
        <v>149</v>
      </c>
      <c r="J8" s="93"/>
      <c r="K8" s="280"/>
      <c r="L8" s="291"/>
      <c r="M8" s="292"/>
    </row>
    <row r="9" spans="1:16" ht="12" customHeight="1">
      <c r="A9" s="83">
        <f t="shared" si="1"/>
        <v>3</v>
      </c>
      <c r="B9" s="20" t="s">
        <v>957</v>
      </c>
      <c r="C9" s="84" t="s">
        <v>958</v>
      </c>
      <c r="D9" s="88" t="s">
        <v>150</v>
      </c>
      <c r="E9" s="85">
        <v>4</v>
      </c>
      <c r="F9" s="86"/>
      <c r="G9" s="87">
        <f t="shared" si="0"/>
        <v>4</v>
      </c>
      <c r="H9" s="83" t="s">
        <v>149</v>
      </c>
      <c r="I9" s="83"/>
      <c r="J9" s="93"/>
      <c r="K9" s="280"/>
      <c r="L9" s="291"/>
      <c r="M9" s="292"/>
    </row>
    <row r="10" spans="1:16" ht="12" customHeight="1">
      <c r="A10" s="83">
        <f t="shared" si="1"/>
        <v>4</v>
      </c>
      <c r="B10" s="20" t="s">
        <v>960</v>
      </c>
      <c r="C10" s="84" t="s">
        <v>961</v>
      </c>
      <c r="D10" s="88" t="s">
        <v>150</v>
      </c>
      <c r="E10" s="85">
        <v>6</v>
      </c>
      <c r="F10" s="86"/>
      <c r="G10" s="87">
        <f t="shared" si="0"/>
        <v>6</v>
      </c>
      <c r="H10" s="83" t="s">
        <v>149</v>
      </c>
      <c r="I10" s="83" t="s">
        <v>149</v>
      </c>
      <c r="J10" s="93"/>
      <c r="K10" s="280" t="s">
        <v>962</v>
      </c>
      <c r="L10" s="291"/>
      <c r="M10" s="292"/>
    </row>
    <row r="11" spans="1:16" ht="12" customHeight="1">
      <c r="A11" s="83">
        <f t="shared" si="1"/>
        <v>5</v>
      </c>
      <c r="B11" s="11" t="s">
        <v>646</v>
      </c>
      <c r="C11" s="84" t="s">
        <v>647</v>
      </c>
      <c r="D11" s="88" t="s">
        <v>150</v>
      </c>
      <c r="E11" s="85">
        <v>16</v>
      </c>
      <c r="F11" s="86"/>
      <c r="G11" s="87">
        <f t="shared" si="0"/>
        <v>16</v>
      </c>
      <c r="H11" s="83" t="s">
        <v>149</v>
      </c>
      <c r="I11" s="83"/>
      <c r="J11" s="93"/>
      <c r="K11" s="308" t="s">
        <v>648</v>
      </c>
      <c r="L11" s="278"/>
      <c r="M11" s="279"/>
    </row>
    <row r="12" spans="1:16" ht="12" customHeight="1">
      <c r="A12" s="83">
        <f t="shared" si="1"/>
        <v>6</v>
      </c>
      <c r="B12" s="21" t="s">
        <v>596</v>
      </c>
      <c r="C12" s="84" t="s">
        <v>597</v>
      </c>
      <c r="D12" s="88" t="s">
        <v>150</v>
      </c>
      <c r="E12" s="85">
        <v>7</v>
      </c>
      <c r="F12" s="86"/>
      <c r="G12" s="87">
        <f t="shared" si="0"/>
        <v>7</v>
      </c>
      <c r="H12" s="83" t="s">
        <v>149</v>
      </c>
      <c r="I12" s="83" t="s">
        <v>149</v>
      </c>
      <c r="J12" s="93"/>
      <c r="K12" s="308"/>
      <c r="L12" s="278"/>
      <c r="M12" s="279"/>
    </row>
    <row r="13" spans="1:16" ht="27.6" customHeight="1">
      <c r="A13" s="83">
        <f t="shared" si="1"/>
        <v>7</v>
      </c>
      <c r="B13" s="11" t="s">
        <v>821</v>
      </c>
      <c r="C13" s="110" t="s">
        <v>822</v>
      </c>
      <c r="D13" s="88" t="s">
        <v>150</v>
      </c>
      <c r="E13" s="85">
        <v>7</v>
      </c>
      <c r="F13" s="86"/>
      <c r="G13" s="87">
        <f t="shared" si="0"/>
        <v>7</v>
      </c>
      <c r="H13" s="83" t="s">
        <v>149</v>
      </c>
      <c r="I13" s="83"/>
      <c r="J13" s="93"/>
      <c r="K13" s="280" t="s">
        <v>823</v>
      </c>
      <c r="L13" s="275"/>
      <c r="M13" s="276"/>
    </row>
    <row r="14" spans="1:16" ht="12" customHeight="1">
      <c r="A14" s="83">
        <f t="shared" si="1"/>
        <v>8</v>
      </c>
      <c r="B14" s="207" t="s">
        <v>1083</v>
      </c>
      <c r="C14" s="22" t="s">
        <v>1084</v>
      </c>
      <c r="D14" s="30" t="s">
        <v>161</v>
      </c>
      <c r="E14" s="85"/>
      <c r="F14" s="86"/>
      <c r="G14" s="87">
        <f t="shared" si="0"/>
        <v>4</v>
      </c>
      <c r="H14" s="83" t="s">
        <v>149</v>
      </c>
      <c r="I14" s="83" t="s">
        <v>149</v>
      </c>
      <c r="J14" s="93"/>
      <c r="K14" s="280"/>
      <c r="L14" s="291"/>
      <c r="M14" s="292"/>
    </row>
    <row r="15" spans="1:16" ht="12" customHeight="1">
      <c r="A15" s="83">
        <f t="shared" si="1"/>
        <v>9</v>
      </c>
      <c r="B15" s="11" t="s">
        <v>1262</v>
      </c>
      <c r="C15" s="84" t="s">
        <v>1263</v>
      </c>
      <c r="D15" s="88" t="s">
        <v>161</v>
      </c>
      <c r="E15" s="85"/>
      <c r="F15" s="86"/>
      <c r="G15" s="87">
        <f t="shared" si="0"/>
        <v>4</v>
      </c>
      <c r="H15" s="83" t="s">
        <v>149</v>
      </c>
      <c r="I15" s="83"/>
      <c r="J15" s="93"/>
      <c r="K15" s="274"/>
      <c r="L15" s="275"/>
      <c r="M15" s="276"/>
    </row>
    <row r="16" spans="1:16" ht="12" customHeight="1">
      <c r="A16" s="83">
        <f t="shared" si="1"/>
        <v>10</v>
      </c>
      <c r="B16" s="11" t="s">
        <v>1264</v>
      </c>
      <c r="C16" s="84" t="s">
        <v>1265</v>
      </c>
      <c r="D16" s="88" t="s">
        <v>161</v>
      </c>
      <c r="E16" s="85"/>
      <c r="F16" s="86"/>
      <c r="G16" s="87">
        <f t="shared" si="0"/>
        <v>4</v>
      </c>
      <c r="H16" s="83" t="s">
        <v>149</v>
      </c>
      <c r="I16" s="83"/>
      <c r="J16" s="93"/>
      <c r="K16" s="274"/>
      <c r="L16" s="275"/>
      <c r="M16" s="276"/>
    </row>
    <row r="17" spans="1:13" ht="12" customHeight="1">
      <c r="A17" s="83">
        <f t="shared" si="1"/>
        <v>11</v>
      </c>
      <c r="B17" s="20" t="s">
        <v>1266</v>
      </c>
      <c r="C17" s="84" t="s">
        <v>1267</v>
      </c>
      <c r="D17" s="88" t="s">
        <v>161</v>
      </c>
      <c r="E17" s="85"/>
      <c r="F17" s="86"/>
      <c r="G17" s="87">
        <f t="shared" si="0"/>
        <v>4</v>
      </c>
      <c r="H17" s="83" t="s">
        <v>149</v>
      </c>
      <c r="I17" s="83"/>
      <c r="J17" s="93"/>
      <c r="K17" s="125"/>
      <c r="L17" s="126"/>
      <c r="M17" s="127"/>
    </row>
    <row r="18" spans="1:13" ht="12" customHeight="1">
      <c r="A18" s="83">
        <f t="shared" si="1"/>
        <v>12</v>
      </c>
      <c r="B18" s="20" t="s">
        <v>1268</v>
      </c>
      <c r="C18" s="84" t="s">
        <v>1269</v>
      </c>
      <c r="D18" s="88" t="s">
        <v>161</v>
      </c>
      <c r="E18" s="85"/>
      <c r="F18" s="86"/>
      <c r="G18" s="87">
        <f t="shared" si="0"/>
        <v>4</v>
      </c>
      <c r="H18" s="83" t="s">
        <v>149</v>
      </c>
      <c r="I18" s="83"/>
      <c r="J18" s="93"/>
      <c r="K18" s="125"/>
      <c r="L18" s="126"/>
      <c r="M18" s="127"/>
    </row>
    <row r="19" spans="1:13" ht="12" customHeight="1">
      <c r="A19" s="83">
        <f t="shared" si="1"/>
        <v>13</v>
      </c>
      <c r="B19" s="74" t="s">
        <v>1270</v>
      </c>
      <c r="C19" s="22" t="s">
        <v>1271</v>
      </c>
      <c r="D19" s="30" t="s">
        <v>174</v>
      </c>
      <c r="E19" s="85"/>
      <c r="F19" s="86"/>
      <c r="G19" s="87">
        <f t="shared" si="0"/>
        <v>2</v>
      </c>
      <c r="H19" s="83" t="s">
        <v>149</v>
      </c>
      <c r="I19" s="83"/>
      <c r="J19" s="93"/>
      <c r="K19" s="280"/>
      <c r="L19" s="291"/>
      <c r="M19" s="292"/>
    </row>
    <row r="20" spans="1:13" ht="12" customHeight="1">
      <c r="A20" s="83">
        <f t="shared" si="1"/>
        <v>14</v>
      </c>
      <c r="B20" s="74" t="s">
        <v>1272</v>
      </c>
      <c r="C20" s="22" t="s">
        <v>1273</v>
      </c>
      <c r="D20" s="30" t="s">
        <v>174</v>
      </c>
      <c r="E20" s="85"/>
      <c r="F20" s="86"/>
      <c r="G20" s="87">
        <f t="shared" si="0"/>
        <v>2</v>
      </c>
      <c r="H20" s="83" t="s">
        <v>149</v>
      </c>
      <c r="I20" s="83"/>
      <c r="J20" s="93"/>
      <c r="K20" s="280"/>
      <c r="L20" s="291"/>
      <c r="M20" s="292"/>
    </row>
    <row r="21" spans="1:13" ht="12" customHeight="1">
      <c r="A21" s="83">
        <f t="shared" si="1"/>
        <v>15</v>
      </c>
      <c r="B21" s="74" t="s">
        <v>1274</v>
      </c>
      <c r="C21" s="22" t="s">
        <v>1275</v>
      </c>
      <c r="D21" s="30" t="s">
        <v>174</v>
      </c>
      <c r="E21" s="85"/>
      <c r="F21" s="86"/>
      <c r="G21" s="87">
        <f t="shared" si="0"/>
        <v>2</v>
      </c>
      <c r="H21" s="83" t="s">
        <v>149</v>
      </c>
      <c r="I21" s="83"/>
      <c r="J21" s="93"/>
      <c r="K21" s="96"/>
      <c r="L21" s="97"/>
      <c r="M21" s="98"/>
    </row>
    <row r="22" spans="1:13" ht="12" customHeight="1">
      <c r="A22" s="83">
        <f t="shared" si="1"/>
        <v>16</v>
      </c>
      <c r="B22" s="11" t="s">
        <v>1276</v>
      </c>
      <c r="C22" s="22" t="s">
        <v>1277</v>
      </c>
      <c r="D22" s="30" t="s">
        <v>150</v>
      </c>
      <c r="E22" s="85">
        <v>24</v>
      </c>
      <c r="F22" s="86"/>
      <c r="G22" s="87">
        <f t="shared" si="0"/>
        <v>24</v>
      </c>
      <c r="H22" s="83" t="s">
        <v>149</v>
      </c>
      <c r="I22" s="83"/>
      <c r="J22" s="93"/>
      <c r="K22" s="271"/>
      <c r="L22" s="272"/>
      <c r="M22" s="273"/>
    </row>
    <row r="23" spans="1:13" ht="39.950000000000003" customHeight="1">
      <c r="A23" s="83">
        <f t="shared" si="1"/>
        <v>17</v>
      </c>
      <c r="B23" s="11" t="s">
        <v>1278</v>
      </c>
      <c r="C23" s="22" t="s">
        <v>1279</v>
      </c>
      <c r="D23" s="30" t="s">
        <v>150</v>
      </c>
      <c r="E23" s="85">
        <v>1</v>
      </c>
      <c r="F23" s="86"/>
      <c r="G23" s="87">
        <f t="shared" si="0"/>
        <v>1</v>
      </c>
      <c r="H23" s="83" t="s">
        <v>149</v>
      </c>
      <c r="I23" s="83"/>
      <c r="J23" s="93"/>
      <c r="K23" s="280" t="s">
        <v>1280</v>
      </c>
      <c r="L23" s="300"/>
      <c r="M23" s="301"/>
    </row>
    <row r="24" spans="1:13" ht="39.950000000000003" customHeight="1">
      <c r="A24" s="83">
        <f t="shared" si="1"/>
        <v>18</v>
      </c>
      <c r="B24" s="11" t="s">
        <v>1281</v>
      </c>
      <c r="C24" s="22" t="s">
        <v>1282</v>
      </c>
      <c r="D24" s="30" t="s">
        <v>150</v>
      </c>
      <c r="E24" s="85">
        <v>1</v>
      </c>
      <c r="F24" s="86"/>
      <c r="G24" s="87">
        <f t="shared" si="0"/>
        <v>1</v>
      </c>
      <c r="H24" s="83" t="s">
        <v>149</v>
      </c>
      <c r="I24" s="83"/>
      <c r="J24" s="93"/>
      <c r="K24" s="280" t="s">
        <v>1283</v>
      </c>
      <c r="L24" s="300"/>
      <c r="M24" s="301"/>
    </row>
    <row r="25" spans="1:13" ht="12" customHeight="1">
      <c r="A25" s="83">
        <f t="shared" si="1"/>
        <v>19</v>
      </c>
      <c r="B25" s="74" t="s">
        <v>232</v>
      </c>
      <c r="C25" s="84" t="s">
        <v>233</v>
      </c>
      <c r="D25" s="88" t="s">
        <v>234</v>
      </c>
      <c r="E25" s="85"/>
      <c r="F25" s="86"/>
      <c r="G25" s="87">
        <f t="shared" si="0"/>
        <v>10</v>
      </c>
      <c r="H25" s="83" t="s">
        <v>149</v>
      </c>
      <c r="I25" s="83"/>
      <c r="J25" s="93"/>
      <c r="K25" s="84"/>
      <c r="L25" s="94"/>
      <c r="M25" s="95"/>
    </row>
    <row r="26" spans="1:13" ht="12" customHeight="1">
      <c r="A26" s="83" t="str">
        <f>IF(B26=""," ",#REF!+1)</f>
        <v xml:space="preserve"> </v>
      </c>
      <c r="B26" s="74"/>
      <c r="C26" s="22"/>
      <c r="D26" s="30"/>
      <c r="E26" s="85"/>
      <c r="F26" s="86"/>
      <c r="G26" s="87"/>
      <c r="H26" s="83"/>
      <c r="I26" s="83"/>
      <c r="J26" s="93"/>
      <c r="K26" s="274"/>
      <c r="L26" s="275"/>
      <c r="M26" s="276"/>
    </row>
    <row r="27" spans="1:13" ht="12" customHeight="1">
      <c r="A27" s="83" t="str">
        <f>IF(B27=""," ",#REF!+1)</f>
        <v xml:space="preserve"> </v>
      </c>
      <c r="B27" s="20"/>
      <c r="C27" s="84"/>
      <c r="D27" s="88"/>
      <c r="E27" s="85"/>
      <c r="F27" s="86"/>
      <c r="G27" s="87"/>
      <c r="H27" s="83"/>
      <c r="I27" s="83"/>
      <c r="J27" s="93"/>
      <c r="K27" s="84"/>
      <c r="L27" s="94"/>
      <c r="M27" s="95"/>
    </row>
    <row r="28" spans="1:13" ht="12" customHeight="1">
      <c r="A28" s="83" t="str">
        <f>IF(B28=""," ",#REF!+1)</f>
        <v xml:space="preserve"> </v>
      </c>
      <c r="B28" s="74"/>
      <c r="C28" s="84"/>
      <c r="D28" s="88"/>
      <c r="E28" s="85"/>
      <c r="F28" s="86"/>
      <c r="G28" s="87"/>
      <c r="H28" s="83"/>
      <c r="I28" s="83"/>
      <c r="J28" s="93"/>
      <c r="K28" s="84"/>
      <c r="L28" s="94"/>
      <c r="M28" s="95"/>
    </row>
    <row r="29" spans="1:13" ht="12" customHeight="1">
      <c r="A29" s="83" t="str">
        <f t="shared" ref="A29:A41" si="2">IF(B29=""," ",A28+1)</f>
        <v xml:space="preserve"> </v>
      </c>
      <c r="B29" s="74"/>
      <c r="C29" s="84"/>
      <c r="D29" s="88"/>
      <c r="E29" s="85"/>
      <c r="F29" s="86"/>
      <c r="G29" s="87"/>
      <c r="H29" s="83"/>
      <c r="I29" s="83"/>
      <c r="J29" s="93"/>
      <c r="K29" s="84"/>
      <c r="L29" s="94"/>
      <c r="M29" s="95"/>
    </row>
    <row r="30" spans="1:13" ht="12" customHeight="1">
      <c r="A30" s="83" t="str">
        <f t="shared" si="2"/>
        <v xml:space="preserve"> </v>
      </c>
      <c r="B30" s="74"/>
      <c r="C30" s="84"/>
      <c r="D30" s="88"/>
      <c r="E30" s="85"/>
      <c r="F30" s="86"/>
      <c r="G30" s="87"/>
      <c r="H30" s="83"/>
      <c r="I30" s="83"/>
      <c r="J30" s="93"/>
      <c r="K30" s="84"/>
      <c r="L30" s="94"/>
      <c r="M30" s="95"/>
    </row>
    <row r="31" spans="1:13" ht="12" customHeight="1">
      <c r="A31" s="83" t="str">
        <f t="shared" si="2"/>
        <v xml:space="preserve"> </v>
      </c>
      <c r="B31" s="74"/>
      <c r="C31" s="84"/>
      <c r="D31" s="88"/>
      <c r="E31" s="85"/>
      <c r="F31" s="86"/>
      <c r="G31" s="87"/>
      <c r="H31" s="83"/>
      <c r="I31" s="83"/>
      <c r="J31" s="93"/>
      <c r="K31" s="84"/>
      <c r="L31" s="94"/>
      <c r="M31" s="95"/>
    </row>
    <row r="32" spans="1:13" ht="12" customHeight="1">
      <c r="A32" s="83" t="str">
        <f t="shared" si="2"/>
        <v xml:space="preserve"> </v>
      </c>
      <c r="B32" s="74"/>
      <c r="C32" s="84"/>
      <c r="D32" s="88"/>
      <c r="E32" s="85"/>
      <c r="F32" s="86"/>
      <c r="G32" s="87"/>
      <c r="H32" s="83"/>
      <c r="I32" s="83"/>
      <c r="J32" s="93"/>
      <c r="K32" s="84"/>
      <c r="L32" s="94"/>
      <c r="M32" s="95"/>
    </row>
    <row r="33" spans="1:13" ht="12" customHeight="1">
      <c r="A33" s="83" t="str">
        <f t="shared" si="2"/>
        <v xml:space="preserve"> </v>
      </c>
      <c r="B33" s="74"/>
      <c r="C33" s="84"/>
      <c r="D33" s="88"/>
      <c r="E33" s="85"/>
      <c r="F33" s="86"/>
      <c r="G33" s="87"/>
      <c r="H33" s="83"/>
      <c r="I33" s="83"/>
      <c r="J33" s="93"/>
      <c r="K33" s="84"/>
      <c r="L33" s="94"/>
      <c r="M33" s="95"/>
    </row>
    <row r="34" spans="1:13" ht="12" customHeight="1">
      <c r="A34" s="83" t="str">
        <f t="shared" si="2"/>
        <v xml:space="preserve"> </v>
      </c>
      <c r="B34" s="74"/>
      <c r="C34" s="84"/>
      <c r="D34" s="88"/>
      <c r="E34" s="85"/>
      <c r="F34" s="86"/>
      <c r="G34" s="87"/>
      <c r="H34" s="83"/>
      <c r="I34" s="83"/>
      <c r="J34" s="93"/>
      <c r="K34" s="84"/>
      <c r="L34" s="94"/>
      <c r="M34" s="95"/>
    </row>
    <row r="35" spans="1:13" ht="12" customHeight="1">
      <c r="A35" s="83" t="str">
        <f t="shared" si="2"/>
        <v xml:space="preserve"> </v>
      </c>
      <c r="B35" s="74"/>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ref="A42:A73" si="3">IF(B42=""," ",A41+1)</f>
        <v xml:space="preserve"> </v>
      </c>
      <c r="B42" s="74"/>
      <c r="C42" s="84"/>
      <c r="D42" s="88"/>
      <c r="E42" s="85"/>
      <c r="F42" s="86"/>
      <c r="G42" s="87"/>
      <c r="H42" s="83"/>
      <c r="I42" s="83"/>
      <c r="J42" s="93"/>
      <c r="K42" s="84"/>
      <c r="L42" s="94"/>
      <c r="M42" s="95"/>
    </row>
    <row r="43" spans="1:13" ht="12" customHeight="1">
      <c r="A43" s="83" t="str">
        <f t="shared" si="3"/>
        <v xml:space="preserve"> </v>
      </c>
      <c r="B43" s="74"/>
      <c r="C43" s="84"/>
      <c r="D43" s="88"/>
      <c r="E43" s="85"/>
      <c r="F43" s="86"/>
      <c r="G43" s="87"/>
      <c r="H43" s="83"/>
      <c r="I43" s="83"/>
      <c r="J43" s="93"/>
      <c r="K43" s="84"/>
      <c r="L43" s="94"/>
      <c r="M43" s="95"/>
    </row>
    <row r="44" spans="1:13" ht="12" customHeight="1">
      <c r="A44" s="83" t="str">
        <f t="shared" si="3"/>
        <v xml:space="preserve"> </v>
      </c>
      <c r="B44" s="74"/>
      <c r="C44" s="84"/>
      <c r="D44" s="88"/>
      <c r="E44" s="85"/>
      <c r="F44" s="86"/>
      <c r="G44" s="87"/>
      <c r="H44" s="83"/>
      <c r="I44" s="83"/>
      <c r="J44" s="93"/>
      <c r="K44" s="84"/>
      <c r="L44" s="94"/>
      <c r="M44" s="95"/>
    </row>
    <row r="45" spans="1:13" ht="12" customHeight="1">
      <c r="A45" s="83" t="str">
        <f t="shared" si="3"/>
        <v xml:space="preserve"> </v>
      </c>
      <c r="B45" s="74"/>
      <c r="C45" s="84"/>
      <c r="D45" s="88"/>
      <c r="E45" s="85"/>
      <c r="F45" s="86"/>
      <c r="G45" s="87"/>
      <c r="H45" s="83"/>
      <c r="I45" s="83"/>
      <c r="J45" s="93"/>
      <c r="K45" s="84"/>
      <c r="L45" s="94"/>
      <c r="M45" s="95"/>
    </row>
    <row r="46" spans="1:13" ht="12" customHeight="1">
      <c r="A46" s="83" t="str">
        <f t="shared" si="3"/>
        <v xml:space="preserve"> </v>
      </c>
      <c r="B46" s="74"/>
      <c r="C46" s="84"/>
      <c r="D46" s="88"/>
      <c r="E46" s="85"/>
      <c r="F46" s="86"/>
      <c r="G46" s="87"/>
      <c r="H46" s="83"/>
      <c r="I46" s="83"/>
      <c r="J46" s="93"/>
      <c r="K46" s="84"/>
      <c r="L46" s="94"/>
      <c r="M46" s="95"/>
    </row>
    <row r="47" spans="1:13" ht="12" customHeight="1">
      <c r="A47" s="83" t="str">
        <f t="shared" si="3"/>
        <v xml:space="preserve"> </v>
      </c>
      <c r="B47" s="74"/>
      <c r="C47" s="84"/>
      <c r="D47" s="88"/>
      <c r="E47" s="85"/>
      <c r="F47" s="86"/>
      <c r="G47" s="87"/>
      <c r="H47" s="83"/>
      <c r="I47" s="83"/>
      <c r="J47" s="93"/>
      <c r="K47" s="84"/>
      <c r="L47" s="94"/>
      <c r="M47" s="95"/>
    </row>
    <row r="48" spans="1:13" ht="12" customHeight="1">
      <c r="A48" s="83" t="str">
        <f t="shared" si="3"/>
        <v xml:space="preserve"> </v>
      </c>
      <c r="B48" s="74"/>
      <c r="C48" s="84"/>
      <c r="D48" s="88"/>
      <c r="E48" s="85"/>
      <c r="F48" s="86"/>
      <c r="G48" s="87"/>
      <c r="H48" s="83"/>
      <c r="I48" s="83"/>
      <c r="J48" s="93"/>
      <c r="K48" s="84"/>
      <c r="L48" s="94"/>
      <c r="M48" s="95"/>
    </row>
    <row r="49" spans="1:13" ht="12" customHeight="1">
      <c r="A49" s="83" t="str">
        <f t="shared" si="3"/>
        <v xml:space="preserve"> </v>
      </c>
      <c r="B49" s="74"/>
      <c r="C49" s="84"/>
      <c r="D49" s="88"/>
      <c r="E49" s="85"/>
      <c r="F49" s="86"/>
      <c r="G49" s="87"/>
      <c r="H49" s="83"/>
      <c r="I49" s="83"/>
      <c r="J49" s="93"/>
      <c r="K49" s="84"/>
      <c r="L49" s="94"/>
      <c r="M49" s="95"/>
    </row>
    <row r="50" spans="1:13" ht="12" customHeight="1">
      <c r="A50" s="83" t="str">
        <f t="shared" si="3"/>
        <v xml:space="preserve"> </v>
      </c>
      <c r="B50" s="74"/>
      <c r="C50" s="84"/>
      <c r="D50" s="88"/>
      <c r="E50" s="85"/>
      <c r="F50" s="86"/>
      <c r="G50" s="87"/>
      <c r="H50" s="83"/>
      <c r="I50" s="83"/>
      <c r="J50" s="93"/>
      <c r="K50" s="84"/>
      <c r="L50" s="94"/>
      <c r="M50" s="95"/>
    </row>
    <row r="51" spans="1:13" ht="12" customHeight="1">
      <c r="A51" s="83" t="str">
        <f t="shared" si="3"/>
        <v xml:space="preserve"> </v>
      </c>
      <c r="B51" s="74"/>
      <c r="C51" s="84"/>
      <c r="D51" s="88"/>
      <c r="E51" s="85"/>
      <c r="F51" s="86"/>
      <c r="G51" s="87"/>
      <c r="H51" s="83"/>
      <c r="I51" s="83"/>
      <c r="J51" s="93"/>
      <c r="K51" s="84"/>
      <c r="L51" s="94"/>
      <c r="M51" s="95"/>
    </row>
    <row r="52" spans="1:13" ht="12" customHeight="1">
      <c r="A52" s="83" t="str">
        <f t="shared" si="3"/>
        <v xml:space="preserve"> </v>
      </c>
      <c r="B52" s="74"/>
      <c r="C52" s="84"/>
      <c r="D52" s="88"/>
      <c r="E52" s="85"/>
      <c r="F52" s="86"/>
      <c r="G52" s="87"/>
      <c r="H52" s="83"/>
      <c r="I52" s="83"/>
      <c r="J52" s="93"/>
      <c r="K52" s="84"/>
      <c r="L52" s="94"/>
      <c r="M52" s="95"/>
    </row>
    <row r="53" spans="1:13" ht="12" customHeight="1">
      <c r="A53" s="83" t="str">
        <f t="shared" si="3"/>
        <v xml:space="preserve"> </v>
      </c>
      <c r="B53" s="74"/>
      <c r="C53" s="84"/>
      <c r="D53" s="88"/>
      <c r="E53" s="85"/>
      <c r="F53" s="86"/>
      <c r="G53" s="87"/>
      <c r="H53" s="83"/>
      <c r="I53" s="83"/>
      <c r="J53" s="93"/>
      <c r="K53" s="84"/>
      <c r="L53" s="94"/>
      <c r="M53" s="95"/>
    </row>
    <row r="54" spans="1:13" ht="12" customHeight="1">
      <c r="A54" s="83" t="str">
        <f t="shared" si="3"/>
        <v xml:space="preserve"> </v>
      </c>
      <c r="B54" s="74"/>
      <c r="C54" s="84"/>
      <c r="D54" s="88"/>
      <c r="E54" s="85"/>
      <c r="F54" s="86"/>
      <c r="G54" s="87"/>
      <c r="H54" s="83"/>
      <c r="I54" s="83"/>
      <c r="J54" s="93"/>
      <c r="K54" s="84"/>
      <c r="L54" s="94"/>
      <c r="M54" s="95"/>
    </row>
    <row r="55" spans="1:13" ht="12" customHeight="1">
      <c r="A55" s="83" t="str">
        <f t="shared" si="3"/>
        <v xml:space="preserve"> </v>
      </c>
      <c r="B55" s="74"/>
      <c r="C55" s="84"/>
      <c r="D55" s="88"/>
      <c r="E55" s="85"/>
      <c r="F55" s="86"/>
      <c r="G55" s="87"/>
      <c r="H55" s="83"/>
      <c r="I55" s="83"/>
      <c r="J55" s="93"/>
      <c r="K55" s="84"/>
      <c r="L55" s="94"/>
      <c r="M55" s="95"/>
    </row>
    <row r="56" spans="1:13" ht="12" customHeight="1">
      <c r="A56" s="83" t="str">
        <f t="shared" si="3"/>
        <v xml:space="preserve"> </v>
      </c>
      <c r="B56" s="74"/>
      <c r="C56" s="84"/>
      <c r="D56" s="88"/>
      <c r="E56" s="85"/>
      <c r="F56" s="86"/>
      <c r="G56" s="87"/>
      <c r="H56" s="83"/>
      <c r="I56" s="83"/>
      <c r="J56" s="93"/>
      <c r="K56" s="84"/>
      <c r="L56" s="94"/>
      <c r="M56" s="95"/>
    </row>
    <row r="57" spans="1:13" ht="12" customHeight="1">
      <c r="A57" s="83" t="str">
        <f t="shared" si="3"/>
        <v xml:space="preserve"> </v>
      </c>
      <c r="B57" s="74"/>
      <c r="C57" s="84"/>
      <c r="D57" s="88"/>
      <c r="E57" s="85"/>
      <c r="F57" s="86"/>
      <c r="G57" s="87"/>
      <c r="H57" s="83"/>
      <c r="I57" s="83"/>
      <c r="J57" s="93"/>
      <c r="K57" s="84"/>
      <c r="L57" s="94"/>
      <c r="M57" s="95"/>
    </row>
    <row r="58" spans="1:13" ht="12" customHeight="1">
      <c r="A58" s="83" t="str">
        <f t="shared" si="3"/>
        <v xml:space="preserve"> </v>
      </c>
      <c r="B58" s="74"/>
      <c r="C58" s="84"/>
      <c r="D58" s="88"/>
      <c r="E58" s="85"/>
      <c r="F58" s="86"/>
      <c r="G58" s="87"/>
      <c r="H58" s="83"/>
      <c r="I58" s="83"/>
      <c r="J58" s="93"/>
      <c r="K58" s="84"/>
      <c r="L58" s="94"/>
      <c r="M58" s="95"/>
    </row>
    <row r="59" spans="1:13" ht="12" customHeight="1">
      <c r="A59" s="83" t="str">
        <f t="shared" si="3"/>
        <v xml:space="preserve"> </v>
      </c>
      <c r="B59" s="74"/>
      <c r="C59" s="84"/>
      <c r="D59" s="88"/>
      <c r="E59" s="85"/>
      <c r="F59" s="86"/>
      <c r="G59" s="87"/>
      <c r="H59" s="83"/>
      <c r="I59" s="83"/>
      <c r="J59" s="93"/>
      <c r="K59" s="84"/>
      <c r="L59" s="94"/>
      <c r="M59" s="95"/>
    </row>
    <row r="60" spans="1:13" ht="12" customHeight="1">
      <c r="A60" s="83" t="str">
        <f t="shared" si="3"/>
        <v xml:space="preserve"> </v>
      </c>
      <c r="B60" s="74"/>
      <c r="C60" s="84"/>
      <c r="D60" s="88"/>
      <c r="E60" s="85"/>
      <c r="F60" s="86"/>
      <c r="G60" s="87"/>
      <c r="H60" s="83"/>
      <c r="I60" s="83"/>
      <c r="J60" s="93"/>
      <c r="K60" s="84"/>
      <c r="L60" s="94"/>
      <c r="M60" s="95"/>
    </row>
    <row r="61" spans="1:13" ht="12" customHeight="1">
      <c r="A61" s="83" t="str">
        <f t="shared" si="3"/>
        <v xml:space="preserve"> </v>
      </c>
      <c r="B61" s="74"/>
      <c r="C61" s="84"/>
      <c r="D61" s="88"/>
      <c r="E61" s="85"/>
      <c r="F61" s="86"/>
      <c r="G61" s="87"/>
      <c r="H61" s="83"/>
      <c r="I61" s="83"/>
      <c r="J61" s="93"/>
      <c r="K61" s="84"/>
      <c r="L61" s="94"/>
      <c r="M61" s="95"/>
    </row>
    <row r="62" spans="1:13" ht="12" customHeight="1">
      <c r="A62" s="83" t="str">
        <f t="shared" si="3"/>
        <v xml:space="preserve"> </v>
      </c>
      <c r="B62" s="74"/>
      <c r="C62" s="84"/>
      <c r="D62" s="88"/>
      <c r="E62" s="85"/>
      <c r="F62" s="86"/>
      <c r="G62" s="87"/>
      <c r="H62" s="83"/>
      <c r="I62" s="83"/>
      <c r="J62" s="93"/>
      <c r="K62" s="84"/>
      <c r="L62" s="94"/>
      <c r="M62" s="95"/>
    </row>
    <row r="63" spans="1:13" ht="12" customHeight="1">
      <c r="A63" s="83" t="str">
        <f t="shared" si="3"/>
        <v xml:space="preserve"> </v>
      </c>
      <c r="B63" s="74"/>
      <c r="C63" s="84"/>
      <c r="D63" s="88"/>
      <c r="E63" s="85"/>
      <c r="F63" s="86"/>
      <c r="G63" s="87"/>
      <c r="H63" s="83"/>
      <c r="I63" s="83"/>
      <c r="J63" s="93"/>
      <c r="K63" s="84"/>
      <c r="L63" s="94"/>
      <c r="M63" s="95"/>
    </row>
    <row r="64" spans="1:13" ht="12" customHeight="1">
      <c r="A64" s="83" t="str">
        <f t="shared" si="3"/>
        <v xml:space="preserve"> </v>
      </c>
      <c r="B64" s="74"/>
      <c r="C64" s="84"/>
      <c r="D64" s="88"/>
      <c r="E64" s="85"/>
      <c r="F64" s="86"/>
      <c r="G64" s="87"/>
      <c r="H64" s="83"/>
      <c r="I64" s="83"/>
      <c r="J64" s="93"/>
      <c r="K64" s="84"/>
      <c r="L64" s="94"/>
      <c r="M64" s="95"/>
    </row>
    <row r="65" spans="1:13" ht="12" customHeight="1">
      <c r="A65" s="83" t="str">
        <f t="shared" si="3"/>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ref="A74:A81" si="4">IF(B74=""," ",A73+1)</f>
        <v xml:space="preserve"> </v>
      </c>
      <c r="B74" s="74"/>
      <c r="C74" s="84"/>
      <c r="D74" s="88"/>
      <c r="E74" s="85"/>
      <c r="F74" s="86"/>
      <c r="G74" s="87"/>
      <c r="H74" s="83"/>
      <c r="I74" s="83"/>
      <c r="J74" s="93"/>
      <c r="K74" s="84"/>
      <c r="L74" s="94"/>
      <c r="M74" s="95"/>
    </row>
    <row r="75" spans="1:13" ht="12" customHeight="1">
      <c r="A75" s="83" t="str">
        <f t="shared" si="4"/>
        <v xml:space="preserve"> </v>
      </c>
      <c r="B75" s="74"/>
      <c r="C75" s="84"/>
      <c r="D75" s="88"/>
      <c r="E75" s="85"/>
      <c r="F75" s="86"/>
      <c r="G75" s="87"/>
      <c r="H75" s="83"/>
      <c r="I75" s="83"/>
      <c r="J75" s="93"/>
      <c r="K75" s="84"/>
      <c r="L75" s="94"/>
      <c r="M75" s="95"/>
    </row>
    <row r="76" spans="1:13" ht="12" customHeight="1">
      <c r="A76" s="83" t="str">
        <f t="shared" si="4"/>
        <v xml:space="preserve"> </v>
      </c>
      <c r="B76" s="74"/>
      <c r="C76" s="84"/>
      <c r="D76" s="88"/>
      <c r="E76" s="85"/>
      <c r="F76" s="86"/>
      <c r="G76" s="87"/>
      <c r="H76" s="83"/>
      <c r="I76" s="83"/>
      <c r="J76" s="93"/>
      <c r="K76" s="84"/>
      <c r="L76" s="94"/>
      <c r="M76" s="95"/>
    </row>
    <row r="77" spans="1:13" ht="12" customHeight="1">
      <c r="A77" s="83" t="str">
        <f t="shared" si="4"/>
        <v xml:space="preserve"> </v>
      </c>
      <c r="B77" s="74"/>
      <c r="C77" s="84"/>
      <c r="D77" s="88"/>
      <c r="E77" s="85"/>
      <c r="F77" s="86"/>
      <c r="G77" s="87"/>
      <c r="H77" s="83"/>
      <c r="I77" s="83"/>
      <c r="J77" s="93"/>
      <c r="K77" s="84"/>
      <c r="L77" s="94"/>
      <c r="M77" s="95"/>
    </row>
    <row r="78" spans="1:13" ht="12" customHeight="1">
      <c r="A78" s="83" t="str">
        <f t="shared" si="4"/>
        <v xml:space="preserve"> </v>
      </c>
      <c r="B78" s="74"/>
      <c r="C78" s="84"/>
      <c r="D78" s="88"/>
      <c r="E78" s="85"/>
      <c r="F78" s="86"/>
      <c r="G78" s="87"/>
      <c r="H78" s="83"/>
      <c r="I78" s="83"/>
      <c r="J78" s="93"/>
      <c r="K78" s="84"/>
      <c r="L78" s="94"/>
      <c r="M78" s="95"/>
    </row>
    <row r="79" spans="1:13" ht="12" customHeight="1">
      <c r="A79" s="83" t="str">
        <f t="shared" si="4"/>
        <v xml:space="preserve"> </v>
      </c>
      <c r="B79" s="74"/>
      <c r="C79" s="84"/>
      <c r="D79" s="88"/>
      <c r="E79" s="85"/>
      <c r="F79" s="86"/>
      <c r="G79" s="87"/>
      <c r="H79" s="83"/>
      <c r="I79" s="83"/>
      <c r="J79" s="93"/>
      <c r="K79" s="84"/>
      <c r="L79" s="94"/>
      <c r="M79" s="95"/>
    </row>
    <row r="80" spans="1:13" ht="12" customHeight="1">
      <c r="A80" s="83" t="str">
        <f t="shared" si="4"/>
        <v xml:space="preserve"> </v>
      </c>
      <c r="B80" s="74"/>
      <c r="C80" s="84"/>
      <c r="D80" s="88"/>
      <c r="E80" s="85"/>
      <c r="F80" s="86"/>
      <c r="G80" s="87"/>
      <c r="H80" s="83"/>
      <c r="I80" s="83"/>
      <c r="J80" s="93"/>
      <c r="K80" s="84"/>
      <c r="L80" s="94"/>
      <c r="M80" s="95"/>
    </row>
    <row r="81" spans="1:13" ht="12" customHeight="1">
      <c r="A81" s="83" t="str">
        <f t="shared" si="4"/>
        <v xml:space="preserve"> </v>
      </c>
      <c r="B81" s="74"/>
      <c r="C81" s="84"/>
      <c r="D81" s="88"/>
      <c r="E81" s="85"/>
      <c r="F81" s="86"/>
      <c r="G81" s="87"/>
      <c r="H81" s="83"/>
      <c r="I81" s="83"/>
      <c r="J81" s="93"/>
      <c r="K81" s="84"/>
      <c r="L81" s="94"/>
      <c r="M81" s="95"/>
    </row>
    <row r="82" spans="1:13" ht="12" customHeight="1">
      <c r="A82" s="83" t="str">
        <f t="shared" ref="A82:A100" si="5">IF(B82=""," ",A81+1)</f>
        <v xml:space="preserve"> </v>
      </c>
      <c r="B82" s="74"/>
      <c r="C82" s="84"/>
      <c r="D82" s="88"/>
      <c r="E82" s="85"/>
      <c r="F82" s="86"/>
      <c r="G82" s="87"/>
      <c r="H82" s="83"/>
      <c r="I82" s="83"/>
      <c r="J82" s="93"/>
      <c r="K82" s="84"/>
      <c r="L82" s="94"/>
      <c r="M82" s="95"/>
    </row>
    <row r="83" spans="1:13" ht="12" customHeight="1">
      <c r="A83" s="83" t="str">
        <f t="shared" si="5"/>
        <v xml:space="preserve"> </v>
      </c>
      <c r="B83" s="74"/>
      <c r="C83" s="84"/>
      <c r="D83" s="88"/>
      <c r="E83" s="85"/>
      <c r="F83" s="86"/>
      <c r="G83" s="87"/>
      <c r="H83" s="83"/>
      <c r="I83" s="83"/>
      <c r="J83" s="93"/>
      <c r="K83" s="84"/>
      <c r="L83" s="94"/>
      <c r="M83" s="95"/>
    </row>
    <row r="84" spans="1:13" ht="12" customHeight="1">
      <c r="A84" s="83" t="str">
        <f t="shared" si="5"/>
        <v xml:space="preserve"> </v>
      </c>
      <c r="B84" s="74"/>
      <c r="C84" s="84"/>
      <c r="D84" s="88"/>
      <c r="E84" s="85"/>
      <c r="F84" s="86"/>
      <c r="G84" s="87"/>
      <c r="H84" s="83"/>
      <c r="I84" s="83"/>
      <c r="J84" s="93"/>
      <c r="K84" s="84"/>
      <c r="L84" s="94"/>
      <c r="M84" s="95"/>
    </row>
    <row r="85" spans="1:13" ht="12" customHeight="1">
      <c r="A85" s="83" t="str">
        <f t="shared" si="5"/>
        <v xml:space="preserve"> </v>
      </c>
      <c r="B85" s="74"/>
      <c r="C85" s="84"/>
      <c r="D85" s="88"/>
      <c r="E85" s="85"/>
      <c r="F85" s="86"/>
      <c r="G85" s="87"/>
      <c r="H85" s="83"/>
      <c r="I85" s="83"/>
      <c r="J85" s="93"/>
      <c r="K85" s="84"/>
      <c r="L85" s="94"/>
      <c r="M85" s="95"/>
    </row>
    <row r="86" spans="1:13" ht="12" customHeight="1">
      <c r="A86" s="83" t="str">
        <f t="shared" si="5"/>
        <v xml:space="preserve"> </v>
      </c>
      <c r="B86" s="74"/>
      <c r="C86" s="84"/>
      <c r="D86" s="88"/>
      <c r="E86" s="85"/>
      <c r="F86" s="86"/>
      <c r="G86" s="87"/>
      <c r="H86" s="83"/>
      <c r="I86" s="83"/>
      <c r="J86" s="93"/>
      <c r="K86" s="84"/>
      <c r="L86" s="94"/>
      <c r="M86" s="95"/>
    </row>
    <row r="87" spans="1:13" ht="12" customHeight="1">
      <c r="A87" s="83" t="str">
        <f t="shared" si="5"/>
        <v xml:space="preserve"> </v>
      </c>
      <c r="B87" s="74"/>
      <c r="C87" s="84"/>
      <c r="D87" s="88"/>
      <c r="E87" s="85"/>
      <c r="F87" s="86"/>
      <c r="G87" s="87"/>
      <c r="H87" s="83"/>
      <c r="I87" s="83"/>
      <c r="J87" s="93"/>
      <c r="K87" s="84"/>
      <c r="L87" s="94"/>
      <c r="M87" s="95"/>
    </row>
    <row r="88" spans="1:13" ht="12" customHeight="1">
      <c r="A88" s="83" t="str">
        <f t="shared" si="5"/>
        <v xml:space="preserve"> </v>
      </c>
      <c r="B88" s="74"/>
      <c r="C88" s="84"/>
      <c r="D88" s="88"/>
      <c r="E88" s="85"/>
      <c r="F88" s="86"/>
      <c r="G88" s="87"/>
      <c r="H88" s="83"/>
      <c r="I88" s="83"/>
      <c r="J88" s="93"/>
      <c r="K88" s="84"/>
      <c r="L88" s="94"/>
      <c r="M88" s="95"/>
    </row>
    <row r="89" spans="1:13" ht="12" customHeight="1">
      <c r="A89" s="83" t="str">
        <f t="shared" si="5"/>
        <v xml:space="preserve"> </v>
      </c>
      <c r="B89" s="74"/>
      <c r="C89" s="84"/>
      <c r="D89" s="88"/>
      <c r="E89" s="85"/>
      <c r="F89" s="86"/>
      <c r="G89" s="87"/>
      <c r="H89" s="83"/>
      <c r="I89" s="83"/>
      <c r="J89" s="93"/>
      <c r="K89" s="84"/>
      <c r="L89" s="94"/>
      <c r="M89" s="95"/>
    </row>
    <row r="90" spans="1:13" ht="12" customHeight="1">
      <c r="A90" s="83" t="str">
        <f t="shared" si="5"/>
        <v xml:space="preserve"> </v>
      </c>
      <c r="B90" s="74"/>
      <c r="C90" s="84"/>
      <c r="D90" s="88"/>
      <c r="E90" s="85"/>
      <c r="F90" s="86"/>
      <c r="G90" s="87"/>
      <c r="H90" s="83"/>
      <c r="I90" s="83"/>
      <c r="J90" s="93"/>
      <c r="K90" s="84"/>
      <c r="L90" s="94"/>
      <c r="M90" s="95"/>
    </row>
    <row r="91" spans="1:13" ht="12" customHeight="1">
      <c r="A91" s="83" t="str">
        <f t="shared" si="5"/>
        <v xml:space="preserve"> </v>
      </c>
      <c r="B91" s="74"/>
      <c r="C91" s="84"/>
      <c r="D91" s="88"/>
      <c r="E91" s="85"/>
      <c r="F91" s="86"/>
      <c r="G91" s="87"/>
      <c r="H91" s="83"/>
      <c r="I91" s="83"/>
      <c r="J91" s="93"/>
      <c r="K91" s="84"/>
      <c r="L91" s="94"/>
      <c r="M91" s="95"/>
    </row>
    <row r="92" spans="1:13" ht="12" customHeight="1">
      <c r="A92" s="83" t="str">
        <f t="shared" si="5"/>
        <v xml:space="preserve"> </v>
      </c>
      <c r="B92" s="74"/>
      <c r="C92" s="84"/>
      <c r="D92" s="88"/>
      <c r="E92" s="85"/>
      <c r="F92" s="86"/>
      <c r="G92" s="87"/>
      <c r="H92" s="83"/>
      <c r="I92" s="83"/>
      <c r="J92" s="93"/>
      <c r="K92" s="84"/>
      <c r="L92" s="94"/>
      <c r="M92" s="95"/>
    </row>
    <row r="93" spans="1:13" ht="12" customHeight="1">
      <c r="A93" s="83" t="str">
        <f t="shared" si="5"/>
        <v xml:space="preserve"> </v>
      </c>
      <c r="B93" s="74"/>
      <c r="C93" s="84"/>
      <c r="D93" s="88"/>
      <c r="E93" s="85"/>
      <c r="F93" s="86"/>
      <c r="G93" s="87"/>
      <c r="H93" s="83"/>
      <c r="I93" s="83"/>
      <c r="J93" s="93"/>
      <c r="K93" s="84"/>
      <c r="L93" s="94"/>
      <c r="M93" s="95"/>
    </row>
    <row r="94" spans="1:13" ht="12" customHeight="1">
      <c r="A94" s="83" t="str">
        <f t="shared" si="5"/>
        <v xml:space="preserve"> </v>
      </c>
      <c r="B94" s="74"/>
      <c r="C94" s="84"/>
      <c r="D94" s="88"/>
      <c r="E94" s="85"/>
      <c r="F94" s="86"/>
      <c r="G94" s="87"/>
      <c r="H94" s="83"/>
      <c r="I94" s="83"/>
      <c r="J94" s="93"/>
      <c r="K94" s="84"/>
      <c r="L94" s="94"/>
      <c r="M94" s="95"/>
    </row>
    <row r="95" spans="1:13" ht="12" customHeight="1">
      <c r="A95" s="83" t="str">
        <f t="shared" si="5"/>
        <v xml:space="preserve"> </v>
      </c>
      <c r="B95" s="74"/>
      <c r="C95" s="84"/>
      <c r="D95" s="88"/>
      <c r="E95" s="85"/>
      <c r="F95" s="86"/>
      <c r="G95" s="87"/>
      <c r="H95" s="83"/>
      <c r="I95" s="83"/>
      <c r="J95" s="93"/>
      <c r="K95" s="84"/>
      <c r="L95" s="94"/>
      <c r="M95" s="95"/>
    </row>
    <row r="96" spans="1:13" ht="12" customHeight="1">
      <c r="A96" s="83" t="str">
        <f t="shared" si="5"/>
        <v xml:space="preserve"> </v>
      </c>
      <c r="B96" s="74"/>
      <c r="C96" s="84"/>
      <c r="D96" s="88"/>
      <c r="E96" s="85"/>
      <c r="F96" s="86"/>
      <c r="G96" s="87"/>
      <c r="H96" s="83"/>
      <c r="I96" s="83"/>
      <c r="J96" s="93"/>
      <c r="K96" s="84"/>
      <c r="L96" s="94"/>
      <c r="M96" s="95"/>
    </row>
    <row r="97" spans="1:13" ht="12" customHeight="1">
      <c r="A97" s="83" t="str">
        <f t="shared" si="5"/>
        <v xml:space="preserve"> </v>
      </c>
      <c r="B97" s="74"/>
      <c r="C97" s="84"/>
      <c r="D97" s="88"/>
      <c r="E97" s="85"/>
      <c r="F97" s="86"/>
      <c r="G97" s="87"/>
      <c r="H97" s="83"/>
      <c r="I97" s="83"/>
      <c r="J97" s="93"/>
      <c r="K97" s="84"/>
      <c r="L97" s="94"/>
      <c r="M97" s="95"/>
    </row>
    <row r="98" spans="1:13" ht="12" customHeight="1">
      <c r="A98" s="83" t="str">
        <f t="shared" si="5"/>
        <v xml:space="preserve"> </v>
      </c>
      <c r="B98" s="74"/>
      <c r="C98" s="84"/>
      <c r="D98" s="88"/>
      <c r="E98" s="85"/>
      <c r="F98" s="86"/>
      <c r="G98" s="87"/>
      <c r="H98" s="83"/>
      <c r="I98" s="83"/>
      <c r="J98" s="93"/>
      <c r="K98" s="84"/>
      <c r="L98" s="94"/>
      <c r="M98" s="95"/>
    </row>
    <row r="99" spans="1:13" ht="12" customHeight="1">
      <c r="A99" s="83" t="str">
        <f t="shared" si="5"/>
        <v xml:space="preserve"> </v>
      </c>
      <c r="B99" s="74"/>
      <c r="C99" s="84"/>
      <c r="D99" s="88"/>
      <c r="E99" s="85"/>
      <c r="F99" s="86"/>
      <c r="G99" s="87"/>
      <c r="H99" s="83"/>
      <c r="I99" s="83"/>
      <c r="J99" s="93"/>
      <c r="K99" s="84"/>
      <c r="L99" s="94"/>
      <c r="M99" s="95"/>
    </row>
    <row r="100" spans="1:13" ht="12" customHeight="1">
      <c r="A100" s="83" t="str">
        <f t="shared" si="5"/>
        <v xml:space="preserve"> </v>
      </c>
      <c r="B100" s="74"/>
      <c r="C100" s="84"/>
      <c r="D100" s="88"/>
      <c r="E100" s="85"/>
      <c r="F100" s="86"/>
      <c r="G100" s="87"/>
      <c r="H100" s="83"/>
      <c r="I100" s="83"/>
      <c r="J100" s="93"/>
      <c r="K100" s="84"/>
      <c r="L100" s="94"/>
      <c r="M100" s="95"/>
    </row>
    <row r="102" spans="1:13">
      <c r="B102" s="75" t="s">
        <v>235</v>
      </c>
    </row>
    <row r="103" spans="1:13" ht="12" customHeight="1"/>
    <row r="104" spans="1:13">
      <c r="B104" s="75" t="s">
        <v>236</v>
      </c>
      <c r="C104" s="75" t="s">
        <v>238</v>
      </c>
    </row>
    <row r="106" spans="1:13">
      <c r="B106" s="75" t="s">
        <v>835</v>
      </c>
      <c r="C106" s="75" t="s">
        <v>1284</v>
      </c>
    </row>
    <row r="108" spans="1:13">
      <c r="B108" s="102" t="s">
        <v>1199</v>
      </c>
      <c r="C108" s="102" t="s">
        <v>1285</v>
      </c>
      <c r="D108" s="102"/>
      <c r="E108" s="102"/>
    </row>
  </sheetData>
  <mergeCells count="30">
    <mergeCell ref="K26:M26"/>
    <mergeCell ref="A5:A6"/>
    <mergeCell ref="K5:M6"/>
    <mergeCell ref="K19:M19"/>
    <mergeCell ref="K20:M20"/>
    <mergeCell ref="K22:M22"/>
    <mergeCell ref="K23:M23"/>
    <mergeCell ref="K24:M24"/>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ageSetUpPr fitToPage="1"/>
  </sheetPr>
  <dimension ref="A1:Q109"/>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1286</v>
      </c>
      <c r="D3" s="265"/>
      <c r="E3" s="265"/>
      <c r="F3" s="265"/>
      <c r="G3" s="266"/>
      <c r="H3" s="259" t="s">
        <v>140</v>
      </c>
      <c r="I3" s="260"/>
      <c r="J3" s="90">
        <f>COUNT(A7:A100)</f>
        <v>8</v>
      </c>
      <c r="K3" s="78" t="s">
        <v>141</v>
      </c>
      <c r="L3" s="91">
        <v>38740</v>
      </c>
      <c r="M3" s="92" t="s">
        <v>1287</v>
      </c>
      <c r="O3" s="75" t="s">
        <v>143</v>
      </c>
      <c r="P3" s="75" t="s">
        <v>144</v>
      </c>
    </row>
    <row r="4" spans="1:16" ht="12" customHeight="1">
      <c r="A4" s="267" t="s">
        <v>145</v>
      </c>
      <c r="B4" s="268"/>
      <c r="C4" s="267" t="s">
        <v>48</v>
      </c>
      <c r="D4" s="269"/>
      <c r="E4" s="269"/>
      <c r="F4" s="269"/>
      <c r="G4" s="268"/>
      <c r="H4" s="259" t="s">
        <v>146</v>
      </c>
      <c r="I4" s="260"/>
      <c r="J4" s="90">
        <f>SUM(G7:G100)</f>
        <v>34</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14" si="0">IF(D7="DATE",4,IF(D7="CHAR",E7,IF(D7="SMALLINT",2,IF(D7="INTEGER",4,IF(D7="TIMESTAMP",10,IF(D7="TIME",3,0))))))</f>
        <v>4</v>
      </c>
      <c r="H7" s="83" t="s">
        <v>149</v>
      </c>
      <c r="I7" s="83" t="s">
        <v>149</v>
      </c>
      <c r="J7" s="93"/>
      <c r="K7" s="308"/>
      <c r="L7" s="278"/>
      <c r="M7" s="279"/>
      <c r="P7" s="75" t="s">
        <v>165</v>
      </c>
    </row>
    <row r="8" spans="1:16" ht="12" customHeight="1">
      <c r="A8" s="83">
        <f t="shared" ref="A8:A14" si="1">IF(B8=""," ",A7+1)</f>
        <v>2</v>
      </c>
      <c r="B8" s="20" t="s">
        <v>818</v>
      </c>
      <c r="C8" s="84" t="s">
        <v>819</v>
      </c>
      <c r="D8" s="88" t="s">
        <v>150</v>
      </c>
      <c r="E8" s="85">
        <v>4</v>
      </c>
      <c r="F8" s="86"/>
      <c r="G8" s="87">
        <f t="shared" si="0"/>
        <v>4</v>
      </c>
      <c r="H8" s="83" t="s">
        <v>149</v>
      </c>
      <c r="I8" s="83" t="s">
        <v>149</v>
      </c>
      <c r="J8" s="93"/>
      <c r="K8" s="280"/>
      <c r="L8" s="291"/>
      <c r="M8" s="292"/>
    </row>
    <row r="9" spans="1:16" ht="12" customHeight="1">
      <c r="A9" s="83">
        <f t="shared" si="1"/>
        <v>3</v>
      </c>
      <c r="B9" s="20" t="s">
        <v>957</v>
      </c>
      <c r="C9" s="84" t="s">
        <v>958</v>
      </c>
      <c r="D9" s="88" t="s">
        <v>150</v>
      </c>
      <c r="E9" s="85">
        <v>4</v>
      </c>
      <c r="F9" s="86"/>
      <c r="G9" s="87">
        <f t="shared" si="0"/>
        <v>4</v>
      </c>
      <c r="H9" s="83" t="s">
        <v>149</v>
      </c>
      <c r="I9" s="83"/>
      <c r="J9" s="93"/>
      <c r="K9" s="280"/>
      <c r="L9" s="291"/>
      <c r="M9" s="292"/>
    </row>
    <row r="10" spans="1:16" ht="12" customHeight="1">
      <c r="A10" s="83">
        <f t="shared" si="1"/>
        <v>4</v>
      </c>
      <c r="B10" s="20" t="s">
        <v>960</v>
      </c>
      <c r="C10" s="84" t="s">
        <v>961</v>
      </c>
      <c r="D10" s="88" t="s">
        <v>150</v>
      </c>
      <c r="E10" s="85">
        <v>6</v>
      </c>
      <c r="F10" s="86"/>
      <c r="G10" s="87">
        <f t="shared" si="0"/>
        <v>6</v>
      </c>
      <c r="H10" s="83" t="s">
        <v>149</v>
      </c>
      <c r="I10" s="83" t="s">
        <v>149</v>
      </c>
      <c r="J10" s="93"/>
      <c r="K10" s="280" t="s">
        <v>962</v>
      </c>
      <c r="L10" s="291"/>
      <c r="M10" s="292"/>
    </row>
    <row r="11" spans="1:16" ht="27.95" customHeight="1">
      <c r="A11" s="83">
        <f t="shared" si="1"/>
        <v>5</v>
      </c>
      <c r="B11" s="74" t="s">
        <v>1077</v>
      </c>
      <c r="C11" s="84" t="s">
        <v>1078</v>
      </c>
      <c r="D11" s="88" t="s">
        <v>161</v>
      </c>
      <c r="E11" s="85"/>
      <c r="F11" s="86"/>
      <c r="G11" s="87">
        <f t="shared" si="0"/>
        <v>4</v>
      </c>
      <c r="H11" s="83" t="s">
        <v>149</v>
      </c>
      <c r="I11" s="83" t="s">
        <v>149</v>
      </c>
      <c r="J11" s="93"/>
      <c r="K11" s="280" t="s">
        <v>1079</v>
      </c>
      <c r="L11" s="291"/>
      <c r="M11" s="292"/>
    </row>
    <row r="12" spans="1:16" ht="39.950000000000003" customHeight="1">
      <c r="A12" s="83">
        <f t="shared" si="1"/>
        <v>6</v>
      </c>
      <c r="B12" s="11" t="s">
        <v>1288</v>
      </c>
      <c r="C12" s="22" t="s">
        <v>1289</v>
      </c>
      <c r="D12" s="30" t="s">
        <v>150</v>
      </c>
      <c r="E12" s="85">
        <v>1</v>
      </c>
      <c r="F12" s="86"/>
      <c r="G12" s="87">
        <f t="shared" si="0"/>
        <v>1</v>
      </c>
      <c r="H12" s="83" t="s">
        <v>149</v>
      </c>
      <c r="I12" s="83"/>
      <c r="J12" s="93"/>
      <c r="K12" s="280" t="s">
        <v>1290</v>
      </c>
      <c r="L12" s="300"/>
      <c r="M12" s="301"/>
    </row>
    <row r="13" spans="1:16" ht="39.950000000000003" customHeight="1">
      <c r="A13" s="83">
        <f t="shared" si="1"/>
        <v>7</v>
      </c>
      <c r="B13" s="11" t="s">
        <v>1291</v>
      </c>
      <c r="C13" s="22" t="s">
        <v>1292</v>
      </c>
      <c r="D13" s="30" t="s">
        <v>150</v>
      </c>
      <c r="E13" s="85">
        <v>1</v>
      </c>
      <c r="F13" s="86"/>
      <c r="G13" s="87">
        <f t="shared" si="0"/>
        <v>1</v>
      </c>
      <c r="H13" s="83" t="s">
        <v>149</v>
      </c>
      <c r="I13" s="83"/>
      <c r="J13" s="93"/>
      <c r="K13" s="280" t="s">
        <v>1293</v>
      </c>
      <c r="L13" s="300"/>
      <c r="M13" s="301"/>
    </row>
    <row r="14" spans="1:16" ht="12" customHeight="1">
      <c r="A14" s="83">
        <f t="shared" si="1"/>
        <v>8</v>
      </c>
      <c r="B14" s="74" t="s">
        <v>232</v>
      </c>
      <c r="C14" s="84" t="s">
        <v>233</v>
      </c>
      <c r="D14" s="88" t="s">
        <v>234</v>
      </c>
      <c r="E14" s="85"/>
      <c r="F14" s="86"/>
      <c r="G14" s="87">
        <f t="shared" si="0"/>
        <v>10</v>
      </c>
      <c r="H14" s="83" t="s">
        <v>149</v>
      </c>
      <c r="I14" s="83"/>
      <c r="J14" s="93"/>
      <c r="K14" s="274"/>
      <c r="L14" s="275"/>
      <c r="M14" s="276"/>
    </row>
    <row r="15" spans="1:16" ht="12" customHeight="1">
      <c r="A15" s="83"/>
      <c r="B15" s="74"/>
      <c r="C15" s="84"/>
      <c r="D15" s="88"/>
      <c r="E15" s="85"/>
      <c r="F15" s="86"/>
      <c r="G15" s="87"/>
      <c r="H15" s="83"/>
      <c r="I15" s="83"/>
      <c r="J15" s="93"/>
      <c r="K15" s="271"/>
      <c r="L15" s="272"/>
      <c r="M15" s="273"/>
    </row>
    <row r="16" spans="1:16" ht="12" customHeight="1">
      <c r="A16" s="83"/>
      <c r="B16" s="74"/>
      <c r="C16" s="84"/>
      <c r="D16" s="88"/>
      <c r="E16" s="85"/>
      <c r="F16" s="86"/>
      <c r="G16" s="87"/>
      <c r="H16" s="83"/>
      <c r="I16" s="83"/>
      <c r="J16" s="93"/>
      <c r="K16" s="274"/>
      <c r="L16" s="275"/>
      <c r="M16" s="276"/>
    </row>
    <row r="17" spans="1:13" ht="12" customHeight="1">
      <c r="A17" s="83"/>
      <c r="B17" s="74"/>
      <c r="C17" s="84"/>
      <c r="D17" s="88"/>
      <c r="E17" s="85"/>
      <c r="F17" s="86"/>
      <c r="G17" s="87"/>
      <c r="H17" s="83"/>
      <c r="I17" s="83"/>
      <c r="J17" s="93"/>
      <c r="K17" s="271"/>
      <c r="L17" s="272"/>
      <c r="M17" s="273"/>
    </row>
    <row r="18" spans="1:13" ht="12" customHeight="1">
      <c r="A18" s="83"/>
      <c r="B18" s="11"/>
      <c r="C18" s="84"/>
      <c r="D18" s="88"/>
      <c r="E18" s="85"/>
      <c r="F18" s="86"/>
      <c r="G18" s="87"/>
      <c r="H18" s="83"/>
      <c r="I18" s="83"/>
      <c r="J18" s="93"/>
      <c r="K18" s="280"/>
      <c r="L18" s="291"/>
      <c r="M18" s="292"/>
    </row>
    <row r="19" spans="1:13" ht="12" customHeight="1">
      <c r="A19" s="83" t="str">
        <f>IF(B19=""," ",#REF!+1)</f>
        <v xml:space="preserve"> </v>
      </c>
      <c r="B19" s="74"/>
      <c r="C19" s="84"/>
      <c r="D19" s="88"/>
      <c r="E19" s="85"/>
      <c r="F19" s="86"/>
      <c r="G19" s="87"/>
      <c r="H19" s="83"/>
      <c r="I19" s="83"/>
      <c r="J19" s="93"/>
      <c r="K19" s="280"/>
      <c r="L19" s="291"/>
      <c r="M19" s="292"/>
    </row>
    <row r="20" spans="1:13" ht="12" customHeight="1">
      <c r="A20" s="83"/>
      <c r="B20" s="74"/>
      <c r="C20" s="84"/>
      <c r="D20" s="88"/>
      <c r="E20" s="85"/>
      <c r="F20" s="86"/>
      <c r="G20" s="87"/>
      <c r="H20" s="83"/>
      <c r="I20" s="83"/>
      <c r="J20" s="93"/>
      <c r="K20" s="280"/>
      <c r="L20" s="291"/>
      <c r="M20" s="292"/>
    </row>
    <row r="21" spans="1:13" ht="12" customHeight="1">
      <c r="A21" s="83" t="str">
        <f>IF(B21=""," ",A20+1)</f>
        <v xml:space="preserve"> </v>
      </c>
      <c r="B21" s="74"/>
      <c r="C21" s="84"/>
      <c r="D21" s="88"/>
      <c r="E21" s="85"/>
      <c r="F21" s="86"/>
      <c r="G21" s="87"/>
      <c r="H21" s="83"/>
      <c r="I21" s="83"/>
      <c r="J21" s="93"/>
      <c r="K21" s="280"/>
      <c r="L21" s="291"/>
      <c r="M21" s="292"/>
    </row>
    <row r="22" spans="1:13" ht="12" customHeight="1">
      <c r="A22" s="83" t="str">
        <f>IF(B22=""," ",#REF!+1)</f>
        <v xml:space="preserve"> </v>
      </c>
      <c r="B22" s="74"/>
      <c r="C22" s="84"/>
      <c r="D22" s="88"/>
      <c r="E22" s="85"/>
      <c r="F22" s="86"/>
      <c r="G22" s="87"/>
      <c r="H22" s="83"/>
      <c r="I22" s="83"/>
      <c r="J22" s="93"/>
      <c r="K22" s="280"/>
      <c r="L22" s="291"/>
      <c r="M22" s="292"/>
    </row>
    <row r="23" spans="1:13" ht="12" customHeight="1">
      <c r="A23" s="83" t="str">
        <f t="shared" ref="A23:A34" si="2">IF(B23=""," ",A22+1)</f>
        <v xml:space="preserve"> </v>
      </c>
      <c r="B23" s="74"/>
      <c r="C23" s="84"/>
      <c r="D23" s="88"/>
      <c r="E23" s="85"/>
      <c r="F23" s="86"/>
      <c r="G23" s="87"/>
      <c r="H23" s="83"/>
      <c r="I23" s="83"/>
      <c r="J23" s="93"/>
      <c r="K23" s="280"/>
      <c r="L23" s="291"/>
      <c r="M23" s="292"/>
    </row>
    <row r="24" spans="1:13" ht="12" customHeight="1">
      <c r="A24" s="83" t="str">
        <f t="shared" si="2"/>
        <v xml:space="preserve"> </v>
      </c>
      <c r="B24" s="74"/>
      <c r="C24" s="84"/>
      <c r="D24" s="88"/>
      <c r="E24" s="85"/>
      <c r="F24" s="86"/>
      <c r="G24" s="87"/>
      <c r="H24" s="83"/>
      <c r="I24" s="83"/>
      <c r="J24" s="93"/>
      <c r="K24" s="280"/>
      <c r="L24" s="291"/>
      <c r="M24" s="292"/>
    </row>
    <row r="25" spans="1:13" ht="12" customHeight="1">
      <c r="A25" s="83" t="str">
        <f t="shared" si="2"/>
        <v xml:space="preserve"> </v>
      </c>
      <c r="B25" s="74"/>
      <c r="C25" s="84"/>
      <c r="D25" s="88"/>
      <c r="E25" s="85"/>
      <c r="F25" s="86"/>
      <c r="G25" s="87"/>
      <c r="H25" s="83"/>
      <c r="I25" s="83"/>
      <c r="J25" s="93"/>
      <c r="K25" s="280"/>
      <c r="L25" s="291"/>
      <c r="M25" s="292"/>
    </row>
    <row r="26" spans="1:13" ht="12" customHeight="1">
      <c r="A26" s="83" t="str">
        <f t="shared" si="2"/>
        <v xml:space="preserve"> </v>
      </c>
      <c r="B26" s="74"/>
      <c r="C26" s="84"/>
      <c r="D26" s="88"/>
      <c r="E26" s="85"/>
      <c r="F26" s="86"/>
      <c r="G26" s="87"/>
      <c r="H26" s="83"/>
      <c r="I26" s="83"/>
      <c r="J26" s="93"/>
      <c r="K26" s="280"/>
      <c r="L26" s="291"/>
      <c r="M26" s="292"/>
    </row>
    <row r="27" spans="1:13" ht="12" customHeight="1">
      <c r="A27" s="83" t="str">
        <f t="shared" si="2"/>
        <v xml:space="preserve"> </v>
      </c>
      <c r="B27" s="74"/>
      <c r="C27" s="84"/>
      <c r="D27" s="88"/>
      <c r="E27" s="85"/>
      <c r="F27" s="86"/>
      <c r="G27" s="87"/>
      <c r="H27" s="83"/>
      <c r="I27" s="83"/>
      <c r="J27" s="93"/>
      <c r="K27" s="280"/>
      <c r="L27" s="291"/>
      <c r="M27" s="292"/>
    </row>
    <row r="28" spans="1:13" ht="12" customHeight="1">
      <c r="A28" s="83" t="str">
        <f t="shared" si="2"/>
        <v xml:space="preserve"> </v>
      </c>
      <c r="B28" s="74"/>
      <c r="C28" s="84"/>
      <c r="D28" s="88"/>
      <c r="E28" s="85"/>
      <c r="F28" s="86"/>
      <c r="G28" s="87"/>
      <c r="H28" s="83"/>
      <c r="I28" s="83"/>
      <c r="J28" s="93"/>
      <c r="K28" s="280"/>
      <c r="L28" s="291"/>
      <c r="M28" s="292"/>
    </row>
    <row r="29" spans="1:13" ht="12" customHeight="1">
      <c r="A29" s="83" t="str">
        <f t="shared" si="2"/>
        <v xml:space="preserve"> </v>
      </c>
      <c r="B29" s="74"/>
      <c r="C29" s="84"/>
      <c r="D29" s="88"/>
      <c r="E29" s="85"/>
      <c r="F29" s="86"/>
      <c r="G29" s="87"/>
      <c r="H29" s="83"/>
      <c r="I29" s="83"/>
      <c r="J29" s="93"/>
      <c r="K29" s="280"/>
      <c r="L29" s="291"/>
      <c r="M29" s="292"/>
    </row>
    <row r="30" spans="1:13" ht="12" customHeight="1">
      <c r="A30" s="83" t="str">
        <f t="shared" si="2"/>
        <v xml:space="preserve"> </v>
      </c>
      <c r="B30" s="74"/>
      <c r="C30" s="84"/>
      <c r="D30" s="88"/>
      <c r="E30" s="85"/>
      <c r="F30" s="86"/>
      <c r="G30" s="87"/>
      <c r="H30" s="83"/>
      <c r="I30" s="83"/>
      <c r="J30" s="93"/>
      <c r="K30" s="280"/>
      <c r="L30" s="291"/>
      <c r="M30" s="292"/>
    </row>
    <row r="31" spans="1:13" ht="12" customHeight="1">
      <c r="A31" s="83" t="str">
        <f t="shared" si="2"/>
        <v xml:space="preserve"> </v>
      </c>
      <c r="B31" s="74"/>
      <c r="C31" s="84"/>
      <c r="D31" s="88"/>
      <c r="E31" s="85"/>
      <c r="F31" s="86"/>
      <c r="G31" s="87"/>
      <c r="H31" s="83"/>
      <c r="I31" s="83"/>
      <c r="J31" s="93"/>
      <c r="K31" s="274"/>
      <c r="L31" s="275"/>
      <c r="M31" s="276"/>
    </row>
    <row r="32" spans="1:13" ht="12" customHeight="1">
      <c r="A32" s="83" t="str">
        <f t="shared" si="2"/>
        <v xml:space="preserve"> </v>
      </c>
      <c r="B32" s="11"/>
      <c r="C32" s="84"/>
      <c r="D32" s="88"/>
      <c r="E32" s="85"/>
      <c r="F32" s="86"/>
      <c r="G32" s="87"/>
      <c r="H32" s="83"/>
      <c r="I32" s="83"/>
      <c r="J32" s="93"/>
      <c r="K32" s="274"/>
      <c r="L32" s="275"/>
      <c r="M32" s="276"/>
    </row>
    <row r="33" spans="1:13" ht="12" customHeight="1">
      <c r="A33" s="83" t="str">
        <f t="shared" si="2"/>
        <v xml:space="preserve"> </v>
      </c>
      <c r="B33" s="73"/>
      <c r="C33" s="22"/>
      <c r="D33" s="30"/>
      <c r="E33" s="85"/>
      <c r="F33" s="86"/>
      <c r="G33" s="87"/>
      <c r="H33" s="83"/>
      <c r="I33" s="83"/>
      <c r="J33" s="93"/>
      <c r="K33" s="274"/>
      <c r="L33" s="275"/>
      <c r="M33" s="276"/>
    </row>
    <row r="34" spans="1:13" ht="12" customHeight="1">
      <c r="A34" s="83" t="str">
        <f t="shared" si="2"/>
        <v xml:space="preserve"> </v>
      </c>
      <c r="B34" s="74"/>
      <c r="C34" s="84"/>
      <c r="D34" s="88"/>
      <c r="E34" s="85"/>
      <c r="F34" s="86"/>
      <c r="G34" s="87"/>
      <c r="H34" s="83"/>
      <c r="I34" s="83"/>
      <c r="J34" s="93"/>
      <c r="K34" s="274"/>
      <c r="L34" s="275"/>
      <c r="M34" s="276"/>
    </row>
    <row r="35" spans="1:13" ht="12" customHeight="1">
      <c r="A35" s="83"/>
      <c r="B35" s="74"/>
      <c r="C35" s="84"/>
      <c r="D35" s="88"/>
      <c r="E35" s="85"/>
      <c r="F35" s="86"/>
      <c r="G35" s="87"/>
      <c r="H35" s="83"/>
      <c r="I35" s="83"/>
      <c r="J35" s="93"/>
      <c r="K35" s="280"/>
      <c r="L35" s="291"/>
      <c r="M35" s="292"/>
    </row>
    <row r="36" spans="1:13" ht="12" customHeight="1">
      <c r="A36" s="83" t="str">
        <f>IF(B36=""," ",A35+1)</f>
        <v xml:space="preserve"> </v>
      </c>
      <c r="B36" s="74"/>
      <c r="C36" s="84"/>
      <c r="D36" s="88"/>
      <c r="E36" s="85"/>
      <c r="F36" s="86"/>
      <c r="G36" s="87"/>
      <c r="H36" s="83"/>
      <c r="I36" s="83"/>
      <c r="J36" s="93"/>
      <c r="K36" s="280"/>
      <c r="L36" s="291"/>
      <c r="M36" s="292"/>
    </row>
    <row r="37" spans="1:13" ht="12" customHeight="1">
      <c r="A37" s="83" t="str">
        <f>IF(B37=""," ",#REF!+1)</f>
        <v xml:space="preserve"> </v>
      </c>
      <c r="B37" s="74"/>
      <c r="C37" s="84"/>
      <c r="D37" s="88"/>
      <c r="E37" s="85"/>
      <c r="F37" s="86"/>
      <c r="G37" s="87"/>
      <c r="H37" s="83"/>
      <c r="I37" s="83"/>
      <c r="J37" s="93"/>
      <c r="K37" s="280"/>
      <c r="L37" s="291"/>
      <c r="M37" s="292"/>
    </row>
    <row r="38" spans="1:13" ht="12" customHeight="1">
      <c r="A38" s="83" t="str">
        <f t="shared" ref="A38:A49" si="3">IF(B38=""," ",A37+1)</f>
        <v xml:space="preserve"> </v>
      </c>
      <c r="B38" s="74"/>
      <c r="C38" s="84"/>
      <c r="D38" s="88"/>
      <c r="E38" s="85"/>
      <c r="F38" s="86"/>
      <c r="G38" s="87"/>
      <c r="H38" s="83"/>
      <c r="I38" s="83"/>
      <c r="J38" s="93"/>
      <c r="K38" s="280"/>
      <c r="L38" s="291"/>
      <c r="M38" s="292"/>
    </row>
    <row r="39" spans="1:13" ht="12" customHeight="1">
      <c r="A39" s="83" t="str">
        <f t="shared" si="3"/>
        <v xml:space="preserve"> </v>
      </c>
      <c r="B39" s="74"/>
      <c r="C39" s="84"/>
      <c r="D39" s="88"/>
      <c r="E39" s="85"/>
      <c r="F39" s="86"/>
      <c r="G39" s="87"/>
      <c r="H39" s="83"/>
      <c r="I39" s="83"/>
      <c r="J39" s="93"/>
      <c r="K39" s="280"/>
      <c r="L39" s="291"/>
      <c r="M39" s="292"/>
    </row>
    <row r="40" spans="1:13" ht="12" customHeight="1">
      <c r="A40" s="83" t="str">
        <f t="shared" si="3"/>
        <v xml:space="preserve"> </v>
      </c>
      <c r="B40" s="74"/>
      <c r="C40" s="84"/>
      <c r="D40" s="88"/>
      <c r="E40" s="85"/>
      <c r="F40" s="86"/>
      <c r="G40" s="87"/>
      <c r="H40" s="83"/>
      <c r="I40" s="83"/>
      <c r="J40" s="93"/>
      <c r="K40" s="280"/>
      <c r="L40" s="291"/>
      <c r="M40" s="292"/>
    </row>
    <row r="41" spans="1:13" ht="12" customHeight="1">
      <c r="A41" s="83" t="str">
        <f t="shared" si="3"/>
        <v xml:space="preserve"> </v>
      </c>
      <c r="B41" s="74"/>
      <c r="C41" s="84"/>
      <c r="D41" s="88"/>
      <c r="E41" s="85"/>
      <c r="F41" s="86"/>
      <c r="G41" s="87"/>
      <c r="H41" s="83"/>
      <c r="I41" s="83"/>
      <c r="J41" s="93"/>
      <c r="K41" s="280"/>
      <c r="L41" s="291"/>
      <c r="M41" s="292"/>
    </row>
    <row r="42" spans="1:13" ht="12" customHeight="1">
      <c r="A42" s="83" t="str">
        <f t="shared" si="3"/>
        <v xml:space="preserve"> </v>
      </c>
      <c r="B42" s="74"/>
      <c r="C42" s="84"/>
      <c r="D42" s="88"/>
      <c r="E42" s="85"/>
      <c r="F42" s="86"/>
      <c r="G42" s="87"/>
      <c r="H42" s="83"/>
      <c r="I42" s="83"/>
      <c r="J42" s="93"/>
      <c r="K42" s="280"/>
      <c r="L42" s="291"/>
      <c r="M42" s="292"/>
    </row>
    <row r="43" spans="1:13" ht="12" customHeight="1">
      <c r="A43" s="83" t="str">
        <f t="shared" si="3"/>
        <v xml:space="preserve"> </v>
      </c>
      <c r="B43" s="74"/>
      <c r="C43" s="84"/>
      <c r="D43" s="88"/>
      <c r="E43" s="85"/>
      <c r="F43" s="86"/>
      <c r="G43" s="87"/>
      <c r="H43" s="83"/>
      <c r="I43" s="83"/>
      <c r="J43" s="93"/>
      <c r="K43" s="280"/>
      <c r="L43" s="291"/>
      <c r="M43" s="292"/>
    </row>
    <row r="44" spans="1:13" ht="12" customHeight="1">
      <c r="A44" s="83" t="str">
        <f t="shared" si="3"/>
        <v xml:space="preserve"> </v>
      </c>
      <c r="B44" s="74"/>
      <c r="C44" s="84"/>
      <c r="D44" s="88"/>
      <c r="E44" s="85"/>
      <c r="F44" s="86"/>
      <c r="G44" s="87"/>
      <c r="H44" s="83"/>
      <c r="I44" s="83"/>
      <c r="J44" s="93"/>
      <c r="K44" s="280"/>
      <c r="L44" s="291"/>
      <c r="M44" s="292"/>
    </row>
    <row r="45" spans="1:13" ht="12" customHeight="1">
      <c r="A45" s="83" t="str">
        <f t="shared" si="3"/>
        <v xml:space="preserve"> </v>
      </c>
      <c r="B45" s="74"/>
      <c r="C45" s="84"/>
      <c r="D45" s="88"/>
      <c r="E45" s="85"/>
      <c r="F45" s="86"/>
      <c r="G45" s="87"/>
      <c r="H45" s="83"/>
      <c r="I45" s="83"/>
      <c r="J45" s="93"/>
      <c r="K45" s="280"/>
      <c r="L45" s="291"/>
      <c r="M45" s="292"/>
    </row>
    <row r="46" spans="1:13" ht="12" customHeight="1">
      <c r="A46" s="83" t="str">
        <f t="shared" si="3"/>
        <v xml:space="preserve"> </v>
      </c>
      <c r="B46" s="74"/>
      <c r="C46" s="84"/>
      <c r="D46" s="88"/>
      <c r="E46" s="85"/>
      <c r="F46" s="86"/>
      <c r="G46" s="87"/>
      <c r="H46" s="83"/>
      <c r="I46" s="83"/>
      <c r="J46" s="93"/>
      <c r="K46" s="274"/>
      <c r="L46" s="275"/>
      <c r="M46" s="276"/>
    </row>
    <row r="47" spans="1:13" ht="12" customHeight="1">
      <c r="A47" s="83" t="str">
        <f t="shared" si="3"/>
        <v xml:space="preserve"> </v>
      </c>
      <c r="B47" s="11"/>
      <c r="C47" s="84"/>
      <c r="D47" s="88"/>
      <c r="E47" s="85"/>
      <c r="F47" s="86"/>
      <c r="G47" s="87"/>
      <c r="H47" s="83"/>
      <c r="I47" s="83"/>
      <c r="J47" s="93"/>
      <c r="K47" s="274"/>
      <c r="L47" s="275"/>
      <c r="M47" s="276"/>
    </row>
    <row r="48" spans="1:13" ht="12" customHeight="1">
      <c r="A48" s="83" t="str">
        <f t="shared" si="3"/>
        <v xml:space="preserve"> </v>
      </c>
      <c r="B48" s="73"/>
      <c r="C48" s="22"/>
      <c r="D48" s="30"/>
      <c r="E48" s="85"/>
      <c r="F48" s="86"/>
      <c r="G48" s="87"/>
      <c r="H48" s="83"/>
      <c r="I48" s="83"/>
      <c r="J48" s="93"/>
      <c r="K48" s="274"/>
      <c r="L48" s="275"/>
      <c r="M48" s="276"/>
    </row>
    <row r="49" spans="1:13" ht="12" customHeight="1">
      <c r="A49" s="83" t="str">
        <f t="shared" si="3"/>
        <v xml:space="preserve"> </v>
      </c>
      <c r="B49" s="74"/>
      <c r="C49" s="84"/>
      <c r="D49" s="88"/>
      <c r="E49" s="85"/>
      <c r="F49" s="86"/>
      <c r="G49" s="87"/>
      <c r="H49" s="83"/>
      <c r="I49" s="83"/>
      <c r="J49" s="93"/>
      <c r="K49" s="274"/>
      <c r="L49" s="275"/>
      <c r="M49" s="276"/>
    </row>
    <row r="50" spans="1:13" ht="12" customHeight="1">
      <c r="A50" s="83"/>
      <c r="B50" s="74"/>
      <c r="C50" s="84"/>
      <c r="D50" s="88"/>
      <c r="E50" s="85"/>
      <c r="F50" s="86"/>
      <c r="G50" s="87"/>
      <c r="H50" s="83"/>
      <c r="I50" s="83"/>
      <c r="J50" s="93"/>
      <c r="K50" s="280"/>
      <c r="L50" s="291"/>
      <c r="M50" s="292"/>
    </row>
    <row r="51" spans="1:13" ht="12" customHeight="1">
      <c r="A51" s="83" t="str">
        <f>IF(B51=""," ",A50+1)</f>
        <v xml:space="preserve"> </v>
      </c>
      <c r="B51" s="74"/>
      <c r="C51" s="84"/>
      <c r="D51" s="88"/>
      <c r="E51" s="85"/>
      <c r="F51" s="86"/>
      <c r="G51" s="87"/>
      <c r="H51" s="83"/>
      <c r="I51" s="83"/>
      <c r="J51" s="93"/>
      <c r="K51" s="280"/>
      <c r="L51" s="291"/>
      <c r="M51" s="292"/>
    </row>
    <row r="52" spans="1:13" ht="12" customHeight="1">
      <c r="A52" s="83" t="str">
        <f>IF(B52=""," ",#REF!+1)</f>
        <v xml:space="preserve"> </v>
      </c>
      <c r="B52" s="74"/>
      <c r="C52" s="84"/>
      <c r="D52" s="88"/>
      <c r="E52" s="85"/>
      <c r="F52" s="86"/>
      <c r="G52" s="87"/>
      <c r="H52" s="83"/>
      <c r="I52" s="83"/>
      <c r="J52" s="93"/>
      <c r="K52" s="280"/>
      <c r="L52" s="291"/>
      <c r="M52" s="292"/>
    </row>
    <row r="53" spans="1:13" ht="12" customHeight="1">
      <c r="A53" s="83" t="str">
        <f t="shared" ref="A53:A64" si="4">IF(B53=""," ",A52+1)</f>
        <v xml:space="preserve"> </v>
      </c>
      <c r="B53" s="74"/>
      <c r="C53" s="84"/>
      <c r="D53" s="88"/>
      <c r="E53" s="85"/>
      <c r="F53" s="86"/>
      <c r="G53" s="87"/>
      <c r="H53" s="83"/>
      <c r="I53" s="83"/>
      <c r="J53" s="93"/>
      <c r="K53" s="280"/>
      <c r="L53" s="291"/>
      <c r="M53" s="292"/>
    </row>
    <row r="54" spans="1:13" ht="12" customHeight="1">
      <c r="A54" s="83" t="str">
        <f t="shared" si="4"/>
        <v xml:space="preserve"> </v>
      </c>
      <c r="B54" s="74"/>
      <c r="C54" s="84"/>
      <c r="D54" s="88"/>
      <c r="E54" s="85"/>
      <c r="F54" s="86"/>
      <c r="G54" s="87"/>
      <c r="H54" s="83"/>
      <c r="I54" s="83"/>
      <c r="J54" s="93"/>
      <c r="K54" s="280"/>
      <c r="L54" s="291"/>
      <c r="M54" s="292"/>
    </row>
    <row r="55" spans="1:13" ht="12" customHeight="1">
      <c r="A55" s="83" t="str">
        <f t="shared" si="4"/>
        <v xml:space="preserve"> </v>
      </c>
      <c r="B55" s="74"/>
      <c r="C55" s="84"/>
      <c r="D55" s="88"/>
      <c r="E55" s="85"/>
      <c r="F55" s="86"/>
      <c r="G55" s="87"/>
      <c r="H55" s="83"/>
      <c r="I55" s="83"/>
      <c r="J55" s="93"/>
      <c r="K55" s="280"/>
      <c r="L55" s="291"/>
      <c r="M55" s="292"/>
    </row>
    <row r="56" spans="1:13" ht="12" customHeight="1">
      <c r="A56" s="83" t="str">
        <f t="shared" si="4"/>
        <v xml:space="preserve"> </v>
      </c>
      <c r="B56" s="74"/>
      <c r="C56" s="84"/>
      <c r="D56" s="88"/>
      <c r="E56" s="85"/>
      <c r="F56" s="86"/>
      <c r="G56" s="87"/>
      <c r="H56" s="83"/>
      <c r="I56" s="83"/>
      <c r="J56" s="93"/>
      <c r="K56" s="280"/>
      <c r="L56" s="291"/>
      <c r="M56" s="292"/>
    </row>
    <row r="57" spans="1:13" ht="12" customHeight="1">
      <c r="A57" s="83" t="str">
        <f t="shared" si="4"/>
        <v xml:space="preserve"> </v>
      </c>
      <c r="B57" s="74"/>
      <c r="C57" s="84"/>
      <c r="D57" s="88"/>
      <c r="E57" s="85"/>
      <c r="F57" s="86"/>
      <c r="G57" s="87"/>
      <c r="H57" s="83"/>
      <c r="I57" s="83"/>
      <c r="J57" s="93"/>
      <c r="K57" s="280"/>
      <c r="L57" s="291"/>
      <c r="M57" s="292"/>
    </row>
    <row r="58" spans="1:13" ht="12" customHeight="1">
      <c r="A58" s="83" t="str">
        <f t="shared" si="4"/>
        <v xml:space="preserve"> </v>
      </c>
      <c r="B58" s="74"/>
      <c r="C58" s="84"/>
      <c r="D58" s="88"/>
      <c r="E58" s="85"/>
      <c r="F58" s="86"/>
      <c r="G58" s="87"/>
      <c r="H58" s="83"/>
      <c r="I58" s="83"/>
      <c r="J58" s="93"/>
      <c r="K58" s="280"/>
      <c r="L58" s="291"/>
      <c r="M58" s="292"/>
    </row>
    <row r="59" spans="1:13" ht="12" customHeight="1">
      <c r="A59" s="83" t="str">
        <f t="shared" si="4"/>
        <v xml:space="preserve"> </v>
      </c>
      <c r="B59" s="74"/>
      <c r="C59" s="84"/>
      <c r="D59" s="88"/>
      <c r="E59" s="85"/>
      <c r="F59" s="86"/>
      <c r="G59" s="87"/>
      <c r="H59" s="83"/>
      <c r="I59" s="83"/>
      <c r="J59" s="93"/>
      <c r="K59" s="280"/>
      <c r="L59" s="291"/>
      <c r="M59" s="292"/>
    </row>
    <row r="60" spans="1:13" ht="12" customHeight="1">
      <c r="A60" s="83" t="str">
        <f t="shared" si="4"/>
        <v xml:space="preserve"> </v>
      </c>
      <c r="B60" s="74"/>
      <c r="C60" s="84"/>
      <c r="D60" s="88"/>
      <c r="E60" s="85"/>
      <c r="F60" s="86"/>
      <c r="G60" s="87"/>
      <c r="H60" s="83"/>
      <c r="I60" s="83"/>
      <c r="J60" s="93"/>
      <c r="K60" s="280"/>
      <c r="L60" s="291"/>
      <c r="M60" s="292"/>
    </row>
    <row r="61" spans="1:13" ht="12" customHeight="1">
      <c r="A61" s="83" t="str">
        <f t="shared" si="4"/>
        <v xml:space="preserve"> </v>
      </c>
      <c r="B61" s="74"/>
      <c r="C61" s="84"/>
      <c r="D61" s="88"/>
      <c r="E61" s="85"/>
      <c r="F61" s="86"/>
      <c r="G61" s="87"/>
      <c r="H61" s="83"/>
      <c r="I61" s="83"/>
      <c r="J61" s="93"/>
      <c r="K61" s="274"/>
      <c r="L61" s="275"/>
      <c r="M61" s="276"/>
    </row>
    <row r="62" spans="1:13" ht="12" customHeight="1">
      <c r="A62" s="83" t="str">
        <f t="shared" si="4"/>
        <v xml:space="preserve"> </v>
      </c>
      <c r="B62" s="11"/>
      <c r="C62" s="84"/>
      <c r="D62" s="88"/>
      <c r="E62" s="85"/>
      <c r="F62" s="86"/>
      <c r="G62" s="87"/>
      <c r="H62" s="83"/>
      <c r="I62" s="83"/>
      <c r="J62" s="93"/>
      <c r="K62" s="274"/>
      <c r="L62" s="275"/>
      <c r="M62" s="276"/>
    </row>
    <row r="63" spans="1:13" ht="12" customHeight="1">
      <c r="A63" s="83" t="str">
        <f t="shared" si="4"/>
        <v xml:space="preserve"> </v>
      </c>
      <c r="B63" s="73"/>
      <c r="C63" s="22"/>
      <c r="D63" s="30"/>
      <c r="E63" s="85"/>
      <c r="F63" s="86"/>
      <c r="G63" s="87"/>
      <c r="H63" s="83"/>
      <c r="I63" s="83"/>
      <c r="J63" s="93"/>
      <c r="K63" s="274"/>
      <c r="L63" s="275"/>
      <c r="M63" s="276"/>
    </row>
    <row r="64" spans="1:13" ht="12" customHeight="1">
      <c r="A64" s="83" t="str">
        <f t="shared" si="4"/>
        <v xml:space="preserve"> </v>
      </c>
      <c r="B64" s="74"/>
      <c r="C64" s="84"/>
      <c r="D64" s="88"/>
      <c r="E64" s="85"/>
      <c r="F64" s="86"/>
      <c r="G64" s="87"/>
      <c r="H64" s="83"/>
      <c r="I64" s="83"/>
      <c r="J64" s="93"/>
      <c r="K64" s="274"/>
      <c r="L64" s="275"/>
      <c r="M64" s="276"/>
    </row>
    <row r="65" spans="1:13" ht="12" customHeight="1">
      <c r="A65" s="83"/>
      <c r="B65" s="74"/>
      <c r="C65" s="84"/>
      <c r="D65" s="88"/>
      <c r="E65" s="85"/>
      <c r="F65" s="86"/>
      <c r="G65" s="87"/>
      <c r="H65" s="83"/>
      <c r="I65" s="83"/>
      <c r="J65" s="93"/>
      <c r="K65" s="280"/>
      <c r="L65" s="291"/>
      <c r="M65" s="292"/>
    </row>
    <row r="66" spans="1:13" ht="12" customHeight="1">
      <c r="A66" s="83" t="str">
        <f>IF(B66=""," ",A65+1)</f>
        <v xml:space="preserve"> </v>
      </c>
      <c r="B66" s="74"/>
      <c r="C66" s="84"/>
      <c r="D66" s="88"/>
      <c r="E66" s="85"/>
      <c r="F66" s="86"/>
      <c r="G66" s="87"/>
      <c r="H66" s="83"/>
      <c r="I66" s="83"/>
      <c r="J66" s="93"/>
      <c r="K66" s="280"/>
      <c r="L66" s="291"/>
      <c r="M66" s="292"/>
    </row>
    <row r="67" spans="1:13" ht="12" customHeight="1">
      <c r="A67" s="83" t="str">
        <f>IF(B67=""," ",#REF!+1)</f>
        <v xml:space="preserve"> </v>
      </c>
      <c r="B67" s="74"/>
      <c r="C67" s="84"/>
      <c r="D67" s="88"/>
      <c r="E67" s="85"/>
      <c r="F67" s="86"/>
      <c r="G67" s="87"/>
      <c r="H67" s="83"/>
      <c r="I67" s="83"/>
      <c r="J67" s="93"/>
      <c r="K67" s="280"/>
      <c r="L67" s="291"/>
      <c r="M67" s="292"/>
    </row>
    <row r="68" spans="1:13" ht="12" customHeight="1">
      <c r="A68" s="83" t="str">
        <f t="shared" ref="A68:A79" si="5">IF(B68=""," ",A67+1)</f>
        <v xml:space="preserve"> </v>
      </c>
      <c r="B68" s="74"/>
      <c r="C68" s="84"/>
      <c r="D68" s="88"/>
      <c r="E68" s="85"/>
      <c r="F68" s="86"/>
      <c r="G68" s="87"/>
      <c r="H68" s="83"/>
      <c r="I68" s="83"/>
      <c r="J68" s="93"/>
      <c r="K68" s="280"/>
      <c r="L68" s="291"/>
      <c r="M68" s="292"/>
    </row>
    <row r="69" spans="1:13" ht="12" customHeight="1">
      <c r="A69" s="83" t="str">
        <f t="shared" si="5"/>
        <v xml:space="preserve"> </v>
      </c>
      <c r="B69" s="74"/>
      <c r="C69" s="84"/>
      <c r="D69" s="88"/>
      <c r="E69" s="85"/>
      <c r="F69" s="86"/>
      <c r="G69" s="87"/>
      <c r="H69" s="83"/>
      <c r="I69" s="83"/>
      <c r="J69" s="93"/>
      <c r="K69" s="280"/>
      <c r="L69" s="291"/>
      <c r="M69" s="292"/>
    </row>
    <row r="70" spans="1:13" ht="12" customHeight="1">
      <c r="A70" s="83" t="str">
        <f t="shared" si="5"/>
        <v xml:space="preserve"> </v>
      </c>
      <c r="B70" s="74"/>
      <c r="C70" s="84"/>
      <c r="D70" s="88"/>
      <c r="E70" s="85"/>
      <c r="F70" s="86"/>
      <c r="G70" s="87"/>
      <c r="H70" s="83"/>
      <c r="I70" s="83"/>
      <c r="J70" s="93"/>
      <c r="K70" s="280"/>
      <c r="L70" s="291"/>
      <c r="M70" s="292"/>
    </row>
    <row r="71" spans="1:13" ht="12" customHeight="1">
      <c r="A71" s="83" t="str">
        <f t="shared" si="5"/>
        <v xml:space="preserve"> </v>
      </c>
      <c r="B71" s="74"/>
      <c r="C71" s="84"/>
      <c r="D71" s="88"/>
      <c r="E71" s="85"/>
      <c r="F71" s="86"/>
      <c r="G71" s="87"/>
      <c r="H71" s="83"/>
      <c r="I71" s="83"/>
      <c r="J71" s="93"/>
      <c r="K71" s="280"/>
      <c r="L71" s="291"/>
      <c r="M71" s="292"/>
    </row>
    <row r="72" spans="1:13" ht="12" customHeight="1">
      <c r="A72" s="83" t="str">
        <f t="shared" si="5"/>
        <v xml:space="preserve"> </v>
      </c>
      <c r="B72" s="74"/>
      <c r="C72" s="84"/>
      <c r="D72" s="88"/>
      <c r="E72" s="85"/>
      <c r="F72" s="86"/>
      <c r="G72" s="87"/>
      <c r="H72" s="83"/>
      <c r="I72" s="83"/>
      <c r="J72" s="93"/>
      <c r="K72" s="280"/>
      <c r="L72" s="291"/>
      <c r="M72" s="292"/>
    </row>
    <row r="73" spans="1:13" ht="12" customHeight="1">
      <c r="A73" s="83" t="str">
        <f t="shared" si="5"/>
        <v xml:space="preserve"> </v>
      </c>
      <c r="B73" s="74"/>
      <c r="C73" s="84"/>
      <c r="D73" s="88"/>
      <c r="E73" s="85"/>
      <c r="F73" s="86"/>
      <c r="G73" s="87"/>
      <c r="H73" s="83"/>
      <c r="I73" s="83"/>
      <c r="J73" s="93"/>
      <c r="K73" s="280"/>
      <c r="L73" s="291"/>
      <c r="M73" s="292"/>
    </row>
    <row r="74" spans="1:13" ht="12" customHeight="1">
      <c r="A74" s="83" t="str">
        <f t="shared" si="5"/>
        <v xml:space="preserve"> </v>
      </c>
      <c r="B74" s="74"/>
      <c r="C74" s="84"/>
      <c r="D74" s="88"/>
      <c r="E74" s="85"/>
      <c r="F74" s="86"/>
      <c r="G74" s="87"/>
      <c r="H74" s="83"/>
      <c r="I74" s="83"/>
      <c r="J74" s="93"/>
      <c r="K74" s="280"/>
      <c r="L74" s="291"/>
      <c r="M74" s="292"/>
    </row>
    <row r="75" spans="1:13" ht="12" customHeight="1">
      <c r="A75" s="83" t="str">
        <f t="shared" si="5"/>
        <v xml:space="preserve"> </v>
      </c>
      <c r="B75" s="74"/>
      <c r="C75" s="84"/>
      <c r="D75" s="88"/>
      <c r="E75" s="85"/>
      <c r="F75" s="86"/>
      <c r="G75" s="87"/>
      <c r="H75" s="83"/>
      <c r="I75" s="83"/>
      <c r="J75" s="93"/>
      <c r="K75" s="280"/>
      <c r="L75" s="291"/>
      <c r="M75" s="292"/>
    </row>
    <row r="76" spans="1:13" ht="12" customHeight="1">
      <c r="A76" s="83" t="str">
        <f t="shared" si="5"/>
        <v xml:space="preserve"> </v>
      </c>
      <c r="B76" s="74"/>
      <c r="C76" s="84"/>
      <c r="D76" s="88"/>
      <c r="E76" s="85"/>
      <c r="F76" s="86"/>
      <c r="G76" s="87"/>
      <c r="H76" s="83"/>
      <c r="I76" s="83"/>
      <c r="J76" s="93"/>
      <c r="K76" s="274"/>
      <c r="L76" s="275"/>
      <c r="M76" s="276"/>
    </row>
    <row r="77" spans="1:13" ht="12" customHeight="1">
      <c r="A77" s="83" t="str">
        <f t="shared" si="5"/>
        <v xml:space="preserve"> </v>
      </c>
      <c r="B77" s="11"/>
      <c r="C77" s="84"/>
      <c r="D77" s="88"/>
      <c r="E77" s="85"/>
      <c r="F77" s="86"/>
      <c r="G77" s="87"/>
      <c r="H77" s="83"/>
      <c r="I77" s="83"/>
      <c r="J77" s="93"/>
      <c r="K77" s="274"/>
      <c r="L77" s="275"/>
      <c r="M77" s="276"/>
    </row>
    <row r="78" spans="1:13" ht="12" customHeight="1">
      <c r="A78" s="83" t="str">
        <f t="shared" si="5"/>
        <v xml:space="preserve"> </v>
      </c>
      <c r="B78" s="73"/>
      <c r="C78" s="22"/>
      <c r="D78" s="30"/>
      <c r="E78" s="85"/>
      <c r="F78" s="86"/>
      <c r="G78" s="87"/>
      <c r="H78" s="83"/>
      <c r="I78" s="83"/>
      <c r="J78" s="93"/>
      <c r="K78" s="274"/>
      <c r="L78" s="275"/>
      <c r="M78" s="276"/>
    </row>
    <row r="79" spans="1:13" ht="12" customHeight="1">
      <c r="A79" s="83" t="str">
        <f t="shared" si="5"/>
        <v xml:space="preserve"> </v>
      </c>
      <c r="B79" s="74"/>
      <c r="C79" s="84"/>
      <c r="D79" s="88"/>
      <c r="E79" s="85"/>
      <c r="F79" s="86"/>
      <c r="G79" s="87"/>
      <c r="H79" s="83"/>
      <c r="I79" s="83"/>
      <c r="J79" s="93"/>
      <c r="K79" s="274"/>
      <c r="L79" s="275"/>
      <c r="M79" s="276"/>
    </row>
    <row r="80" spans="1:13" ht="12" customHeight="1">
      <c r="A80" s="83"/>
      <c r="B80" s="74"/>
      <c r="C80" s="84"/>
      <c r="D80" s="88"/>
      <c r="E80" s="85"/>
      <c r="F80" s="86"/>
      <c r="G80" s="87"/>
      <c r="H80" s="83"/>
      <c r="I80" s="83"/>
      <c r="J80" s="93"/>
      <c r="K80" s="280"/>
      <c r="L80" s="291"/>
      <c r="M80" s="292"/>
    </row>
    <row r="81" spans="1:13" ht="12" customHeight="1">
      <c r="A81" s="83" t="str">
        <f>IF(B81=""," ",A80+1)</f>
        <v xml:space="preserve"> </v>
      </c>
      <c r="B81" s="74"/>
      <c r="C81" s="84"/>
      <c r="D81" s="88"/>
      <c r="E81" s="85"/>
      <c r="F81" s="86"/>
      <c r="G81" s="87"/>
      <c r="H81" s="83"/>
      <c r="I81" s="83"/>
      <c r="J81" s="93"/>
      <c r="K81" s="280"/>
      <c r="L81" s="291"/>
      <c r="M81" s="292"/>
    </row>
    <row r="82" spans="1:13" ht="12" customHeight="1">
      <c r="A82" s="83" t="str">
        <f>IF(B82=""," ",#REF!+1)</f>
        <v xml:space="preserve"> </v>
      </c>
      <c r="B82" s="74"/>
      <c r="C82" s="84"/>
      <c r="D82" s="88"/>
      <c r="E82" s="85"/>
      <c r="F82" s="86"/>
      <c r="G82" s="87"/>
      <c r="H82" s="83"/>
      <c r="I82" s="83"/>
      <c r="J82" s="93"/>
      <c r="K82" s="280"/>
      <c r="L82" s="291"/>
      <c r="M82" s="292"/>
    </row>
    <row r="83" spans="1:13" ht="12" customHeight="1">
      <c r="A83" s="83" t="str">
        <f>IF(B83=""," ",A82+1)</f>
        <v xml:space="preserve"> </v>
      </c>
      <c r="B83" s="74"/>
      <c r="C83" s="84"/>
      <c r="D83" s="88"/>
      <c r="E83" s="85"/>
      <c r="F83" s="86"/>
      <c r="G83" s="87"/>
      <c r="H83" s="83"/>
      <c r="I83" s="83"/>
      <c r="J83" s="93"/>
      <c r="K83" s="280"/>
      <c r="L83" s="291"/>
      <c r="M83" s="292"/>
    </row>
    <row r="84" spans="1:13" ht="12" customHeight="1">
      <c r="A84" s="83" t="str">
        <f t="shared" ref="A84:A89" si="6">IF(B84=""," ",A83+1)</f>
        <v xml:space="preserve"> </v>
      </c>
      <c r="B84" s="74"/>
      <c r="C84" s="84"/>
      <c r="D84" s="88"/>
      <c r="E84" s="85"/>
      <c r="F84" s="86"/>
      <c r="G84" s="87"/>
      <c r="H84" s="83"/>
      <c r="I84" s="83"/>
      <c r="J84" s="93"/>
      <c r="K84" s="280"/>
      <c r="L84" s="291"/>
      <c r="M84" s="292"/>
    </row>
    <row r="85" spans="1:13" ht="12" customHeight="1">
      <c r="A85" s="83" t="str">
        <f t="shared" si="6"/>
        <v xml:space="preserve"> </v>
      </c>
      <c r="B85" s="74"/>
      <c r="C85" s="84"/>
      <c r="D85" s="88"/>
      <c r="E85" s="85"/>
      <c r="F85" s="86"/>
      <c r="G85" s="87"/>
      <c r="H85" s="83"/>
      <c r="I85" s="83"/>
      <c r="J85" s="93"/>
      <c r="K85" s="280"/>
      <c r="L85" s="291"/>
      <c r="M85" s="292"/>
    </row>
    <row r="86" spans="1:13" ht="12" customHeight="1">
      <c r="A86" s="83" t="str">
        <f t="shared" si="6"/>
        <v xml:space="preserve"> </v>
      </c>
      <c r="B86" s="74"/>
      <c r="C86" s="84"/>
      <c r="D86" s="88"/>
      <c r="E86" s="85"/>
      <c r="F86" s="86"/>
      <c r="G86" s="87"/>
      <c r="H86" s="83"/>
      <c r="I86" s="83"/>
      <c r="J86" s="93"/>
      <c r="K86" s="274"/>
      <c r="L86" s="275"/>
      <c r="M86" s="276"/>
    </row>
    <row r="87" spans="1:13" ht="12" customHeight="1">
      <c r="A87" s="83" t="str">
        <f t="shared" si="6"/>
        <v xml:space="preserve"> </v>
      </c>
      <c r="B87" s="11"/>
      <c r="C87" s="84"/>
      <c r="D87" s="88"/>
      <c r="E87" s="85"/>
      <c r="F87" s="86"/>
      <c r="G87" s="87"/>
      <c r="H87" s="83"/>
      <c r="I87" s="83"/>
      <c r="J87" s="93"/>
      <c r="K87" s="274"/>
      <c r="L87" s="275"/>
      <c r="M87" s="276"/>
    </row>
    <row r="88" spans="1:13" ht="12" customHeight="1">
      <c r="A88" s="83" t="str">
        <f t="shared" si="6"/>
        <v xml:space="preserve"> </v>
      </c>
      <c r="B88" s="73"/>
      <c r="C88" s="22"/>
      <c r="D88" s="30"/>
      <c r="E88" s="85"/>
      <c r="F88" s="86"/>
      <c r="G88" s="87"/>
      <c r="H88" s="83"/>
      <c r="I88" s="83"/>
      <c r="J88" s="93"/>
      <c r="K88" s="274"/>
      <c r="L88" s="275"/>
      <c r="M88" s="276"/>
    </row>
    <row r="89" spans="1:13" ht="12" customHeight="1">
      <c r="A89" s="83" t="str">
        <f t="shared" si="6"/>
        <v xml:space="preserve"> </v>
      </c>
      <c r="B89" s="74"/>
      <c r="C89" s="84"/>
      <c r="D89" s="88"/>
      <c r="E89" s="85"/>
      <c r="F89" s="86"/>
      <c r="G89" s="87"/>
      <c r="H89" s="83"/>
      <c r="I89" s="83"/>
      <c r="J89" s="93"/>
      <c r="K89" s="274"/>
      <c r="L89" s="275"/>
      <c r="M89" s="276"/>
    </row>
    <row r="90" spans="1:13" ht="12" customHeight="1">
      <c r="A90" s="83"/>
      <c r="B90" s="74"/>
      <c r="C90" s="84"/>
      <c r="D90" s="88"/>
      <c r="E90" s="85"/>
      <c r="F90" s="86"/>
      <c r="G90" s="87"/>
      <c r="H90" s="83"/>
      <c r="I90" s="83"/>
      <c r="J90" s="93"/>
      <c r="K90" s="280"/>
      <c r="L90" s="291"/>
      <c r="M90" s="292"/>
    </row>
    <row r="91" spans="1:13" ht="12" customHeight="1">
      <c r="A91" s="83" t="str">
        <f>IF(B91=""," ",A90+1)</f>
        <v xml:space="preserve"> </v>
      </c>
      <c r="B91" s="74"/>
      <c r="C91" s="84"/>
      <c r="D91" s="88"/>
      <c r="E91" s="85"/>
      <c r="F91" s="86"/>
      <c r="G91" s="87"/>
      <c r="H91" s="83"/>
      <c r="I91" s="83"/>
      <c r="J91" s="93"/>
      <c r="K91" s="280"/>
      <c r="L91" s="291"/>
      <c r="M91" s="292"/>
    </row>
    <row r="92" spans="1:13" ht="12" customHeight="1">
      <c r="A92" s="83" t="str">
        <f>IF(B92=""," ",#REF!+1)</f>
        <v xml:space="preserve"> </v>
      </c>
      <c r="B92" s="74"/>
      <c r="C92" s="84"/>
      <c r="D92" s="88"/>
      <c r="E92" s="85"/>
      <c r="F92" s="86"/>
      <c r="G92" s="87"/>
      <c r="H92" s="83"/>
      <c r="I92" s="83"/>
      <c r="J92" s="93"/>
      <c r="K92" s="280"/>
      <c r="L92" s="291"/>
      <c r="M92" s="292"/>
    </row>
    <row r="93" spans="1:13" ht="12" customHeight="1">
      <c r="A93" s="83" t="str">
        <f>IF(B93=""," ",A92+1)</f>
        <v xml:space="preserve"> </v>
      </c>
      <c r="B93" s="74"/>
      <c r="C93" s="84"/>
      <c r="D93" s="88"/>
      <c r="E93" s="85"/>
      <c r="F93" s="86"/>
      <c r="G93" s="87"/>
      <c r="H93" s="83"/>
      <c r="I93" s="83"/>
      <c r="J93" s="93"/>
      <c r="K93" s="280"/>
      <c r="L93" s="291"/>
      <c r="M93" s="292"/>
    </row>
    <row r="94" spans="1:13" ht="12" customHeight="1">
      <c r="A94" s="83" t="str">
        <f t="shared" ref="A94:A99" si="7">IF(B94=""," ",A93+1)</f>
        <v xml:space="preserve"> </v>
      </c>
      <c r="B94" s="74"/>
      <c r="C94" s="84"/>
      <c r="D94" s="88"/>
      <c r="E94" s="85"/>
      <c r="F94" s="86"/>
      <c r="G94" s="87"/>
      <c r="H94" s="83"/>
      <c r="I94" s="83"/>
      <c r="J94" s="93"/>
      <c r="K94" s="280"/>
      <c r="L94" s="291"/>
      <c r="M94" s="292"/>
    </row>
    <row r="95" spans="1:13" ht="12" customHeight="1">
      <c r="A95" s="83" t="str">
        <f t="shared" si="7"/>
        <v xml:space="preserve"> </v>
      </c>
      <c r="B95" s="74"/>
      <c r="C95" s="84"/>
      <c r="D95" s="88"/>
      <c r="E95" s="85"/>
      <c r="F95" s="86"/>
      <c r="G95" s="87"/>
      <c r="H95" s="83"/>
      <c r="I95" s="83"/>
      <c r="J95" s="93"/>
      <c r="K95" s="280"/>
      <c r="L95" s="291"/>
      <c r="M95" s="292"/>
    </row>
    <row r="96" spans="1:13" ht="12" customHeight="1">
      <c r="A96" s="83" t="str">
        <f t="shared" si="7"/>
        <v xml:space="preserve"> </v>
      </c>
      <c r="B96" s="74"/>
      <c r="C96" s="84"/>
      <c r="D96" s="88"/>
      <c r="E96" s="85"/>
      <c r="F96" s="86"/>
      <c r="G96" s="87"/>
      <c r="H96" s="83"/>
      <c r="I96" s="83"/>
      <c r="J96" s="93"/>
      <c r="K96" s="274"/>
      <c r="L96" s="275"/>
      <c r="M96" s="276"/>
    </row>
    <row r="97" spans="1:13" ht="12" customHeight="1">
      <c r="A97" s="83" t="str">
        <f t="shared" si="7"/>
        <v xml:space="preserve"> </v>
      </c>
      <c r="B97" s="11"/>
      <c r="C97" s="84"/>
      <c r="D97" s="88"/>
      <c r="E97" s="85"/>
      <c r="F97" s="86"/>
      <c r="G97" s="87"/>
      <c r="H97" s="83"/>
      <c r="I97" s="83"/>
      <c r="J97" s="93"/>
      <c r="K97" s="274"/>
      <c r="L97" s="275"/>
      <c r="M97" s="276"/>
    </row>
    <row r="98" spans="1:13" ht="12" customHeight="1">
      <c r="A98" s="83" t="str">
        <f t="shared" si="7"/>
        <v xml:space="preserve"> </v>
      </c>
      <c r="B98" s="73"/>
      <c r="C98" s="22"/>
      <c r="D98" s="30"/>
      <c r="E98" s="85"/>
      <c r="F98" s="86"/>
      <c r="G98" s="87"/>
      <c r="H98" s="83"/>
      <c r="I98" s="83"/>
      <c r="J98" s="93"/>
      <c r="K98" s="274"/>
      <c r="L98" s="275"/>
      <c r="M98" s="276"/>
    </row>
    <row r="99" spans="1:13" ht="12" customHeight="1">
      <c r="A99" s="83" t="str">
        <f t="shared" si="7"/>
        <v xml:space="preserve"> </v>
      </c>
      <c r="B99" s="74"/>
      <c r="C99" s="84"/>
      <c r="D99" s="88"/>
      <c r="E99" s="85"/>
      <c r="F99" s="86"/>
      <c r="G99" s="87"/>
      <c r="H99" s="83"/>
      <c r="I99" s="83"/>
      <c r="J99" s="93"/>
      <c r="K99" s="274"/>
      <c r="L99" s="275"/>
      <c r="M99" s="276"/>
    </row>
    <row r="100" spans="1:13" ht="12" customHeight="1">
      <c r="A100" s="83"/>
      <c r="B100" s="74"/>
      <c r="C100" s="84"/>
      <c r="D100" s="88"/>
      <c r="E100" s="85"/>
      <c r="F100" s="86"/>
      <c r="G100" s="87"/>
      <c r="H100" s="83"/>
      <c r="I100" s="83"/>
      <c r="J100" s="93"/>
      <c r="K100" s="280"/>
      <c r="L100" s="291"/>
      <c r="M100" s="292"/>
    </row>
    <row r="102" spans="1:13">
      <c r="B102" s="75" t="s">
        <v>235</v>
      </c>
    </row>
    <row r="103" spans="1:13" ht="12" customHeight="1"/>
    <row r="104" spans="1:13">
      <c r="B104" s="75" t="s">
        <v>1294</v>
      </c>
      <c r="C104" s="75" t="s">
        <v>238</v>
      </c>
    </row>
    <row r="105" spans="1:13">
      <c r="C105" s="75" t="s">
        <v>1295</v>
      </c>
    </row>
    <row r="106" spans="1:13">
      <c r="C106" s="75" t="s">
        <v>1296</v>
      </c>
    </row>
    <row r="107" spans="1:13">
      <c r="C107" s="75" t="s">
        <v>1297</v>
      </c>
    </row>
    <row r="109" spans="1:13">
      <c r="B109" s="75" t="s">
        <v>941</v>
      </c>
      <c r="C109" s="75" t="s">
        <v>1298</v>
      </c>
    </row>
  </sheetData>
  <mergeCells count="108">
    <mergeCell ref="K94:M94"/>
    <mergeCell ref="K95:M95"/>
    <mergeCell ref="K96:M96"/>
    <mergeCell ref="K97:M97"/>
    <mergeCell ref="K98:M98"/>
    <mergeCell ref="K99:M99"/>
    <mergeCell ref="K100:M100"/>
    <mergeCell ref="A5:A6"/>
    <mergeCell ref="K5:M6"/>
    <mergeCell ref="K85:M85"/>
    <mergeCell ref="K86:M86"/>
    <mergeCell ref="K87:M87"/>
    <mergeCell ref="K88:M88"/>
    <mergeCell ref="K89:M89"/>
    <mergeCell ref="K90:M90"/>
    <mergeCell ref="K91:M91"/>
    <mergeCell ref="K92:M92"/>
    <mergeCell ref="K93:M93"/>
    <mergeCell ref="K76:M76"/>
    <mergeCell ref="K77:M77"/>
    <mergeCell ref="K78:M78"/>
    <mergeCell ref="K79:M79"/>
    <mergeCell ref="K80:M80"/>
    <mergeCell ref="K81:M81"/>
    <mergeCell ref="K82:M82"/>
    <mergeCell ref="K83:M83"/>
    <mergeCell ref="K84:M84"/>
    <mergeCell ref="K67:M67"/>
    <mergeCell ref="K68:M68"/>
    <mergeCell ref="K69:M69"/>
    <mergeCell ref="K70:M70"/>
    <mergeCell ref="K71:M71"/>
    <mergeCell ref="K72:M72"/>
    <mergeCell ref="K73:M73"/>
    <mergeCell ref="K74:M74"/>
    <mergeCell ref="K75:M75"/>
    <mergeCell ref="K58:M58"/>
    <mergeCell ref="K59:M59"/>
    <mergeCell ref="K60:M60"/>
    <mergeCell ref="K61:M61"/>
    <mergeCell ref="K62:M62"/>
    <mergeCell ref="K63:M63"/>
    <mergeCell ref="K64:M64"/>
    <mergeCell ref="K65:M65"/>
    <mergeCell ref="K66:M66"/>
    <mergeCell ref="K49:M49"/>
    <mergeCell ref="K50:M50"/>
    <mergeCell ref="K51:M51"/>
    <mergeCell ref="K52:M52"/>
    <mergeCell ref="K53:M53"/>
    <mergeCell ref="K54:M54"/>
    <mergeCell ref="K55:M55"/>
    <mergeCell ref="K56:M56"/>
    <mergeCell ref="K57:M57"/>
    <mergeCell ref="K40:M40"/>
    <mergeCell ref="K41:M41"/>
    <mergeCell ref="K42:M42"/>
    <mergeCell ref="K43:M43"/>
    <mergeCell ref="K44:M44"/>
    <mergeCell ref="K45:M45"/>
    <mergeCell ref="K46:M46"/>
    <mergeCell ref="K47:M47"/>
    <mergeCell ref="K48:M48"/>
    <mergeCell ref="K31:M31"/>
    <mergeCell ref="K32:M32"/>
    <mergeCell ref="K33:M33"/>
    <mergeCell ref="K34:M34"/>
    <mergeCell ref="K35:M35"/>
    <mergeCell ref="K36:M36"/>
    <mergeCell ref="K37:M37"/>
    <mergeCell ref="K38:M38"/>
    <mergeCell ref="K39:M39"/>
    <mergeCell ref="K22:M22"/>
    <mergeCell ref="K23:M23"/>
    <mergeCell ref="K24:M24"/>
    <mergeCell ref="K25:M25"/>
    <mergeCell ref="K26:M26"/>
    <mergeCell ref="K27:M27"/>
    <mergeCell ref="K28:M28"/>
    <mergeCell ref="K29:M29"/>
    <mergeCell ref="K30:M30"/>
    <mergeCell ref="K13:M13"/>
    <mergeCell ref="K14:M14"/>
    <mergeCell ref="K15:M15"/>
    <mergeCell ref="K16:M16"/>
    <mergeCell ref="K17:M17"/>
    <mergeCell ref="K18:M18"/>
    <mergeCell ref="K19:M19"/>
    <mergeCell ref="K20:M20"/>
    <mergeCell ref="K21:M21"/>
    <mergeCell ref="B5:C5"/>
    <mergeCell ref="D5:H5"/>
    <mergeCell ref="I5:J5"/>
    <mergeCell ref="K7:M7"/>
    <mergeCell ref="K8:M8"/>
    <mergeCell ref="K9:M9"/>
    <mergeCell ref="K10:M10"/>
    <mergeCell ref="K11:M11"/>
    <mergeCell ref="K12:M12"/>
    <mergeCell ref="A2:B2"/>
    <mergeCell ref="C2:G2"/>
    <mergeCell ref="H2:J2"/>
    <mergeCell ref="A3:B3"/>
    <mergeCell ref="C3:G3"/>
    <mergeCell ref="H3:I3"/>
    <mergeCell ref="A4:B4"/>
    <mergeCell ref="C4:G4"/>
    <mergeCell ref="H4:I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A1:Q117"/>
  <sheetViews>
    <sheetView showGridLines="0" workbookViewId="0">
      <pane ySplit="6" topLeftCell="A31" activePane="bottomLeft" state="frozen"/>
      <selection pane="bottomLeft" activeCell="C31" sqref="C31"/>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1299</v>
      </c>
      <c r="D3" s="265"/>
      <c r="E3" s="265"/>
      <c r="F3" s="265"/>
      <c r="G3" s="266"/>
      <c r="H3" s="259" t="s">
        <v>140</v>
      </c>
      <c r="I3" s="260"/>
      <c r="J3" s="90">
        <f>COUNT(A7:A100)</f>
        <v>31</v>
      </c>
      <c r="K3" s="78" t="s">
        <v>141</v>
      </c>
      <c r="L3" s="91">
        <v>38644</v>
      </c>
      <c r="M3" s="92" t="s">
        <v>142</v>
      </c>
      <c r="O3" s="75" t="s">
        <v>143</v>
      </c>
      <c r="P3" s="75" t="s">
        <v>144</v>
      </c>
    </row>
    <row r="4" spans="1:16" ht="12" customHeight="1">
      <c r="A4" s="267" t="s">
        <v>145</v>
      </c>
      <c r="B4" s="268"/>
      <c r="C4" s="267" t="s">
        <v>49</v>
      </c>
      <c r="D4" s="269"/>
      <c r="E4" s="269"/>
      <c r="F4" s="269"/>
      <c r="G4" s="268"/>
      <c r="H4" s="259" t="s">
        <v>146</v>
      </c>
      <c r="I4" s="260"/>
      <c r="J4" s="90">
        <f>SUM(G7:G100)</f>
        <v>238</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37" si="0">IF(D7="DATE",4,IF(D7="CHAR",E7,IF(D7="SMALLINT",2,IF(D7="INTEGER",4,IF(D7="TIMESTAMP",10,IF(D7="TIME",3,0))))))</f>
        <v>4</v>
      </c>
      <c r="H7" s="83" t="s">
        <v>149</v>
      </c>
      <c r="I7" s="83" t="s">
        <v>149</v>
      </c>
      <c r="J7" s="93"/>
      <c r="K7" s="308"/>
      <c r="L7" s="278"/>
      <c r="M7" s="279"/>
      <c r="P7" s="75" t="s">
        <v>165</v>
      </c>
    </row>
    <row r="8" spans="1:16" ht="12" customHeight="1">
      <c r="A8" s="83">
        <f t="shared" ref="A8:A37" si="1">IF(B8=""," ",A7+1)</f>
        <v>2</v>
      </c>
      <c r="B8" s="20" t="s">
        <v>818</v>
      </c>
      <c r="C8" s="84" t="s">
        <v>819</v>
      </c>
      <c r="D8" s="88" t="s">
        <v>150</v>
      </c>
      <c r="E8" s="85">
        <v>4</v>
      </c>
      <c r="F8" s="86"/>
      <c r="G8" s="87">
        <f t="shared" si="0"/>
        <v>4</v>
      </c>
      <c r="H8" s="83" t="s">
        <v>149</v>
      </c>
      <c r="I8" s="83" t="s">
        <v>149</v>
      </c>
      <c r="J8" s="93"/>
      <c r="K8" s="280"/>
      <c r="L8" s="291"/>
      <c r="M8" s="292"/>
    </row>
    <row r="9" spans="1:16" ht="12" customHeight="1">
      <c r="A9" s="83">
        <f t="shared" si="1"/>
        <v>3</v>
      </c>
      <c r="B9" s="20" t="s">
        <v>957</v>
      </c>
      <c r="C9" s="84" t="s">
        <v>958</v>
      </c>
      <c r="D9" s="88" t="s">
        <v>150</v>
      </c>
      <c r="E9" s="85">
        <v>4</v>
      </c>
      <c r="F9" s="86"/>
      <c r="G9" s="87">
        <f t="shared" si="0"/>
        <v>4</v>
      </c>
      <c r="H9" s="83" t="s">
        <v>149</v>
      </c>
      <c r="I9" s="83"/>
      <c r="J9" s="93"/>
      <c r="K9" s="280"/>
      <c r="L9" s="291"/>
      <c r="M9" s="292"/>
    </row>
    <row r="10" spans="1:16" ht="12" customHeight="1">
      <c r="A10" s="83">
        <f t="shared" si="1"/>
        <v>4</v>
      </c>
      <c r="B10" s="20" t="s">
        <v>960</v>
      </c>
      <c r="C10" s="84" t="s">
        <v>961</v>
      </c>
      <c r="D10" s="88" t="s">
        <v>150</v>
      </c>
      <c r="E10" s="85">
        <v>6</v>
      </c>
      <c r="F10" s="86"/>
      <c r="G10" s="87">
        <f t="shared" si="0"/>
        <v>6</v>
      </c>
      <c r="H10" s="83" t="s">
        <v>149</v>
      </c>
      <c r="I10" s="83" t="s">
        <v>149</v>
      </c>
      <c r="J10" s="93"/>
      <c r="K10" s="280" t="s">
        <v>962</v>
      </c>
      <c r="L10" s="291"/>
      <c r="M10" s="292"/>
    </row>
    <row r="11" spans="1:16" ht="12" customHeight="1">
      <c r="A11" s="83">
        <f t="shared" si="1"/>
        <v>5</v>
      </c>
      <c r="B11" s="11" t="s">
        <v>646</v>
      </c>
      <c r="C11" s="84" t="s">
        <v>647</v>
      </c>
      <c r="D11" s="88" t="s">
        <v>150</v>
      </c>
      <c r="E11" s="85">
        <v>16</v>
      </c>
      <c r="F11" s="86"/>
      <c r="G11" s="87">
        <f t="shared" si="0"/>
        <v>16</v>
      </c>
      <c r="H11" s="83" t="s">
        <v>149</v>
      </c>
      <c r="I11" s="83"/>
      <c r="J11" s="93"/>
      <c r="K11" s="308" t="s">
        <v>648</v>
      </c>
      <c r="L11" s="278"/>
      <c r="M11" s="279"/>
    </row>
    <row r="12" spans="1:16" ht="12" customHeight="1">
      <c r="A12" s="83">
        <f t="shared" si="1"/>
        <v>6</v>
      </c>
      <c r="B12" s="21" t="s">
        <v>596</v>
      </c>
      <c r="C12" s="84" t="s">
        <v>597</v>
      </c>
      <c r="D12" s="88" t="s">
        <v>150</v>
      </c>
      <c r="E12" s="85">
        <v>7</v>
      </c>
      <c r="F12" s="86"/>
      <c r="G12" s="87">
        <f t="shared" si="0"/>
        <v>7</v>
      </c>
      <c r="H12" s="83" t="s">
        <v>149</v>
      </c>
      <c r="I12" s="83" t="s">
        <v>149</v>
      </c>
      <c r="J12" s="93"/>
      <c r="K12" s="308"/>
      <c r="L12" s="278"/>
      <c r="M12" s="279"/>
    </row>
    <row r="13" spans="1:16" ht="27.6" customHeight="1">
      <c r="A13" s="83">
        <f t="shared" si="1"/>
        <v>7</v>
      </c>
      <c r="B13" s="11" t="s">
        <v>821</v>
      </c>
      <c r="C13" s="110" t="s">
        <v>822</v>
      </c>
      <c r="D13" s="88" t="s">
        <v>150</v>
      </c>
      <c r="E13" s="85">
        <v>7</v>
      </c>
      <c r="F13" s="86"/>
      <c r="G13" s="87">
        <f t="shared" si="0"/>
        <v>7</v>
      </c>
      <c r="H13" s="83" t="s">
        <v>149</v>
      </c>
      <c r="I13" s="83"/>
      <c r="J13" s="93"/>
      <c r="K13" s="280" t="s">
        <v>823</v>
      </c>
      <c r="L13" s="275"/>
      <c r="M13" s="276"/>
    </row>
    <row r="14" spans="1:16" ht="27.95" customHeight="1">
      <c r="A14" s="83">
        <f t="shared" si="1"/>
        <v>8</v>
      </c>
      <c r="B14" s="74" t="s">
        <v>1077</v>
      </c>
      <c r="C14" s="84" t="s">
        <v>1078</v>
      </c>
      <c r="D14" s="88" t="s">
        <v>161</v>
      </c>
      <c r="E14" s="85"/>
      <c r="F14" s="86"/>
      <c r="G14" s="87">
        <f t="shared" si="0"/>
        <v>4</v>
      </c>
      <c r="H14" s="83" t="s">
        <v>149</v>
      </c>
      <c r="I14" s="83" t="s">
        <v>149</v>
      </c>
      <c r="J14" s="93"/>
      <c r="K14" s="280" t="s">
        <v>1079</v>
      </c>
      <c r="L14" s="291"/>
      <c r="M14" s="292"/>
    </row>
    <row r="15" spans="1:16" ht="12" customHeight="1">
      <c r="A15" s="83">
        <f t="shared" si="1"/>
        <v>9</v>
      </c>
      <c r="B15" s="74" t="s">
        <v>1300</v>
      </c>
      <c r="C15" s="84" t="s">
        <v>1301</v>
      </c>
      <c r="D15" s="88" t="s">
        <v>150</v>
      </c>
      <c r="E15" s="85">
        <v>20</v>
      </c>
      <c r="F15" s="86"/>
      <c r="G15" s="87">
        <f t="shared" si="0"/>
        <v>20</v>
      </c>
      <c r="H15" s="83" t="s">
        <v>149</v>
      </c>
      <c r="I15" s="83" t="s">
        <v>149</v>
      </c>
      <c r="J15" s="93"/>
      <c r="K15" s="280" t="s">
        <v>1302</v>
      </c>
      <c r="L15" s="291"/>
      <c r="M15" s="292"/>
    </row>
    <row r="16" spans="1:16" ht="12" customHeight="1">
      <c r="A16" s="83">
        <f t="shared" si="1"/>
        <v>10</v>
      </c>
      <c r="B16" s="74" t="s">
        <v>1303</v>
      </c>
      <c r="C16" s="84" t="s">
        <v>1304</v>
      </c>
      <c r="D16" s="88" t="s">
        <v>174</v>
      </c>
      <c r="E16" s="85"/>
      <c r="F16" s="86"/>
      <c r="G16" s="87">
        <f t="shared" si="0"/>
        <v>2</v>
      </c>
      <c r="H16" s="83" t="s">
        <v>149</v>
      </c>
      <c r="I16" s="83" t="s">
        <v>149</v>
      </c>
      <c r="J16" s="93"/>
      <c r="K16" s="280"/>
      <c r="L16" s="291"/>
      <c r="M16" s="292"/>
    </row>
    <row r="17" spans="1:16" ht="12" customHeight="1">
      <c r="A17" s="83">
        <f t="shared" si="1"/>
        <v>11</v>
      </c>
      <c r="B17" s="74" t="s">
        <v>1305</v>
      </c>
      <c r="C17" s="84" t="s">
        <v>1306</v>
      </c>
      <c r="D17" s="88" t="s">
        <v>150</v>
      </c>
      <c r="E17" s="85">
        <v>2</v>
      </c>
      <c r="F17" s="86"/>
      <c r="G17" s="87">
        <f t="shared" si="0"/>
        <v>2</v>
      </c>
      <c r="H17" s="83" t="s">
        <v>149</v>
      </c>
      <c r="I17" s="83"/>
      <c r="J17" s="93"/>
      <c r="K17" s="280" t="s">
        <v>1307</v>
      </c>
      <c r="L17" s="291"/>
      <c r="M17" s="292"/>
    </row>
    <row r="18" spans="1:16" ht="12" customHeight="1">
      <c r="A18" s="83">
        <f t="shared" si="1"/>
        <v>12</v>
      </c>
      <c r="B18" s="11" t="s">
        <v>975</v>
      </c>
      <c r="C18" s="110" t="s">
        <v>976</v>
      </c>
      <c r="D18" s="88" t="s">
        <v>150</v>
      </c>
      <c r="E18" s="85">
        <v>1</v>
      </c>
      <c r="F18" s="86"/>
      <c r="G18" s="87">
        <f t="shared" si="0"/>
        <v>1</v>
      </c>
      <c r="H18" s="83" t="s">
        <v>149</v>
      </c>
      <c r="I18" s="83"/>
      <c r="J18" s="93"/>
      <c r="K18" s="84" t="s">
        <v>977</v>
      </c>
      <c r="L18" s="94"/>
      <c r="M18" s="95"/>
    </row>
    <row r="19" spans="1:16" ht="12" customHeight="1">
      <c r="A19" s="83">
        <f t="shared" si="1"/>
        <v>13</v>
      </c>
      <c r="B19" s="74" t="s">
        <v>774</v>
      </c>
      <c r="C19" s="21" t="s">
        <v>775</v>
      </c>
      <c r="D19" s="13" t="s">
        <v>150</v>
      </c>
      <c r="E19" s="85">
        <v>10</v>
      </c>
      <c r="F19" s="86"/>
      <c r="G19" s="87">
        <f t="shared" si="0"/>
        <v>10</v>
      </c>
      <c r="H19" s="83" t="s">
        <v>149</v>
      </c>
      <c r="I19" s="83"/>
      <c r="J19" s="93"/>
      <c r="K19" s="308"/>
      <c r="L19" s="278"/>
      <c r="M19" s="279"/>
      <c r="P19" s="75" t="s">
        <v>195</v>
      </c>
    </row>
    <row r="20" spans="1:16" ht="12" customHeight="1">
      <c r="A20" s="83">
        <f t="shared" si="1"/>
        <v>14</v>
      </c>
      <c r="B20" s="74" t="s">
        <v>776</v>
      </c>
      <c r="C20" s="84" t="s">
        <v>777</v>
      </c>
      <c r="D20" s="88" t="s">
        <v>174</v>
      </c>
      <c r="E20" s="85"/>
      <c r="F20" s="86"/>
      <c r="G20" s="87">
        <f t="shared" si="0"/>
        <v>2</v>
      </c>
      <c r="H20" s="83" t="s">
        <v>149</v>
      </c>
      <c r="I20" s="83"/>
      <c r="J20" s="93"/>
      <c r="K20" s="274"/>
      <c r="L20" s="275"/>
      <c r="M20" s="276"/>
    </row>
    <row r="21" spans="1:16" ht="39" customHeight="1">
      <c r="A21" s="83">
        <f t="shared" si="1"/>
        <v>15</v>
      </c>
      <c r="B21" s="11" t="s">
        <v>825</v>
      </c>
      <c r="C21" s="84" t="s">
        <v>826</v>
      </c>
      <c r="D21" s="88" t="s">
        <v>161</v>
      </c>
      <c r="E21" s="85"/>
      <c r="F21" s="86"/>
      <c r="G21" s="87">
        <f t="shared" si="0"/>
        <v>4</v>
      </c>
      <c r="H21" s="83" t="s">
        <v>149</v>
      </c>
      <c r="I21" s="83"/>
      <c r="J21" s="93"/>
      <c r="K21" s="280" t="s">
        <v>1081</v>
      </c>
      <c r="L21" s="275"/>
      <c r="M21" s="276"/>
    </row>
    <row r="22" spans="1:16" ht="57" customHeight="1">
      <c r="A22" s="83">
        <f t="shared" si="1"/>
        <v>16</v>
      </c>
      <c r="B22" s="20" t="s">
        <v>964</v>
      </c>
      <c r="C22" s="84" t="s">
        <v>965</v>
      </c>
      <c r="D22" s="88" t="s">
        <v>161</v>
      </c>
      <c r="E22" s="85"/>
      <c r="F22" s="86"/>
      <c r="G22" s="87">
        <f t="shared" si="0"/>
        <v>4</v>
      </c>
      <c r="H22" s="83" t="s">
        <v>149</v>
      </c>
      <c r="I22" s="83"/>
      <c r="J22" s="93"/>
      <c r="K22" s="280" t="s">
        <v>966</v>
      </c>
      <c r="L22" s="281"/>
      <c r="M22" s="282"/>
    </row>
    <row r="23" spans="1:16" ht="12" customHeight="1">
      <c r="A23" s="83">
        <f t="shared" si="1"/>
        <v>17</v>
      </c>
      <c r="B23" s="73" t="s">
        <v>827</v>
      </c>
      <c r="C23" s="84" t="s">
        <v>828</v>
      </c>
      <c r="D23" s="88" t="s">
        <v>174</v>
      </c>
      <c r="E23" s="85"/>
      <c r="F23" s="86"/>
      <c r="G23" s="87">
        <f t="shared" si="0"/>
        <v>2</v>
      </c>
      <c r="H23" s="83" t="s">
        <v>149</v>
      </c>
      <c r="I23" s="83"/>
      <c r="J23" s="93"/>
      <c r="K23" s="280"/>
      <c r="L23" s="291"/>
      <c r="M23" s="292"/>
    </row>
    <row r="24" spans="1:16" ht="27" customHeight="1">
      <c r="A24" s="83">
        <f t="shared" si="1"/>
        <v>18</v>
      </c>
      <c r="B24" s="73" t="s">
        <v>1308</v>
      </c>
      <c r="C24" s="84" t="s">
        <v>1309</v>
      </c>
      <c r="D24" s="88" t="s">
        <v>161</v>
      </c>
      <c r="E24" s="85"/>
      <c r="F24" s="86"/>
      <c r="G24" s="87">
        <f t="shared" si="0"/>
        <v>4</v>
      </c>
      <c r="H24" s="83" t="s">
        <v>149</v>
      </c>
      <c r="I24" s="83"/>
      <c r="J24" s="93"/>
      <c r="K24" s="280" t="s">
        <v>1310</v>
      </c>
      <c r="L24" s="291"/>
      <c r="M24" s="292"/>
    </row>
    <row r="25" spans="1:16" ht="12" customHeight="1">
      <c r="A25" s="83">
        <f t="shared" si="1"/>
        <v>19</v>
      </c>
      <c r="B25" s="73" t="s">
        <v>1311</v>
      </c>
      <c r="C25" s="22" t="s">
        <v>1312</v>
      </c>
      <c r="D25" s="30" t="s">
        <v>150</v>
      </c>
      <c r="E25" s="85">
        <v>20</v>
      </c>
      <c r="F25" s="86"/>
      <c r="G25" s="87">
        <f t="shared" si="0"/>
        <v>20</v>
      </c>
      <c r="H25" s="83" t="s">
        <v>149</v>
      </c>
      <c r="I25" s="83"/>
      <c r="J25" s="93"/>
      <c r="K25" s="274"/>
      <c r="L25" s="275"/>
      <c r="M25" s="276"/>
    </row>
    <row r="26" spans="1:16" ht="12" customHeight="1">
      <c r="A26" s="83">
        <f t="shared" si="1"/>
        <v>20</v>
      </c>
      <c r="B26" s="74" t="s">
        <v>1313</v>
      </c>
      <c r="C26" s="84" t="s">
        <v>1314</v>
      </c>
      <c r="D26" s="88" t="s">
        <v>150</v>
      </c>
      <c r="E26" s="85">
        <v>24</v>
      </c>
      <c r="F26" s="86"/>
      <c r="G26" s="87">
        <f t="shared" si="0"/>
        <v>24</v>
      </c>
      <c r="H26" s="83" t="s">
        <v>149</v>
      </c>
      <c r="I26" s="83"/>
      <c r="J26" s="93"/>
      <c r="K26" s="271"/>
      <c r="L26" s="272"/>
      <c r="M26" s="273"/>
    </row>
    <row r="27" spans="1:16" ht="12" customHeight="1">
      <c r="A27" s="83">
        <f t="shared" si="1"/>
        <v>21</v>
      </c>
      <c r="B27" s="11" t="s">
        <v>1315</v>
      </c>
      <c r="C27" s="84" t="s">
        <v>1316</v>
      </c>
      <c r="D27" s="88" t="s">
        <v>150</v>
      </c>
      <c r="E27" s="85">
        <v>24</v>
      </c>
      <c r="F27" s="86"/>
      <c r="G27" s="87">
        <f t="shared" si="0"/>
        <v>24</v>
      </c>
      <c r="H27" s="83" t="s">
        <v>149</v>
      </c>
      <c r="I27" s="83"/>
      <c r="J27" s="93"/>
      <c r="K27" s="274"/>
      <c r="L27" s="275"/>
      <c r="M27" s="276"/>
    </row>
    <row r="28" spans="1:16" ht="51" customHeight="1">
      <c r="A28" s="83">
        <f t="shared" si="1"/>
        <v>22</v>
      </c>
      <c r="B28" s="11" t="s">
        <v>1317</v>
      </c>
      <c r="C28" s="84" t="s">
        <v>1318</v>
      </c>
      <c r="D28" s="88" t="s">
        <v>150</v>
      </c>
      <c r="E28" s="85">
        <v>1</v>
      </c>
      <c r="F28" s="86"/>
      <c r="G28" s="87">
        <f t="shared" si="0"/>
        <v>1</v>
      </c>
      <c r="H28" s="83" t="s">
        <v>149</v>
      </c>
      <c r="I28" s="83"/>
      <c r="J28" s="93"/>
      <c r="K28" s="280" t="s">
        <v>1319</v>
      </c>
      <c r="L28" s="275"/>
      <c r="M28" s="276"/>
    </row>
    <row r="29" spans="1:16" ht="12" customHeight="1">
      <c r="A29" s="83">
        <f t="shared" si="1"/>
        <v>23</v>
      </c>
      <c r="B29" s="20" t="s">
        <v>971</v>
      </c>
      <c r="C29" s="84" t="s">
        <v>972</v>
      </c>
      <c r="D29" s="88" t="s">
        <v>234</v>
      </c>
      <c r="E29" s="85"/>
      <c r="F29" s="86"/>
      <c r="G29" s="87">
        <f t="shared" si="0"/>
        <v>10</v>
      </c>
      <c r="H29" s="83" t="s">
        <v>149</v>
      </c>
      <c r="I29" s="83"/>
      <c r="J29" s="93"/>
      <c r="K29" s="280"/>
      <c r="L29" s="291"/>
      <c r="M29" s="292"/>
    </row>
    <row r="30" spans="1:16" ht="39.950000000000003" customHeight="1">
      <c r="A30" s="83">
        <f t="shared" si="1"/>
        <v>24</v>
      </c>
      <c r="B30" s="11" t="s">
        <v>1320</v>
      </c>
      <c r="C30" s="22" t="s">
        <v>1321</v>
      </c>
      <c r="D30" s="30" t="s">
        <v>174</v>
      </c>
      <c r="E30" s="85"/>
      <c r="F30" s="86"/>
      <c r="G30" s="87">
        <f t="shared" si="0"/>
        <v>2</v>
      </c>
      <c r="H30" s="83" t="s">
        <v>149</v>
      </c>
      <c r="I30" s="83"/>
      <c r="J30" s="93"/>
      <c r="K30" s="280" t="s">
        <v>1322</v>
      </c>
      <c r="L30" s="300"/>
      <c r="M30" s="301"/>
    </row>
    <row r="31" spans="1:16" ht="39.950000000000003" customHeight="1">
      <c r="A31" s="83">
        <f t="shared" si="1"/>
        <v>25</v>
      </c>
      <c r="B31" s="11" t="s">
        <v>1323</v>
      </c>
      <c r="C31" s="22" t="s">
        <v>1324</v>
      </c>
      <c r="D31" s="30" t="s">
        <v>150</v>
      </c>
      <c r="E31" s="85">
        <v>1</v>
      </c>
      <c r="F31" s="86"/>
      <c r="G31" s="87">
        <f t="shared" si="0"/>
        <v>1</v>
      </c>
      <c r="H31" s="83" t="s">
        <v>149</v>
      </c>
      <c r="I31" s="83"/>
      <c r="J31" s="93"/>
      <c r="K31" s="280" t="s">
        <v>1325</v>
      </c>
      <c r="L31" s="300"/>
      <c r="M31" s="301"/>
    </row>
    <row r="32" spans="1:16">
      <c r="A32" s="83">
        <f t="shared" si="1"/>
        <v>26</v>
      </c>
      <c r="B32" s="200" t="s">
        <v>1326</v>
      </c>
      <c r="C32" s="201" t="s">
        <v>1327</v>
      </c>
      <c r="D32" s="202" t="s">
        <v>150</v>
      </c>
      <c r="E32" s="203">
        <v>12</v>
      </c>
      <c r="F32" s="204"/>
      <c r="G32" s="87">
        <v>12</v>
      </c>
      <c r="H32" s="205" t="s">
        <v>149</v>
      </c>
      <c r="I32" s="205"/>
      <c r="J32" s="206"/>
      <c r="K32" s="338"/>
      <c r="L32" s="339"/>
      <c r="M32" s="340"/>
    </row>
    <row r="33" spans="1:14">
      <c r="A33" s="83">
        <f t="shared" si="1"/>
        <v>27</v>
      </c>
      <c r="B33" s="200" t="s">
        <v>1328</v>
      </c>
      <c r="C33" s="201" t="s">
        <v>1329</v>
      </c>
      <c r="D33" s="202" t="s">
        <v>150</v>
      </c>
      <c r="E33" s="203">
        <v>12</v>
      </c>
      <c r="F33" s="204"/>
      <c r="G33" s="87">
        <v>12</v>
      </c>
      <c r="H33" s="205" t="s">
        <v>149</v>
      </c>
      <c r="I33" s="205"/>
      <c r="J33" s="206"/>
      <c r="K33" s="338"/>
      <c r="L33" s="339"/>
      <c r="M33" s="340"/>
    </row>
    <row r="34" spans="1:14" ht="39.950000000000003" customHeight="1">
      <c r="A34" s="83">
        <f t="shared" si="1"/>
        <v>28</v>
      </c>
      <c r="B34" s="11" t="s">
        <v>1330</v>
      </c>
      <c r="C34" s="22" t="s">
        <v>1331</v>
      </c>
      <c r="D34" s="30" t="s">
        <v>150</v>
      </c>
      <c r="E34" s="85">
        <v>1</v>
      </c>
      <c r="F34" s="86"/>
      <c r="G34" s="87">
        <f>IF(D34="DATE",4,IF(D34="CHAR",E34,IF(D34="SMALLINT",2,IF(D34="INTEGER",4,IF(D34="TIMESTAMP",10,IF(D34="TIME",3,0))))))</f>
        <v>1</v>
      </c>
      <c r="H34" s="83" t="s">
        <v>149</v>
      </c>
      <c r="I34" s="83"/>
      <c r="J34" s="93"/>
      <c r="K34" s="280" t="s">
        <v>1332</v>
      </c>
      <c r="L34" s="300"/>
      <c r="M34" s="301"/>
    </row>
    <row r="35" spans="1:14" ht="12" customHeight="1">
      <c r="A35" s="83">
        <f t="shared" si="1"/>
        <v>29</v>
      </c>
      <c r="B35" s="74" t="s">
        <v>1333</v>
      </c>
      <c r="C35" s="84" t="s">
        <v>1334</v>
      </c>
      <c r="D35" s="88" t="s">
        <v>150</v>
      </c>
      <c r="E35" s="85">
        <v>8</v>
      </c>
      <c r="F35" s="86"/>
      <c r="G35" s="87">
        <f>IF(D35="DATE",4,IF(D35="CHAR",E35,IF(D35="SMALLINT",2,IF(D35="INTEGER",4,IF(D35="TIMESTAMP",10,IF(D35="TIME",3,0))))))</f>
        <v>8</v>
      </c>
      <c r="H35" s="83" t="s">
        <v>149</v>
      </c>
      <c r="I35" s="83"/>
      <c r="J35" s="93"/>
      <c r="K35" s="280"/>
      <c r="L35" s="291"/>
      <c r="M35" s="292"/>
      <c r="N35" s="99"/>
    </row>
    <row r="36" spans="1:14" ht="12" customHeight="1">
      <c r="A36" s="83">
        <f t="shared" si="1"/>
        <v>30</v>
      </c>
      <c r="B36" s="73" t="s">
        <v>1335</v>
      </c>
      <c r="C36" s="84" t="s">
        <v>1336</v>
      </c>
      <c r="D36" s="88" t="s">
        <v>234</v>
      </c>
      <c r="E36" s="85"/>
      <c r="F36" s="86"/>
      <c r="G36" s="87">
        <f>IF(D36="DATE",4,IF(D36="CHAR",E36,IF(D36="SMALLINT",2,IF(D36="INTEGER",4,IF(D36="TIMESTAMP",10,IF(D36="TIME",3,0))))))</f>
        <v>10</v>
      </c>
      <c r="H36" s="83" t="s">
        <v>149</v>
      </c>
      <c r="I36" s="83"/>
      <c r="J36" s="93"/>
      <c r="K36" s="280"/>
      <c r="L36" s="291"/>
      <c r="M36" s="292"/>
      <c r="N36" s="99"/>
    </row>
    <row r="37" spans="1:14" ht="12" customHeight="1">
      <c r="A37" s="83">
        <f t="shared" si="1"/>
        <v>31</v>
      </c>
      <c r="B37" s="74" t="s">
        <v>232</v>
      </c>
      <c r="C37" s="84" t="s">
        <v>233</v>
      </c>
      <c r="D37" s="88" t="s">
        <v>234</v>
      </c>
      <c r="E37" s="85"/>
      <c r="F37" s="86"/>
      <c r="G37" s="87">
        <f t="shared" si="0"/>
        <v>10</v>
      </c>
      <c r="H37" s="83" t="s">
        <v>149</v>
      </c>
      <c r="I37" s="83"/>
      <c r="J37" s="93"/>
      <c r="K37" s="274"/>
      <c r="L37" s="275"/>
      <c r="M37" s="276"/>
    </row>
    <row r="38" spans="1:14" ht="12" customHeight="1">
      <c r="A38" s="83"/>
      <c r="B38" s="74"/>
      <c r="C38" s="84"/>
      <c r="D38" s="88"/>
      <c r="E38" s="85"/>
      <c r="F38" s="86"/>
      <c r="G38" s="87"/>
      <c r="H38" s="83"/>
      <c r="I38" s="83"/>
      <c r="J38" s="93"/>
      <c r="K38" s="271"/>
      <c r="L38" s="272"/>
      <c r="M38" s="273"/>
    </row>
    <row r="39" spans="1:14" ht="12" customHeight="1">
      <c r="A39" s="83"/>
      <c r="B39" s="11"/>
      <c r="C39" s="84"/>
      <c r="D39" s="88"/>
      <c r="E39" s="85"/>
      <c r="F39" s="86"/>
      <c r="G39" s="87"/>
      <c r="H39" s="83"/>
      <c r="I39" s="83"/>
      <c r="J39" s="93"/>
      <c r="K39" s="280"/>
      <c r="L39" s="291"/>
      <c r="M39" s="292"/>
    </row>
    <row r="40" spans="1:14" ht="12" customHeight="1">
      <c r="A40" s="83" t="str">
        <f>IF(B40=""," ",#REF!+1)</f>
        <v xml:space="preserve"> </v>
      </c>
      <c r="B40" s="74"/>
      <c r="C40" s="84"/>
      <c r="D40" s="88"/>
      <c r="E40" s="85"/>
      <c r="F40" s="86"/>
      <c r="G40" s="87"/>
      <c r="H40" s="83"/>
      <c r="I40" s="83"/>
      <c r="J40" s="93"/>
      <c r="K40" s="280"/>
      <c r="L40" s="291"/>
      <c r="M40" s="292"/>
    </row>
    <row r="41" spans="1:14" ht="12" customHeight="1">
      <c r="A41" s="83"/>
      <c r="B41" s="74"/>
      <c r="C41" s="84"/>
      <c r="D41" s="88"/>
      <c r="E41" s="85"/>
      <c r="F41" s="86"/>
      <c r="G41" s="87"/>
      <c r="H41" s="83"/>
      <c r="I41" s="83"/>
      <c r="J41" s="93"/>
      <c r="K41" s="280"/>
      <c r="L41" s="291"/>
      <c r="M41" s="292"/>
    </row>
    <row r="42" spans="1:14" ht="12" customHeight="1">
      <c r="A42" s="83" t="str">
        <f t="shared" ref="A42:A55" si="2">IF(B42=""," ",A41+1)</f>
        <v xml:space="preserve"> </v>
      </c>
      <c r="B42" s="74"/>
      <c r="C42" s="84"/>
      <c r="D42" s="88"/>
      <c r="E42" s="85"/>
      <c r="F42" s="86"/>
      <c r="G42" s="87"/>
      <c r="H42" s="83"/>
      <c r="I42" s="83"/>
      <c r="J42" s="93"/>
      <c r="K42" s="280"/>
      <c r="L42" s="291"/>
      <c r="M42" s="292"/>
    </row>
    <row r="43" spans="1:14" ht="12" customHeight="1">
      <c r="A43" s="83" t="str">
        <f>IF(B43=""," ",#REF!+1)</f>
        <v xml:space="preserve"> </v>
      </c>
      <c r="B43" s="74"/>
      <c r="C43" s="84"/>
      <c r="D43" s="88"/>
      <c r="E43" s="85"/>
      <c r="F43" s="86"/>
      <c r="G43" s="87"/>
      <c r="H43" s="83"/>
      <c r="I43" s="83"/>
      <c r="J43" s="93"/>
      <c r="K43" s="280"/>
      <c r="L43" s="291"/>
      <c r="M43" s="292"/>
    </row>
    <row r="44" spans="1:14" ht="12" customHeight="1">
      <c r="A44" s="83" t="str">
        <f t="shared" si="2"/>
        <v xml:space="preserve"> </v>
      </c>
      <c r="B44" s="74"/>
      <c r="C44" s="84"/>
      <c r="D44" s="88"/>
      <c r="E44" s="85"/>
      <c r="F44" s="86"/>
      <c r="G44" s="87"/>
      <c r="H44" s="83"/>
      <c r="I44" s="83"/>
      <c r="J44" s="93"/>
      <c r="K44" s="280"/>
      <c r="L44" s="291"/>
      <c r="M44" s="292"/>
    </row>
    <row r="45" spans="1:14" ht="12" customHeight="1">
      <c r="A45" s="83" t="str">
        <f t="shared" si="2"/>
        <v xml:space="preserve"> </v>
      </c>
      <c r="B45" s="74"/>
      <c r="C45" s="84"/>
      <c r="D45" s="88"/>
      <c r="E45" s="85"/>
      <c r="F45" s="86"/>
      <c r="G45" s="87"/>
      <c r="H45" s="83"/>
      <c r="I45" s="83"/>
      <c r="J45" s="93"/>
      <c r="K45" s="280"/>
      <c r="L45" s="291"/>
      <c r="M45" s="292"/>
    </row>
    <row r="46" spans="1:14" ht="12" customHeight="1">
      <c r="A46" s="83" t="str">
        <f t="shared" si="2"/>
        <v xml:space="preserve"> </v>
      </c>
      <c r="B46" s="74"/>
      <c r="C46" s="84"/>
      <c r="D46" s="88"/>
      <c r="E46" s="85"/>
      <c r="F46" s="86"/>
      <c r="G46" s="87"/>
      <c r="H46" s="83"/>
      <c r="I46" s="83"/>
      <c r="J46" s="93"/>
      <c r="K46" s="280"/>
      <c r="L46" s="291"/>
      <c r="M46" s="292"/>
    </row>
    <row r="47" spans="1:14" ht="12" customHeight="1">
      <c r="A47" s="83" t="str">
        <f t="shared" si="2"/>
        <v xml:space="preserve"> </v>
      </c>
      <c r="B47" s="74"/>
      <c r="C47" s="84"/>
      <c r="D47" s="88"/>
      <c r="E47" s="85"/>
      <c r="F47" s="86"/>
      <c r="G47" s="87"/>
      <c r="H47" s="83"/>
      <c r="I47" s="83"/>
      <c r="J47" s="93"/>
      <c r="K47" s="280"/>
      <c r="L47" s="291"/>
      <c r="M47" s="292"/>
    </row>
    <row r="48" spans="1:14" ht="12" customHeight="1">
      <c r="A48" s="83" t="str">
        <f t="shared" si="2"/>
        <v xml:space="preserve"> </v>
      </c>
      <c r="B48" s="74"/>
      <c r="C48" s="84"/>
      <c r="D48" s="88"/>
      <c r="E48" s="85"/>
      <c r="F48" s="86"/>
      <c r="G48" s="87"/>
      <c r="H48" s="83"/>
      <c r="I48" s="83"/>
      <c r="J48" s="93"/>
      <c r="K48" s="280"/>
      <c r="L48" s="291"/>
      <c r="M48" s="292"/>
    </row>
    <row r="49" spans="1:13" ht="12" customHeight="1">
      <c r="A49" s="83" t="str">
        <f t="shared" si="2"/>
        <v xml:space="preserve"> </v>
      </c>
      <c r="B49" s="74"/>
      <c r="C49" s="84"/>
      <c r="D49" s="88"/>
      <c r="E49" s="85"/>
      <c r="F49" s="86"/>
      <c r="G49" s="87"/>
      <c r="H49" s="83"/>
      <c r="I49" s="83"/>
      <c r="J49" s="93"/>
      <c r="K49" s="280"/>
      <c r="L49" s="291"/>
      <c r="M49" s="292"/>
    </row>
    <row r="50" spans="1:13" ht="12" customHeight="1">
      <c r="A50" s="83" t="str">
        <f t="shared" si="2"/>
        <v xml:space="preserve"> </v>
      </c>
      <c r="B50" s="74"/>
      <c r="C50" s="84"/>
      <c r="D50" s="88"/>
      <c r="E50" s="85"/>
      <c r="F50" s="86"/>
      <c r="G50" s="87"/>
      <c r="H50" s="83"/>
      <c r="I50" s="83"/>
      <c r="J50" s="93"/>
      <c r="K50" s="280"/>
      <c r="L50" s="291"/>
      <c r="M50" s="292"/>
    </row>
    <row r="51" spans="1:13" ht="12" customHeight="1">
      <c r="A51" s="83" t="str">
        <f t="shared" si="2"/>
        <v xml:space="preserve"> </v>
      </c>
      <c r="B51" s="74"/>
      <c r="C51" s="84"/>
      <c r="D51" s="88"/>
      <c r="E51" s="85"/>
      <c r="F51" s="86"/>
      <c r="G51" s="87"/>
      <c r="H51" s="83"/>
      <c r="I51" s="83"/>
      <c r="J51" s="93"/>
      <c r="K51" s="280"/>
      <c r="L51" s="291"/>
      <c r="M51" s="292"/>
    </row>
    <row r="52" spans="1:13" ht="12" customHeight="1">
      <c r="A52" s="83" t="str">
        <f t="shared" si="2"/>
        <v xml:space="preserve"> </v>
      </c>
      <c r="B52" s="74"/>
      <c r="C52" s="84"/>
      <c r="D52" s="88"/>
      <c r="E52" s="85"/>
      <c r="F52" s="86"/>
      <c r="G52" s="87"/>
      <c r="H52" s="83"/>
      <c r="I52" s="83"/>
      <c r="J52" s="93"/>
      <c r="K52" s="274"/>
      <c r="L52" s="275"/>
      <c r="M52" s="276"/>
    </row>
    <row r="53" spans="1:13" ht="12" customHeight="1">
      <c r="A53" s="83" t="str">
        <f t="shared" si="2"/>
        <v xml:space="preserve"> </v>
      </c>
      <c r="B53" s="11"/>
      <c r="C53" s="84"/>
      <c r="D53" s="88"/>
      <c r="E53" s="85"/>
      <c r="F53" s="86"/>
      <c r="G53" s="87"/>
      <c r="H53" s="83"/>
      <c r="I53" s="83"/>
      <c r="J53" s="93"/>
      <c r="K53" s="274"/>
      <c r="L53" s="275"/>
      <c r="M53" s="276"/>
    </row>
    <row r="54" spans="1:13" ht="12" customHeight="1">
      <c r="A54" s="83" t="str">
        <f t="shared" si="2"/>
        <v xml:space="preserve"> </v>
      </c>
      <c r="B54" s="73"/>
      <c r="C54" s="22"/>
      <c r="D54" s="30"/>
      <c r="E54" s="85"/>
      <c r="F54" s="86"/>
      <c r="G54" s="87"/>
      <c r="H54" s="83"/>
      <c r="I54" s="83"/>
      <c r="J54" s="93"/>
      <c r="K54" s="274"/>
      <c r="L54" s="275"/>
      <c r="M54" s="276"/>
    </row>
    <row r="55" spans="1:13" ht="12" customHeight="1">
      <c r="A55" s="83" t="str">
        <f t="shared" si="2"/>
        <v xml:space="preserve"> </v>
      </c>
      <c r="B55" s="74"/>
      <c r="C55" s="84"/>
      <c r="D55" s="88"/>
      <c r="E55" s="85"/>
      <c r="F55" s="86"/>
      <c r="G55" s="87"/>
      <c r="H55" s="83"/>
      <c r="I55" s="83"/>
      <c r="J55" s="93"/>
      <c r="K55" s="274"/>
      <c r="L55" s="275"/>
      <c r="M55" s="276"/>
    </row>
    <row r="56" spans="1:13" ht="12" customHeight="1">
      <c r="A56" s="83"/>
      <c r="B56" s="74"/>
      <c r="C56" s="84"/>
      <c r="D56" s="88"/>
      <c r="E56" s="85"/>
      <c r="F56" s="86"/>
      <c r="G56" s="87"/>
      <c r="H56" s="83"/>
      <c r="I56" s="83"/>
      <c r="J56" s="93"/>
      <c r="K56" s="280"/>
      <c r="L56" s="291"/>
      <c r="M56" s="292"/>
    </row>
    <row r="57" spans="1:13" ht="12" customHeight="1">
      <c r="A57" s="83" t="str">
        <f>IF(B57=""," ",A56+1)</f>
        <v xml:space="preserve"> </v>
      </c>
      <c r="B57" s="74"/>
      <c r="C57" s="84"/>
      <c r="D57" s="88"/>
      <c r="E57" s="85"/>
      <c r="F57" s="86"/>
      <c r="G57" s="87"/>
      <c r="H57" s="83"/>
      <c r="I57" s="83"/>
      <c r="J57" s="93"/>
      <c r="K57" s="280"/>
      <c r="L57" s="291"/>
      <c r="M57" s="292"/>
    </row>
    <row r="58" spans="1:13" ht="12" customHeight="1">
      <c r="A58" s="83" t="str">
        <f>IF(B58=""," ",#REF!+1)</f>
        <v xml:space="preserve"> </v>
      </c>
      <c r="B58" s="74"/>
      <c r="C58" s="84"/>
      <c r="D58" s="88"/>
      <c r="E58" s="85"/>
      <c r="F58" s="86"/>
      <c r="G58" s="87"/>
      <c r="H58" s="83"/>
      <c r="I58" s="83"/>
      <c r="J58" s="93"/>
      <c r="K58" s="280"/>
      <c r="L58" s="291"/>
      <c r="M58" s="292"/>
    </row>
    <row r="59" spans="1:13" ht="12" customHeight="1">
      <c r="A59" s="83" t="str">
        <f t="shared" ref="A59:A70" si="3">IF(B59=""," ",A58+1)</f>
        <v xml:space="preserve"> </v>
      </c>
      <c r="B59" s="74"/>
      <c r="C59" s="84"/>
      <c r="D59" s="88"/>
      <c r="E59" s="85"/>
      <c r="F59" s="86"/>
      <c r="G59" s="87"/>
      <c r="H59" s="83"/>
      <c r="I59" s="83"/>
      <c r="J59" s="93"/>
      <c r="K59" s="280"/>
      <c r="L59" s="291"/>
      <c r="M59" s="292"/>
    </row>
    <row r="60" spans="1:13" ht="12" customHeight="1">
      <c r="A60" s="83" t="str">
        <f t="shared" si="3"/>
        <v xml:space="preserve"> </v>
      </c>
      <c r="B60" s="74"/>
      <c r="C60" s="84"/>
      <c r="D60" s="88"/>
      <c r="E60" s="85"/>
      <c r="F60" s="86"/>
      <c r="G60" s="87"/>
      <c r="H60" s="83"/>
      <c r="I60" s="83"/>
      <c r="J60" s="93"/>
      <c r="K60" s="280"/>
      <c r="L60" s="291"/>
      <c r="M60" s="292"/>
    </row>
    <row r="61" spans="1:13" ht="12" customHeight="1">
      <c r="A61" s="83" t="str">
        <f t="shared" si="3"/>
        <v xml:space="preserve"> </v>
      </c>
      <c r="B61" s="74"/>
      <c r="C61" s="84"/>
      <c r="D61" s="88"/>
      <c r="E61" s="85"/>
      <c r="F61" s="86"/>
      <c r="G61" s="87"/>
      <c r="H61" s="83"/>
      <c r="I61" s="83"/>
      <c r="J61" s="93"/>
      <c r="K61" s="280"/>
      <c r="L61" s="291"/>
      <c r="M61" s="292"/>
    </row>
    <row r="62" spans="1:13" ht="12" customHeight="1">
      <c r="A62" s="83" t="str">
        <f t="shared" si="3"/>
        <v xml:space="preserve"> </v>
      </c>
      <c r="B62" s="74"/>
      <c r="C62" s="84"/>
      <c r="D62" s="88"/>
      <c r="E62" s="85"/>
      <c r="F62" s="86"/>
      <c r="G62" s="87"/>
      <c r="H62" s="83"/>
      <c r="I62" s="83"/>
      <c r="J62" s="93"/>
      <c r="K62" s="280"/>
      <c r="L62" s="291"/>
      <c r="M62" s="292"/>
    </row>
    <row r="63" spans="1:13" ht="12" customHeight="1">
      <c r="A63" s="83" t="str">
        <f t="shared" si="3"/>
        <v xml:space="preserve"> </v>
      </c>
      <c r="B63" s="74"/>
      <c r="C63" s="84"/>
      <c r="D63" s="88"/>
      <c r="E63" s="85"/>
      <c r="F63" s="86"/>
      <c r="G63" s="87"/>
      <c r="H63" s="83"/>
      <c r="I63" s="83"/>
      <c r="J63" s="93"/>
      <c r="K63" s="280"/>
      <c r="L63" s="291"/>
      <c r="M63" s="292"/>
    </row>
    <row r="64" spans="1:13" ht="12" customHeight="1">
      <c r="A64" s="83" t="str">
        <f t="shared" si="3"/>
        <v xml:space="preserve"> </v>
      </c>
      <c r="B64" s="74"/>
      <c r="C64" s="84"/>
      <c r="D64" s="88"/>
      <c r="E64" s="85"/>
      <c r="F64" s="86"/>
      <c r="G64" s="87"/>
      <c r="H64" s="83"/>
      <c r="I64" s="83"/>
      <c r="J64" s="93"/>
      <c r="K64" s="280"/>
      <c r="L64" s="291"/>
      <c r="M64" s="292"/>
    </row>
    <row r="65" spans="1:13" ht="12" customHeight="1">
      <c r="A65" s="83" t="str">
        <f t="shared" si="3"/>
        <v xml:space="preserve"> </v>
      </c>
      <c r="B65" s="74"/>
      <c r="C65" s="84"/>
      <c r="D65" s="88"/>
      <c r="E65" s="85"/>
      <c r="F65" s="86"/>
      <c r="G65" s="87"/>
      <c r="H65" s="83"/>
      <c r="I65" s="83"/>
      <c r="J65" s="93"/>
      <c r="K65" s="280"/>
      <c r="L65" s="291"/>
      <c r="M65" s="292"/>
    </row>
    <row r="66" spans="1:13" ht="12" customHeight="1">
      <c r="A66" s="83" t="str">
        <f t="shared" si="3"/>
        <v xml:space="preserve"> </v>
      </c>
      <c r="B66" s="74"/>
      <c r="C66" s="84"/>
      <c r="D66" s="88"/>
      <c r="E66" s="85"/>
      <c r="F66" s="86"/>
      <c r="G66" s="87"/>
      <c r="H66" s="83"/>
      <c r="I66" s="83"/>
      <c r="J66" s="93"/>
      <c r="K66" s="280"/>
      <c r="L66" s="291"/>
      <c r="M66" s="292"/>
    </row>
    <row r="67" spans="1:13" ht="12" customHeight="1">
      <c r="A67" s="83" t="str">
        <f t="shared" si="3"/>
        <v xml:space="preserve"> </v>
      </c>
      <c r="B67" s="74"/>
      <c r="C67" s="84"/>
      <c r="D67" s="88"/>
      <c r="E67" s="85"/>
      <c r="F67" s="86"/>
      <c r="G67" s="87"/>
      <c r="H67" s="83"/>
      <c r="I67" s="83"/>
      <c r="J67" s="93"/>
      <c r="K67" s="274"/>
      <c r="L67" s="275"/>
      <c r="M67" s="276"/>
    </row>
    <row r="68" spans="1:13" ht="12" customHeight="1">
      <c r="A68" s="83" t="str">
        <f t="shared" si="3"/>
        <v xml:space="preserve"> </v>
      </c>
      <c r="B68" s="11"/>
      <c r="C68" s="84"/>
      <c r="D68" s="88"/>
      <c r="E68" s="85"/>
      <c r="F68" s="86"/>
      <c r="G68" s="87"/>
      <c r="H68" s="83"/>
      <c r="I68" s="83"/>
      <c r="J68" s="93"/>
      <c r="K68" s="274"/>
      <c r="L68" s="275"/>
      <c r="M68" s="276"/>
    </row>
    <row r="69" spans="1:13" ht="12" customHeight="1">
      <c r="A69" s="83" t="str">
        <f t="shared" si="3"/>
        <v xml:space="preserve"> </v>
      </c>
      <c r="B69" s="73"/>
      <c r="C69" s="22"/>
      <c r="D69" s="30"/>
      <c r="E69" s="85"/>
      <c r="F69" s="86"/>
      <c r="G69" s="87"/>
      <c r="H69" s="83"/>
      <c r="I69" s="83"/>
      <c r="J69" s="93"/>
      <c r="K69" s="274"/>
      <c r="L69" s="275"/>
      <c r="M69" s="276"/>
    </row>
    <row r="70" spans="1:13" ht="12" customHeight="1">
      <c r="A70" s="83" t="str">
        <f t="shared" si="3"/>
        <v xml:space="preserve"> </v>
      </c>
      <c r="B70" s="74"/>
      <c r="C70" s="84"/>
      <c r="D70" s="88"/>
      <c r="E70" s="85"/>
      <c r="F70" s="86"/>
      <c r="G70" s="87"/>
      <c r="H70" s="83"/>
      <c r="I70" s="83"/>
      <c r="J70" s="93"/>
      <c r="K70" s="274"/>
      <c r="L70" s="275"/>
      <c r="M70" s="276"/>
    </row>
    <row r="71" spans="1:13" ht="12" customHeight="1">
      <c r="A71" s="83"/>
      <c r="B71" s="74"/>
      <c r="C71" s="84"/>
      <c r="D71" s="88"/>
      <c r="E71" s="85"/>
      <c r="F71" s="86"/>
      <c r="G71" s="87"/>
      <c r="H71" s="83"/>
      <c r="I71" s="83"/>
      <c r="J71" s="93"/>
      <c r="K71" s="280"/>
      <c r="L71" s="291"/>
      <c r="M71" s="292"/>
    </row>
    <row r="72" spans="1:13" ht="12" customHeight="1">
      <c r="A72" s="83" t="str">
        <f>IF(B72=""," ",A71+1)</f>
        <v xml:space="preserve"> </v>
      </c>
      <c r="B72" s="74"/>
      <c r="C72" s="84"/>
      <c r="D72" s="88"/>
      <c r="E72" s="85"/>
      <c r="F72" s="86"/>
      <c r="G72" s="87"/>
      <c r="H72" s="83"/>
      <c r="I72" s="83"/>
      <c r="J72" s="93"/>
      <c r="K72" s="280"/>
      <c r="L72" s="291"/>
      <c r="M72" s="292"/>
    </row>
    <row r="73" spans="1:13" ht="12" customHeight="1">
      <c r="A73" s="83" t="str">
        <f>IF(B73=""," ",#REF!+1)</f>
        <v xml:space="preserve"> </v>
      </c>
      <c r="B73" s="74"/>
      <c r="C73" s="84"/>
      <c r="D73" s="88"/>
      <c r="E73" s="85"/>
      <c r="F73" s="86"/>
      <c r="G73" s="87"/>
      <c r="H73" s="83"/>
      <c r="I73" s="83"/>
      <c r="J73" s="93"/>
      <c r="K73" s="280"/>
      <c r="L73" s="291"/>
      <c r="M73" s="292"/>
    </row>
    <row r="74" spans="1:13" ht="12" customHeight="1">
      <c r="A74" s="83" t="str">
        <f t="shared" ref="A74:A85" si="4">IF(B74=""," ",A73+1)</f>
        <v xml:space="preserve"> </v>
      </c>
      <c r="B74" s="74"/>
      <c r="C74" s="84"/>
      <c r="D74" s="88"/>
      <c r="E74" s="85"/>
      <c r="F74" s="86"/>
      <c r="G74" s="87"/>
      <c r="H74" s="83"/>
      <c r="I74" s="83"/>
      <c r="J74" s="93"/>
      <c r="K74" s="280"/>
      <c r="L74" s="291"/>
      <c r="M74" s="292"/>
    </row>
    <row r="75" spans="1:13" ht="12" customHeight="1">
      <c r="A75" s="83" t="str">
        <f t="shared" si="4"/>
        <v xml:space="preserve"> </v>
      </c>
      <c r="B75" s="74"/>
      <c r="C75" s="84"/>
      <c r="D75" s="88"/>
      <c r="E75" s="85"/>
      <c r="F75" s="86"/>
      <c r="G75" s="87"/>
      <c r="H75" s="83"/>
      <c r="I75" s="83"/>
      <c r="J75" s="93"/>
      <c r="K75" s="280"/>
      <c r="L75" s="291"/>
      <c r="M75" s="292"/>
    </row>
    <row r="76" spans="1:13" ht="12" customHeight="1">
      <c r="A76" s="83" t="str">
        <f t="shared" si="4"/>
        <v xml:space="preserve"> </v>
      </c>
      <c r="B76" s="74"/>
      <c r="C76" s="84"/>
      <c r="D76" s="88"/>
      <c r="E76" s="85"/>
      <c r="F76" s="86"/>
      <c r="G76" s="87"/>
      <c r="H76" s="83"/>
      <c r="I76" s="83"/>
      <c r="J76" s="93"/>
      <c r="K76" s="280"/>
      <c r="L76" s="291"/>
      <c r="M76" s="292"/>
    </row>
    <row r="77" spans="1:13" ht="12" customHeight="1">
      <c r="A77" s="83" t="str">
        <f t="shared" si="4"/>
        <v xml:space="preserve"> </v>
      </c>
      <c r="B77" s="74"/>
      <c r="C77" s="84"/>
      <c r="D77" s="88"/>
      <c r="E77" s="85"/>
      <c r="F77" s="86"/>
      <c r="G77" s="87"/>
      <c r="H77" s="83"/>
      <c r="I77" s="83"/>
      <c r="J77" s="93"/>
      <c r="K77" s="280"/>
      <c r="L77" s="291"/>
      <c r="M77" s="292"/>
    </row>
    <row r="78" spans="1:13" ht="12" customHeight="1">
      <c r="A78" s="83" t="str">
        <f t="shared" si="4"/>
        <v xml:space="preserve"> </v>
      </c>
      <c r="B78" s="74"/>
      <c r="C78" s="84"/>
      <c r="D78" s="88"/>
      <c r="E78" s="85"/>
      <c r="F78" s="86"/>
      <c r="G78" s="87"/>
      <c r="H78" s="83"/>
      <c r="I78" s="83"/>
      <c r="J78" s="93"/>
      <c r="K78" s="280"/>
      <c r="L78" s="291"/>
      <c r="M78" s="292"/>
    </row>
    <row r="79" spans="1:13" ht="12" customHeight="1">
      <c r="A79" s="83" t="str">
        <f t="shared" si="4"/>
        <v xml:space="preserve"> </v>
      </c>
      <c r="B79" s="74"/>
      <c r="C79" s="84"/>
      <c r="D79" s="88"/>
      <c r="E79" s="85"/>
      <c r="F79" s="86"/>
      <c r="G79" s="87"/>
      <c r="H79" s="83"/>
      <c r="I79" s="83"/>
      <c r="J79" s="93"/>
      <c r="K79" s="280"/>
      <c r="L79" s="291"/>
      <c r="M79" s="292"/>
    </row>
    <row r="80" spans="1:13" ht="12" customHeight="1">
      <c r="A80" s="83" t="str">
        <f t="shared" si="4"/>
        <v xml:space="preserve"> </v>
      </c>
      <c r="B80" s="74"/>
      <c r="C80" s="84"/>
      <c r="D80" s="88"/>
      <c r="E80" s="85"/>
      <c r="F80" s="86"/>
      <c r="G80" s="87"/>
      <c r="H80" s="83"/>
      <c r="I80" s="83"/>
      <c r="J80" s="93"/>
      <c r="K80" s="280"/>
      <c r="L80" s="291"/>
      <c r="M80" s="292"/>
    </row>
    <row r="81" spans="1:13" ht="12" customHeight="1">
      <c r="A81" s="83" t="str">
        <f t="shared" si="4"/>
        <v xml:space="preserve"> </v>
      </c>
      <c r="B81" s="74"/>
      <c r="C81" s="84"/>
      <c r="D81" s="88"/>
      <c r="E81" s="85"/>
      <c r="F81" s="86"/>
      <c r="G81" s="87"/>
      <c r="H81" s="83"/>
      <c r="I81" s="83"/>
      <c r="J81" s="93"/>
      <c r="K81" s="280"/>
      <c r="L81" s="291"/>
      <c r="M81" s="292"/>
    </row>
    <row r="82" spans="1:13" ht="12" customHeight="1">
      <c r="A82" s="83" t="str">
        <f t="shared" si="4"/>
        <v xml:space="preserve"> </v>
      </c>
      <c r="B82" s="74"/>
      <c r="C82" s="84"/>
      <c r="D82" s="88"/>
      <c r="E82" s="85"/>
      <c r="F82" s="86"/>
      <c r="G82" s="87"/>
      <c r="H82" s="83"/>
      <c r="I82" s="83"/>
      <c r="J82" s="93"/>
      <c r="K82" s="274"/>
      <c r="L82" s="275"/>
      <c r="M82" s="276"/>
    </row>
    <row r="83" spans="1:13" ht="12" customHeight="1">
      <c r="A83" s="83" t="str">
        <f t="shared" si="4"/>
        <v xml:space="preserve"> </v>
      </c>
      <c r="B83" s="11"/>
      <c r="C83" s="84"/>
      <c r="D83" s="88"/>
      <c r="E83" s="85"/>
      <c r="F83" s="86"/>
      <c r="G83" s="87"/>
      <c r="H83" s="83"/>
      <c r="I83" s="83"/>
      <c r="J83" s="93"/>
      <c r="K83" s="274"/>
      <c r="L83" s="275"/>
      <c r="M83" s="276"/>
    </row>
    <row r="84" spans="1:13" ht="12" customHeight="1">
      <c r="A84" s="83" t="str">
        <f t="shared" si="4"/>
        <v xml:space="preserve"> </v>
      </c>
      <c r="B84" s="73"/>
      <c r="C84" s="22"/>
      <c r="D84" s="30"/>
      <c r="E84" s="85"/>
      <c r="F84" s="86"/>
      <c r="G84" s="87"/>
      <c r="H84" s="83"/>
      <c r="I84" s="83"/>
      <c r="J84" s="93"/>
      <c r="K84" s="274"/>
      <c r="L84" s="275"/>
      <c r="M84" s="276"/>
    </row>
    <row r="85" spans="1:13" ht="12" customHeight="1">
      <c r="A85" s="83" t="str">
        <f t="shared" si="4"/>
        <v xml:space="preserve"> </v>
      </c>
      <c r="B85" s="74"/>
      <c r="C85" s="84"/>
      <c r="D85" s="88"/>
      <c r="E85" s="85"/>
      <c r="F85" s="86"/>
      <c r="G85" s="87"/>
      <c r="H85" s="83"/>
      <c r="I85" s="83"/>
      <c r="J85" s="93"/>
      <c r="K85" s="274"/>
      <c r="L85" s="275"/>
      <c r="M85" s="276"/>
    </row>
    <row r="86" spans="1:13" ht="12" customHeight="1">
      <c r="A86" s="83"/>
      <c r="B86" s="74"/>
      <c r="C86" s="84"/>
      <c r="D86" s="88"/>
      <c r="E86" s="85"/>
      <c r="F86" s="86"/>
      <c r="G86" s="87"/>
      <c r="H86" s="83"/>
      <c r="I86" s="83"/>
      <c r="J86" s="93"/>
      <c r="K86" s="280"/>
      <c r="L86" s="291"/>
      <c r="M86" s="292"/>
    </row>
    <row r="87" spans="1:13" ht="12" customHeight="1">
      <c r="A87" s="83" t="str">
        <f>IF(B87=""," ",A86+1)</f>
        <v xml:space="preserve"> </v>
      </c>
      <c r="B87" s="74"/>
      <c r="C87" s="84"/>
      <c r="D87" s="88"/>
      <c r="E87" s="85"/>
      <c r="F87" s="86"/>
      <c r="G87" s="87"/>
      <c r="H87" s="83"/>
      <c r="I87" s="83"/>
      <c r="J87" s="93"/>
      <c r="K87" s="280"/>
      <c r="L87" s="291"/>
      <c r="M87" s="292"/>
    </row>
    <row r="88" spans="1:13" ht="12" customHeight="1">
      <c r="A88" s="83" t="str">
        <f>IF(B88=""," ",#REF!+1)</f>
        <v xml:space="preserve"> </v>
      </c>
      <c r="B88" s="74"/>
      <c r="C88" s="84"/>
      <c r="D88" s="88"/>
      <c r="E88" s="85"/>
      <c r="F88" s="86"/>
      <c r="G88" s="87"/>
      <c r="H88" s="83"/>
      <c r="I88" s="83"/>
      <c r="J88" s="93"/>
      <c r="K88" s="280"/>
      <c r="L88" s="291"/>
      <c r="M88" s="292"/>
    </row>
    <row r="89" spans="1:13" ht="12" customHeight="1">
      <c r="A89" s="83" t="str">
        <f t="shared" ref="A89:A100" si="5">IF(B89=""," ",A88+1)</f>
        <v xml:space="preserve"> </v>
      </c>
      <c r="B89" s="74"/>
      <c r="C89" s="84"/>
      <c r="D89" s="88"/>
      <c r="E89" s="85"/>
      <c r="F89" s="86"/>
      <c r="G89" s="87"/>
      <c r="H89" s="83"/>
      <c r="I89" s="83"/>
      <c r="J89" s="93"/>
      <c r="K89" s="280"/>
      <c r="L89" s="291"/>
      <c r="M89" s="292"/>
    </row>
    <row r="90" spans="1:13" ht="12" customHeight="1">
      <c r="A90" s="83" t="str">
        <f t="shared" si="5"/>
        <v xml:space="preserve"> </v>
      </c>
      <c r="B90" s="74"/>
      <c r="C90" s="84"/>
      <c r="D90" s="88"/>
      <c r="E90" s="85"/>
      <c r="F90" s="86"/>
      <c r="G90" s="87"/>
      <c r="H90" s="83"/>
      <c r="I90" s="83"/>
      <c r="J90" s="93"/>
      <c r="K90" s="280"/>
      <c r="L90" s="291"/>
      <c r="M90" s="292"/>
    </row>
    <row r="91" spans="1:13" ht="12" customHeight="1">
      <c r="A91" s="83" t="str">
        <f t="shared" si="5"/>
        <v xml:space="preserve"> </v>
      </c>
      <c r="B91" s="74"/>
      <c r="C91" s="84"/>
      <c r="D91" s="88"/>
      <c r="E91" s="85"/>
      <c r="F91" s="86"/>
      <c r="G91" s="87"/>
      <c r="H91" s="83"/>
      <c r="I91" s="83"/>
      <c r="J91" s="93"/>
      <c r="K91" s="280"/>
      <c r="L91" s="291"/>
      <c r="M91" s="292"/>
    </row>
    <row r="92" spans="1:13" ht="12" customHeight="1">
      <c r="A92" s="83" t="str">
        <f t="shared" si="5"/>
        <v xml:space="preserve"> </v>
      </c>
      <c r="B92" s="74"/>
      <c r="C92" s="84"/>
      <c r="D92" s="88"/>
      <c r="E92" s="85"/>
      <c r="F92" s="86"/>
      <c r="G92" s="87"/>
      <c r="H92" s="83"/>
      <c r="I92" s="83"/>
      <c r="J92" s="93"/>
      <c r="K92" s="280"/>
      <c r="L92" s="291"/>
      <c r="M92" s="292"/>
    </row>
    <row r="93" spans="1:13" ht="12" customHeight="1">
      <c r="A93" s="83" t="str">
        <f t="shared" si="5"/>
        <v xml:space="preserve"> </v>
      </c>
      <c r="B93" s="74"/>
      <c r="C93" s="84"/>
      <c r="D93" s="88"/>
      <c r="E93" s="85"/>
      <c r="F93" s="86"/>
      <c r="G93" s="87"/>
      <c r="H93" s="83"/>
      <c r="I93" s="83"/>
      <c r="J93" s="93"/>
      <c r="K93" s="280"/>
      <c r="L93" s="291"/>
      <c r="M93" s="292"/>
    </row>
    <row r="94" spans="1:13" ht="12" customHeight="1">
      <c r="A94" s="83" t="str">
        <f t="shared" si="5"/>
        <v xml:space="preserve"> </v>
      </c>
      <c r="B94" s="74"/>
      <c r="C94" s="84"/>
      <c r="D94" s="88"/>
      <c r="E94" s="85"/>
      <c r="F94" s="86"/>
      <c r="G94" s="87"/>
      <c r="H94" s="83"/>
      <c r="I94" s="83"/>
      <c r="J94" s="93"/>
      <c r="K94" s="280"/>
      <c r="L94" s="291"/>
      <c r="M94" s="292"/>
    </row>
    <row r="95" spans="1:13" ht="12" customHeight="1">
      <c r="A95" s="83" t="str">
        <f t="shared" si="5"/>
        <v xml:space="preserve"> </v>
      </c>
      <c r="B95" s="74"/>
      <c r="C95" s="84"/>
      <c r="D95" s="88"/>
      <c r="E95" s="85"/>
      <c r="F95" s="86"/>
      <c r="G95" s="87"/>
      <c r="H95" s="83"/>
      <c r="I95" s="83"/>
      <c r="J95" s="93"/>
      <c r="K95" s="280"/>
      <c r="L95" s="291"/>
      <c r="M95" s="292"/>
    </row>
    <row r="96" spans="1:13" ht="12" customHeight="1">
      <c r="A96" s="83" t="str">
        <f t="shared" si="5"/>
        <v xml:space="preserve"> </v>
      </c>
      <c r="B96" s="74"/>
      <c r="C96" s="84"/>
      <c r="D96" s="88"/>
      <c r="E96" s="85"/>
      <c r="F96" s="86"/>
      <c r="G96" s="87"/>
      <c r="H96" s="83"/>
      <c r="I96" s="83"/>
      <c r="J96" s="93"/>
      <c r="K96" s="280"/>
      <c r="L96" s="291"/>
      <c r="M96" s="292"/>
    </row>
    <row r="97" spans="1:13" ht="12" customHeight="1">
      <c r="A97" s="83" t="str">
        <f t="shared" si="5"/>
        <v xml:space="preserve"> </v>
      </c>
      <c r="B97" s="74"/>
      <c r="C97" s="84"/>
      <c r="D97" s="88"/>
      <c r="E97" s="85"/>
      <c r="F97" s="86"/>
      <c r="G97" s="87"/>
      <c r="H97" s="83"/>
      <c r="I97" s="83"/>
      <c r="J97" s="93"/>
      <c r="K97" s="274"/>
      <c r="L97" s="275"/>
      <c r="M97" s="276"/>
    </row>
    <row r="98" spans="1:13" ht="12" customHeight="1">
      <c r="A98" s="83" t="str">
        <f t="shared" si="5"/>
        <v xml:space="preserve"> </v>
      </c>
      <c r="B98" s="11"/>
      <c r="C98" s="84"/>
      <c r="D98" s="88"/>
      <c r="E98" s="85"/>
      <c r="F98" s="86"/>
      <c r="G98" s="87"/>
      <c r="H98" s="83"/>
      <c r="I98" s="83"/>
      <c r="J98" s="93"/>
      <c r="K98" s="274"/>
      <c r="L98" s="275"/>
      <c r="M98" s="276"/>
    </row>
    <row r="99" spans="1:13" ht="12" customHeight="1">
      <c r="A99" s="83" t="str">
        <f t="shared" si="5"/>
        <v xml:space="preserve"> </v>
      </c>
      <c r="B99" s="73"/>
      <c r="C99" s="22"/>
      <c r="D99" s="30"/>
      <c r="E99" s="85"/>
      <c r="F99" s="86"/>
      <c r="G99" s="87"/>
      <c r="H99" s="83"/>
      <c r="I99" s="83"/>
      <c r="J99" s="93"/>
      <c r="K99" s="274"/>
      <c r="L99" s="275"/>
      <c r="M99" s="276"/>
    </row>
    <row r="100" spans="1:13" ht="12" customHeight="1">
      <c r="A100" s="83" t="str">
        <f t="shared" si="5"/>
        <v xml:space="preserve"> </v>
      </c>
      <c r="B100" s="74"/>
      <c r="C100" s="84"/>
      <c r="D100" s="88"/>
      <c r="E100" s="85"/>
      <c r="F100" s="86"/>
      <c r="G100" s="87"/>
      <c r="H100" s="83"/>
      <c r="I100" s="83"/>
      <c r="J100" s="93"/>
      <c r="K100" s="274"/>
      <c r="L100" s="275"/>
      <c r="M100" s="276"/>
    </row>
    <row r="102" spans="1:13">
      <c r="B102" s="75" t="s">
        <v>235</v>
      </c>
    </row>
    <row r="103" spans="1:13" ht="12" customHeight="1"/>
    <row r="104" spans="1:13">
      <c r="B104" s="75" t="s">
        <v>236</v>
      </c>
      <c r="C104" s="75" t="s">
        <v>238</v>
      </c>
    </row>
    <row r="106" spans="1:13">
      <c r="B106" s="75" t="s">
        <v>835</v>
      </c>
      <c r="C106" s="75" t="s">
        <v>1337</v>
      </c>
    </row>
    <row r="107" spans="1:13">
      <c r="C107" s="75" t="s">
        <v>1338</v>
      </c>
    </row>
    <row r="108" spans="1:13">
      <c r="C108" s="75" t="s">
        <v>1339</v>
      </c>
    </row>
    <row r="109" spans="1:13">
      <c r="C109" s="75" t="s">
        <v>1340</v>
      </c>
    </row>
    <row r="110" spans="1:13">
      <c r="C110" s="75" t="s">
        <v>1341</v>
      </c>
    </row>
    <row r="112" spans="1:13">
      <c r="B112" s="75" t="s">
        <v>761</v>
      </c>
      <c r="C112" s="75" t="s">
        <v>1342</v>
      </c>
    </row>
    <row r="114" spans="2:4">
      <c r="B114" s="75" t="s">
        <v>1343</v>
      </c>
      <c r="C114" s="75" t="s">
        <v>1344</v>
      </c>
    </row>
    <row r="115" spans="2:4">
      <c r="C115" s="75" t="s">
        <v>1345</v>
      </c>
    </row>
    <row r="117" spans="2:4">
      <c r="B117" s="75" t="s">
        <v>1346</v>
      </c>
      <c r="C117" s="75" t="s">
        <v>1347</v>
      </c>
      <c r="D117" s="75" t="s">
        <v>1348</v>
      </c>
    </row>
  </sheetData>
  <mergeCells count="107">
    <mergeCell ref="K95:M95"/>
    <mergeCell ref="K96:M96"/>
    <mergeCell ref="K97:M97"/>
    <mergeCell ref="K98:M98"/>
    <mergeCell ref="K99:M99"/>
    <mergeCell ref="K100:M100"/>
    <mergeCell ref="A5:A6"/>
    <mergeCell ref="K5:M6"/>
    <mergeCell ref="K86:M86"/>
    <mergeCell ref="K87:M87"/>
    <mergeCell ref="K88:M88"/>
    <mergeCell ref="K89:M89"/>
    <mergeCell ref="K90:M90"/>
    <mergeCell ref="K91:M91"/>
    <mergeCell ref="K92:M92"/>
    <mergeCell ref="K93:M93"/>
    <mergeCell ref="K94:M94"/>
    <mergeCell ref="K77:M77"/>
    <mergeCell ref="K78:M78"/>
    <mergeCell ref="K79:M79"/>
    <mergeCell ref="K80:M80"/>
    <mergeCell ref="K81:M81"/>
    <mergeCell ref="K82:M82"/>
    <mergeCell ref="K83:M83"/>
    <mergeCell ref="K84:M84"/>
    <mergeCell ref="K85:M85"/>
    <mergeCell ref="K68:M68"/>
    <mergeCell ref="K69:M69"/>
    <mergeCell ref="K70:M70"/>
    <mergeCell ref="K71:M71"/>
    <mergeCell ref="K72:M72"/>
    <mergeCell ref="K73:M73"/>
    <mergeCell ref="K74:M74"/>
    <mergeCell ref="K75:M75"/>
    <mergeCell ref="K76:M76"/>
    <mergeCell ref="K59:M59"/>
    <mergeCell ref="K60:M60"/>
    <mergeCell ref="K61:M61"/>
    <mergeCell ref="K62:M62"/>
    <mergeCell ref="K63:M63"/>
    <mergeCell ref="K64:M64"/>
    <mergeCell ref="K65:M65"/>
    <mergeCell ref="K66:M66"/>
    <mergeCell ref="K67:M67"/>
    <mergeCell ref="K50:M50"/>
    <mergeCell ref="K51:M51"/>
    <mergeCell ref="K52:M52"/>
    <mergeCell ref="K53:M53"/>
    <mergeCell ref="K54:M54"/>
    <mergeCell ref="K55:M55"/>
    <mergeCell ref="K56:M56"/>
    <mergeCell ref="K57:M57"/>
    <mergeCell ref="K58:M58"/>
    <mergeCell ref="K41:M41"/>
    <mergeCell ref="K42:M42"/>
    <mergeCell ref="K43:M43"/>
    <mergeCell ref="K44:M44"/>
    <mergeCell ref="K45:M45"/>
    <mergeCell ref="K46:M46"/>
    <mergeCell ref="K47:M47"/>
    <mergeCell ref="K48:M48"/>
    <mergeCell ref="K49:M49"/>
    <mergeCell ref="K32:M32"/>
    <mergeCell ref="K33:M33"/>
    <mergeCell ref="K34:M34"/>
    <mergeCell ref="K35:M35"/>
    <mergeCell ref="K36:M36"/>
    <mergeCell ref="K37:M37"/>
    <mergeCell ref="K38:M38"/>
    <mergeCell ref="K39:M39"/>
    <mergeCell ref="K40:M40"/>
    <mergeCell ref="K23:M23"/>
    <mergeCell ref="K24:M24"/>
    <mergeCell ref="K25:M25"/>
    <mergeCell ref="K26:M26"/>
    <mergeCell ref="K27:M27"/>
    <mergeCell ref="K28:M28"/>
    <mergeCell ref="K29:M29"/>
    <mergeCell ref="K30:M30"/>
    <mergeCell ref="K31:M31"/>
    <mergeCell ref="K13:M13"/>
    <mergeCell ref="K14:M14"/>
    <mergeCell ref="K15:M15"/>
    <mergeCell ref="K16:M16"/>
    <mergeCell ref="K17:M17"/>
    <mergeCell ref="K19:M19"/>
    <mergeCell ref="K20:M20"/>
    <mergeCell ref="K21:M21"/>
    <mergeCell ref="K22:M22"/>
    <mergeCell ref="B5:C5"/>
    <mergeCell ref="D5:H5"/>
    <mergeCell ref="I5:J5"/>
    <mergeCell ref="K7:M7"/>
    <mergeCell ref="K8:M8"/>
    <mergeCell ref="K9:M9"/>
    <mergeCell ref="K10:M10"/>
    <mergeCell ref="K11:M11"/>
    <mergeCell ref="K12:M12"/>
    <mergeCell ref="A2:B2"/>
    <mergeCell ref="C2:G2"/>
    <mergeCell ref="H2:J2"/>
    <mergeCell ref="A3:B3"/>
    <mergeCell ref="C3:G3"/>
    <mergeCell ref="H3:I3"/>
    <mergeCell ref="A4:B4"/>
    <mergeCell ref="C4:G4"/>
    <mergeCell ref="H4:I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ht="12" customHeight="1">
      <c r="A1" s="129"/>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1349</v>
      </c>
      <c r="D3" s="265"/>
      <c r="E3" s="265"/>
      <c r="F3" s="265"/>
      <c r="G3" s="266"/>
      <c r="H3" s="259" t="s">
        <v>140</v>
      </c>
      <c r="I3" s="260"/>
      <c r="J3" s="90">
        <f>COUNT(A7:A100)</f>
        <v>19</v>
      </c>
      <c r="K3" s="78" t="s">
        <v>141</v>
      </c>
      <c r="L3" s="91">
        <v>38644</v>
      </c>
      <c r="M3" s="92" t="s">
        <v>142</v>
      </c>
      <c r="O3" s="129" t="s">
        <v>143</v>
      </c>
      <c r="P3" s="129" t="s">
        <v>144</v>
      </c>
    </row>
    <row r="4" spans="1:16" ht="12" customHeight="1">
      <c r="A4" s="267" t="s">
        <v>145</v>
      </c>
      <c r="B4" s="268"/>
      <c r="C4" s="267" t="s">
        <v>52</v>
      </c>
      <c r="D4" s="269"/>
      <c r="E4" s="269"/>
      <c r="F4" s="269"/>
      <c r="G4" s="268"/>
      <c r="H4" s="259" t="s">
        <v>146</v>
      </c>
      <c r="I4" s="260"/>
      <c r="J4" s="90">
        <f>SUM(G7:G100)</f>
        <v>121</v>
      </c>
      <c r="K4" s="78" t="s">
        <v>147</v>
      </c>
      <c r="L4" s="91">
        <v>38878</v>
      </c>
      <c r="M4" s="83" t="s">
        <v>142</v>
      </c>
      <c r="O4" s="129" t="s">
        <v>149</v>
      </c>
      <c r="P4" s="129" t="s">
        <v>150</v>
      </c>
    </row>
    <row r="5" spans="1:16" ht="12" customHeight="1">
      <c r="A5" s="283" t="s">
        <v>0</v>
      </c>
      <c r="B5" s="259" t="s">
        <v>151</v>
      </c>
      <c r="C5" s="261"/>
      <c r="D5" s="270" t="s">
        <v>152</v>
      </c>
      <c r="E5" s="261"/>
      <c r="F5" s="261"/>
      <c r="G5" s="261"/>
      <c r="H5" s="261"/>
      <c r="I5" s="259" t="s">
        <v>153</v>
      </c>
      <c r="J5" s="260"/>
      <c r="K5" s="285" t="s">
        <v>4</v>
      </c>
      <c r="L5" s="286"/>
      <c r="M5" s="287"/>
      <c r="P5" s="129"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129" t="s">
        <v>161</v>
      </c>
    </row>
    <row r="7" spans="1:16" s="128" customFormat="1" ht="12" customHeight="1">
      <c r="A7" s="131">
        <v>1</v>
      </c>
      <c r="B7" s="132" t="s">
        <v>812</v>
      </c>
      <c r="C7" s="133" t="s">
        <v>813</v>
      </c>
      <c r="D7" s="13" t="s">
        <v>164</v>
      </c>
      <c r="E7" s="135"/>
      <c r="F7" s="136"/>
      <c r="G7" s="87">
        <f t="shared" ref="G7:G25" si="0">IF(D7="DATE",4,IF(D7="CHAR",E7,IF(D7="SMALLINT",2,IF(D7="INTEGER",4,IF(D7="TIMESTAMP",10,IF(D7="TIME",3,0))))))</f>
        <v>4</v>
      </c>
      <c r="H7" s="131" t="s">
        <v>149</v>
      </c>
      <c r="I7" s="131" t="s">
        <v>149</v>
      </c>
      <c r="J7" s="146"/>
      <c r="K7" s="341"/>
      <c r="L7" s="342"/>
      <c r="M7" s="343"/>
      <c r="P7" s="128" t="s">
        <v>165</v>
      </c>
    </row>
    <row r="8" spans="1:16" ht="12" customHeight="1">
      <c r="A8" s="131">
        <f t="shared" ref="A8:A25" si="1">IF(B8=""," ",A7+1)</f>
        <v>2</v>
      </c>
      <c r="B8" s="20" t="s">
        <v>818</v>
      </c>
      <c r="C8" s="133" t="s">
        <v>819</v>
      </c>
      <c r="D8" s="134" t="s">
        <v>150</v>
      </c>
      <c r="E8" s="135">
        <v>4</v>
      </c>
      <c r="F8" s="136"/>
      <c r="G8" s="87">
        <f t="shared" si="0"/>
        <v>4</v>
      </c>
      <c r="H8" s="131" t="s">
        <v>149</v>
      </c>
      <c r="I8" s="131" t="s">
        <v>149</v>
      </c>
      <c r="J8" s="146"/>
      <c r="K8" s="154"/>
      <c r="L8" s="155"/>
      <c r="M8" s="156"/>
    </row>
    <row r="9" spans="1:16" ht="12" customHeight="1">
      <c r="A9" s="131">
        <f t="shared" si="1"/>
        <v>3</v>
      </c>
      <c r="B9" s="20" t="s">
        <v>957</v>
      </c>
      <c r="C9" s="133" t="s">
        <v>958</v>
      </c>
      <c r="D9" s="134" t="s">
        <v>150</v>
      </c>
      <c r="E9" s="135">
        <v>4</v>
      </c>
      <c r="F9" s="136"/>
      <c r="G9" s="87">
        <f t="shared" si="0"/>
        <v>4</v>
      </c>
      <c r="H9" s="131" t="s">
        <v>149</v>
      </c>
      <c r="I9" s="131" t="s">
        <v>149</v>
      </c>
      <c r="J9" s="146"/>
      <c r="K9" s="154"/>
      <c r="L9" s="155"/>
      <c r="M9" s="156"/>
    </row>
    <row r="10" spans="1:16" ht="12" customHeight="1">
      <c r="A10" s="131">
        <f t="shared" si="1"/>
        <v>4</v>
      </c>
      <c r="B10" s="20" t="s">
        <v>960</v>
      </c>
      <c r="C10" s="133" t="s">
        <v>961</v>
      </c>
      <c r="D10" s="134" t="s">
        <v>150</v>
      </c>
      <c r="E10" s="135">
        <v>6</v>
      </c>
      <c r="F10" s="136"/>
      <c r="G10" s="87">
        <f t="shared" si="0"/>
        <v>6</v>
      </c>
      <c r="H10" s="131" t="s">
        <v>149</v>
      </c>
      <c r="I10" s="131" t="s">
        <v>149</v>
      </c>
      <c r="J10" s="146"/>
      <c r="K10" s="154"/>
      <c r="L10" s="155"/>
      <c r="M10" s="156"/>
    </row>
    <row r="11" spans="1:16" ht="12" customHeight="1">
      <c r="A11" s="131">
        <f t="shared" si="1"/>
        <v>5</v>
      </c>
      <c r="B11" s="20" t="s">
        <v>1350</v>
      </c>
      <c r="C11" s="133" t="s">
        <v>1351</v>
      </c>
      <c r="D11" s="134" t="s">
        <v>150</v>
      </c>
      <c r="E11" s="135">
        <v>5</v>
      </c>
      <c r="F11" s="136"/>
      <c r="G11" s="87">
        <f t="shared" si="0"/>
        <v>5</v>
      </c>
      <c r="H11" s="131" t="s">
        <v>149</v>
      </c>
      <c r="I11" s="131" t="s">
        <v>149</v>
      </c>
      <c r="J11" s="146"/>
      <c r="K11" s="154"/>
      <c r="L11" s="155"/>
      <c r="M11" s="156"/>
    </row>
    <row r="12" spans="1:16" s="128" customFormat="1" ht="12" customHeight="1">
      <c r="A12" s="131">
        <f t="shared" si="1"/>
        <v>6</v>
      </c>
      <c r="B12" s="132" t="s">
        <v>646</v>
      </c>
      <c r="C12" s="133" t="s">
        <v>647</v>
      </c>
      <c r="D12" s="134" t="s">
        <v>150</v>
      </c>
      <c r="E12" s="135">
        <v>16</v>
      </c>
      <c r="F12" s="136"/>
      <c r="G12" s="87">
        <f t="shared" si="0"/>
        <v>16</v>
      </c>
      <c r="H12" s="131" t="s">
        <v>149</v>
      </c>
      <c r="I12" s="131" t="s">
        <v>149</v>
      </c>
      <c r="J12" s="146"/>
      <c r="K12" s="341"/>
      <c r="L12" s="342"/>
      <c r="M12" s="343"/>
    </row>
    <row r="13" spans="1:16" ht="12" customHeight="1">
      <c r="A13" s="131">
        <f t="shared" si="1"/>
        <v>7</v>
      </c>
      <c r="B13" s="152" t="s">
        <v>827</v>
      </c>
      <c r="C13" s="133" t="s">
        <v>828</v>
      </c>
      <c r="D13" s="134" t="s">
        <v>161</v>
      </c>
      <c r="E13" s="135"/>
      <c r="F13" s="136"/>
      <c r="G13" s="87">
        <f t="shared" si="0"/>
        <v>4</v>
      </c>
      <c r="H13" s="131" t="s">
        <v>149</v>
      </c>
      <c r="I13" s="131" t="s">
        <v>149</v>
      </c>
      <c r="J13" s="146"/>
      <c r="K13" s="344"/>
      <c r="L13" s="345"/>
      <c r="M13" s="346"/>
    </row>
    <row r="14" spans="1:16" s="128" customFormat="1" ht="12" customHeight="1">
      <c r="A14" s="131">
        <f t="shared" si="1"/>
        <v>8</v>
      </c>
      <c r="B14" s="141" t="s">
        <v>1352</v>
      </c>
      <c r="C14" s="143" t="s">
        <v>1353</v>
      </c>
      <c r="D14" s="144" t="s">
        <v>174</v>
      </c>
      <c r="E14" s="135"/>
      <c r="F14" s="136"/>
      <c r="G14" s="87">
        <f t="shared" si="0"/>
        <v>2</v>
      </c>
      <c r="H14" s="131" t="s">
        <v>149</v>
      </c>
      <c r="I14" s="131"/>
      <c r="J14" s="146"/>
      <c r="K14" s="341"/>
      <c r="L14" s="342"/>
      <c r="M14" s="343"/>
    </row>
    <row r="15" spans="1:16" s="128" customFormat="1" ht="12" customHeight="1">
      <c r="A15" s="131">
        <f t="shared" si="1"/>
        <v>9</v>
      </c>
      <c r="B15" s="141" t="s">
        <v>774</v>
      </c>
      <c r="C15" s="138" t="s">
        <v>775</v>
      </c>
      <c r="D15" s="139" t="s">
        <v>150</v>
      </c>
      <c r="E15" s="135">
        <v>10</v>
      </c>
      <c r="F15" s="136"/>
      <c r="G15" s="87">
        <f t="shared" si="0"/>
        <v>10</v>
      </c>
      <c r="H15" s="131" t="s">
        <v>149</v>
      </c>
      <c r="I15" s="131"/>
      <c r="J15" s="146"/>
      <c r="K15" s="341"/>
      <c r="L15" s="342"/>
      <c r="M15" s="343"/>
      <c r="P15" s="128" t="s">
        <v>195</v>
      </c>
    </row>
    <row r="16" spans="1:16" s="128" customFormat="1" ht="12" customHeight="1">
      <c r="A16" s="131">
        <f t="shared" si="1"/>
        <v>10</v>
      </c>
      <c r="B16" s="141" t="s">
        <v>776</v>
      </c>
      <c r="C16" s="133" t="s">
        <v>777</v>
      </c>
      <c r="D16" s="134" t="s">
        <v>174</v>
      </c>
      <c r="E16" s="135"/>
      <c r="F16" s="136"/>
      <c r="G16" s="87">
        <f t="shared" si="0"/>
        <v>2</v>
      </c>
      <c r="H16" s="131" t="s">
        <v>149</v>
      </c>
      <c r="I16" s="131"/>
      <c r="J16" s="146"/>
      <c r="K16" s="347"/>
      <c r="L16" s="348"/>
      <c r="M16" s="349"/>
    </row>
    <row r="17" spans="1:13" s="128" customFormat="1" ht="12" customHeight="1">
      <c r="A17" s="131">
        <f t="shared" si="1"/>
        <v>11</v>
      </c>
      <c r="B17" s="11" t="s">
        <v>825</v>
      </c>
      <c r="C17" s="133" t="s">
        <v>826</v>
      </c>
      <c r="D17" s="134" t="s">
        <v>161</v>
      </c>
      <c r="E17" s="135"/>
      <c r="F17" s="136"/>
      <c r="G17" s="87">
        <f t="shared" si="0"/>
        <v>4</v>
      </c>
      <c r="H17" s="131" t="s">
        <v>149</v>
      </c>
      <c r="I17" s="131"/>
      <c r="J17" s="146"/>
      <c r="K17" s="347"/>
      <c r="L17" s="348"/>
      <c r="M17" s="349"/>
    </row>
    <row r="18" spans="1:13" ht="12" customHeight="1">
      <c r="A18" s="131">
        <f t="shared" si="1"/>
        <v>12</v>
      </c>
      <c r="B18" s="20" t="s">
        <v>964</v>
      </c>
      <c r="C18" s="133" t="s">
        <v>965</v>
      </c>
      <c r="D18" s="134" t="s">
        <v>161</v>
      </c>
      <c r="E18" s="135"/>
      <c r="F18" s="136"/>
      <c r="G18" s="87">
        <f t="shared" si="0"/>
        <v>4</v>
      </c>
      <c r="H18" s="131" t="s">
        <v>149</v>
      </c>
      <c r="I18" s="131"/>
      <c r="J18" s="146"/>
      <c r="K18" s="154"/>
      <c r="L18" s="155"/>
      <c r="M18" s="156"/>
    </row>
    <row r="19" spans="1:13" s="128" customFormat="1" ht="12" customHeight="1">
      <c r="A19" s="131">
        <f t="shared" si="1"/>
        <v>13</v>
      </c>
      <c r="B19" s="153" t="s">
        <v>1354</v>
      </c>
      <c r="C19" s="143" t="s">
        <v>1355</v>
      </c>
      <c r="D19" s="144" t="s">
        <v>150</v>
      </c>
      <c r="E19" s="135">
        <v>10</v>
      </c>
      <c r="F19" s="136"/>
      <c r="G19" s="87">
        <f t="shared" si="0"/>
        <v>10</v>
      </c>
      <c r="H19" s="131" t="s">
        <v>149</v>
      </c>
      <c r="I19" s="131"/>
      <c r="J19" s="146"/>
      <c r="K19" s="347"/>
      <c r="L19" s="348"/>
      <c r="M19" s="349"/>
    </row>
    <row r="20" spans="1:13" s="128" customFormat="1" ht="12" customHeight="1">
      <c r="A20" s="131">
        <f t="shared" si="1"/>
        <v>14</v>
      </c>
      <c r="B20" s="140" t="s">
        <v>1313</v>
      </c>
      <c r="C20" s="145" t="s">
        <v>1314</v>
      </c>
      <c r="D20" s="134" t="s">
        <v>150</v>
      </c>
      <c r="E20" s="135">
        <v>20</v>
      </c>
      <c r="F20" s="136"/>
      <c r="G20" s="87">
        <f t="shared" si="0"/>
        <v>20</v>
      </c>
      <c r="H20" s="131" t="s">
        <v>149</v>
      </c>
      <c r="I20" s="131"/>
      <c r="J20" s="146"/>
      <c r="K20" s="350"/>
      <c r="L20" s="351"/>
      <c r="M20" s="352"/>
    </row>
    <row r="21" spans="1:13" s="128" customFormat="1" ht="12" customHeight="1">
      <c r="A21" s="131">
        <f t="shared" si="1"/>
        <v>15</v>
      </c>
      <c r="B21" s="137" t="s">
        <v>1356</v>
      </c>
      <c r="C21" s="143" t="s">
        <v>1357</v>
      </c>
      <c r="D21" s="144" t="s">
        <v>161</v>
      </c>
      <c r="E21" s="135"/>
      <c r="F21" s="136"/>
      <c r="G21" s="87">
        <f t="shared" si="0"/>
        <v>4</v>
      </c>
      <c r="H21" s="131" t="s">
        <v>149</v>
      </c>
      <c r="I21" s="131"/>
      <c r="J21" s="146"/>
      <c r="K21" s="347"/>
      <c r="L21" s="348"/>
      <c r="M21" s="349"/>
    </row>
    <row r="22" spans="1:13" ht="12" customHeight="1">
      <c r="A22" s="131">
        <f t="shared" si="1"/>
        <v>16</v>
      </c>
      <c r="B22" s="141" t="s">
        <v>971</v>
      </c>
      <c r="C22" s="133" t="s">
        <v>972</v>
      </c>
      <c r="D22" s="134" t="s">
        <v>234</v>
      </c>
      <c r="E22" s="135"/>
      <c r="F22" s="136"/>
      <c r="G22" s="87">
        <f t="shared" si="0"/>
        <v>10</v>
      </c>
      <c r="H22" s="131" t="s">
        <v>149</v>
      </c>
      <c r="I22" s="131"/>
      <c r="J22" s="146"/>
      <c r="K22" s="344"/>
      <c r="L22" s="345"/>
      <c r="M22" s="346"/>
    </row>
    <row r="23" spans="1:13" s="128" customFormat="1" ht="12" customHeight="1">
      <c r="A23" s="131">
        <f t="shared" si="1"/>
        <v>17</v>
      </c>
      <c r="B23" s="140" t="s">
        <v>1358</v>
      </c>
      <c r="C23" s="143" t="s">
        <v>1359</v>
      </c>
      <c r="D23" s="144" t="s">
        <v>150</v>
      </c>
      <c r="E23" s="135">
        <v>1</v>
      </c>
      <c r="F23" s="136"/>
      <c r="G23" s="87">
        <f t="shared" si="0"/>
        <v>1</v>
      </c>
      <c r="H23" s="131" t="s">
        <v>149</v>
      </c>
      <c r="I23" s="131"/>
      <c r="J23" s="146"/>
      <c r="K23" s="350"/>
      <c r="L23" s="351"/>
      <c r="M23" s="352"/>
    </row>
    <row r="24" spans="1:13" s="128" customFormat="1" ht="12" customHeight="1">
      <c r="A24" s="131">
        <f t="shared" si="1"/>
        <v>18</v>
      </c>
      <c r="B24" s="137" t="s">
        <v>1360</v>
      </c>
      <c r="C24" s="145" t="s">
        <v>1361</v>
      </c>
      <c r="D24" s="134" t="s">
        <v>150</v>
      </c>
      <c r="E24" s="135">
        <v>1</v>
      </c>
      <c r="F24" s="136"/>
      <c r="G24" s="87">
        <f t="shared" si="0"/>
        <v>1</v>
      </c>
      <c r="H24" s="131" t="s">
        <v>149</v>
      </c>
      <c r="I24" s="131"/>
      <c r="J24" s="146"/>
      <c r="K24" s="347"/>
      <c r="L24" s="348"/>
      <c r="M24" s="349"/>
    </row>
    <row r="25" spans="1:13" ht="12" customHeight="1">
      <c r="A25" s="131">
        <f t="shared" si="1"/>
        <v>19</v>
      </c>
      <c r="B25" s="141" t="s">
        <v>232</v>
      </c>
      <c r="C25" s="133" t="s">
        <v>233</v>
      </c>
      <c r="D25" s="134" t="s">
        <v>234</v>
      </c>
      <c r="E25" s="135"/>
      <c r="F25" s="136"/>
      <c r="G25" s="87">
        <f t="shared" si="0"/>
        <v>10</v>
      </c>
      <c r="H25" s="131" t="s">
        <v>149</v>
      </c>
      <c r="I25" s="131"/>
      <c r="J25" s="146"/>
      <c r="K25" s="133"/>
      <c r="L25" s="149"/>
      <c r="M25" s="150"/>
    </row>
    <row r="26" spans="1:13" s="128" customFormat="1" ht="12" customHeight="1">
      <c r="A26" s="131"/>
      <c r="B26" s="140"/>
      <c r="C26" s="145"/>
      <c r="D26" s="134"/>
      <c r="E26" s="135"/>
      <c r="F26" s="136"/>
      <c r="G26" s="142"/>
      <c r="H26" s="131"/>
      <c r="I26" s="131"/>
      <c r="J26" s="146"/>
      <c r="K26" s="350"/>
      <c r="L26" s="351"/>
      <c r="M26" s="352"/>
    </row>
    <row r="27" spans="1:13" s="128" customFormat="1" ht="12" customHeight="1">
      <c r="A27" s="131"/>
      <c r="B27" s="137"/>
      <c r="C27" s="143"/>
      <c r="D27" s="144"/>
      <c r="E27" s="135"/>
      <c r="F27" s="136"/>
      <c r="G27" s="142"/>
      <c r="H27" s="131"/>
      <c r="I27" s="131"/>
      <c r="J27" s="146"/>
      <c r="K27" s="347"/>
      <c r="L27" s="348"/>
      <c r="M27" s="349"/>
    </row>
    <row r="28" spans="1:13" ht="12" customHeight="1">
      <c r="A28" s="131"/>
      <c r="B28" s="141"/>
      <c r="C28" s="133"/>
      <c r="D28" s="134"/>
      <c r="E28" s="135"/>
      <c r="F28" s="136"/>
      <c r="G28" s="142"/>
      <c r="H28" s="131"/>
      <c r="I28" s="131"/>
      <c r="J28" s="146"/>
      <c r="K28" s="344"/>
      <c r="L28" s="345"/>
      <c r="M28" s="346"/>
    </row>
    <row r="29" spans="1:13" s="128" customFormat="1" ht="12" customHeight="1">
      <c r="A29" s="131" t="str">
        <f>IF(B29=""," ",#REF!+1)</f>
        <v xml:space="preserve"> </v>
      </c>
      <c r="B29" s="137"/>
      <c r="C29" s="133"/>
      <c r="D29" s="134"/>
      <c r="E29" s="135"/>
      <c r="F29" s="136"/>
      <c r="G29" s="142"/>
      <c r="H29" s="131"/>
      <c r="I29" s="131"/>
      <c r="J29" s="146"/>
      <c r="K29" s="347"/>
      <c r="L29" s="348"/>
      <c r="M29" s="349"/>
    </row>
    <row r="30" spans="1:13" ht="12" customHeight="1">
      <c r="A30" s="131"/>
      <c r="B30" s="137"/>
      <c r="C30" s="133"/>
      <c r="D30" s="134"/>
      <c r="E30" s="135"/>
      <c r="F30" s="136"/>
      <c r="G30" s="142"/>
      <c r="H30" s="131"/>
      <c r="I30" s="131"/>
      <c r="J30" s="146"/>
      <c r="K30" s="133"/>
      <c r="L30" s="149"/>
      <c r="M30" s="150"/>
    </row>
    <row r="31" spans="1:13" ht="12" customHeight="1">
      <c r="A31" s="131" t="str">
        <f t="shared" ref="A31:A50" si="2">IF(B31=""," ",A30+1)</f>
        <v xml:space="preserve"> </v>
      </c>
      <c r="B31" s="151"/>
      <c r="C31" s="143"/>
      <c r="D31" s="144"/>
      <c r="E31" s="135"/>
      <c r="F31" s="136"/>
      <c r="G31" s="142"/>
      <c r="H31" s="131"/>
      <c r="I31" s="131"/>
      <c r="J31" s="146"/>
      <c r="K31" s="133"/>
      <c r="L31" s="149"/>
      <c r="M31" s="150"/>
    </row>
    <row r="32" spans="1:13" ht="12" customHeight="1">
      <c r="A32" s="131" t="str">
        <f t="shared" si="2"/>
        <v xml:space="preserve"> </v>
      </c>
      <c r="B32" s="141"/>
      <c r="C32" s="143"/>
      <c r="D32" s="144"/>
      <c r="E32" s="135"/>
      <c r="F32" s="136"/>
      <c r="G32" s="142"/>
      <c r="H32" s="131"/>
      <c r="I32" s="131"/>
      <c r="J32" s="146"/>
      <c r="K32" s="133"/>
      <c r="L32" s="149"/>
      <c r="M32" s="150"/>
    </row>
    <row r="33" spans="1:13" ht="12" customHeight="1">
      <c r="A33" s="131" t="str">
        <f t="shared" si="2"/>
        <v xml:space="preserve"> </v>
      </c>
      <c r="B33" s="141"/>
      <c r="C33" s="133"/>
      <c r="D33" s="134"/>
      <c r="E33" s="135"/>
      <c r="F33" s="136"/>
      <c r="G33" s="142"/>
      <c r="H33" s="131"/>
      <c r="I33" s="131"/>
      <c r="J33" s="146"/>
      <c r="K33" s="133"/>
      <c r="L33" s="149"/>
      <c r="M33" s="150"/>
    </row>
    <row r="34" spans="1:13" ht="12" customHeight="1">
      <c r="A34" s="131" t="str">
        <f t="shared" si="2"/>
        <v xml:space="preserve"> </v>
      </c>
      <c r="B34" s="132"/>
      <c r="C34" s="133"/>
      <c r="D34" s="134"/>
      <c r="E34" s="135"/>
      <c r="F34" s="136"/>
      <c r="G34" s="142"/>
      <c r="H34" s="131"/>
      <c r="I34" s="131"/>
      <c r="J34" s="146"/>
      <c r="K34" s="133"/>
      <c r="L34" s="149"/>
      <c r="M34" s="150"/>
    </row>
    <row r="35" spans="1:13" ht="12" customHeight="1">
      <c r="A35" s="131" t="str">
        <f t="shared" si="2"/>
        <v xml:space="preserve"> </v>
      </c>
      <c r="B35" s="132"/>
      <c r="C35" s="133"/>
      <c r="D35" s="134"/>
      <c r="E35" s="135"/>
      <c r="F35" s="136"/>
      <c r="G35" s="142"/>
      <c r="H35" s="131"/>
      <c r="I35" s="131"/>
      <c r="J35" s="146"/>
      <c r="K35" s="133"/>
      <c r="L35" s="149"/>
      <c r="M35" s="150"/>
    </row>
    <row r="36" spans="1:13" ht="12" customHeight="1">
      <c r="A36" s="131" t="str">
        <f t="shared" si="2"/>
        <v xml:space="preserve"> </v>
      </c>
      <c r="B36" s="137"/>
      <c r="C36" s="133"/>
      <c r="D36" s="134"/>
      <c r="E36" s="135"/>
      <c r="F36" s="136"/>
      <c r="G36" s="142"/>
      <c r="H36" s="131"/>
      <c r="I36" s="131"/>
      <c r="J36" s="146"/>
      <c r="K36" s="133"/>
      <c r="L36" s="149"/>
      <c r="M36" s="150"/>
    </row>
    <row r="37" spans="1:13" ht="12" customHeight="1">
      <c r="A37" s="131" t="str">
        <f t="shared" si="2"/>
        <v xml:space="preserve"> </v>
      </c>
      <c r="B37" s="140"/>
      <c r="C37" s="133"/>
      <c r="D37" s="134"/>
      <c r="E37" s="135"/>
      <c r="F37" s="136"/>
      <c r="G37" s="142"/>
      <c r="H37" s="131"/>
      <c r="I37" s="131"/>
      <c r="J37" s="146"/>
      <c r="K37" s="133"/>
      <c r="L37" s="149"/>
      <c r="M37" s="150"/>
    </row>
    <row r="38" spans="1:13" ht="12" customHeight="1">
      <c r="A38" s="131" t="str">
        <f t="shared" si="2"/>
        <v xml:space="preserve"> </v>
      </c>
      <c r="B38" s="20"/>
      <c r="C38" s="133"/>
      <c r="D38" s="134"/>
      <c r="E38" s="135"/>
      <c r="F38" s="136"/>
      <c r="G38" s="142"/>
      <c r="H38" s="131"/>
      <c r="I38" s="131"/>
      <c r="J38" s="146"/>
      <c r="K38" s="133"/>
      <c r="L38" s="149"/>
      <c r="M38" s="150"/>
    </row>
    <row r="39" spans="1:13" ht="12" customHeight="1">
      <c r="A39" s="131" t="str">
        <f t="shared" si="2"/>
        <v xml:space="preserve"> </v>
      </c>
      <c r="B39" s="140"/>
      <c r="C39" s="133"/>
      <c r="D39" s="134"/>
      <c r="E39" s="135"/>
      <c r="F39" s="136"/>
      <c r="G39" s="142"/>
      <c r="H39" s="131"/>
      <c r="I39" s="131"/>
      <c r="J39" s="146"/>
      <c r="K39" s="133"/>
      <c r="L39" s="149"/>
      <c r="M39" s="150"/>
    </row>
    <row r="40" spans="1:13" ht="12" customHeight="1">
      <c r="A40" s="131" t="str">
        <f t="shared" si="2"/>
        <v xml:space="preserve"> </v>
      </c>
      <c r="B40" s="140"/>
      <c r="C40" s="133"/>
      <c r="D40" s="134"/>
      <c r="E40" s="135"/>
      <c r="F40" s="136"/>
      <c r="G40" s="142"/>
      <c r="H40" s="131"/>
      <c r="I40" s="131"/>
      <c r="J40" s="146"/>
      <c r="K40" s="133"/>
      <c r="L40" s="149"/>
      <c r="M40" s="150"/>
    </row>
    <row r="41" spans="1:13" ht="12" customHeight="1">
      <c r="A41" s="131" t="str">
        <f t="shared" si="2"/>
        <v xml:space="preserve"> </v>
      </c>
      <c r="B41" s="137"/>
      <c r="C41" s="133"/>
      <c r="D41" s="134"/>
      <c r="E41" s="135"/>
      <c r="F41" s="136"/>
      <c r="G41" s="142"/>
      <c r="H41" s="131"/>
      <c r="I41" s="131"/>
      <c r="J41" s="146"/>
      <c r="K41" s="133"/>
      <c r="L41" s="149"/>
      <c r="M41" s="150"/>
    </row>
    <row r="42" spans="1:13" ht="12" customHeight="1">
      <c r="A42" s="131" t="str">
        <f t="shared" si="2"/>
        <v xml:space="preserve"> </v>
      </c>
      <c r="B42" s="140"/>
      <c r="C42" s="133"/>
      <c r="D42" s="134"/>
      <c r="E42" s="135"/>
      <c r="F42" s="136"/>
      <c r="G42" s="142"/>
      <c r="H42" s="131"/>
      <c r="I42" s="131"/>
      <c r="J42" s="146"/>
      <c r="K42" s="133"/>
      <c r="L42" s="149"/>
      <c r="M42" s="150"/>
    </row>
    <row r="43" spans="1:13" ht="12" customHeight="1">
      <c r="A43" s="131" t="str">
        <f t="shared" si="2"/>
        <v xml:space="preserve"> </v>
      </c>
      <c r="B43" s="137"/>
      <c r="C43" s="133"/>
      <c r="D43" s="134"/>
      <c r="E43" s="135"/>
      <c r="F43" s="136"/>
      <c r="G43" s="142"/>
      <c r="H43" s="131"/>
      <c r="I43" s="131"/>
      <c r="J43" s="146"/>
      <c r="K43" s="133"/>
      <c r="L43" s="149"/>
      <c r="M43" s="150"/>
    </row>
    <row r="44" spans="1:13" ht="12" customHeight="1">
      <c r="A44" s="131" t="str">
        <f t="shared" si="2"/>
        <v xml:space="preserve"> </v>
      </c>
      <c r="B44" s="141"/>
      <c r="C44" s="133"/>
      <c r="D44" s="134"/>
      <c r="E44" s="135"/>
      <c r="F44" s="136"/>
      <c r="G44" s="142"/>
      <c r="H44" s="131"/>
      <c r="I44" s="131"/>
      <c r="J44" s="146"/>
      <c r="K44" s="133"/>
      <c r="L44" s="149"/>
      <c r="M44" s="150"/>
    </row>
    <row r="45" spans="1:13" ht="12" customHeight="1">
      <c r="A45" s="131" t="str">
        <f t="shared" si="2"/>
        <v xml:space="preserve"> </v>
      </c>
      <c r="B45" s="141"/>
      <c r="C45" s="133"/>
      <c r="D45" s="134"/>
      <c r="E45" s="135"/>
      <c r="F45" s="136"/>
      <c r="G45" s="142"/>
      <c r="H45" s="131"/>
      <c r="I45" s="131"/>
      <c r="J45" s="146"/>
      <c r="K45" s="133"/>
      <c r="L45" s="149"/>
      <c r="M45" s="150"/>
    </row>
    <row r="46" spans="1:13" ht="12" customHeight="1">
      <c r="A46" s="131" t="str">
        <f t="shared" si="2"/>
        <v xml:space="preserve"> </v>
      </c>
      <c r="B46" s="141"/>
      <c r="C46" s="133"/>
      <c r="D46" s="134"/>
      <c r="E46" s="135"/>
      <c r="F46" s="136"/>
      <c r="G46" s="142"/>
      <c r="H46" s="131"/>
      <c r="I46" s="131"/>
      <c r="J46" s="146"/>
      <c r="K46" s="133"/>
      <c r="L46" s="149"/>
      <c r="M46" s="150"/>
    </row>
    <row r="47" spans="1:13" ht="12" customHeight="1">
      <c r="A47" s="131" t="str">
        <f t="shared" si="2"/>
        <v xml:space="preserve"> </v>
      </c>
      <c r="B47" s="141"/>
      <c r="C47" s="133"/>
      <c r="D47" s="134"/>
      <c r="E47" s="135"/>
      <c r="F47" s="136"/>
      <c r="G47" s="142"/>
      <c r="H47" s="131"/>
      <c r="I47" s="131"/>
      <c r="J47" s="146"/>
      <c r="K47" s="133"/>
      <c r="L47" s="149"/>
      <c r="M47" s="150"/>
    </row>
    <row r="48" spans="1:13" ht="12" customHeight="1">
      <c r="A48" s="131" t="str">
        <f t="shared" si="2"/>
        <v xml:space="preserve"> </v>
      </c>
      <c r="B48" s="141"/>
      <c r="C48" s="133"/>
      <c r="D48" s="134"/>
      <c r="E48" s="135"/>
      <c r="F48" s="136"/>
      <c r="G48" s="142"/>
      <c r="H48" s="131"/>
      <c r="I48" s="131"/>
      <c r="J48" s="146"/>
      <c r="K48" s="133"/>
      <c r="L48" s="149"/>
      <c r="M48" s="150"/>
    </row>
    <row r="49" spans="1:13" ht="12" customHeight="1">
      <c r="A49" s="131" t="str">
        <f t="shared" si="2"/>
        <v xml:space="preserve"> </v>
      </c>
      <c r="B49" s="141"/>
      <c r="C49" s="133"/>
      <c r="D49" s="134"/>
      <c r="E49" s="135"/>
      <c r="F49" s="136"/>
      <c r="G49" s="142"/>
      <c r="H49" s="131"/>
      <c r="I49" s="131"/>
      <c r="J49" s="146"/>
      <c r="K49" s="133"/>
      <c r="L49" s="149"/>
      <c r="M49" s="150"/>
    </row>
    <row r="50" spans="1:13" ht="12" customHeight="1">
      <c r="A50" s="131" t="str">
        <f t="shared" si="2"/>
        <v xml:space="preserve"> </v>
      </c>
      <c r="B50" s="141"/>
      <c r="C50" s="133"/>
      <c r="D50" s="134"/>
      <c r="E50" s="135"/>
      <c r="F50" s="136"/>
      <c r="G50" s="142"/>
      <c r="H50" s="131"/>
      <c r="I50" s="131"/>
      <c r="J50" s="146"/>
      <c r="K50" s="133"/>
      <c r="L50" s="149"/>
      <c r="M50" s="150"/>
    </row>
    <row r="51" spans="1:13" s="128" customFormat="1" ht="12" customHeight="1">
      <c r="A51" s="131"/>
      <c r="B51" s="137"/>
      <c r="C51" s="143"/>
      <c r="D51" s="144"/>
      <c r="E51" s="135"/>
      <c r="F51" s="136"/>
      <c r="G51" s="142"/>
      <c r="H51" s="131"/>
      <c r="I51" s="131"/>
      <c r="J51" s="146"/>
      <c r="K51" s="347"/>
      <c r="L51" s="348"/>
      <c r="M51" s="349"/>
    </row>
    <row r="52" spans="1:13" ht="12" customHeight="1">
      <c r="A52" s="131"/>
      <c r="B52" s="141"/>
      <c r="C52" s="133"/>
      <c r="D52" s="134"/>
      <c r="E52" s="135"/>
      <c r="F52" s="136"/>
      <c r="G52" s="142"/>
      <c r="H52" s="131"/>
      <c r="I52" s="131"/>
      <c r="J52" s="146"/>
      <c r="K52" s="344"/>
      <c r="L52" s="345"/>
      <c r="M52" s="346"/>
    </row>
    <row r="53" spans="1:13" s="128" customFormat="1" ht="12" customHeight="1">
      <c r="A53" s="131" t="str">
        <f>IF(B53=""," ",#REF!+1)</f>
        <v xml:space="preserve"> </v>
      </c>
      <c r="B53" s="137"/>
      <c r="C53" s="133"/>
      <c r="D53" s="134"/>
      <c r="E53" s="135"/>
      <c r="F53" s="136"/>
      <c r="G53" s="142"/>
      <c r="H53" s="131"/>
      <c r="I53" s="131"/>
      <c r="J53" s="146"/>
      <c r="K53" s="347"/>
      <c r="L53" s="348"/>
      <c r="M53" s="349"/>
    </row>
    <row r="54" spans="1:13" ht="12" customHeight="1">
      <c r="A54" s="131"/>
      <c r="B54" s="137"/>
      <c r="C54" s="133"/>
      <c r="D54" s="134"/>
      <c r="E54" s="135"/>
      <c r="F54" s="136"/>
      <c r="G54" s="142"/>
      <c r="H54" s="131"/>
      <c r="I54" s="131"/>
      <c r="J54" s="146"/>
      <c r="K54" s="133"/>
      <c r="L54" s="149"/>
      <c r="M54" s="150"/>
    </row>
    <row r="55" spans="1:13" ht="12" customHeight="1">
      <c r="A55" s="131" t="str">
        <f t="shared" ref="A55:A74" si="3">IF(B55=""," ",A54+1)</f>
        <v xml:space="preserve"> </v>
      </c>
      <c r="B55" s="151"/>
      <c r="C55" s="143"/>
      <c r="D55" s="144"/>
      <c r="E55" s="135"/>
      <c r="F55" s="136"/>
      <c r="G55" s="142"/>
      <c r="H55" s="131"/>
      <c r="I55" s="131"/>
      <c r="J55" s="146"/>
      <c r="K55" s="133"/>
      <c r="L55" s="149"/>
      <c r="M55" s="150"/>
    </row>
    <row r="56" spans="1:13" ht="12" customHeight="1">
      <c r="A56" s="131" t="str">
        <f t="shared" si="3"/>
        <v xml:space="preserve"> </v>
      </c>
      <c r="B56" s="141"/>
      <c r="C56" s="143"/>
      <c r="D56" s="144"/>
      <c r="E56" s="135"/>
      <c r="F56" s="136"/>
      <c r="G56" s="142"/>
      <c r="H56" s="131"/>
      <c r="I56" s="131"/>
      <c r="J56" s="146"/>
      <c r="K56" s="133"/>
      <c r="L56" s="149"/>
      <c r="M56" s="150"/>
    </row>
    <row r="57" spans="1:13" ht="12" customHeight="1">
      <c r="A57" s="131" t="str">
        <f t="shared" si="3"/>
        <v xml:space="preserve"> </v>
      </c>
      <c r="B57" s="141"/>
      <c r="C57" s="133"/>
      <c r="D57" s="134"/>
      <c r="E57" s="135"/>
      <c r="F57" s="136"/>
      <c r="G57" s="142"/>
      <c r="H57" s="131"/>
      <c r="I57" s="131"/>
      <c r="J57" s="146"/>
      <c r="K57" s="133"/>
      <c r="L57" s="149"/>
      <c r="M57" s="150"/>
    </row>
    <row r="58" spans="1:13" ht="12" customHeight="1">
      <c r="A58" s="131" t="str">
        <f t="shared" si="3"/>
        <v xml:space="preserve"> </v>
      </c>
      <c r="B58" s="132"/>
      <c r="C58" s="133"/>
      <c r="D58" s="134"/>
      <c r="E58" s="135"/>
      <c r="F58" s="136"/>
      <c r="G58" s="142"/>
      <c r="H58" s="131"/>
      <c r="I58" s="131"/>
      <c r="J58" s="146"/>
      <c r="K58" s="133"/>
      <c r="L58" s="149"/>
      <c r="M58" s="150"/>
    </row>
    <row r="59" spans="1:13" ht="12" customHeight="1">
      <c r="A59" s="131" t="str">
        <f t="shared" si="3"/>
        <v xml:space="preserve"> </v>
      </c>
      <c r="B59" s="132"/>
      <c r="C59" s="133"/>
      <c r="D59" s="134"/>
      <c r="E59" s="135"/>
      <c r="F59" s="136"/>
      <c r="G59" s="142"/>
      <c r="H59" s="131"/>
      <c r="I59" s="131"/>
      <c r="J59" s="146"/>
      <c r="K59" s="133"/>
      <c r="L59" s="149"/>
      <c r="M59" s="150"/>
    </row>
    <row r="60" spans="1:13" ht="12" customHeight="1">
      <c r="A60" s="131" t="str">
        <f t="shared" si="3"/>
        <v xml:space="preserve"> </v>
      </c>
      <c r="B60" s="137"/>
      <c r="C60" s="133"/>
      <c r="D60" s="134"/>
      <c r="E60" s="135"/>
      <c r="F60" s="136"/>
      <c r="G60" s="142"/>
      <c r="H60" s="131"/>
      <c r="I60" s="131"/>
      <c r="J60" s="146"/>
      <c r="K60" s="133"/>
      <c r="L60" s="149"/>
      <c r="M60" s="150"/>
    </row>
    <row r="61" spans="1:13" ht="12" customHeight="1">
      <c r="A61" s="131" t="str">
        <f t="shared" si="3"/>
        <v xml:space="preserve"> </v>
      </c>
      <c r="B61" s="140"/>
      <c r="C61" s="133"/>
      <c r="D61" s="134"/>
      <c r="E61" s="135"/>
      <c r="F61" s="136"/>
      <c r="G61" s="142"/>
      <c r="H61" s="131"/>
      <c r="I61" s="131"/>
      <c r="J61" s="146"/>
      <c r="K61" s="133"/>
      <c r="L61" s="149"/>
      <c r="M61" s="150"/>
    </row>
    <row r="62" spans="1:13" ht="12" customHeight="1">
      <c r="A62" s="131" t="str">
        <f t="shared" si="3"/>
        <v xml:space="preserve"> </v>
      </c>
      <c r="B62" s="20"/>
      <c r="C62" s="133"/>
      <c r="D62" s="134"/>
      <c r="E62" s="135"/>
      <c r="F62" s="136"/>
      <c r="G62" s="142"/>
      <c r="H62" s="131"/>
      <c r="I62" s="131"/>
      <c r="J62" s="146"/>
      <c r="K62" s="133"/>
      <c r="L62" s="149"/>
      <c r="M62" s="150"/>
    </row>
    <row r="63" spans="1:13" ht="12" customHeight="1">
      <c r="A63" s="131" t="str">
        <f t="shared" si="3"/>
        <v xml:space="preserve"> </v>
      </c>
      <c r="B63" s="140"/>
      <c r="C63" s="133"/>
      <c r="D63" s="134"/>
      <c r="E63" s="135"/>
      <c r="F63" s="136"/>
      <c r="G63" s="142"/>
      <c r="H63" s="131"/>
      <c r="I63" s="131"/>
      <c r="J63" s="146"/>
      <c r="K63" s="133"/>
      <c r="L63" s="149"/>
      <c r="M63" s="150"/>
    </row>
    <row r="64" spans="1:13" ht="12" customHeight="1">
      <c r="A64" s="131" t="str">
        <f t="shared" si="3"/>
        <v xml:space="preserve"> </v>
      </c>
      <c r="B64" s="140"/>
      <c r="C64" s="133"/>
      <c r="D64" s="134"/>
      <c r="E64" s="135"/>
      <c r="F64" s="136"/>
      <c r="G64" s="142"/>
      <c r="H64" s="131"/>
      <c r="I64" s="131"/>
      <c r="J64" s="146"/>
      <c r="K64" s="133"/>
      <c r="L64" s="149"/>
      <c r="M64" s="150"/>
    </row>
    <row r="65" spans="1:13" ht="12" customHeight="1">
      <c r="A65" s="131" t="str">
        <f t="shared" si="3"/>
        <v xml:space="preserve"> </v>
      </c>
      <c r="B65" s="137"/>
      <c r="C65" s="133"/>
      <c r="D65" s="134"/>
      <c r="E65" s="135"/>
      <c r="F65" s="136"/>
      <c r="G65" s="142"/>
      <c r="H65" s="131"/>
      <c r="I65" s="131"/>
      <c r="J65" s="146"/>
      <c r="K65" s="133"/>
      <c r="L65" s="149"/>
      <c r="M65" s="150"/>
    </row>
    <row r="66" spans="1:13" ht="12" customHeight="1">
      <c r="A66" s="131" t="str">
        <f t="shared" si="3"/>
        <v xml:space="preserve"> </v>
      </c>
      <c r="B66" s="140"/>
      <c r="C66" s="133"/>
      <c r="D66" s="134"/>
      <c r="E66" s="135"/>
      <c r="F66" s="136"/>
      <c r="G66" s="142"/>
      <c r="H66" s="131"/>
      <c r="I66" s="131"/>
      <c r="J66" s="146"/>
      <c r="K66" s="133"/>
      <c r="L66" s="149"/>
      <c r="M66" s="150"/>
    </row>
    <row r="67" spans="1:13" ht="12" customHeight="1">
      <c r="A67" s="131" t="str">
        <f t="shared" si="3"/>
        <v xml:space="preserve"> </v>
      </c>
      <c r="B67" s="137"/>
      <c r="C67" s="133"/>
      <c r="D67" s="134"/>
      <c r="E67" s="135"/>
      <c r="F67" s="136"/>
      <c r="G67" s="142"/>
      <c r="H67" s="131"/>
      <c r="I67" s="131"/>
      <c r="J67" s="146"/>
      <c r="K67" s="133"/>
      <c r="L67" s="149"/>
      <c r="M67" s="150"/>
    </row>
    <row r="68" spans="1:13" ht="12" customHeight="1">
      <c r="A68" s="131" t="str">
        <f t="shared" si="3"/>
        <v xml:space="preserve"> </v>
      </c>
      <c r="B68" s="141"/>
      <c r="C68" s="133"/>
      <c r="D68" s="134"/>
      <c r="E68" s="135"/>
      <c r="F68" s="136"/>
      <c r="G68" s="142"/>
      <c r="H68" s="131"/>
      <c r="I68" s="131"/>
      <c r="J68" s="146"/>
      <c r="K68" s="133"/>
      <c r="L68" s="149"/>
      <c r="M68" s="150"/>
    </row>
    <row r="69" spans="1:13" ht="12" customHeight="1">
      <c r="A69" s="131" t="str">
        <f t="shared" si="3"/>
        <v xml:space="preserve"> </v>
      </c>
      <c r="B69" s="141"/>
      <c r="C69" s="133"/>
      <c r="D69" s="134"/>
      <c r="E69" s="135"/>
      <c r="F69" s="136"/>
      <c r="G69" s="142"/>
      <c r="H69" s="131"/>
      <c r="I69" s="131"/>
      <c r="J69" s="146"/>
      <c r="K69" s="133"/>
      <c r="L69" s="149"/>
      <c r="M69" s="150"/>
    </row>
    <row r="70" spans="1:13" ht="12" customHeight="1">
      <c r="A70" s="131" t="str">
        <f t="shared" si="3"/>
        <v xml:space="preserve"> </v>
      </c>
      <c r="B70" s="141"/>
      <c r="C70" s="133"/>
      <c r="D70" s="134"/>
      <c r="E70" s="135"/>
      <c r="F70" s="136"/>
      <c r="G70" s="142"/>
      <c r="H70" s="131"/>
      <c r="I70" s="131"/>
      <c r="J70" s="146"/>
      <c r="K70" s="133"/>
      <c r="L70" s="149"/>
      <c r="M70" s="150"/>
    </row>
    <row r="71" spans="1:13" ht="12" customHeight="1">
      <c r="A71" s="131" t="str">
        <f t="shared" si="3"/>
        <v xml:space="preserve"> </v>
      </c>
      <c r="B71" s="141"/>
      <c r="C71" s="133"/>
      <c r="D71" s="134"/>
      <c r="E71" s="135"/>
      <c r="F71" s="136"/>
      <c r="G71" s="142"/>
      <c r="H71" s="131"/>
      <c r="I71" s="131"/>
      <c r="J71" s="146"/>
      <c r="K71" s="133"/>
      <c r="L71" s="149"/>
      <c r="M71" s="150"/>
    </row>
    <row r="72" spans="1:13" ht="12" customHeight="1">
      <c r="A72" s="131" t="str">
        <f t="shared" si="3"/>
        <v xml:space="preserve"> </v>
      </c>
      <c r="B72" s="141"/>
      <c r="C72" s="133"/>
      <c r="D72" s="134"/>
      <c r="E72" s="135"/>
      <c r="F72" s="136"/>
      <c r="G72" s="142"/>
      <c r="H72" s="131"/>
      <c r="I72" s="131"/>
      <c r="J72" s="146"/>
      <c r="K72" s="133"/>
      <c r="L72" s="149"/>
      <c r="M72" s="150"/>
    </row>
    <row r="73" spans="1:13" ht="12" customHeight="1">
      <c r="A73" s="131" t="str">
        <f t="shared" si="3"/>
        <v xml:space="preserve"> </v>
      </c>
      <c r="B73" s="141"/>
      <c r="C73" s="133"/>
      <c r="D73" s="134"/>
      <c r="E73" s="135"/>
      <c r="F73" s="136"/>
      <c r="G73" s="142"/>
      <c r="H73" s="131"/>
      <c r="I73" s="131"/>
      <c r="J73" s="146"/>
      <c r="K73" s="133"/>
      <c r="L73" s="149"/>
      <c r="M73" s="150"/>
    </row>
    <row r="74" spans="1:13" ht="12" customHeight="1">
      <c r="A74" s="131" t="str">
        <f t="shared" si="3"/>
        <v xml:space="preserve"> </v>
      </c>
      <c r="B74" s="141"/>
      <c r="C74" s="133"/>
      <c r="D74" s="134"/>
      <c r="E74" s="135"/>
      <c r="F74" s="136"/>
      <c r="G74" s="142"/>
      <c r="H74" s="131"/>
      <c r="I74" s="131"/>
      <c r="J74" s="146"/>
      <c r="K74" s="133"/>
      <c r="L74" s="149"/>
      <c r="M74" s="150"/>
    </row>
    <row r="75" spans="1:13" s="128" customFormat="1" ht="12" customHeight="1">
      <c r="A75" s="131"/>
      <c r="B75" s="137"/>
      <c r="C75" s="143"/>
      <c r="D75" s="144"/>
      <c r="E75" s="135"/>
      <c r="F75" s="136"/>
      <c r="G75" s="142"/>
      <c r="H75" s="131"/>
      <c r="I75" s="131"/>
      <c r="J75" s="146"/>
      <c r="K75" s="347"/>
      <c r="L75" s="348"/>
      <c r="M75" s="349"/>
    </row>
    <row r="76" spans="1:13" ht="12" customHeight="1">
      <c r="A76" s="131"/>
      <c r="B76" s="141"/>
      <c r="C76" s="133"/>
      <c r="D76" s="134"/>
      <c r="E76" s="135"/>
      <c r="F76" s="136"/>
      <c r="G76" s="142"/>
      <c r="H76" s="131"/>
      <c r="I76" s="131"/>
      <c r="J76" s="146"/>
      <c r="K76" s="344"/>
      <c r="L76" s="345"/>
      <c r="M76" s="346"/>
    </row>
    <row r="77" spans="1:13" s="128" customFormat="1" ht="12" customHeight="1">
      <c r="A77" s="131" t="str">
        <f>IF(B77=""," ",#REF!+1)</f>
        <v xml:space="preserve"> </v>
      </c>
      <c r="B77" s="137"/>
      <c r="C77" s="133"/>
      <c r="D77" s="134"/>
      <c r="E77" s="135"/>
      <c r="F77" s="136"/>
      <c r="G77" s="142"/>
      <c r="H77" s="131"/>
      <c r="I77" s="131"/>
      <c r="J77" s="146"/>
      <c r="K77" s="347"/>
      <c r="L77" s="348"/>
      <c r="M77" s="349"/>
    </row>
    <row r="78" spans="1:13" ht="12" customHeight="1">
      <c r="A78" s="131"/>
      <c r="B78" s="137"/>
      <c r="C78" s="133"/>
      <c r="D78" s="134"/>
      <c r="E78" s="135"/>
      <c r="F78" s="136"/>
      <c r="G78" s="142"/>
      <c r="H78" s="131"/>
      <c r="I78" s="131"/>
      <c r="J78" s="146"/>
      <c r="K78" s="133"/>
      <c r="L78" s="149"/>
      <c r="M78" s="150"/>
    </row>
    <row r="79" spans="1:13" ht="12" customHeight="1">
      <c r="A79" s="131" t="str">
        <f t="shared" ref="A79:A94" si="4">IF(B79=""," ",A78+1)</f>
        <v xml:space="preserve"> </v>
      </c>
      <c r="B79" s="151"/>
      <c r="C79" s="143"/>
      <c r="D79" s="144"/>
      <c r="E79" s="135"/>
      <c r="F79" s="136"/>
      <c r="G79" s="142"/>
      <c r="H79" s="131"/>
      <c r="I79" s="131"/>
      <c r="J79" s="146"/>
      <c r="K79" s="133"/>
      <c r="L79" s="149"/>
      <c r="M79" s="150"/>
    </row>
    <row r="80" spans="1:13" ht="12" customHeight="1">
      <c r="A80" s="131" t="str">
        <f t="shared" si="4"/>
        <v xml:space="preserve"> </v>
      </c>
      <c r="B80" s="141"/>
      <c r="C80" s="143"/>
      <c r="D80" s="144"/>
      <c r="E80" s="135"/>
      <c r="F80" s="136"/>
      <c r="G80" s="142"/>
      <c r="H80" s="131"/>
      <c r="I80" s="131"/>
      <c r="J80" s="146"/>
      <c r="K80" s="133"/>
      <c r="L80" s="149"/>
      <c r="M80" s="150"/>
    </row>
    <row r="81" spans="1:13" ht="12" customHeight="1">
      <c r="A81" s="131" t="str">
        <f t="shared" si="4"/>
        <v xml:space="preserve"> </v>
      </c>
      <c r="B81" s="141"/>
      <c r="C81" s="133"/>
      <c r="D81" s="134"/>
      <c r="E81" s="135"/>
      <c r="F81" s="136"/>
      <c r="G81" s="142"/>
      <c r="H81" s="131"/>
      <c r="I81" s="131"/>
      <c r="J81" s="146"/>
      <c r="K81" s="133"/>
      <c r="L81" s="149"/>
      <c r="M81" s="150"/>
    </row>
    <row r="82" spans="1:13" ht="12" customHeight="1">
      <c r="A82" s="131" t="str">
        <f t="shared" si="4"/>
        <v xml:space="preserve"> </v>
      </c>
      <c r="B82" s="132"/>
      <c r="C82" s="133"/>
      <c r="D82" s="134"/>
      <c r="E82" s="135"/>
      <c r="F82" s="136"/>
      <c r="G82" s="142"/>
      <c r="H82" s="131"/>
      <c r="I82" s="131"/>
      <c r="J82" s="146"/>
      <c r="K82" s="133"/>
      <c r="L82" s="149"/>
      <c r="M82" s="150"/>
    </row>
    <row r="83" spans="1:13" ht="12" customHeight="1">
      <c r="A83" s="131" t="str">
        <f t="shared" si="4"/>
        <v xml:space="preserve"> </v>
      </c>
      <c r="B83" s="132"/>
      <c r="C83" s="133"/>
      <c r="D83" s="134"/>
      <c r="E83" s="135"/>
      <c r="F83" s="136"/>
      <c r="G83" s="142"/>
      <c r="H83" s="131"/>
      <c r="I83" s="131"/>
      <c r="J83" s="146"/>
      <c r="K83" s="133"/>
      <c r="L83" s="149"/>
      <c r="M83" s="150"/>
    </row>
    <row r="84" spans="1:13" ht="12" customHeight="1">
      <c r="A84" s="131" t="str">
        <f t="shared" si="4"/>
        <v xml:space="preserve"> </v>
      </c>
      <c r="B84" s="137"/>
      <c r="C84" s="133"/>
      <c r="D84" s="134"/>
      <c r="E84" s="135"/>
      <c r="F84" s="136"/>
      <c r="G84" s="142"/>
      <c r="H84" s="131"/>
      <c r="I84" s="131"/>
      <c r="J84" s="146"/>
      <c r="K84" s="133"/>
      <c r="L84" s="149"/>
      <c r="M84" s="150"/>
    </row>
    <row r="85" spans="1:13" ht="12" customHeight="1">
      <c r="A85" s="131" t="str">
        <f t="shared" si="4"/>
        <v xml:space="preserve"> </v>
      </c>
      <c r="B85" s="140"/>
      <c r="C85" s="133"/>
      <c r="D85" s="134"/>
      <c r="E85" s="135"/>
      <c r="F85" s="136"/>
      <c r="G85" s="142"/>
      <c r="H85" s="131"/>
      <c r="I85" s="131"/>
      <c r="J85" s="146"/>
      <c r="K85" s="133"/>
      <c r="L85" s="149"/>
      <c r="M85" s="150"/>
    </row>
    <row r="86" spans="1:13" ht="12" customHeight="1">
      <c r="A86" s="131" t="str">
        <f t="shared" si="4"/>
        <v xml:space="preserve"> </v>
      </c>
      <c r="B86" s="20"/>
      <c r="C86" s="133"/>
      <c r="D86" s="134"/>
      <c r="E86" s="135"/>
      <c r="F86" s="136"/>
      <c r="G86" s="142"/>
      <c r="H86" s="131"/>
      <c r="I86" s="131"/>
      <c r="J86" s="146"/>
      <c r="K86" s="133"/>
      <c r="L86" s="149"/>
      <c r="M86" s="150"/>
    </row>
    <row r="87" spans="1:13" ht="12" customHeight="1">
      <c r="A87" s="131" t="str">
        <f t="shared" si="4"/>
        <v xml:space="preserve"> </v>
      </c>
      <c r="B87" s="140"/>
      <c r="C87" s="133"/>
      <c r="D87" s="134"/>
      <c r="E87" s="135"/>
      <c r="F87" s="136"/>
      <c r="G87" s="142"/>
      <c r="H87" s="131"/>
      <c r="I87" s="131"/>
      <c r="J87" s="146"/>
      <c r="K87" s="133"/>
      <c r="L87" s="149"/>
      <c r="M87" s="150"/>
    </row>
    <row r="88" spans="1:13" ht="12" customHeight="1">
      <c r="A88" s="131" t="str">
        <f t="shared" si="4"/>
        <v xml:space="preserve"> </v>
      </c>
      <c r="B88" s="140"/>
      <c r="C88" s="133"/>
      <c r="D88" s="134"/>
      <c r="E88" s="135"/>
      <c r="F88" s="136"/>
      <c r="G88" s="142"/>
      <c r="H88" s="131"/>
      <c r="I88" s="131"/>
      <c r="J88" s="146"/>
      <c r="K88" s="133"/>
      <c r="L88" s="149"/>
      <c r="M88" s="150"/>
    </row>
    <row r="89" spans="1:13" ht="12" customHeight="1">
      <c r="A89" s="131" t="str">
        <f t="shared" si="4"/>
        <v xml:space="preserve"> </v>
      </c>
      <c r="B89" s="137"/>
      <c r="C89" s="133"/>
      <c r="D89" s="134"/>
      <c r="E89" s="135"/>
      <c r="F89" s="136"/>
      <c r="G89" s="142"/>
      <c r="H89" s="131"/>
      <c r="I89" s="131"/>
      <c r="J89" s="146"/>
      <c r="K89" s="133"/>
      <c r="L89" s="149"/>
      <c r="M89" s="150"/>
    </row>
    <row r="90" spans="1:13" ht="12" customHeight="1">
      <c r="A90" s="131" t="str">
        <f t="shared" si="4"/>
        <v xml:space="preserve"> </v>
      </c>
      <c r="B90" s="140"/>
      <c r="C90" s="133"/>
      <c r="D90" s="134"/>
      <c r="E90" s="135"/>
      <c r="F90" s="136"/>
      <c r="G90" s="142"/>
      <c r="H90" s="131"/>
      <c r="I90" s="131"/>
      <c r="J90" s="146"/>
      <c r="K90" s="133"/>
      <c r="L90" s="149"/>
      <c r="M90" s="150"/>
    </row>
    <row r="91" spans="1:13" ht="12" customHeight="1">
      <c r="A91" s="131" t="str">
        <f t="shared" si="4"/>
        <v xml:space="preserve"> </v>
      </c>
      <c r="B91" s="137"/>
      <c r="C91" s="133"/>
      <c r="D91" s="134"/>
      <c r="E91" s="135"/>
      <c r="F91" s="136"/>
      <c r="G91" s="142"/>
      <c r="H91" s="131"/>
      <c r="I91" s="131"/>
      <c r="J91" s="146"/>
      <c r="K91" s="133"/>
      <c r="L91" s="149"/>
      <c r="M91" s="150"/>
    </row>
    <row r="92" spans="1:13" ht="12" customHeight="1">
      <c r="A92" s="131" t="str">
        <f t="shared" si="4"/>
        <v xml:space="preserve"> </v>
      </c>
      <c r="B92" s="141"/>
      <c r="C92" s="133"/>
      <c r="D92" s="134"/>
      <c r="E92" s="135"/>
      <c r="F92" s="136"/>
      <c r="G92" s="142"/>
      <c r="H92" s="131"/>
      <c r="I92" s="131"/>
      <c r="J92" s="146"/>
      <c r="K92" s="133"/>
      <c r="L92" s="149"/>
      <c r="M92" s="150"/>
    </row>
    <row r="93" spans="1:13" ht="12" customHeight="1">
      <c r="A93" s="131" t="str">
        <f t="shared" si="4"/>
        <v xml:space="preserve"> </v>
      </c>
      <c r="B93" s="141"/>
      <c r="C93" s="133"/>
      <c r="D93" s="134"/>
      <c r="E93" s="135"/>
      <c r="F93" s="136"/>
      <c r="G93" s="142"/>
      <c r="H93" s="131"/>
      <c r="I93" s="131"/>
      <c r="J93" s="146"/>
      <c r="K93" s="133"/>
      <c r="L93" s="149"/>
      <c r="M93" s="150"/>
    </row>
    <row r="94" spans="1:13" ht="12" customHeight="1">
      <c r="A94" s="131" t="str">
        <f t="shared" si="4"/>
        <v xml:space="preserve"> </v>
      </c>
      <c r="B94" s="141"/>
      <c r="C94" s="133"/>
      <c r="D94" s="134"/>
      <c r="E94" s="135"/>
      <c r="F94" s="136"/>
      <c r="G94" s="142"/>
      <c r="H94" s="131"/>
      <c r="I94" s="131"/>
      <c r="J94" s="146"/>
      <c r="K94" s="133"/>
      <c r="L94" s="149"/>
      <c r="M94" s="150"/>
    </row>
    <row r="95" spans="1:13" ht="12" customHeight="1">
      <c r="A95" s="131" t="str">
        <f t="shared" ref="A95:A100" si="5">IF(B95=""," ",A94+1)</f>
        <v xml:space="preserve"> </v>
      </c>
      <c r="B95" s="141"/>
      <c r="C95" s="133"/>
      <c r="D95" s="134"/>
      <c r="E95" s="135"/>
      <c r="F95" s="136"/>
      <c r="G95" s="142"/>
      <c r="H95" s="131"/>
      <c r="I95" s="131"/>
      <c r="J95" s="146"/>
      <c r="K95" s="133"/>
      <c r="L95" s="149"/>
      <c r="M95" s="150"/>
    </row>
    <row r="96" spans="1:13" ht="12" customHeight="1">
      <c r="A96" s="131" t="str">
        <f t="shared" si="5"/>
        <v xml:space="preserve"> </v>
      </c>
      <c r="B96" s="141"/>
      <c r="C96" s="133"/>
      <c r="D96" s="134"/>
      <c r="E96" s="135"/>
      <c r="F96" s="136"/>
      <c r="G96" s="142"/>
      <c r="H96" s="131"/>
      <c r="I96" s="131"/>
      <c r="J96" s="146"/>
      <c r="K96" s="133"/>
      <c r="L96" s="149"/>
      <c r="M96" s="150"/>
    </row>
    <row r="97" spans="1:13" ht="12" customHeight="1">
      <c r="A97" s="131" t="str">
        <f t="shared" si="5"/>
        <v xml:space="preserve"> </v>
      </c>
      <c r="B97" s="141"/>
      <c r="C97" s="133"/>
      <c r="D97" s="134"/>
      <c r="E97" s="135"/>
      <c r="F97" s="136"/>
      <c r="G97" s="142"/>
      <c r="H97" s="131"/>
      <c r="I97" s="131"/>
      <c r="J97" s="146"/>
      <c r="K97" s="133"/>
      <c r="L97" s="149"/>
      <c r="M97" s="150"/>
    </row>
    <row r="98" spans="1:13" ht="12" customHeight="1">
      <c r="A98" s="131" t="str">
        <f t="shared" si="5"/>
        <v xml:space="preserve"> </v>
      </c>
      <c r="B98" s="141"/>
      <c r="C98" s="133"/>
      <c r="D98" s="134"/>
      <c r="E98" s="135"/>
      <c r="F98" s="136"/>
      <c r="G98" s="142"/>
      <c r="H98" s="131"/>
      <c r="I98" s="131"/>
      <c r="J98" s="146"/>
      <c r="K98" s="133"/>
      <c r="L98" s="149"/>
      <c r="M98" s="150"/>
    </row>
    <row r="99" spans="1:13" ht="12" customHeight="1">
      <c r="A99" s="131" t="str">
        <f t="shared" si="5"/>
        <v xml:space="preserve"> </v>
      </c>
      <c r="B99" s="141"/>
      <c r="C99" s="133"/>
      <c r="D99" s="134"/>
      <c r="E99" s="135"/>
      <c r="F99" s="136"/>
      <c r="G99" s="142"/>
      <c r="H99" s="131"/>
      <c r="I99" s="131"/>
      <c r="J99" s="146"/>
      <c r="K99" s="133"/>
      <c r="L99" s="149"/>
      <c r="M99" s="150"/>
    </row>
    <row r="100" spans="1:13" ht="12" customHeight="1">
      <c r="A100" s="131" t="str">
        <f t="shared" si="5"/>
        <v xml:space="preserve"> </v>
      </c>
      <c r="B100" s="141"/>
      <c r="C100" s="133"/>
      <c r="D100" s="134"/>
      <c r="E100" s="135"/>
      <c r="F100" s="136"/>
      <c r="G100" s="142"/>
      <c r="H100" s="131"/>
      <c r="I100" s="131"/>
      <c r="J100" s="146"/>
      <c r="K100" s="133"/>
      <c r="L100" s="149"/>
      <c r="M100" s="150"/>
    </row>
    <row r="102" spans="1:13" s="75" customFormat="1">
      <c r="A102" s="76"/>
      <c r="B102" s="75" t="s">
        <v>235</v>
      </c>
    </row>
    <row r="103" spans="1:13" s="75" customFormat="1" ht="12" customHeight="1">
      <c r="A103" s="76"/>
    </row>
    <row r="104" spans="1:13" s="75" customFormat="1">
      <c r="A104" s="76"/>
      <c r="B104" s="75" t="s">
        <v>236</v>
      </c>
      <c r="C104" s="75" t="s">
        <v>238</v>
      </c>
    </row>
    <row r="106" spans="1:13">
      <c r="B106" s="129" t="s">
        <v>456</v>
      </c>
      <c r="C106" s="129" t="s">
        <v>1362</v>
      </c>
    </row>
  </sheetData>
  <mergeCells count="37">
    <mergeCell ref="K75:M75"/>
    <mergeCell ref="K76:M76"/>
    <mergeCell ref="K77:M77"/>
    <mergeCell ref="A5:A6"/>
    <mergeCell ref="K5:M6"/>
    <mergeCell ref="K28:M28"/>
    <mergeCell ref="K29:M29"/>
    <mergeCell ref="K51:M51"/>
    <mergeCell ref="K52:M52"/>
    <mergeCell ref="K53:M53"/>
    <mergeCell ref="K22:M22"/>
    <mergeCell ref="K23:M23"/>
    <mergeCell ref="K24:M24"/>
    <mergeCell ref="K26:M26"/>
    <mergeCell ref="K27:M27"/>
    <mergeCell ref="K16:M16"/>
    <mergeCell ref="K17:M17"/>
    <mergeCell ref="K19:M19"/>
    <mergeCell ref="K20:M20"/>
    <mergeCell ref="K21:M21"/>
    <mergeCell ref="K7:M7"/>
    <mergeCell ref="K12:M12"/>
    <mergeCell ref="K13:M13"/>
    <mergeCell ref="K14:M14"/>
    <mergeCell ref="K15:M15"/>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pageSetUpPr fitToPage="1"/>
  </sheetPr>
  <dimension ref="A1:Q104"/>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353" t="s">
        <v>1363</v>
      </c>
      <c r="D3" s="354"/>
      <c r="E3" s="354"/>
      <c r="F3" s="354"/>
      <c r="G3" s="355"/>
      <c r="H3" s="259" t="s">
        <v>140</v>
      </c>
      <c r="I3" s="260"/>
      <c r="J3" s="90">
        <f>COUNT(A7:A100)</f>
        <v>10</v>
      </c>
      <c r="K3" s="78" t="s">
        <v>141</v>
      </c>
      <c r="L3" s="91">
        <v>38644</v>
      </c>
      <c r="M3" s="92" t="s">
        <v>142</v>
      </c>
      <c r="O3" s="129" t="s">
        <v>143</v>
      </c>
      <c r="P3" s="129" t="s">
        <v>144</v>
      </c>
    </row>
    <row r="4" spans="1:16" ht="12" customHeight="1">
      <c r="A4" s="267" t="s">
        <v>145</v>
      </c>
      <c r="B4" s="268"/>
      <c r="C4" s="356" t="s">
        <v>53</v>
      </c>
      <c r="D4" s="357"/>
      <c r="E4" s="357"/>
      <c r="F4" s="357"/>
      <c r="G4" s="358"/>
      <c r="H4" s="259" t="s">
        <v>146</v>
      </c>
      <c r="I4" s="260"/>
      <c r="J4" s="90">
        <f>SUM(G7:G100)</f>
        <v>69</v>
      </c>
      <c r="K4" s="78" t="s">
        <v>147</v>
      </c>
      <c r="L4" s="91">
        <v>38878</v>
      </c>
      <c r="M4" s="83" t="s">
        <v>148</v>
      </c>
      <c r="O4" s="129" t="s">
        <v>149</v>
      </c>
      <c r="P4" s="129" t="s">
        <v>150</v>
      </c>
    </row>
    <row r="5" spans="1:16" ht="12" customHeight="1">
      <c r="A5" s="283" t="s">
        <v>0</v>
      </c>
      <c r="B5" s="259" t="s">
        <v>151</v>
      </c>
      <c r="C5" s="261"/>
      <c r="D5" s="270" t="s">
        <v>152</v>
      </c>
      <c r="E5" s="261"/>
      <c r="F5" s="261"/>
      <c r="G5" s="261"/>
      <c r="H5" s="261"/>
      <c r="I5" s="259" t="s">
        <v>153</v>
      </c>
      <c r="J5" s="260"/>
      <c r="K5" s="285" t="s">
        <v>4</v>
      </c>
      <c r="L5" s="286"/>
      <c r="M5" s="287"/>
      <c r="P5" s="129"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129" t="s">
        <v>161</v>
      </c>
    </row>
    <row r="7" spans="1:16" s="128" customFormat="1" ht="12" customHeight="1">
      <c r="A7" s="131">
        <v>1</v>
      </c>
      <c r="B7" s="132" t="s">
        <v>812</v>
      </c>
      <c r="C7" s="133" t="s">
        <v>813</v>
      </c>
      <c r="D7" s="13" t="s">
        <v>164</v>
      </c>
      <c r="E7" s="135"/>
      <c r="F7" s="136"/>
      <c r="G7" s="87">
        <f t="shared" ref="G7:G16" si="0">IF(D7="DATE",4,IF(D7="CHAR",E7,IF(D7="SMALLINT",2,IF(D7="INTEGER",4,IF(D7="TIMESTAMP",10,IF(D7="TIME",3,0))))))</f>
        <v>4</v>
      </c>
      <c r="H7" s="131" t="s">
        <v>149</v>
      </c>
      <c r="I7" s="131" t="s">
        <v>149</v>
      </c>
      <c r="J7" s="146"/>
      <c r="K7" s="341"/>
      <c r="L7" s="342"/>
      <c r="M7" s="343"/>
      <c r="P7" s="128" t="s">
        <v>165</v>
      </c>
    </row>
    <row r="8" spans="1:16" ht="12" customHeight="1">
      <c r="A8" s="131">
        <f t="shared" ref="A8:A16" si="1">IF(B8=""," ",A7+1)</f>
        <v>2</v>
      </c>
      <c r="B8" s="20" t="s">
        <v>818</v>
      </c>
      <c r="C8" s="133" t="s">
        <v>819</v>
      </c>
      <c r="D8" s="134" t="s">
        <v>150</v>
      </c>
      <c r="E8" s="135">
        <v>10</v>
      </c>
      <c r="F8" s="136"/>
      <c r="G8" s="87">
        <f t="shared" si="0"/>
        <v>10</v>
      </c>
      <c r="H8" s="131" t="s">
        <v>149</v>
      </c>
      <c r="I8" s="131" t="s">
        <v>149</v>
      </c>
      <c r="J8" s="146"/>
      <c r="K8" s="154"/>
      <c r="L8" s="155"/>
      <c r="M8" s="156"/>
    </row>
    <row r="9" spans="1:16" ht="12" customHeight="1">
      <c r="A9" s="131">
        <f t="shared" si="1"/>
        <v>3</v>
      </c>
      <c r="B9" s="20" t="s">
        <v>957</v>
      </c>
      <c r="C9" s="133" t="s">
        <v>958</v>
      </c>
      <c r="D9" s="134" t="s">
        <v>150</v>
      </c>
      <c r="E9" s="135">
        <v>10</v>
      </c>
      <c r="F9" s="136"/>
      <c r="G9" s="87">
        <f t="shared" si="0"/>
        <v>10</v>
      </c>
      <c r="H9" s="131" t="s">
        <v>149</v>
      </c>
      <c r="I9" s="131" t="s">
        <v>149</v>
      </c>
      <c r="J9" s="146"/>
      <c r="K9" s="154"/>
      <c r="L9" s="155"/>
      <c r="M9" s="156"/>
    </row>
    <row r="10" spans="1:16" ht="12" customHeight="1">
      <c r="A10" s="131">
        <f t="shared" si="1"/>
        <v>4</v>
      </c>
      <c r="B10" s="20" t="s">
        <v>960</v>
      </c>
      <c r="C10" s="133" t="s">
        <v>961</v>
      </c>
      <c r="D10" s="134" t="s">
        <v>150</v>
      </c>
      <c r="E10" s="135">
        <v>5</v>
      </c>
      <c r="F10" s="136"/>
      <c r="G10" s="87">
        <f t="shared" si="0"/>
        <v>5</v>
      </c>
      <c r="H10" s="131" t="s">
        <v>149</v>
      </c>
      <c r="I10" s="131" t="s">
        <v>149</v>
      </c>
      <c r="J10" s="146"/>
      <c r="K10" s="154"/>
      <c r="L10" s="155"/>
      <c r="M10" s="156"/>
    </row>
    <row r="11" spans="1:16" ht="12" customHeight="1">
      <c r="A11" s="131">
        <f t="shared" si="1"/>
        <v>5</v>
      </c>
      <c r="B11" s="20" t="s">
        <v>1350</v>
      </c>
      <c r="C11" s="133" t="s">
        <v>1351</v>
      </c>
      <c r="D11" s="134" t="s">
        <v>150</v>
      </c>
      <c r="E11" s="135">
        <v>5</v>
      </c>
      <c r="F11" s="136"/>
      <c r="G11" s="87">
        <f t="shared" si="0"/>
        <v>5</v>
      </c>
      <c r="H11" s="131" t="s">
        <v>149</v>
      </c>
      <c r="I11" s="131" t="s">
        <v>149</v>
      </c>
      <c r="J11" s="146"/>
      <c r="K11" s="154"/>
      <c r="L11" s="155"/>
      <c r="M11" s="156"/>
    </row>
    <row r="12" spans="1:16" s="128" customFormat="1" ht="12" customHeight="1">
      <c r="A12" s="131">
        <f t="shared" si="1"/>
        <v>6</v>
      </c>
      <c r="B12" s="132" t="s">
        <v>646</v>
      </c>
      <c r="C12" s="133" t="s">
        <v>647</v>
      </c>
      <c r="D12" s="134" t="s">
        <v>150</v>
      </c>
      <c r="E12" s="135">
        <v>10</v>
      </c>
      <c r="F12" s="136"/>
      <c r="G12" s="87">
        <f t="shared" si="0"/>
        <v>10</v>
      </c>
      <c r="H12" s="131" t="s">
        <v>149</v>
      </c>
      <c r="I12" s="131" t="s">
        <v>149</v>
      </c>
      <c r="J12" s="146"/>
      <c r="K12" s="341"/>
      <c r="L12" s="342"/>
      <c r="M12" s="343"/>
    </row>
    <row r="13" spans="1:16" ht="12" customHeight="1">
      <c r="A13" s="131">
        <f t="shared" si="1"/>
        <v>7</v>
      </c>
      <c r="B13" s="152" t="s">
        <v>827</v>
      </c>
      <c r="C13" s="133" t="s">
        <v>828</v>
      </c>
      <c r="D13" s="134" t="s">
        <v>161</v>
      </c>
      <c r="E13" s="135"/>
      <c r="F13" s="136"/>
      <c r="G13" s="87">
        <f t="shared" si="0"/>
        <v>4</v>
      </c>
      <c r="H13" s="131" t="s">
        <v>149</v>
      </c>
      <c r="I13" s="131" t="s">
        <v>149</v>
      </c>
      <c r="J13" s="146"/>
      <c r="K13" s="344"/>
      <c r="L13" s="345"/>
      <c r="M13" s="346"/>
    </row>
    <row r="14" spans="1:16" s="128" customFormat="1" ht="12" customHeight="1">
      <c r="A14" s="131">
        <f t="shared" si="1"/>
        <v>8</v>
      </c>
      <c r="B14" s="153" t="s">
        <v>1354</v>
      </c>
      <c r="C14" s="143" t="s">
        <v>1355</v>
      </c>
      <c r="D14" s="144" t="s">
        <v>150</v>
      </c>
      <c r="E14" s="135">
        <v>10</v>
      </c>
      <c r="F14" s="136"/>
      <c r="G14" s="87">
        <f t="shared" si="0"/>
        <v>10</v>
      </c>
      <c r="H14" s="131" t="s">
        <v>149</v>
      </c>
      <c r="I14" s="131"/>
      <c r="J14" s="146"/>
      <c r="K14" s="347"/>
      <c r="L14" s="348"/>
      <c r="M14" s="349"/>
    </row>
    <row r="15" spans="1:16" s="128" customFormat="1" ht="12" customHeight="1">
      <c r="A15" s="131">
        <f t="shared" si="1"/>
        <v>9</v>
      </c>
      <c r="B15" s="140" t="s">
        <v>1364</v>
      </c>
      <c r="C15" s="143" t="s">
        <v>1365</v>
      </c>
      <c r="D15" s="144" t="s">
        <v>150</v>
      </c>
      <c r="E15" s="135">
        <v>1</v>
      </c>
      <c r="F15" s="136"/>
      <c r="G15" s="87">
        <f t="shared" si="0"/>
        <v>1</v>
      </c>
      <c r="H15" s="131" t="s">
        <v>149</v>
      </c>
      <c r="I15" s="131"/>
      <c r="J15" s="146"/>
      <c r="K15" s="350"/>
      <c r="L15" s="351"/>
      <c r="M15" s="352"/>
    </row>
    <row r="16" spans="1:16" ht="12" customHeight="1">
      <c r="A16" s="131">
        <f t="shared" si="1"/>
        <v>10</v>
      </c>
      <c r="B16" s="141" t="s">
        <v>232</v>
      </c>
      <c r="C16" s="133" t="s">
        <v>233</v>
      </c>
      <c r="D16" s="134" t="s">
        <v>234</v>
      </c>
      <c r="E16" s="135"/>
      <c r="F16" s="136"/>
      <c r="G16" s="87">
        <f t="shared" si="0"/>
        <v>10</v>
      </c>
      <c r="H16" s="131" t="s">
        <v>149</v>
      </c>
      <c r="I16" s="131"/>
      <c r="J16" s="146"/>
      <c r="K16" s="133"/>
      <c r="L16" s="149"/>
      <c r="M16" s="150"/>
    </row>
    <row r="17" spans="1:16" s="128" customFormat="1" ht="12" customHeight="1">
      <c r="A17" s="131"/>
      <c r="B17" s="141"/>
      <c r="C17" s="133"/>
      <c r="D17" s="134"/>
      <c r="E17" s="135"/>
      <c r="F17" s="136"/>
      <c r="G17" s="142"/>
      <c r="H17" s="131"/>
      <c r="I17" s="131"/>
      <c r="J17" s="146"/>
      <c r="K17" s="341"/>
      <c r="L17" s="342"/>
      <c r="M17" s="343"/>
    </row>
    <row r="18" spans="1:16" s="128" customFormat="1" ht="12" customHeight="1">
      <c r="A18" s="131"/>
      <c r="B18" s="132"/>
      <c r="C18" s="138"/>
      <c r="D18" s="139"/>
      <c r="E18" s="135"/>
      <c r="F18" s="136"/>
      <c r="G18" s="142"/>
      <c r="H18" s="131"/>
      <c r="I18" s="131"/>
      <c r="J18" s="146"/>
      <c r="K18" s="341"/>
      <c r="L18" s="342"/>
      <c r="M18" s="343"/>
    </row>
    <row r="19" spans="1:16" s="128" customFormat="1" ht="12" customHeight="1">
      <c r="A19" s="131" t="str">
        <f>IF(B19=""," ",#REF!+1)</f>
        <v xml:space="preserve"> </v>
      </c>
      <c r="B19" s="140"/>
      <c r="C19" s="143"/>
      <c r="D19" s="144"/>
      <c r="E19" s="135"/>
      <c r="F19" s="136"/>
      <c r="G19" s="142"/>
      <c r="H19" s="131"/>
      <c r="I19" s="131"/>
      <c r="J19" s="146"/>
      <c r="K19" s="350"/>
      <c r="L19" s="351"/>
      <c r="M19" s="352"/>
      <c r="P19" s="128" t="s">
        <v>174</v>
      </c>
    </row>
    <row r="20" spans="1:16" ht="12" customHeight="1">
      <c r="A20" s="131" t="str">
        <f t="shared" ref="A20:A43" si="2">IF(B20=""," ",A19+1)</f>
        <v xml:space="preserve"> </v>
      </c>
      <c r="B20" s="20"/>
      <c r="C20" s="133"/>
      <c r="D20" s="134"/>
      <c r="E20" s="135"/>
      <c r="F20" s="136"/>
      <c r="G20" s="142"/>
      <c r="H20" s="131"/>
      <c r="I20" s="131"/>
      <c r="J20" s="146"/>
      <c r="K20" s="133"/>
      <c r="L20" s="149"/>
      <c r="M20" s="150"/>
    </row>
    <row r="21" spans="1:16" s="128" customFormat="1" ht="12" customHeight="1">
      <c r="A21" s="131" t="str">
        <f t="shared" si="2"/>
        <v xml:space="preserve"> </v>
      </c>
      <c r="B21" s="140"/>
      <c r="C21" s="143"/>
      <c r="D21" s="144"/>
      <c r="E21" s="135"/>
      <c r="F21" s="136"/>
      <c r="G21" s="142"/>
      <c r="H21" s="131"/>
      <c r="I21" s="131"/>
      <c r="J21" s="146"/>
      <c r="K21" s="350"/>
      <c r="L21" s="351"/>
      <c r="M21" s="352"/>
      <c r="P21" s="128" t="s">
        <v>195</v>
      </c>
    </row>
    <row r="22" spans="1:16" s="128" customFormat="1" ht="12" customHeight="1">
      <c r="A22" s="131" t="str">
        <f t="shared" si="2"/>
        <v xml:space="preserve"> </v>
      </c>
      <c r="B22" s="140"/>
      <c r="C22" s="143"/>
      <c r="D22" s="144"/>
      <c r="E22" s="135"/>
      <c r="F22" s="136"/>
      <c r="G22" s="142"/>
      <c r="H22" s="131"/>
      <c r="I22" s="131"/>
      <c r="J22" s="146"/>
      <c r="K22" s="350"/>
      <c r="L22" s="351"/>
      <c r="M22" s="352"/>
    </row>
    <row r="23" spans="1:16" s="128" customFormat="1" ht="12" customHeight="1">
      <c r="A23" s="131" t="str">
        <f t="shared" si="2"/>
        <v xml:space="preserve"> </v>
      </c>
      <c r="B23" s="137"/>
      <c r="C23" s="145"/>
      <c r="D23" s="134"/>
      <c r="E23" s="135"/>
      <c r="F23" s="136"/>
      <c r="G23" s="142"/>
      <c r="H23" s="131"/>
      <c r="I23" s="131"/>
      <c r="J23" s="146"/>
      <c r="K23" s="347"/>
      <c r="L23" s="348"/>
      <c r="M23" s="349"/>
    </row>
    <row r="24" spans="1:16" s="128" customFormat="1" ht="12" customHeight="1">
      <c r="A24" s="131" t="str">
        <f t="shared" si="2"/>
        <v xml:space="preserve"> </v>
      </c>
      <c r="B24" s="140"/>
      <c r="C24" s="143"/>
      <c r="D24" s="144"/>
      <c r="E24" s="135"/>
      <c r="F24" s="136"/>
      <c r="G24" s="142"/>
      <c r="H24" s="131"/>
      <c r="I24" s="131"/>
      <c r="J24" s="146"/>
      <c r="K24" s="350"/>
      <c r="L24" s="351"/>
      <c r="M24" s="352"/>
    </row>
    <row r="25" spans="1:16" s="128" customFormat="1" ht="12" customHeight="1">
      <c r="A25" s="131" t="str">
        <f t="shared" si="2"/>
        <v xml:space="preserve"> </v>
      </c>
      <c r="B25" s="137"/>
      <c r="C25" s="133"/>
      <c r="D25" s="134"/>
      <c r="E25" s="135"/>
      <c r="F25" s="136"/>
      <c r="G25" s="142"/>
      <c r="H25" s="131"/>
      <c r="I25" s="131"/>
      <c r="J25" s="146"/>
      <c r="K25" s="347"/>
      <c r="L25" s="348"/>
      <c r="M25" s="349"/>
    </row>
    <row r="26" spans="1:16" s="128" customFormat="1" ht="12" customHeight="1">
      <c r="A26" s="131" t="str">
        <f t="shared" si="2"/>
        <v xml:space="preserve"> </v>
      </c>
      <c r="B26" s="137"/>
      <c r="C26" s="133"/>
      <c r="D26" s="134"/>
      <c r="E26" s="135"/>
      <c r="F26" s="136"/>
      <c r="G26" s="142"/>
      <c r="H26" s="131"/>
      <c r="I26" s="131"/>
      <c r="J26" s="146"/>
      <c r="K26" s="347"/>
      <c r="L26" s="348"/>
      <c r="M26" s="349"/>
    </row>
    <row r="27" spans="1:16" ht="12" customHeight="1">
      <c r="A27" s="131" t="str">
        <f t="shared" si="2"/>
        <v xml:space="preserve"> </v>
      </c>
      <c r="B27" s="20"/>
      <c r="C27" s="133"/>
      <c r="D27" s="134"/>
      <c r="E27" s="135"/>
      <c r="F27" s="136"/>
      <c r="G27" s="142"/>
      <c r="H27" s="131"/>
      <c r="I27" s="131"/>
      <c r="J27" s="146"/>
      <c r="K27" s="133"/>
      <c r="L27" s="149"/>
      <c r="M27" s="150"/>
    </row>
    <row r="28" spans="1:16" ht="12" customHeight="1">
      <c r="A28" s="131" t="str">
        <f t="shared" si="2"/>
        <v xml:space="preserve"> </v>
      </c>
      <c r="B28" s="20"/>
      <c r="C28" s="133"/>
      <c r="D28" s="134"/>
      <c r="E28" s="135"/>
      <c r="F28" s="136"/>
      <c r="G28" s="142"/>
      <c r="H28" s="131"/>
      <c r="I28" s="131"/>
      <c r="J28" s="146"/>
      <c r="K28" s="133"/>
      <c r="L28" s="149"/>
      <c r="M28" s="150"/>
    </row>
    <row r="29" spans="1:16" ht="12" customHeight="1">
      <c r="A29" s="131" t="str">
        <f t="shared" si="2"/>
        <v xml:space="preserve"> </v>
      </c>
      <c r="B29" s="141"/>
      <c r="C29" s="133"/>
      <c r="D29" s="134"/>
      <c r="E29" s="135"/>
      <c r="F29" s="136"/>
      <c r="G29" s="142"/>
      <c r="H29" s="131"/>
      <c r="I29" s="131"/>
      <c r="J29" s="146"/>
      <c r="K29" s="133"/>
      <c r="L29" s="149"/>
      <c r="M29" s="150"/>
    </row>
    <row r="30" spans="1:16" ht="12" customHeight="1">
      <c r="A30" s="131" t="str">
        <f t="shared" si="2"/>
        <v xml:space="preserve"> </v>
      </c>
      <c r="B30" s="141"/>
      <c r="C30" s="133"/>
      <c r="D30" s="134"/>
      <c r="E30" s="135"/>
      <c r="F30" s="136"/>
      <c r="G30" s="142"/>
      <c r="H30" s="131"/>
      <c r="I30" s="131"/>
      <c r="J30" s="146"/>
      <c r="K30" s="133"/>
      <c r="L30" s="149"/>
      <c r="M30" s="150"/>
    </row>
    <row r="31" spans="1:16" ht="12" customHeight="1">
      <c r="A31" s="131" t="str">
        <f t="shared" si="2"/>
        <v xml:space="preserve"> </v>
      </c>
      <c r="B31" s="141"/>
      <c r="C31" s="133"/>
      <c r="D31" s="134"/>
      <c r="E31" s="135"/>
      <c r="F31" s="136"/>
      <c r="G31" s="142"/>
      <c r="H31" s="131"/>
      <c r="I31" s="131"/>
      <c r="J31" s="146"/>
      <c r="K31" s="133"/>
      <c r="L31" s="149"/>
      <c r="M31" s="150"/>
    </row>
    <row r="32" spans="1:16" ht="12" customHeight="1">
      <c r="A32" s="131" t="str">
        <f t="shared" si="2"/>
        <v xml:space="preserve"> </v>
      </c>
      <c r="B32" s="141"/>
      <c r="C32" s="133"/>
      <c r="D32" s="134"/>
      <c r="E32" s="135"/>
      <c r="F32" s="136"/>
      <c r="G32" s="142"/>
      <c r="H32" s="131"/>
      <c r="I32" s="131"/>
      <c r="J32" s="146"/>
      <c r="K32" s="133"/>
      <c r="L32" s="149"/>
      <c r="M32" s="150"/>
    </row>
    <row r="33" spans="1:13" ht="12" customHeight="1">
      <c r="A33" s="131" t="str">
        <f t="shared" si="2"/>
        <v xml:space="preserve"> </v>
      </c>
      <c r="B33" s="141"/>
      <c r="C33" s="133"/>
      <c r="D33" s="134"/>
      <c r="E33" s="135"/>
      <c r="F33" s="136"/>
      <c r="G33" s="142"/>
      <c r="H33" s="131"/>
      <c r="I33" s="131"/>
      <c r="J33" s="146"/>
      <c r="K33" s="133"/>
      <c r="L33" s="149"/>
      <c r="M33" s="150"/>
    </row>
    <row r="34" spans="1:13" ht="12" customHeight="1">
      <c r="A34" s="131" t="str">
        <f t="shared" si="2"/>
        <v xml:space="preserve"> </v>
      </c>
      <c r="B34" s="141"/>
      <c r="C34" s="133"/>
      <c r="D34" s="134"/>
      <c r="E34" s="135"/>
      <c r="F34" s="136"/>
      <c r="G34" s="142"/>
      <c r="H34" s="131"/>
      <c r="I34" s="131"/>
      <c r="J34" s="146"/>
      <c r="K34" s="133"/>
      <c r="L34" s="149"/>
      <c r="M34" s="150"/>
    </row>
    <row r="35" spans="1:13" ht="12" customHeight="1">
      <c r="A35" s="131" t="str">
        <f t="shared" si="2"/>
        <v xml:space="preserve"> </v>
      </c>
      <c r="B35" s="141"/>
      <c r="C35" s="133"/>
      <c r="D35" s="134"/>
      <c r="E35" s="135"/>
      <c r="F35" s="136"/>
      <c r="G35" s="142"/>
      <c r="H35" s="131"/>
      <c r="I35" s="131"/>
      <c r="J35" s="146"/>
      <c r="K35" s="133"/>
      <c r="L35" s="149"/>
      <c r="M35" s="150"/>
    </row>
    <row r="36" spans="1:13" ht="12" customHeight="1">
      <c r="A36" s="131" t="str">
        <f t="shared" si="2"/>
        <v xml:space="preserve"> </v>
      </c>
      <c r="B36" s="141"/>
      <c r="C36" s="133"/>
      <c r="D36" s="134"/>
      <c r="E36" s="135"/>
      <c r="F36" s="136"/>
      <c r="G36" s="142"/>
      <c r="H36" s="131"/>
      <c r="I36" s="131"/>
      <c r="J36" s="146"/>
      <c r="K36" s="133"/>
      <c r="L36" s="149"/>
      <c r="M36" s="150"/>
    </row>
    <row r="37" spans="1:13" ht="12" customHeight="1">
      <c r="A37" s="131" t="str">
        <f t="shared" si="2"/>
        <v xml:space="preserve"> </v>
      </c>
      <c r="B37" s="141"/>
      <c r="C37" s="133"/>
      <c r="D37" s="134"/>
      <c r="E37" s="135"/>
      <c r="F37" s="136"/>
      <c r="G37" s="142"/>
      <c r="H37" s="131"/>
      <c r="I37" s="131"/>
      <c r="J37" s="146"/>
      <c r="K37" s="133"/>
      <c r="L37" s="149"/>
      <c r="M37" s="150"/>
    </row>
    <row r="38" spans="1:13" ht="12" customHeight="1">
      <c r="A38" s="131" t="str">
        <f t="shared" si="2"/>
        <v xml:space="preserve"> </v>
      </c>
      <c r="B38" s="141"/>
      <c r="C38" s="133"/>
      <c r="D38" s="134"/>
      <c r="E38" s="135"/>
      <c r="F38" s="136"/>
      <c r="G38" s="142"/>
      <c r="H38" s="131"/>
      <c r="I38" s="131"/>
      <c r="J38" s="146"/>
      <c r="K38" s="133"/>
      <c r="L38" s="149"/>
      <c r="M38" s="150"/>
    </row>
    <row r="39" spans="1:13" ht="12" customHeight="1">
      <c r="A39" s="131" t="str">
        <f t="shared" si="2"/>
        <v xml:space="preserve"> </v>
      </c>
      <c r="B39" s="141"/>
      <c r="C39" s="133"/>
      <c r="D39" s="134"/>
      <c r="E39" s="135"/>
      <c r="F39" s="136"/>
      <c r="G39" s="142"/>
      <c r="H39" s="131"/>
      <c r="I39" s="131"/>
      <c r="J39" s="146"/>
      <c r="K39" s="133"/>
      <c r="L39" s="149"/>
      <c r="M39" s="150"/>
    </row>
    <row r="40" spans="1:13" ht="12" customHeight="1">
      <c r="A40" s="131" t="str">
        <f t="shared" si="2"/>
        <v xml:space="preserve"> </v>
      </c>
      <c r="B40" s="141"/>
      <c r="C40" s="133"/>
      <c r="D40" s="134"/>
      <c r="E40" s="135"/>
      <c r="F40" s="136"/>
      <c r="G40" s="142"/>
      <c r="H40" s="131"/>
      <c r="I40" s="131"/>
      <c r="J40" s="146"/>
      <c r="K40" s="133"/>
      <c r="L40" s="149"/>
      <c r="M40" s="150"/>
    </row>
    <row r="41" spans="1:13" ht="12" customHeight="1">
      <c r="A41" s="131" t="str">
        <f t="shared" si="2"/>
        <v xml:space="preserve"> </v>
      </c>
      <c r="B41" s="141"/>
      <c r="C41" s="133"/>
      <c r="D41" s="134"/>
      <c r="E41" s="135"/>
      <c r="F41" s="136"/>
      <c r="G41" s="142"/>
      <c r="H41" s="131"/>
      <c r="I41" s="131"/>
      <c r="J41" s="146"/>
      <c r="K41" s="133"/>
      <c r="L41" s="149"/>
      <c r="M41" s="150"/>
    </row>
    <row r="42" spans="1:13" ht="12" customHeight="1">
      <c r="A42" s="131" t="str">
        <f t="shared" si="2"/>
        <v xml:space="preserve"> </v>
      </c>
      <c r="B42" s="141"/>
      <c r="C42" s="133"/>
      <c r="D42" s="134"/>
      <c r="E42" s="135"/>
      <c r="F42" s="136"/>
      <c r="G42" s="142"/>
      <c r="H42" s="131"/>
      <c r="I42" s="131"/>
      <c r="J42" s="146"/>
      <c r="K42" s="133"/>
      <c r="L42" s="149"/>
      <c r="M42" s="150"/>
    </row>
    <row r="43" spans="1:13" ht="12" customHeight="1">
      <c r="A43" s="131" t="str">
        <f t="shared" si="2"/>
        <v xml:space="preserve"> </v>
      </c>
      <c r="B43" s="141"/>
      <c r="C43" s="133"/>
      <c r="D43" s="134"/>
      <c r="E43" s="135"/>
      <c r="F43" s="136"/>
      <c r="G43" s="142"/>
      <c r="H43" s="131"/>
      <c r="I43" s="131"/>
      <c r="J43" s="146"/>
      <c r="K43" s="133"/>
      <c r="L43" s="149"/>
      <c r="M43" s="150"/>
    </row>
    <row r="44" spans="1:13" ht="12" customHeight="1">
      <c r="A44" s="131" t="str">
        <f t="shared" ref="A44:A50" si="3">IF(B44=""," ",A43+1)</f>
        <v xml:space="preserve"> </v>
      </c>
      <c r="B44" s="141"/>
      <c r="C44" s="133"/>
      <c r="D44" s="134"/>
      <c r="E44" s="135"/>
      <c r="F44" s="136"/>
      <c r="G44" s="142"/>
      <c r="H44" s="131"/>
      <c r="I44" s="131"/>
      <c r="J44" s="146"/>
      <c r="K44" s="133"/>
      <c r="L44" s="149"/>
      <c r="M44" s="150"/>
    </row>
    <row r="45" spans="1:13" ht="12" customHeight="1">
      <c r="A45" s="131" t="str">
        <f t="shared" si="3"/>
        <v xml:space="preserve"> </v>
      </c>
      <c r="B45" s="141"/>
      <c r="C45" s="133"/>
      <c r="D45" s="134"/>
      <c r="E45" s="135"/>
      <c r="F45" s="136"/>
      <c r="G45" s="142"/>
      <c r="H45" s="131"/>
      <c r="I45" s="131"/>
      <c r="J45" s="146"/>
      <c r="K45" s="133"/>
      <c r="L45" s="149"/>
      <c r="M45" s="150"/>
    </row>
    <row r="46" spans="1:13" ht="12" customHeight="1">
      <c r="A46" s="131" t="str">
        <f t="shared" si="3"/>
        <v xml:space="preserve"> </v>
      </c>
      <c r="B46" s="141"/>
      <c r="C46" s="133"/>
      <c r="D46" s="134"/>
      <c r="E46" s="135"/>
      <c r="F46" s="136"/>
      <c r="G46" s="142"/>
      <c r="H46" s="131"/>
      <c r="I46" s="131"/>
      <c r="J46" s="146"/>
      <c r="K46" s="133"/>
      <c r="L46" s="149"/>
      <c r="M46" s="150"/>
    </row>
    <row r="47" spans="1:13" ht="12" customHeight="1">
      <c r="A47" s="131" t="str">
        <f t="shared" si="3"/>
        <v xml:space="preserve"> </v>
      </c>
      <c r="B47" s="141"/>
      <c r="C47" s="133"/>
      <c r="D47" s="134"/>
      <c r="E47" s="135"/>
      <c r="F47" s="136"/>
      <c r="G47" s="142"/>
      <c r="H47" s="131"/>
      <c r="I47" s="131"/>
      <c r="J47" s="146"/>
      <c r="K47" s="133"/>
      <c r="L47" s="149"/>
      <c r="M47" s="150"/>
    </row>
    <row r="48" spans="1:13" ht="12" customHeight="1">
      <c r="A48" s="131" t="str">
        <f t="shared" si="3"/>
        <v xml:space="preserve"> </v>
      </c>
      <c r="B48" s="141"/>
      <c r="C48" s="133"/>
      <c r="D48" s="134"/>
      <c r="E48" s="135"/>
      <c r="F48" s="136"/>
      <c r="G48" s="142"/>
      <c r="H48" s="131"/>
      <c r="I48" s="131"/>
      <c r="J48" s="146"/>
      <c r="K48" s="133"/>
      <c r="L48" s="149"/>
      <c r="M48" s="150"/>
    </row>
    <row r="49" spans="1:16" ht="12" customHeight="1">
      <c r="A49" s="131" t="str">
        <f t="shared" si="3"/>
        <v xml:space="preserve"> </v>
      </c>
      <c r="B49" s="141"/>
      <c r="C49" s="133"/>
      <c r="D49" s="134"/>
      <c r="E49" s="135"/>
      <c r="F49" s="136"/>
      <c r="G49" s="142"/>
      <c r="H49" s="131"/>
      <c r="I49" s="131"/>
      <c r="J49" s="146"/>
      <c r="K49" s="133"/>
      <c r="L49" s="149"/>
      <c r="M49" s="150"/>
    </row>
    <row r="50" spans="1:16" ht="12" customHeight="1">
      <c r="A50" s="131" t="str">
        <f t="shared" si="3"/>
        <v xml:space="preserve"> </v>
      </c>
      <c r="B50" s="141"/>
      <c r="C50" s="133"/>
      <c r="D50" s="134"/>
      <c r="E50" s="135"/>
      <c r="F50" s="136"/>
      <c r="G50" s="142"/>
      <c r="H50" s="131"/>
      <c r="I50" s="131"/>
      <c r="J50" s="146"/>
      <c r="K50" s="133"/>
      <c r="L50" s="149"/>
      <c r="M50" s="150"/>
    </row>
    <row r="51" spans="1:16" s="128" customFormat="1" ht="12" customHeight="1">
      <c r="A51" s="131"/>
      <c r="B51" s="141"/>
      <c r="C51" s="133"/>
      <c r="D51" s="134"/>
      <c r="E51" s="135"/>
      <c r="F51" s="136"/>
      <c r="G51" s="142"/>
      <c r="H51" s="131"/>
      <c r="I51" s="131"/>
      <c r="J51" s="146"/>
      <c r="K51" s="341"/>
      <c r="L51" s="342"/>
      <c r="M51" s="343"/>
    </row>
    <row r="52" spans="1:16" s="128" customFormat="1" ht="12" customHeight="1">
      <c r="A52" s="131"/>
      <c r="B52" s="132"/>
      <c r="C52" s="138"/>
      <c r="D52" s="139"/>
      <c r="E52" s="135"/>
      <c r="F52" s="136"/>
      <c r="G52" s="142"/>
      <c r="H52" s="131"/>
      <c r="I52" s="131"/>
      <c r="J52" s="146"/>
      <c r="K52" s="341"/>
      <c r="L52" s="342"/>
      <c r="M52" s="343"/>
    </row>
    <row r="53" spans="1:16" s="128" customFormat="1" ht="12" customHeight="1">
      <c r="A53" s="131" t="str">
        <f>IF(B53=""," ",#REF!+1)</f>
        <v xml:space="preserve"> </v>
      </c>
      <c r="B53" s="140"/>
      <c r="C53" s="143"/>
      <c r="D53" s="144"/>
      <c r="E53" s="135"/>
      <c r="F53" s="136"/>
      <c r="G53" s="142"/>
      <c r="H53" s="131"/>
      <c r="I53" s="131"/>
      <c r="J53" s="146"/>
      <c r="K53" s="350"/>
      <c r="L53" s="351"/>
      <c r="M53" s="352"/>
      <c r="P53" s="128" t="s">
        <v>174</v>
      </c>
    </row>
    <row r="54" spans="1:16" ht="12" customHeight="1">
      <c r="A54" s="131" t="str">
        <f t="shared" ref="A54:A84" si="4">IF(B54=""," ",A53+1)</f>
        <v xml:space="preserve"> </v>
      </c>
      <c r="B54" s="20"/>
      <c r="C54" s="133"/>
      <c r="D54" s="134"/>
      <c r="E54" s="135"/>
      <c r="F54" s="136"/>
      <c r="G54" s="142"/>
      <c r="H54" s="131"/>
      <c r="I54" s="131"/>
      <c r="J54" s="146"/>
      <c r="K54" s="133"/>
      <c r="L54" s="149"/>
      <c r="M54" s="150"/>
    </row>
    <row r="55" spans="1:16" s="128" customFormat="1" ht="12" customHeight="1">
      <c r="A55" s="131" t="str">
        <f t="shared" si="4"/>
        <v xml:space="preserve"> </v>
      </c>
      <c r="B55" s="140"/>
      <c r="C55" s="143"/>
      <c r="D55" s="144"/>
      <c r="E55" s="135"/>
      <c r="F55" s="136"/>
      <c r="G55" s="142"/>
      <c r="H55" s="131"/>
      <c r="I55" s="131"/>
      <c r="J55" s="146"/>
      <c r="K55" s="350"/>
      <c r="L55" s="351"/>
      <c r="M55" s="352"/>
      <c r="P55" s="128" t="s">
        <v>195</v>
      </c>
    </row>
    <row r="56" spans="1:16" s="128" customFormat="1" ht="12" customHeight="1">
      <c r="A56" s="131" t="str">
        <f t="shared" si="4"/>
        <v xml:space="preserve"> </v>
      </c>
      <c r="B56" s="140"/>
      <c r="C56" s="143"/>
      <c r="D56" s="144"/>
      <c r="E56" s="135"/>
      <c r="F56" s="136"/>
      <c r="G56" s="142"/>
      <c r="H56" s="131"/>
      <c r="I56" s="131"/>
      <c r="J56" s="146"/>
      <c r="K56" s="350"/>
      <c r="L56" s="351"/>
      <c r="M56" s="352"/>
    </row>
    <row r="57" spans="1:16" s="128" customFormat="1" ht="12" customHeight="1">
      <c r="A57" s="131" t="str">
        <f t="shared" si="4"/>
        <v xml:space="preserve"> </v>
      </c>
      <c r="B57" s="137"/>
      <c r="C57" s="145"/>
      <c r="D57" s="134"/>
      <c r="E57" s="135"/>
      <c r="F57" s="136"/>
      <c r="G57" s="142"/>
      <c r="H57" s="131"/>
      <c r="I57" s="131"/>
      <c r="J57" s="146"/>
      <c r="K57" s="347"/>
      <c r="L57" s="348"/>
      <c r="M57" s="349"/>
    </row>
    <row r="58" spans="1:16" s="128" customFormat="1" ht="12" customHeight="1">
      <c r="A58" s="131" t="str">
        <f t="shared" si="4"/>
        <v xml:space="preserve"> </v>
      </c>
      <c r="B58" s="140"/>
      <c r="C58" s="143"/>
      <c r="D58" s="144"/>
      <c r="E58" s="135"/>
      <c r="F58" s="136"/>
      <c r="G58" s="142"/>
      <c r="H58" s="131"/>
      <c r="I58" s="131"/>
      <c r="J58" s="146"/>
      <c r="K58" s="350"/>
      <c r="L58" s="351"/>
      <c r="M58" s="352"/>
    </row>
    <row r="59" spans="1:16" s="128" customFormat="1" ht="12" customHeight="1">
      <c r="A59" s="131" t="str">
        <f t="shared" si="4"/>
        <v xml:space="preserve"> </v>
      </c>
      <c r="B59" s="137"/>
      <c r="C59" s="133"/>
      <c r="D59" s="134"/>
      <c r="E59" s="135"/>
      <c r="F59" s="136"/>
      <c r="G59" s="142"/>
      <c r="H59" s="131"/>
      <c r="I59" s="131"/>
      <c r="J59" s="146"/>
      <c r="K59" s="347"/>
      <c r="L59" s="348"/>
      <c r="M59" s="349"/>
    </row>
    <row r="60" spans="1:16" s="128" customFormat="1" ht="12" customHeight="1">
      <c r="A60" s="131" t="str">
        <f t="shared" si="4"/>
        <v xml:space="preserve"> </v>
      </c>
      <c r="B60" s="137"/>
      <c r="C60" s="133"/>
      <c r="D60" s="134"/>
      <c r="E60" s="135"/>
      <c r="F60" s="136"/>
      <c r="G60" s="142"/>
      <c r="H60" s="131"/>
      <c r="I60" s="131"/>
      <c r="J60" s="146"/>
      <c r="K60" s="347"/>
      <c r="L60" s="348"/>
      <c r="M60" s="349"/>
    </row>
    <row r="61" spans="1:16" ht="12" customHeight="1">
      <c r="A61" s="131" t="str">
        <f t="shared" si="4"/>
        <v xml:space="preserve"> </v>
      </c>
      <c r="B61" s="20"/>
      <c r="C61" s="133"/>
      <c r="D61" s="134"/>
      <c r="E61" s="135"/>
      <c r="F61" s="136"/>
      <c r="G61" s="142"/>
      <c r="H61" s="131"/>
      <c r="I61" s="131"/>
      <c r="J61" s="146"/>
      <c r="K61" s="133"/>
      <c r="L61" s="149"/>
      <c r="M61" s="150"/>
    </row>
    <row r="62" spans="1:16" ht="12" customHeight="1">
      <c r="A62" s="131" t="str">
        <f t="shared" si="4"/>
        <v xml:space="preserve"> </v>
      </c>
      <c r="B62" s="20"/>
      <c r="C62" s="133"/>
      <c r="D62" s="134"/>
      <c r="E62" s="135"/>
      <c r="F62" s="136"/>
      <c r="G62" s="142"/>
      <c r="H62" s="131"/>
      <c r="I62" s="131"/>
      <c r="J62" s="146"/>
      <c r="K62" s="133"/>
      <c r="L62" s="149"/>
      <c r="M62" s="150"/>
    </row>
    <row r="63" spans="1:16" ht="12" customHeight="1">
      <c r="A63" s="131" t="str">
        <f t="shared" si="4"/>
        <v xml:space="preserve"> </v>
      </c>
      <c r="B63" s="141"/>
      <c r="C63" s="133"/>
      <c r="D63" s="134"/>
      <c r="E63" s="135"/>
      <c r="F63" s="136"/>
      <c r="G63" s="142"/>
      <c r="H63" s="131"/>
      <c r="I63" s="131"/>
      <c r="J63" s="146"/>
      <c r="K63" s="133"/>
      <c r="L63" s="149"/>
      <c r="M63" s="150"/>
    </row>
    <row r="64" spans="1:16" ht="12" customHeight="1">
      <c r="A64" s="131" t="str">
        <f t="shared" si="4"/>
        <v xml:space="preserve"> </v>
      </c>
      <c r="B64" s="141"/>
      <c r="C64" s="133"/>
      <c r="D64" s="134"/>
      <c r="E64" s="135"/>
      <c r="F64" s="136"/>
      <c r="G64" s="142"/>
      <c r="H64" s="131"/>
      <c r="I64" s="131"/>
      <c r="J64" s="146"/>
      <c r="K64" s="133"/>
      <c r="L64" s="149"/>
      <c r="M64" s="150"/>
    </row>
    <row r="65" spans="1:13" ht="12" customHeight="1">
      <c r="A65" s="131" t="str">
        <f t="shared" si="4"/>
        <v xml:space="preserve"> </v>
      </c>
      <c r="B65" s="141"/>
      <c r="C65" s="133"/>
      <c r="D65" s="134"/>
      <c r="E65" s="135"/>
      <c r="F65" s="136"/>
      <c r="G65" s="142"/>
      <c r="H65" s="131"/>
      <c r="I65" s="131"/>
      <c r="J65" s="146"/>
      <c r="K65" s="133"/>
      <c r="L65" s="149"/>
      <c r="M65" s="150"/>
    </row>
    <row r="66" spans="1:13" ht="12" customHeight="1">
      <c r="A66" s="131" t="str">
        <f t="shared" si="4"/>
        <v xml:space="preserve"> </v>
      </c>
      <c r="B66" s="141"/>
      <c r="C66" s="133"/>
      <c r="D66" s="134"/>
      <c r="E66" s="135"/>
      <c r="F66" s="136"/>
      <c r="G66" s="142"/>
      <c r="H66" s="131"/>
      <c r="I66" s="131"/>
      <c r="J66" s="146"/>
      <c r="K66" s="133"/>
      <c r="L66" s="149"/>
      <c r="M66" s="150"/>
    </row>
    <row r="67" spans="1:13" ht="12" customHeight="1">
      <c r="A67" s="131" t="str">
        <f t="shared" si="4"/>
        <v xml:space="preserve"> </v>
      </c>
      <c r="B67" s="141"/>
      <c r="C67" s="133"/>
      <c r="D67" s="134"/>
      <c r="E67" s="135"/>
      <c r="F67" s="136"/>
      <c r="G67" s="142"/>
      <c r="H67" s="131"/>
      <c r="I67" s="131"/>
      <c r="J67" s="146"/>
      <c r="K67" s="133"/>
      <c r="L67" s="149"/>
      <c r="M67" s="150"/>
    </row>
    <row r="68" spans="1:13" ht="12" customHeight="1">
      <c r="A68" s="131" t="str">
        <f t="shared" si="4"/>
        <v xml:space="preserve"> </v>
      </c>
      <c r="B68" s="141"/>
      <c r="C68" s="133"/>
      <c r="D68" s="134"/>
      <c r="E68" s="135"/>
      <c r="F68" s="136"/>
      <c r="G68" s="142"/>
      <c r="H68" s="131"/>
      <c r="I68" s="131"/>
      <c r="J68" s="146"/>
      <c r="K68" s="133"/>
      <c r="L68" s="149"/>
      <c r="M68" s="150"/>
    </row>
    <row r="69" spans="1:13" ht="12" customHeight="1">
      <c r="A69" s="131" t="str">
        <f t="shared" si="4"/>
        <v xml:space="preserve"> </v>
      </c>
      <c r="B69" s="141"/>
      <c r="C69" s="133"/>
      <c r="D69" s="134"/>
      <c r="E69" s="135"/>
      <c r="F69" s="136"/>
      <c r="G69" s="142"/>
      <c r="H69" s="131"/>
      <c r="I69" s="131"/>
      <c r="J69" s="146"/>
      <c r="K69" s="133"/>
      <c r="L69" s="149"/>
      <c r="M69" s="150"/>
    </row>
    <row r="70" spans="1:13" ht="12" customHeight="1">
      <c r="A70" s="131" t="str">
        <f t="shared" si="4"/>
        <v xml:space="preserve"> </v>
      </c>
      <c r="B70" s="141"/>
      <c r="C70" s="133"/>
      <c r="D70" s="134"/>
      <c r="E70" s="135"/>
      <c r="F70" s="136"/>
      <c r="G70" s="142"/>
      <c r="H70" s="131"/>
      <c r="I70" s="131"/>
      <c r="J70" s="146"/>
      <c r="K70" s="133"/>
      <c r="L70" s="149"/>
      <c r="M70" s="150"/>
    </row>
    <row r="71" spans="1:13" ht="12" customHeight="1">
      <c r="A71" s="131" t="str">
        <f t="shared" si="4"/>
        <v xml:space="preserve"> </v>
      </c>
      <c r="B71" s="141"/>
      <c r="C71" s="133"/>
      <c r="D71" s="134"/>
      <c r="E71" s="135"/>
      <c r="F71" s="136"/>
      <c r="G71" s="142"/>
      <c r="H71" s="131"/>
      <c r="I71" s="131"/>
      <c r="J71" s="146"/>
      <c r="K71" s="133"/>
      <c r="L71" s="149"/>
      <c r="M71" s="150"/>
    </row>
    <row r="72" spans="1:13" ht="12" customHeight="1">
      <c r="A72" s="131" t="str">
        <f t="shared" si="4"/>
        <v xml:space="preserve"> </v>
      </c>
      <c r="B72" s="141"/>
      <c r="C72" s="133"/>
      <c r="D72" s="134"/>
      <c r="E72" s="135"/>
      <c r="F72" s="136"/>
      <c r="G72" s="142"/>
      <c r="H72" s="131"/>
      <c r="I72" s="131"/>
      <c r="J72" s="146"/>
      <c r="K72" s="133"/>
      <c r="L72" s="149"/>
      <c r="M72" s="150"/>
    </row>
    <row r="73" spans="1:13" ht="12" customHeight="1">
      <c r="A73" s="131" t="str">
        <f t="shared" si="4"/>
        <v xml:space="preserve"> </v>
      </c>
      <c r="B73" s="141"/>
      <c r="C73" s="133"/>
      <c r="D73" s="134"/>
      <c r="E73" s="135"/>
      <c r="F73" s="136"/>
      <c r="G73" s="142"/>
      <c r="H73" s="131"/>
      <c r="I73" s="131"/>
      <c r="J73" s="146"/>
      <c r="K73" s="133"/>
      <c r="L73" s="149"/>
      <c r="M73" s="150"/>
    </row>
    <row r="74" spans="1:13" ht="12" customHeight="1">
      <c r="A74" s="131" t="str">
        <f t="shared" si="4"/>
        <v xml:space="preserve"> </v>
      </c>
      <c r="B74" s="141"/>
      <c r="C74" s="133"/>
      <c r="D74" s="134"/>
      <c r="E74" s="135"/>
      <c r="F74" s="136"/>
      <c r="G74" s="142"/>
      <c r="H74" s="131"/>
      <c r="I74" s="131"/>
      <c r="J74" s="146"/>
      <c r="K74" s="133"/>
      <c r="L74" s="149"/>
      <c r="M74" s="150"/>
    </row>
    <row r="75" spans="1:13" ht="12" customHeight="1">
      <c r="A75" s="131" t="str">
        <f t="shared" si="4"/>
        <v xml:space="preserve"> </v>
      </c>
      <c r="B75" s="141"/>
      <c r="C75" s="133"/>
      <c r="D75" s="134"/>
      <c r="E75" s="135"/>
      <c r="F75" s="136"/>
      <c r="G75" s="142"/>
      <c r="H75" s="131"/>
      <c r="I75" s="131"/>
      <c r="J75" s="146"/>
      <c r="K75" s="133"/>
      <c r="L75" s="149"/>
      <c r="M75" s="150"/>
    </row>
    <row r="76" spans="1:13" ht="12" customHeight="1">
      <c r="A76" s="131" t="str">
        <f t="shared" si="4"/>
        <v xml:space="preserve"> </v>
      </c>
      <c r="B76" s="141"/>
      <c r="C76" s="133"/>
      <c r="D76" s="134"/>
      <c r="E76" s="135"/>
      <c r="F76" s="136"/>
      <c r="G76" s="142"/>
      <c r="H76" s="131"/>
      <c r="I76" s="131"/>
      <c r="J76" s="146"/>
      <c r="K76" s="133"/>
      <c r="L76" s="149"/>
      <c r="M76" s="150"/>
    </row>
    <row r="77" spans="1:13" ht="12" customHeight="1">
      <c r="A77" s="131" t="str">
        <f t="shared" si="4"/>
        <v xml:space="preserve"> </v>
      </c>
      <c r="B77" s="141"/>
      <c r="C77" s="133"/>
      <c r="D77" s="134"/>
      <c r="E77" s="135"/>
      <c r="F77" s="136"/>
      <c r="G77" s="142"/>
      <c r="H77" s="131"/>
      <c r="I77" s="131"/>
      <c r="J77" s="146"/>
      <c r="K77" s="133"/>
      <c r="L77" s="149"/>
      <c r="M77" s="150"/>
    </row>
    <row r="78" spans="1:13" ht="12" customHeight="1">
      <c r="A78" s="131" t="str">
        <f t="shared" si="4"/>
        <v xml:space="preserve"> </v>
      </c>
      <c r="B78" s="141"/>
      <c r="C78" s="133"/>
      <c r="D78" s="134"/>
      <c r="E78" s="135"/>
      <c r="F78" s="136"/>
      <c r="G78" s="142"/>
      <c r="H78" s="131"/>
      <c r="I78" s="131"/>
      <c r="J78" s="146"/>
      <c r="K78" s="133"/>
      <c r="L78" s="149"/>
      <c r="M78" s="150"/>
    </row>
    <row r="79" spans="1:13" ht="12" customHeight="1">
      <c r="A79" s="131" t="str">
        <f t="shared" si="4"/>
        <v xml:space="preserve"> </v>
      </c>
      <c r="B79" s="141"/>
      <c r="C79" s="133"/>
      <c r="D79" s="134"/>
      <c r="E79" s="135"/>
      <c r="F79" s="136"/>
      <c r="G79" s="142"/>
      <c r="H79" s="131"/>
      <c r="I79" s="131"/>
      <c r="J79" s="146"/>
      <c r="K79" s="133"/>
      <c r="L79" s="149"/>
      <c r="M79" s="150"/>
    </row>
    <row r="80" spans="1:13" ht="12" customHeight="1">
      <c r="A80" s="131" t="str">
        <f t="shared" si="4"/>
        <v xml:space="preserve"> </v>
      </c>
      <c r="B80" s="141"/>
      <c r="C80" s="133"/>
      <c r="D80" s="134"/>
      <c r="E80" s="135"/>
      <c r="F80" s="136"/>
      <c r="G80" s="142"/>
      <c r="H80" s="131"/>
      <c r="I80" s="131"/>
      <c r="J80" s="146"/>
      <c r="K80" s="133"/>
      <c r="L80" s="149"/>
      <c r="M80" s="150"/>
    </row>
    <row r="81" spans="1:16" ht="12" customHeight="1">
      <c r="A81" s="131" t="str">
        <f t="shared" si="4"/>
        <v xml:space="preserve"> </v>
      </c>
      <c r="B81" s="141"/>
      <c r="C81" s="133"/>
      <c r="D81" s="134"/>
      <c r="E81" s="135"/>
      <c r="F81" s="136"/>
      <c r="G81" s="142"/>
      <c r="H81" s="131"/>
      <c r="I81" s="131"/>
      <c r="J81" s="146"/>
      <c r="K81" s="133"/>
      <c r="L81" s="149"/>
      <c r="M81" s="150"/>
    </row>
    <row r="82" spans="1:16" ht="12" customHeight="1">
      <c r="A82" s="131" t="str">
        <f t="shared" si="4"/>
        <v xml:space="preserve"> </v>
      </c>
      <c r="B82" s="141"/>
      <c r="C82" s="133"/>
      <c r="D82" s="134"/>
      <c r="E82" s="135"/>
      <c r="F82" s="136"/>
      <c r="G82" s="142"/>
      <c r="H82" s="131"/>
      <c r="I82" s="131"/>
      <c r="J82" s="146"/>
      <c r="K82" s="133"/>
      <c r="L82" s="149"/>
      <c r="M82" s="150"/>
    </row>
    <row r="83" spans="1:16" ht="12" customHeight="1">
      <c r="A83" s="131" t="str">
        <f t="shared" si="4"/>
        <v xml:space="preserve"> </v>
      </c>
      <c r="B83" s="141"/>
      <c r="C83" s="133"/>
      <c r="D83" s="134"/>
      <c r="E83" s="135"/>
      <c r="F83" s="136"/>
      <c r="G83" s="142"/>
      <c r="H83" s="131"/>
      <c r="I83" s="131"/>
      <c r="J83" s="146"/>
      <c r="K83" s="133"/>
      <c r="L83" s="149"/>
      <c r="M83" s="150"/>
    </row>
    <row r="84" spans="1:16" ht="12" customHeight="1">
      <c r="A84" s="131" t="str">
        <f t="shared" si="4"/>
        <v xml:space="preserve"> </v>
      </c>
      <c r="B84" s="141"/>
      <c r="C84" s="133"/>
      <c r="D84" s="134"/>
      <c r="E84" s="135"/>
      <c r="F84" s="136"/>
      <c r="G84" s="142"/>
      <c r="H84" s="131"/>
      <c r="I84" s="131"/>
      <c r="J84" s="146"/>
      <c r="K84" s="133"/>
      <c r="L84" s="149"/>
      <c r="M84" s="150"/>
    </row>
    <row r="85" spans="1:16" s="128" customFormat="1" ht="12" customHeight="1">
      <c r="A85" s="131"/>
      <c r="B85" s="141"/>
      <c r="C85" s="133"/>
      <c r="D85" s="134"/>
      <c r="E85" s="135"/>
      <c r="F85" s="136"/>
      <c r="G85" s="142"/>
      <c r="H85" s="131"/>
      <c r="I85" s="131"/>
      <c r="J85" s="146"/>
      <c r="K85" s="341"/>
      <c r="L85" s="342"/>
      <c r="M85" s="343"/>
    </row>
    <row r="86" spans="1:16" s="128" customFormat="1" ht="12" customHeight="1">
      <c r="A86" s="131"/>
      <c r="B86" s="132"/>
      <c r="C86" s="138"/>
      <c r="D86" s="139"/>
      <c r="E86" s="135"/>
      <c r="F86" s="136"/>
      <c r="G86" s="142"/>
      <c r="H86" s="131"/>
      <c r="I86" s="131"/>
      <c r="J86" s="146"/>
      <c r="K86" s="341"/>
      <c r="L86" s="342"/>
      <c r="M86" s="343"/>
    </row>
    <row r="87" spans="1:16" s="128" customFormat="1" ht="12" customHeight="1">
      <c r="A87" s="131" t="str">
        <f>IF(B87=""," ",#REF!+1)</f>
        <v xml:space="preserve"> </v>
      </c>
      <c r="B87" s="140"/>
      <c r="C87" s="143"/>
      <c r="D87" s="144"/>
      <c r="E87" s="135"/>
      <c r="F87" s="136"/>
      <c r="G87" s="142"/>
      <c r="H87" s="131"/>
      <c r="I87" s="131"/>
      <c r="J87" s="146"/>
      <c r="K87" s="350"/>
      <c r="L87" s="351"/>
      <c r="M87" s="352"/>
      <c r="P87" s="128" t="s">
        <v>174</v>
      </c>
    </row>
    <row r="88" spans="1:16" ht="12" customHeight="1">
      <c r="A88" s="131" t="str">
        <f t="shared" ref="A88:A100" si="5">IF(B88=""," ",A87+1)</f>
        <v xml:space="preserve"> </v>
      </c>
      <c r="B88" s="20"/>
      <c r="C88" s="133"/>
      <c r="D88" s="134"/>
      <c r="E88" s="135"/>
      <c r="F88" s="136"/>
      <c r="G88" s="142"/>
      <c r="H88" s="131"/>
      <c r="I88" s="131"/>
      <c r="J88" s="146"/>
      <c r="K88" s="133"/>
      <c r="L88" s="149"/>
      <c r="M88" s="150"/>
    </row>
    <row r="89" spans="1:16" s="128" customFormat="1" ht="12" customHeight="1">
      <c r="A89" s="131" t="str">
        <f t="shared" si="5"/>
        <v xml:space="preserve"> </v>
      </c>
      <c r="B89" s="140"/>
      <c r="C89" s="143"/>
      <c r="D89" s="144"/>
      <c r="E89" s="135"/>
      <c r="F89" s="136"/>
      <c r="G89" s="142"/>
      <c r="H89" s="131"/>
      <c r="I89" s="131"/>
      <c r="J89" s="146"/>
      <c r="K89" s="350"/>
      <c r="L89" s="351"/>
      <c r="M89" s="352"/>
      <c r="P89" s="128" t="s">
        <v>195</v>
      </c>
    </row>
    <row r="90" spans="1:16" s="128" customFormat="1" ht="12" customHeight="1">
      <c r="A90" s="131" t="str">
        <f t="shared" si="5"/>
        <v xml:space="preserve"> </v>
      </c>
      <c r="B90" s="140"/>
      <c r="C90" s="143"/>
      <c r="D90" s="144"/>
      <c r="E90" s="135"/>
      <c r="F90" s="136"/>
      <c r="G90" s="142"/>
      <c r="H90" s="131"/>
      <c r="I90" s="131"/>
      <c r="J90" s="146"/>
      <c r="K90" s="350"/>
      <c r="L90" s="351"/>
      <c r="M90" s="352"/>
    </row>
    <row r="91" spans="1:16" s="128" customFormat="1" ht="12" customHeight="1">
      <c r="A91" s="131" t="str">
        <f t="shared" si="5"/>
        <v xml:space="preserve"> </v>
      </c>
      <c r="B91" s="137"/>
      <c r="C91" s="145"/>
      <c r="D91" s="134"/>
      <c r="E91" s="135"/>
      <c r="F91" s="136"/>
      <c r="G91" s="142"/>
      <c r="H91" s="131"/>
      <c r="I91" s="131"/>
      <c r="J91" s="146"/>
      <c r="K91" s="347"/>
      <c r="L91" s="348"/>
      <c r="M91" s="349"/>
    </row>
    <row r="92" spans="1:16" s="128" customFormat="1" ht="12" customHeight="1">
      <c r="A92" s="131" t="str">
        <f t="shared" si="5"/>
        <v xml:space="preserve"> </v>
      </c>
      <c r="B92" s="140"/>
      <c r="C92" s="143"/>
      <c r="D92" s="144"/>
      <c r="E92" s="135"/>
      <c r="F92" s="136"/>
      <c r="G92" s="142"/>
      <c r="H92" s="131"/>
      <c r="I92" s="131"/>
      <c r="J92" s="146"/>
      <c r="K92" s="350"/>
      <c r="L92" s="351"/>
      <c r="M92" s="352"/>
    </row>
    <row r="93" spans="1:16" s="128" customFormat="1" ht="12" customHeight="1">
      <c r="A93" s="131" t="str">
        <f t="shared" si="5"/>
        <v xml:space="preserve"> </v>
      </c>
      <c r="B93" s="137"/>
      <c r="C93" s="133"/>
      <c r="D93" s="134"/>
      <c r="E93" s="135"/>
      <c r="F93" s="136"/>
      <c r="G93" s="142"/>
      <c r="H93" s="131"/>
      <c r="I93" s="131"/>
      <c r="J93" s="146"/>
      <c r="K93" s="347"/>
      <c r="L93" s="348"/>
      <c r="M93" s="349"/>
    </row>
    <row r="94" spans="1:16" s="128" customFormat="1" ht="12" customHeight="1">
      <c r="A94" s="131" t="str">
        <f t="shared" si="5"/>
        <v xml:space="preserve"> </v>
      </c>
      <c r="B94" s="137"/>
      <c r="C94" s="133"/>
      <c r="D94" s="134"/>
      <c r="E94" s="135"/>
      <c r="F94" s="136"/>
      <c r="G94" s="142"/>
      <c r="H94" s="131"/>
      <c r="I94" s="131"/>
      <c r="J94" s="146"/>
      <c r="K94" s="347"/>
      <c r="L94" s="348"/>
      <c r="M94" s="349"/>
    </row>
    <row r="95" spans="1:16" ht="12" customHeight="1">
      <c r="A95" s="131" t="str">
        <f t="shared" si="5"/>
        <v xml:space="preserve"> </v>
      </c>
      <c r="B95" s="20"/>
      <c r="C95" s="133"/>
      <c r="D95" s="134"/>
      <c r="E95" s="135"/>
      <c r="F95" s="136"/>
      <c r="G95" s="142"/>
      <c r="H95" s="131"/>
      <c r="I95" s="131"/>
      <c r="J95" s="146"/>
      <c r="K95" s="133"/>
      <c r="L95" s="149"/>
      <c r="M95" s="150"/>
    </row>
    <row r="96" spans="1:16" ht="12" customHeight="1">
      <c r="A96" s="131" t="str">
        <f t="shared" si="5"/>
        <v xml:space="preserve"> </v>
      </c>
      <c r="B96" s="20"/>
      <c r="C96" s="133"/>
      <c r="D96" s="134"/>
      <c r="E96" s="135"/>
      <c r="F96" s="136"/>
      <c r="G96" s="142"/>
      <c r="H96" s="131"/>
      <c r="I96" s="131"/>
      <c r="J96" s="146"/>
      <c r="K96" s="133"/>
      <c r="L96" s="149"/>
      <c r="M96" s="150"/>
    </row>
    <row r="97" spans="1:13" ht="12" customHeight="1">
      <c r="A97" s="131" t="str">
        <f t="shared" si="5"/>
        <v xml:space="preserve"> </v>
      </c>
      <c r="B97" s="141"/>
      <c r="C97" s="133"/>
      <c r="D97" s="134"/>
      <c r="E97" s="135"/>
      <c r="F97" s="136"/>
      <c r="G97" s="142"/>
      <c r="H97" s="131"/>
      <c r="I97" s="131"/>
      <c r="J97" s="146"/>
      <c r="K97" s="133"/>
      <c r="L97" s="149"/>
      <c r="M97" s="150"/>
    </row>
    <row r="98" spans="1:13" ht="12" customHeight="1">
      <c r="A98" s="131" t="str">
        <f t="shared" si="5"/>
        <v xml:space="preserve"> </v>
      </c>
      <c r="B98" s="141"/>
      <c r="C98" s="133"/>
      <c r="D98" s="134"/>
      <c r="E98" s="135"/>
      <c r="F98" s="136"/>
      <c r="G98" s="142"/>
      <c r="H98" s="131"/>
      <c r="I98" s="131"/>
      <c r="J98" s="146"/>
      <c r="K98" s="133"/>
      <c r="L98" s="149"/>
      <c r="M98" s="150"/>
    </row>
    <row r="99" spans="1:13" ht="12" customHeight="1">
      <c r="A99" s="131" t="str">
        <f t="shared" si="5"/>
        <v xml:space="preserve"> </v>
      </c>
      <c r="B99" s="141"/>
      <c r="C99" s="133"/>
      <c r="D99" s="134"/>
      <c r="E99" s="135"/>
      <c r="F99" s="136"/>
      <c r="G99" s="142"/>
      <c r="H99" s="131"/>
      <c r="I99" s="131"/>
      <c r="J99" s="146"/>
      <c r="K99" s="133"/>
      <c r="L99" s="149"/>
      <c r="M99" s="150"/>
    </row>
    <row r="100" spans="1:13" ht="12" customHeight="1">
      <c r="A100" s="131" t="str">
        <f t="shared" si="5"/>
        <v xml:space="preserve"> </v>
      </c>
      <c r="B100" s="141"/>
      <c r="C100" s="133"/>
      <c r="D100" s="134"/>
      <c r="E100" s="135"/>
      <c r="F100" s="136"/>
      <c r="G100" s="142"/>
      <c r="H100" s="131"/>
      <c r="I100" s="131"/>
      <c r="J100" s="146"/>
      <c r="K100" s="133"/>
      <c r="L100" s="149"/>
      <c r="M100" s="150"/>
    </row>
    <row r="102" spans="1:13" s="75" customFormat="1">
      <c r="A102" s="76"/>
      <c r="B102" s="75" t="s">
        <v>235</v>
      </c>
    </row>
    <row r="103" spans="1:13" s="75" customFormat="1" ht="12" customHeight="1">
      <c r="A103" s="76"/>
    </row>
    <row r="104" spans="1:13" s="75" customFormat="1">
      <c r="A104" s="76"/>
      <c r="B104" s="75" t="s">
        <v>236</v>
      </c>
      <c r="C104" s="75" t="s">
        <v>238</v>
      </c>
    </row>
  </sheetData>
  <mergeCells count="46">
    <mergeCell ref="K93:M93"/>
    <mergeCell ref="K94:M94"/>
    <mergeCell ref="A5:A6"/>
    <mergeCell ref="K5:M6"/>
    <mergeCell ref="K87:M87"/>
    <mergeCell ref="K89:M89"/>
    <mergeCell ref="K90:M90"/>
    <mergeCell ref="K91:M91"/>
    <mergeCell ref="K92:M92"/>
    <mergeCell ref="K58:M58"/>
    <mergeCell ref="K59:M59"/>
    <mergeCell ref="K60:M60"/>
    <mergeCell ref="K85:M85"/>
    <mergeCell ref="K86:M86"/>
    <mergeCell ref="K52:M52"/>
    <mergeCell ref="K53:M53"/>
    <mergeCell ref="K55:M55"/>
    <mergeCell ref="K56:M56"/>
    <mergeCell ref="K57:M57"/>
    <mergeCell ref="K23:M23"/>
    <mergeCell ref="K24:M24"/>
    <mergeCell ref="K25:M25"/>
    <mergeCell ref="K26:M26"/>
    <mergeCell ref="K51:M51"/>
    <mergeCell ref="K17:M17"/>
    <mergeCell ref="K18:M18"/>
    <mergeCell ref="K19:M19"/>
    <mergeCell ref="K21:M21"/>
    <mergeCell ref="K22:M22"/>
    <mergeCell ref="K7:M7"/>
    <mergeCell ref="K12:M12"/>
    <mergeCell ref="K13:M13"/>
    <mergeCell ref="K14:M14"/>
    <mergeCell ref="K15:M15"/>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Q113"/>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1366</v>
      </c>
      <c r="D3" s="265"/>
      <c r="E3" s="265"/>
      <c r="F3" s="265"/>
      <c r="G3" s="266"/>
      <c r="H3" s="259" t="s">
        <v>140</v>
      </c>
      <c r="I3" s="260"/>
      <c r="J3" s="90">
        <f>COUNT(A7:A100)</f>
        <v>11</v>
      </c>
      <c r="K3" s="78" t="s">
        <v>141</v>
      </c>
      <c r="L3" s="91">
        <v>38644</v>
      </c>
      <c r="M3" s="92" t="s">
        <v>142</v>
      </c>
      <c r="O3" s="75" t="s">
        <v>143</v>
      </c>
      <c r="P3" s="75" t="s">
        <v>144</v>
      </c>
    </row>
    <row r="4" spans="1:16" ht="12" customHeight="1">
      <c r="A4" s="267" t="s">
        <v>145</v>
      </c>
      <c r="B4" s="268"/>
      <c r="C4" s="267" t="s">
        <v>54</v>
      </c>
      <c r="D4" s="269"/>
      <c r="E4" s="269"/>
      <c r="F4" s="269"/>
      <c r="G4" s="268"/>
      <c r="H4" s="259" t="s">
        <v>146</v>
      </c>
      <c r="I4" s="260"/>
      <c r="J4" s="90">
        <f>SUM(G7:G100)</f>
        <v>86</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17" si="0">IF(D7="DATE",4,IF(D7="CHAR",E7,IF(D7="SMALLINT",2,IF(D7="INTEGER",4,IF(D7="TIMESTAMP",10,IF(D7="TIME",3,0))))))</f>
        <v>4</v>
      </c>
      <c r="H7" s="83" t="s">
        <v>149</v>
      </c>
      <c r="I7" s="83" t="s">
        <v>149</v>
      </c>
      <c r="J7" s="93"/>
      <c r="K7" s="308"/>
      <c r="L7" s="278"/>
      <c r="M7" s="279"/>
      <c r="P7" s="75" t="s">
        <v>165</v>
      </c>
    </row>
    <row r="8" spans="1:16" ht="12" customHeight="1">
      <c r="A8" s="83">
        <f t="shared" ref="A8:A39" si="1">IF(B8=""," ",A7+1)</f>
        <v>2</v>
      </c>
      <c r="B8" s="20" t="s">
        <v>770</v>
      </c>
      <c r="C8" s="21" t="s">
        <v>771</v>
      </c>
      <c r="D8" s="13" t="s">
        <v>150</v>
      </c>
      <c r="E8" s="85">
        <v>10</v>
      </c>
      <c r="F8" s="86"/>
      <c r="G8" s="87">
        <f t="shared" si="0"/>
        <v>10</v>
      </c>
      <c r="H8" s="83" t="s">
        <v>149</v>
      </c>
      <c r="I8" s="83" t="s">
        <v>149</v>
      </c>
      <c r="J8" s="93"/>
      <c r="K8" s="21"/>
      <c r="L8" s="29"/>
      <c r="M8" s="30"/>
      <c r="P8" s="75" t="s">
        <v>174</v>
      </c>
    </row>
    <row r="9" spans="1:16" ht="12" customHeight="1">
      <c r="A9" s="83">
        <f t="shared" si="1"/>
        <v>3</v>
      </c>
      <c r="B9" s="11" t="s">
        <v>1367</v>
      </c>
      <c r="C9" s="21" t="s">
        <v>1368</v>
      </c>
      <c r="D9" s="13" t="s">
        <v>234</v>
      </c>
      <c r="E9" s="85"/>
      <c r="F9" s="86"/>
      <c r="G9" s="87">
        <f t="shared" si="0"/>
        <v>10</v>
      </c>
      <c r="H9" s="83" t="s">
        <v>149</v>
      </c>
      <c r="I9" s="199"/>
      <c r="J9" s="93"/>
      <c r="K9" s="308"/>
      <c r="L9" s="278"/>
      <c r="M9" s="279"/>
    </row>
    <row r="10" spans="1:16" ht="12" customHeight="1">
      <c r="A10" s="83">
        <f t="shared" si="1"/>
        <v>4</v>
      </c>
      <c r="B10" s="74" t="s">
        <v>1369</v>
      </c>
      <c r="C10" s="84" t="s">
        <v>1370</v>
      </c>
      <c r="D10" s="88" t="s">
        <v>150</v>
      </c>
      <c r="E10" s="85">
        <v>8</v>
      </c>
      <c r="F10" s="86"/>
      <c r="G10" s="87">
        <f t="shared" si="0"/>
        <v>8</v>
      </c>
      <c r="H10" s="83" t="s">
        <v>149</v>
      </c>
      <c r="I10" s="83"/>
      <c r="J10" s="93"/>
      <c r="K10" s="280"/>
      <c r="L10" s="291"/>
      <c r="M10" s="292"/>
      <c r="N10" s="99"/>
    </row>
    <row r="11" spans="1:16" ht="12" customHeight="1">
      <c r="A11" s="83">
        <f t="shared" si="1"/>
        <v>5</v>
      </c>
      <c r="B11" s="11" t="s">
        <v>1371</v>
      </c>
      <c r="C11" s="21" t="s">
        <v>1372</v>
      </c>
      <c r="D11" s="13" t="s">
        <v>234</v>
      </c>
      <c r="E11" s="85"/>
      <c r="F11" s="86"/>
      <c r="G11" s="87">
        <f t="shared" si="0"/>
        <v>10</v>
      </c>
      <c r="H11" s="83" t="s">
        <v>149</v>
      </c>
      <c r="I11" s="83"/>
      <c r="J11" s="93"/>
      <c r="K11" s="308"/>
      <c r="L11" s="278"/>
      <c r="M11" s="279"/>
    </row>
    <row r="12" spans="1:16" ht="12" customHeight="1">
      <c r="A12" s="83">
        <f t="shared" si="1"/>
        <v>6</v>
      </c>
      <c r="B12" s="11" t="s">
        <v>1373</v>
      </c>
      <c r="C12" s="21" t="s">
        <v>1374</v>
      </c>
      <c r="D12" s="13" t="s">
        <v>150</v>
      </c>
      <c r="E12" s="85">
        <v>10</v>
      </c>
      <c r="F12" s="86"/>
      <c r="G12" s="87">
        <f t="shared" si="0"/>
        <v>10</v>
      </c>
      <c r="H12" s="83" t="s">
        <v>149</v>
      </c>
      <c r="I12" s="83"/>
      <c r="J12" s="93"/>
      <c r="K12" s="21"/>
      <c r="L12" s="29"/>
      <c r="M12" s="30"/>
    </row>
    <row r="13" spans="1:16" ht="12" customHeight="1">
      <c r="A13" s="83">
        <f t="shared" si="1"/>
        <v>7</v>
      </c>
      <c r="B13" s="11" t="s">
        <v>1375</v>
      </c>
      <c r="C13" s="21" t="s">
        <v>1376</v>
      </c>
      <c r="D13" s="13" t="s">
        <v>174</v>
      </c>
      <c r="E13" s="85"/>
      <c r="F13" s="86"/>
      <c r="G13" s="87">
        <f t="shared" si="0"/>
        <v>2</v>
      </c>
      <c r="H13" s="83" t="s">
        <v>149</v>
      </c>
      <c r="I13" s="83"/>
      <c r="J13" s="93"/>
      <c r="K13" s="21"/>
      <c r="L13" s="29"/>
      <c r="M13" s="30"/>
    </row>
    <row r="14" spans="1:16" ht="12" customHeight="1">
      <c r="A14" s="83">
        <f t="shared" si="1"/>
        <v>8</v>
      </c>
      <c r="B14" s="11" t="s">
        <v>1377</v>
      </c>
      <c r="C14" s="21" t="s">
        <v>1378</v>
      </c>
      <c r="D14" s="13" t="s">
        <v>234</v>
      </c>
      <c r="E14" s="85"/>
      <c r="F14" s="86"/>
      <c r="G14" s="87">
        <f t="shared" si="0"/>
        <v>10</v>
      </c>
      <c r="H14" s="83" t="s">
        <v>149</v>
      </c>
      <c r="I14" s="83"/>
      <c r="J14" s="93"/>
      <c r="K14" s="308"/>
      <c r="L14" s="278"/>
      <c r="M14" s="279"/>
    </row>
    <row r="15" spans="1:16" ht="12" customHeight="1">
      <c r="A15" s="83">
        <f t="shared" si="1"/>
        <v>9</v>
      </c>
      <c r="B15" s="11" t="s">
        <v>1379</v>
      </c>
      <c r="C15" s="21" t="s">
        <v>1380</v>
      </c>
      <c r="D15" s="13" t="s">
        <v>150</v>
      </c>
      <c r="E15" s="85">
        <v>10</v>
      </c>
      <c r="F15" s="86"/>
      <c r="G15" s="87">
        <f t="shared" si="0"/>
        <v>10</v>
      </c>
      <c r="H15" s="83" t="s">
        <v>149</v>
      </c>
      <c r="I15" s="83"/>
      <c r="J15" s="93"/>
      <c r="K15" s="21"/>
      <c r="L15" s="29"/>
      <c r="M15" s="30"/>
    </row>
    <row r="16" spans="1:16" ht="12" customHeight="1">
      <c r="A16" s="83">
        <f t="shared" si="1"/>
        <v>10</v>
      </c>
      <c r="B16" s="11" t="s">
        <v>1381</v>
      </c>
      <c r="C16" s="21" t="s">
        <v>1382</v>
      </c>
      <c r="D16" s="13" t="s">
        <v>174</v>
      </c>
      <c r="E16" s="85"/>
      <c r="F16" s="86"/>
      <c r="G16" s="87">
        <f t="shared" si="0"/>
        <v>2</v>
      </c>
      <c r="H16" s="83" t="s">
        <v>149</v>
      </c>
      <c r="I16" s="83"/>
      <c r="J16" s="93"/>
      <c r="K16" s="21"/>
      <c r="L16" s="29"/>
      <c r="M16" s="30"/>
    </row>
    <row r="17" spans="1:16" ht="12" customHeight="1">
      <c r="A17" s="83">
        <f t="shared" si="1"/>
        <v>11</v>
      </c>
      <c r="B17" s="74" t="s">
        <v>232</v>
      </c>
      <c r="C17" s="84" t="s">
        <v>233</v>
      </c>
      <c r="D17" s="88" t="s">
        <v>234</v>
      </c>
      <c r="E17" s="85"/>
      <c r="F17" s="86"/>
      <c r="G17" s="87">
        <f t="shared" si="0"/>
        <v>10</v>
      </c>
      <c r="H17" s="83" t="s">
        <v>149</v>
      </c>
      <c r="I17" s="83"/>
      <c r="J17" s="93"/>
      <c r="K17" s="84"/>
      <c r="L17" s="94"/>
      <c r="M17" s="95"/>
    </row>
    <row r="18" spans="1:16" ht="12" customHeight="1">
      <c r="A18" s="83" t="str">
        <f t="shared" si="1"/>
        <v xml:space="preserve"> </v>
      </c>
      <c r="B18" s="20"/>
      <c r="C18" s="84"/>
      <c r="D18" s="88"/>
      <c r="E18" s="85"/>
      <c r="F18" s="86"/>
      <c r="G18" s="87"/>
      <c r="H18" s="83"/>
      <c r="I18" s="83"/>
      <c r="J18" s="93"/>
      <c r="K18" s="274"/>
      <c r="L18" s="275"/>
      <c r="M18" s="276"/>
    </row>
    <row r="19" spans="1:16" ht="12" customHeight="1">
      <c r="A19" s="83" t="str">
        <f t="shared" si="1"/>
        <v xml:space="preserve"> </v>
      </c>
      <c r="B19" s="11"/>
      <c r="C19" s="22"/>
      <c r="D19" s="30"/>
      <c r="E19" s="85"/>
      <c r="F19" s="86"/>
      <c r="G19" s="87"/>
      <c r="H19" s="83"/>
      <c r="I19" s="83"/>
      <c r="J19" s="93"/>
      <c r="K19" s="271"/>
      <c r="L19" s="272"/>
      <c r="M19" s="273"/>
      <c r="P19" s="75" t="s">
        <v>174</v>
      </c>
    </row>
    <row r="20" spans="1:16" ht="12" customHeight="1">
      <c r="A20" s="83" t="str">
        <f t="shared" si="1"/>
        <v xml:space="preserve"> </v>
      </c>
      <c r="B20" s="20"/>
      <c r="C20" s="84"/>
      <c r="D20" s="88"/>
      <c r="E20" s="85"/>
      <c r="F20" s="86"/>
      <c r="G20" s="87"/>
      <c r="H20" s="83"/>
      <c r="I20" s="83"/>
      <c r="J20" s="93"/>
      <c r="K20" s="84"/>
      <c r="L20" s="94"/>
      <c r="M20" s="95"/>
    </row>
    <row r="21" spans="1:16" ht="12" customHeight="1">
      <c r="A21" s="83" t="str">
        <f t="shared" si="1"/>
        <v xml:space="preserve"> </v>
      </c>
      <c r="B21" s="11"/>
      <c r="C21" s="22"/>
      <c r="D21" s="30"/>
      <c r="E21" s="85"/>
      <c r="F21" s="86"/>
      <c r="G21" s="87"/>
      <c r="H21" s="83"/>
      <c r="I21" s="83"/>
      <c r="J21" s="93"/>
      <c r="K21" s="271"/>
      <c r="L21" s="272"/>
      <c r="M21" s="273"/>
      <c r="P21" s="75" t="s">
        <v>195</v>
      </c>
    </row>
    <row r="22" spans="1:16" ht="12" customHeight="1">
      <c r="A22" s="83" t="str">
        <f t="shared" si="1"/>
        <v xml:space="preserve"> </v>
      </c>
      <c r="B22" s="11"/>
      <c r="C22" s="22"/>
      <c r="D22" s="30"/>
      <c r="E22" s="85"/>
      <c r="F22" s="86"/>
      <c r="G22" s="87"/>
      <c r="H22" s="83"/>
      <c r="I22" s="83"/>
      <c r="J22" s="93"/>
      <c r="K22" s="271"/>
      <c r="L22" s="272"/>
      <c r="M22" s="273"/>
    </row>
    <row r="23" spans="1:16" ht="12" customHeight="1">
      <c r="A23" s="83" t="str">
        <f t="shared" si="1"/>
        <v xml:space="preserve"> </v>
      </c>
      <c r="B23" s="20"/>
      <c r="C23" s="110"/>
      <c r="D23" s="88"/>
      <c r="E23" s="85"/>
      <c r="F23" s="86"/>
      <c r="G23" s="87"/>
      <c r="H23" s="83"/>
      <c r="I23" s="83"/>
      <c r="J23" s="93"/>
      <c r="K23" s="274"/>
      <c r="L23" s="275"/>
      <c r="M23" s="276"/>
    </row>
    <row r="24" spans="1:16" ht="12" customHeight="1">
      <c r="A24" s="83" t="str">
        <f t="shared" si="1"/>
        <v xml:space="preserve"> </v>
      </c>
      <c r="B24" s="11"/>
      <c r="C24" s="22"/>
      <c r="D24" s="30"/>
      <c r="E24" s="85"/>
      <c r="F24" s="86"/>
      <c r="G24" s="87"/>
      <c r="H24" s="83"/>
      <c r="I24" s="83"/>
      <c r="J24" s="93"/>
      <c r="K24" s="271"/>
      <c r="L24" s="272"/>
      <c r="M24" s="273"/>
    </row>
    <row r="25" spans="1:16" ht="12" customHeight="1">
      <c r="A25" s="83" t="str">
        <f t="shared" si="1"/>
        <v xml:space="preserve"> </v>
      </c>
      <c r="B25" s="20"/>
      <c r="C25" s="84"/>
      <c r="D25" s="88"/>
      <c r="E25" s="85"/>
      <c r="F25" s="86"/>
      <c r="G25" s="87"/>
      <c r="H25" s="83"/>
      <c r="I25" s="83"/>
      <c r="J25" s="93"/>
      <c r="K25" s="274"/>
      <c r="L25" s="275"/>
      <c r="M25" s="276"/>
    </row>
    <row r="26" spans="1:16" ht="12" customHeight="1">
      <c r="A26" s="83" t="str">
        <f t="shared" si="1"/>
        <v xml:space="preserve"> </v>
      </c>
      <c r="B26" s="20"/>
      <c r="C26" s="84"/>
      <c r="D26" s="88"/>
      <c r="E26" s="85"/>
      <c r="F26" s="86"/>
      <c r="G26" s="87"/>
      <c r="H26" s="83"/>
      <c r="I26" s="83"/>
      <c r="J26" s="93"/>
      <c r="K26" s="274"/>
      <c r="L26" s="275"/>
      <c r="M26" s="276"/>
    </row>
    <row r="27" spans="1:16" ht="12" customHeight="1">
      <c r="A27" s="83" t="str">
        <f t="shared" si="1"/>
        <v xml:space="preserve"> </v>
      </c>
      <c r="B27" s="20"/>
      <c r="C27" s="84"/>
      <c r="D27" s="88"/>
      <c r="E27" s="85"/>
      <c r="F27" s="86"/>
      <c r="G27" s="87"/>
      <c r="H27" s="83"/>
      <c r="I27" s="83"/>
      <c r="J27" s="93"/>
      <c r="K27" s="84"/>
      <c r="L27" s="94"/>
      <c r="M27" s="95"/>
    </row>
    <row r="28" spans="1:16" ht="12" customHeight="1">
      <c r="A28" s="83" t="str">
        <f t="shared" si="1"/>
        <v xml:space="preserve"> </v>
      </c>
      <c r="B28" s="20"/>
      <c r="C28" s="84"/>
      <c r="D28" s="88"/>
      <c r="E28" s="85"/>
      <c r="F28" s="86"/>
      <c r="G28" s="87"/>
      <c r="H28" s="83"/>
      <c r="I28" s="83"/>
      <c r="J28" s="93"/>
      <c r="K28" s="84"/>
      <c r="L28" s="94"/>
      <c r="M28" s="95"/>
    </row>
    <row r="29" spans="1:16" ht="12" customHeight="1">
      <c r="A29" s="83" t="str">
        <f t="shared" si="1"/>
        <v xml:space="preserve"> </v>
      </c>
      <c r="B29" s="74"/>
      <c r="C29" s="84"/>
      <c r="D29" s="88"/>
      <c r="E29" s="85"/>
      <c r="F29" s="86"/>
      <c r="G29" s="87"/>
      <c r="H29" s="83"/>
      <c r="I29" s="83"/>
      <c r="J29" s="93"/>
      <c r="K29" s="84"/>
      <c r="L29" s="94"/>
      <c r="M29" s="95"/>
    </row>
    <row r="30" spans="1:16" ht="12" customHeight="1">
      <c r="A30" s="83" t="str">
        <f t="shared" si="1"/>
        <v xml:space="preserve"> </v>
      </c>
      <c r="B30" s="74"/>
      <c r="C30" s="84"/>
      <c r="D30" s="88"/>
      <c r="E30" s="85"/>
      <c r="F30" s="86"/>
      <c r="G30" s="87"/>
      <c r="H30" s="83"/>
      <c r="I30" s="83"/>
      <c r="J30" s="93"/>
      <c r="K30" s="84"/>
      <c r="L30" s="94"/>
      <c r="M30" s="95"/>
    </row>
    <row r="31" spans="1:16" ht="12" customHeight="1">
      <c r="A31" s="83" t="str">
        <f t="shared" si="1"/>
        <v xml:space="preserve"> </v>
      </c>
      <c r="B31" s="74"/>
      <c r="C31" s="84"/>
      <c r="D31" s="88"/>
      <c r="E31" s="85"/>
      <c r="F31" s="86"/>
      <c r="G31" s="87"/>
      <c r="H31" s="83"/>
      <c r="I31" s="83"/>
      <c r="J31" s="93"/>
      <c r="K31" s="84"/>
      <c r="L31" s="94"/>
      <c r="M31" s="95"/>
    </row>
    <row r="32" spans="1:16" ht="12" customHeight="1">
      <c r="A32" s="83" t="str">
        <f t="shared" si="1"/>
        <v xml:space="preserve"> </v>
      </c>
      <c r="B32" s="74"/>
      <c r="C32" s="84"/>
      <c r="D32" s="88"/>
      <c r="E32" s="85"/>
      <c r="F32" s="86"/>
      <c r="G32" s="87"/>
      <c r="H32" s="83"/>
      <c r="I32" s="83"/>
      <c r="J32" s="93"/>
      <c r="K32" s="84"/>
      <c r="L32" s="94"/>
      <c r="M32" s="95"/>
    </row>
    <row r="33" spans="1:13" ht="12" customHeight="1">
      <c r="A33" s="83" t="str">
        <f t="shared" si="1"/>
        <v xml:space="preserve"> </v>
      </c>
      <c r="B33" s="74"/>
      <c r="C33" s="84"/>
      <c r="D33" s="88"/>
      <c r="E33" s="85"/>
      <c r="F33" s="86"/>
      <c r="G33" s="87"/>
      <c r="H33" s="83"/>
      <c r="I33" s="83"/>
      <c r="J33" s="93"/>
      <c r="K33" s="84"/>
      <c r="L33" s="94"/>
      <c r="M33" s="95"/>
    </row>
    <row r="34" spans="1:13" ht="12" customHeight="1">
      <c r="A34" s="83" t="str">
        <f t="shared" si="1"/>
        <v xml:space="preserve"> </v>
      </c>
      <c r="B34" s="74"/>
      <c r="C34" s="84"/>
      <c r="D34" s="88"/>
      <c r="E34" s="85"/>
      <c r="F34" s="86"/>
      <c r="G34" s="87"/>
      <c r="H34" s="83"/>
      <c r="I34" s="83"/>
      <c r="J34" s="93"/>
      <c r="K34" s="84"/>
      <c r="L34" s="94"/>
      <c r="M34" s="95"/>
    </row>
    <row r="35" spans="1:13" ht="12" customHeight="1">
      <c r="A35" s="83" t="str">
        <f t="shared" si="1"/>
        <v xml:space="preserve"> </v>
      </c>
      <c r="B35" s="74"/>
      <c r="C35" s="84"/>
      <c r="D35" s="88"/>
      <c r="E35" s="85"/>
      <c r="F35" s="86"/>
      <c r="G35" s="87"/>
      <c r="H35" s="83"/>
      <c r="I35" s="83"/>
      <c r="J35" s="93"/>
      <c r="K35" s="84"/>
      <c r="L35" s="94"/>
      <c r="M35" s="95"/>
    </row>
    <row r="36" spans="1:13" ht="12" customHeight="1">
      <c r="A36" s="83" t="str">
        <f t="shared" si="1"/>
        <v xml:space="preserve"> </v>
      </c>
      <c r="B36" s="74"/>
      <c r="C36" s="84"/>
      <c r="D36" s="88"/>
      <c r="E36" s="85"/>
      <c r="F36" s="86"/>
      <c r="G36" s="87"/>
      <c r="H36" s="83"/>
      <c r="I36" s="83"/>
      <c r="J36" s="93"/>
      <c r="K36" s="84"/>
      <c r="L36" s="94"/>
      <c r="M36" s="95"/>
    </row>
    <row r="37" spans="1:13" ht="12" customHeight="1">
      <c r="A37" s="83" t="str">
        <f t="shared" si="1"/>
        <v xml:space="preserve"> </v>
      </c>
      <c r="B37" s="74"/>
      <c r="C37" s="84"/>
      <c r="D37" s="88"/>
      <c r="E37" s="85"/>
      <c r="F37" s="86"/>
      <c r="G37" s="87"/>
      <c r="H37" s="83"/>
      <c r="I37" s="83"/>
      <c r="J37" s="93"/>
      <c r="K37" s="84"/>
      <c r="L37" s="94"/>
      <c r="M37" s="95"/>
    </row>
    <row r="38" spans="1:13" ht="12" customHeight="1">
      <c r="A38" s="83" t="str">
        <f t="shared" si="1"/>
        <v xml:space="preserve"> </v>
      </c>
      <c r="B38" s="74"/>
      <c r="C38" s="84"/>
      <c r="D38" s="88"/>
      <c r="E38" s="85"/>
      <c r="F38" s="86"/>
      <c r="G38" s="87"/>
      <c r="H38" s="83"/>
      <c r="I38" s="83"/>
      <c r="J38" s="93"/>
      <c r="K38" s="84"/>
      <c r="L38" s="94"/>
      <c r="M38" s="95"/>
    </row>
    <row r="39" spans="1:13" ht="12" customHeight="1">
      <c r="A39" s="83" t="str">
        <f t="shared" si="1"/>
        <v xml:space="preserve"> </v>
      </c>
      <c r="B39" s="74"/>
      <c r="C39" s="84"/>
      <c r="D39" s="88"/>
      <c r="E39" s="85"/>
      <c r="F39" s="86"/>
      <c r="G39" s="87"/>
      <c r="H39" s="83"/>
      <c r="I39" s="83"/>
      <c r="J39" s="93"/>
      <c r="K39" s="84"/>
      <c r="L39" s="94"/>
      <c r="M39" s="95"/>
    </row>
    <row r="40" spans="1:13" ht="12" customHeight="1">
      <c r="A40" s="83" t="str">
        <f t="shared" ref="A40:A71" si="2">IF(B40=""," ",A39+1)</f>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si="2"/>
        <v xml:space="preserve"> </v>
      </c>
      <c r="B44" s="74"/>
      <c r="C44" s="84"/>
      <c r="D44" s="88"/>
      <c r="E44" s="85"/>
      <c r="F44" s="86"/>
      <c r="G44" s="87"/>
      <c r="H44" s="83"/>
      <c r="I44" s="83"/>
      <c r="J44" s="93"/>
      <c r="K44" s="84"/>
      <c r="L44" s="94"/>
      <c r="M44" s="95"/>
    </row>
    <row r="45" spans="1:13" ht="12" customHeight="1">
      <c r="A45" s="83" t="str">
        <f t="shared" si="2"/>
        <v xml:space="preserve"> </v>
      </c>
      <c r="B45" s="74"/>
      <c r="C45" s="84"/>
      <c r="D45" s="88"/>
      <c r="E45" s="85"/>
      <c r="F45" s="86"/>
      <c r="G45" s="87"/>
      <c r="H45" s="83"/>
      <c r="I45" s="83"/>
      <c r="J45" s="93"/>
      <c r="K45" s="84"/>
      <c r="L45" s="94"/>
      <c r="M45" s="95"/>
    </row>
    <row r="46" spans="1:13" ht="12" customHeight="1">
      <c r="A46" s="83" t="str">
        <f t="shared" si="2"/>
        <v xml:space="preserve"> </v>
      </c>
      <c r="B46" s="74"/>
      <c r="C46" s="84"/>
      <c r="D46" s="88"/>
      <c r="E46" s="85"/>
      <c r="F46" s="86"/>
      <c r="G46" s="87"/>
      <c r="H46" s="83"/>
      <c r="I46" s="83"/>
      <c r="J46" s="93"/>
      <c r="K46" s="84"/>
      <c r="L46" s="94"/>
      <c r="M46" s="95"/>
    </row>
    <row r="47" spans="1:13" ht="12" customHeight="1">
      <c r="A47" s="83" t="str">
        <f t="shared" si="2"/>
        <v xml:space="preserve"> </v>
      </c>
      <c r="B47" s="74"/>
      <c r="C47" s="84"/>
      <c r="D47" s="88"/>
      <c r="E47" s="85"/>
      <c r="F47" s="86"/>
      <c r="G47" s="87"/>
      <c r="H47" s="83"/>
      <c r="I47" s="83"/>
      <c r="J47" s="93"/>
      <c r="K47" s="84"/>
      <c r="L47" s="94"/>
      <c r="M47" s="95"/>
    </row>
    <row r="48" spans="1:13" ht="12" customHeight="1">
      <c r="A48" s="83" t="str">
        <f t="shared" si="2"/>
        <v xml:space="preserve"> </v>
      </c>
      <c r="B48" s="74"/>
      <c r="C48" s="84"/>
      <c r="D48" s="88"/>
      <c r="E48" s="85"/>
      <c r="F48" s="86"/>
      <c r="G48" s="87"/>
      <c r="H48" s="83"/>
      <c r="I48" s="83"/>
      <c r="J48" s="93"/>
      <c r="K48" s="84"/>
      <c r="L48" s="94"/>
      <c r="M48" s="95"/>
    </row>
    <row r="49" spans="1:13" ht="12" customHeight="1">
      <c r="A49" s="83" t="str">
        <f t="shared" si="2"/>
        <v xml:space="preserve"> </v>
      </c>
      <c r="B49" s="74"/>
      <c r="C49" s="84"/>
      <c r="D49" s="88"/>
      <c r="E49" s="85"/>
      <c r="F49" s="86"/>
      <c r="G49" s="87"/>
      <c r="H49" s="83"/>
      <c r="I49" s="83"/>
      <c r="J49" s="93"/>
      <c r="K49" s="84"/>
      <c r="L49" s="94"/>
      <c r="M49" s="95"/>
    </row>
    <row r="50" spans="1:13" ht="12" customHeight="1">
      <c r="A50" s="83" t="str">
        <f t="shared" si="2"/>
        <v xml:space="preserve"> </v>
      </c>
      <c r="B50" s="74"/>
      <c r="C50" s="84"/>
      <c r="D50" s="88"/>
      <c r="E50" s="85"/>
      <c r="F50" s="86"/>
      <c r="G50" s="87"/>
      <c r="H50" s="83"/>
      <c r="I50" s="83"/>
      <c r="J50" s="93"/>
      <c r="K50" s="84"/>
      <c r="L50" s="94"/>
      <c r="M50" s="95"/>
    </row>
    <row r="51" spans="1:13" ht="12" customHeight="1">
      <c r="A51" s="83" t="str">
        <f t="shared" si="2"/>
        <v xml:space="preserve"> </v>
      </c>
      <c r="B51" s="74"/>
      <c r="C51" s="84"/>
      <c r="D51" s="88"/>
      <c r="E51" s="85"/>
      <c r="F51" s="86"/>
      <c r="G51" s="87"/>
      <c r="H51" s="83"/>
      <c r="I51" s="83"/>
      <c r="J51" s="93"/>
      <c r="K51" s="84"/>
      <c r="L51" s="94"/>
      <c r="M51" s="95"/>
    </row>
    <row r="52" spans="1:13" ht="12" customHeight="1">
      <c r="A52" s="83" t="str">
        <f t="shared" si="2"/>
        <v xml:space="preserve"> </v>
      </c>
      <c r="B52" s="74"/>
      <c r="C52" s="84"/>
      <c r="D52" s="88"/>
      <c r="E52" s="85"/>
      <c r="F52" s="86"/>
      <c r="G52" s="87"/>
      <c r="H52" s="83"/>
      <c r="I52" s="83"/>
      <c r="J52" s="93"/>
      <c r="K52" s="84"/>
      <c r="L52" s="94"/>
      <c r="M52" s="95"/>
    </row>
    <row r="53" spans="1:13" ht="12" customHeight="1">
      <c r="A53" s="83" t="str">
        <f t="shared" si="2"/>
        <v xml:space="preserve"> </v>
      </c>
      <c r="B53" s="20"/>
      <c r="C53" s="84"/>
      <c r="D53" s="88"/>
      <c r="E53" s="85"/>
      <c r="F53" s="86"/>
      <c r="G53" s="87"/>
      <c r="H53" s="83"/>
      <c r="I53" s="83"/>
      <c r="J53" s="93"/>
      <c r="K53" s="84"/>
      <c r="L53" s="94"/>
      <c r="M53" s="95"/>
    </row>
    <row r="54" spans="1:13" ht="12" customHeight="1">
      <c r="A54" s="83" t="str">
        <f t="shared" si="2"/>
        <v xml:space="preserve"> </v>
      </c>
      <c r="B54" s="20"/>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t="str">
        <f t="shared" si="2"/>
        <v xml:space="preserve"> </v>
      </c>
      <c r="B70" s="74"/>
      <c r="C70" s="84"/>
      <c r="D70" s="88"/>
      <c r="E70" s="85"/>
      <c r="F70" s="86"/>
      <c r="G70" s="87"/>
      <c r="H70" s="83"/>
      <c r="I70" s="83"/>
      <c r="J70" s="93"/>
      <c r="K70" s="84"/>
      <c r="L70" s="94"/>
      <c r="M70" s="95"/>
    </row>
    <row r="71" spans="1:13" ht="12" customHeight="1">
      <c r="A71" s="83" t="str">
        <f t="shared" si="2"/>
        <v xml:space="preserve"> </v>
      </c>
      <c r="B71" s="74"/>
      <c r="C71" s="84"/>
      <c r="D71" s="88"/>
      <c r="E71" s="85"/>
      <c r="F71" s="86"/>
      <c r="G71" s="87"/>
      <c r="H71" s="83"/>
      <c r="I71" s="83"/>
      <c r="J71" s="93"/>
      <c r="K71" s="84"/>
      <c r="L71" s="94"/>
      <c r="M71" s="95"/>
    </row>
    <row r="72" spans="1:13" ht="12" customHeight="1">
      <c r="A72" s="83" t="str">
        <f t="shared" ref="A72:A100" si="3">IF(B72=""," ",A71+1)</f>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20"/>
      <c r="C79" s="84"/>
      <c r="D79" s="88"/>
      <c r="E79" s="85"/>
      <c r="F79" s="86"/>
      <c r="G79" s="87"/>
      <c r="H79" s="83"/>
      <c r="I79" s="83"/>
      <c r="J79" s="93"/>
      <c r="K79" s="84"/>
      <c r="L79" s="94"/>
      <c r="M79" s="95"/>
    </row>
    <row r="80" spans="1:13" ht="12" customHeight="1">
      <c r="A80" s="83" t="str">
        <f t="shared" si="3"/>
        <v xml:space="preserve"> </v>
      </c>
      <c r="B80" s="20"/>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si="3"/>
        <v xml:space="preserve"> </v>
      </c>
      <c r="B91" s="74"/>
      <c r="C91" s="84"/>
      <c r="D91" s="88"/>
      <c r="E91" s="85"/>
      <c r="F91" s="86"/>
      <c r="G91" s="87"/>
      <c r="H91" s="83"/>
      <c r="I91" s="83"/>
      <c r="J91" s="93"/>
      <c r="K91" s="84"/>
      <c r="L91" s="94"/>
      <c r="M91" s="95"/>
    </row>
    <row r="92" spans="1:13" ht="12" customHeight="1">
      <c r="A92" s="83" t="str">
        <f t="shared" si="3"/>
        <v xml:space="preserve"> </v>
      </c>
      <c r="B92" s="74"/>
      <c r="C92" s="84"/>
      <c r="D92" s="88"/>
      <c r="E92" s="85"/>
      <c r="F92" s="86"/>
      <c r="G92" s="87"/>
      <c r="H92" s="83"/>
      <c r="I92" s="83"/>
      <c r="J92" s="93"/>
      <c r="K92" s="84"/>
      <c r="L92" s="94"/>
      <c r="M92" s="95"/>
    </row>
    <row r="93" spans="1:13" ht="12" customHeight="1">
      <c r="A93" s="83" t="str">
        <f t="shared" si="3"/>
        <v xml:space="preserve"> </v>
      </c>
      <c r="B93" s="74"/>
      <c r="C93" s="84"/>
      <c r="D93" s="88"/>
      <c r="E93" s="85"/>
      <c r="F93" s="86"/>
      <c r="G93" s="87"/>
      <c r="H93" s="83"/>
      <c r="I93" s="83"/>
      <c r="J93" s="93"/>
      <c r="K93" s="84"/>
      <c r="L93" s="94"/>
      <c r="M93" s="95"/>
    </row>
    <row r="94" spans="1:13" ht="12" customHeight="1">
      <c r="A94" s="83" t="str">
        <f t="shared" si="3"/>
        <v xml:space="preserve"> </v>
      </c>
      <c r="B94" s="74"/>
      <c r="C94" s="84"/>
      <c r="D94" s="88"/>
      <c r="E94" s="85"/>
      <c r="F94" s="86"/>
      <c r="G94" s="87"/>
      <c r="H94" s="83"/>
      <c r="I94" s="83"/>
      <c r="J94" s="93"/>
      <c r="K94" s="84"/>
      <c r="L94" s="94"/>
      <c r="M94" s="95"/>
    </row>
    <row r="95" spans="1:13" ht="12" customHeight="1">
      <c r="A95" s="83" t="str">
        <f t="shared" si="3"/>
        <v xml:space="preserve"> </v>
      </c>
      <c r="B95" s="74"/>
      <c r="C95" s="84"/>
      <c r="D95" s="88"/>
      <c r="E95" s="85"/>
      <c r="F95" s="86"/>
      <c r="G95" s="87"/>
      <c r="H95" s="83"/>
      <c r="I95" s="83"/>
      <c r="J95" s="93"/>
      <c r="K95" s="84"/>
      <c r="L95" s="94"/>
      <c r="M95" s="95"/>
    </row>
    <row r="96" spans="1:13" ht="12" customHeight="1">
      <c r="A96" s="83" t="str">
        <f t="shared" si="3"/>
        <v xml:space="preserve"> </v>
      </c>
      <c r="B96" s="74"/>
      <c r="C96" s="84"/>
      <c r="D96" s="88"/>
      <c r="E96" s="85"/>
      <c r="F96" s="86"/>
      <c r="G96" s="87"/>
      <c r="H96" s="83"/>
      <c r="I96" s="83"/>
      <c r="J96" s="93"/>
      <c r="K96" s="84"/>
      <c r="L96" s="94"/>
      <c r="M96" s="95"/>
    </row>
    <row r="97" spans="1:13" ht="12" customHeight="1">
      <c r="A97" s="83" t="str">
        <f t="shared" si="3"/>
        <v xml:space="preserve"> </v>
      </c>
      <c r="B97" s="74"/>
      <c r="C97" s="84"/>
      <c r="D97" s="88"/>
      <c r="E97" s="85"/>
      <c r="F97" s="86"/>
      <c r="G97" s="87"/>
      <c r="H97" s="83"/>
      <c r="I97" s="83"/>
      <c r="J97" s="93"/>
      <c r="K97" s="84"/>
      <c r="L97" s="94"/>
      <c r="M97" s="95"/>
    </row>
    <row r="98" spans="1:13" ht="12" customHeight="1">
      <c r="A98" s="83" t="str">
        <f t="shared" si="3"/>
        <v xml:space="preserve"> </v>
      </c>
      <c r="B98" s="74"/>
      <c r="C98" s="84"/>
      <c r="D98" s="88"/>
      <c r="E98" s="85"/>
      <c r="F98" s="86"/>
      <c r="G98" s="87"/>
      <c r="H98" s="83"/>
      <c r="I98" s="83"/>
      <c r="J98" s="93"/>
      <c r="K98" s="84"/>
      <c r="L98" s="94"/>
      <c r="M98" s="95"/>
    </row>
    <row r="99" spans="1:13" ht="12" customHeight="1">
      <c r="A99" s="83" t="str">
        <f t="shared" si="3"/>
        <v xml:space="preserve"> </v>
      </c>
      <c r="B99" s="74"/>
      <c r="C99" s="84"/>
      <c r="D99" s="88"/>
      <c r="E99" s="85"/>
      <c r="F99" s="86"/>
      <c r="G99" s="87"/>
      <c r="H99" s="83"/>
      <c r="I99" s="83"/>
      <c r="J99" s="93"/>
      <c r="K99" s="84"/>
      <c r="L99" s="94"/>
      <c r="M99" s="95"/>
    </row>
    <row r="100" spans="1:13" ht="12" customHeight="1">
      <c r="A100" s="83" t="str">
        <f t="shared" si="3"/>
        <v xml:space="preserve"> </v>
      </c>
      <c r="B100" s="74"/>
      <c r="C100" s="84"/>
      <c r="D100" s="88"/>
      <c r="E100" s="85"/>
      <c r="F100" s="86"/>
      <c r="G100" s="87"/>
      <c r="H100" s="83"/>
      <c r="I100" s="83"/>
      <c r="J100" s="93"/>
      <c r="K100" s="84"/>
      <c r="L100" s="94"/>
      <c r="M100" s="95"/>
    </row>
    <row r="102" spans="1:13">
      <c r="B102" s="75" t="s">
        <v>235</v>
      </c>
    </row>
    <row r="104" spans="1:13">
      <c r="B104" s="75" t="s">
        <v>799</v>
      </c>
      <c r="C104" s="75" t="s">
        <v>1383</v>
      </c>
    </row>
    <row r="106" spans="1:13">
      <c r="B106" s="75" t="s">
        <v>236</v>
      </c>
      <c r="C106" s="75" t="s">
        <v>1384</v>
      </c>
    </row>
    <row r="107" spans="1:13" ht="12" customHeight="1"/>
    <row r="108" spans="1:13">
      <c r="B108" s="75" t="s">
        <v>236</v>
      </c>
      <c r="C108" s="75" t="s">
        <v>238</v>
      </c>
    </row>
    <row r="110" spans="1:13">
      <c r="B110" s="100" t="s">
        <v>1294</v>
      </c>
      <c r="C110" s="75" t="s">
        <v>1385</v>
      </c>
    </row>
    <row r="111" spans="1:13">
      <c r="C111" s="75" t="s">
        <v>1386</v>
      </c>
    </row>
    <row r="112" spans="1:13">
      <c r="C112" s="75" t="s">
        <v>1387</v>
      </c>
    </row>
    <row r="113" spans="3:3">
      <c r="C113" s="75" t="s">
        <v>1388</v>
      </c>
    </row>
  </sheetData>
  <mergeCells count="27">
    <mergeCell ref="K24:M24"/>
    <mergeCell ref="K25:M25"/>
    <mergeCell ref="K26:M26"/>
    <mergeCell ref="A5:A6"/>
    <mergeCell ref="K5:M6"/>
    <mergeCell ref="K18:M18"/>
    <mergeCell ref="K19:M19"/>
    <mergeCell ref="K21:M21"/>
    <mergeCell ref="K22:M22"/>
    <mergeCell ref="K23:M23"/>
    <mergeCell ref="K7:M7"/>
    <mergeCell ref="K9:M9"/>
    <mergeCell ref="K10:M10"/>
    <mergeCell ref="K11:M11"/>
    <mergeCell ref="K14:M14"/>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pageSetUpPr fitToPage="1"/>
  </sheetPr>
  <dimension ref="A1:Q104"/>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1389</v>
      </c>
      <c r="D3" s="265"/>
      <c r="E3" s="265"/>
      <c r="F3" s="265"/>
      <c r="G3" s="266"/>
      <c r="H3" s="259" t="s">
        <v>140</v>
      </c>
      <c r="I3" s="260"/>
      <c r="J3" s="90">
        <f>COUNT(A7:A100)</f>
        <v>16</v>
      </c>
      <c r="K3" s="78" t="s">
        <v>141</v>
      </c>
      <c r="L3" s="91">
        <v>38644</v>
      </c>
      <c r="M3" s="92" t="s">
        <v>142</v>
      </c>
      <c r="O3" s="75" t="s">
        <v>143</v>
      </c>
      <c r="P3" s="75" t="s">
        <v>144</v>
      </c>
    </row>
    <row r="4" spans="1:16" ht="12" customHeight="1">
      <c r="A4" s="267" t="s">
        <v>145</v>
      </c>
      <c r="B4" s="268"/>
      <c r="C4" s="267" t="s">
        <v>55</v>
      </c>
      <c r="D4" s="269"/>
      <c r="E4" s="269"/>
      <c r="F4" s="269"/>
      <c r="G4" s="268"/>
      <c r="H4" s="259" t="s">
        <v>146</v>
      </c>
      <c r="I4" s="260"/>
      <c r="J4" s="90">
        <f>SUM(G7:G100)</f>
        <v>105</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22" si="0">IF(D7="DATE",4,IF(D7="CHAR",E7,IF(D7="SMALLINT",2,IF(D7="INTEGER",4,IF(D7="TIMESTAMP",10,IF(D7="TIME",3,0))))))</f>
        <v>4</v>
      </c>
      <c r="H7" s="83" t="s">
        <v>149</v>
      </c>
      <c r="I7" s="83" t="s">
        <v>149</v>
      </c>
      <c r="J7" s="93"/>
      <c r="K7" s="308"/>
      <c r="L7" s="278"/>
      <c r="M7" s="279"/>
      <c r="P7" s="75" t="s">
        <v>165</v>
      </c>
    </row>
    <row r="8" spans="1:16" ht="12" customHeight="1">
      <c r="A8" s="83">
        <f>IF(B8=""," ",A7+1)</f>
        <v>2</v>
      </c>
      <c r="B8" s="74" t="s">
        <v>774</v>
      </c>
      <c r="C8" s="21" t="s">
        <v>775</v>
      </c>
      <c r="D8" s="13" t="s">
        <v>150</v>
      </c>
      <c r="E8" s="85">
        <v>10</v>
      </c>
      <c r="F8" s="86"/>
      <c r="G8" s="87">
        <f t="shared" si="0"/>
        <v>10</v>
      </c>
      <c r="H8" s="83" t="s">
        <v>149</v>
      </c>
      <c r="I8" s="83" t="s">
        <v>149</v>
      </c>
      <c r="J8" s="93"/>
      <c r="K8" s="308"/>
      <c r="L8" s="278"/>
      <c r="M8" s="279"/>
      <c r="P8" s="75" t="s">
        <v>195</v>
      </c>
    </row>
    <row r="9" spans="1:16" ht="12" customHeight="1">
      <c r="A9" s="83">
        <f t="shared" ref="A9:A22" si="1">IF(B9=""," ",A8+1)</f>
        <v>3</v>
      </c>
      <c r="B9" s="11" t="s">
        <v>1390</v>
      </c>
      <c r="C9" s="21" t="s">
        <v>1391</v>
      </c>
      <c r="D9" s="13" t="s">
        <v>150</v>
      </c>
      <c r="E9" s="85">
        <v>2</v>
      </c>
      <c r="F9" s="86"/>
      <c r="G9" s="87">
        <f t="shared" si="0"/>
        <v>2</v>
      </c>
      <c r="H9" s="83" t="s">
        <v>149</v>
      </c>
      <c r="I9" s="83"/>
      <c r="J9" s="93"/>
      <c r="K9" s="308"/>
      <c r="L9" s="278"/>
      <c r="M9" s="279"/>
    </row>
    <row r="10" spans="1:16" ht="75" customHeight="1">
      <c r="A10" s="83">
        <f t="shared" si="1"/>
        <v>4</v>
      </c>
      <c r="B10" s="11" t="s">
        <v>1392</v>
      </c>
      <c r="C10" s="21" t="s">
        <v>1393</v>
      </c>
      <c r="D10" s="13" t="s">
        <v>150</v>
      </c>
      <c r="E10" s="85">
        <v>2</v>
      </c>
      <c r="F10" s="86"/>
      <c r="G10" s="87">
        <f t="shared" si="0"/>
        <v>2</v>
      </c>
      <c r="H10" s="83" t="s">
        <v>149</v>
      </c>
      <c r="I10" s="83"/>
      <c r="J10" s="93"/>
      <c r="K10" s="271" t="s">
        <v>1394</v>
      </c>
      <c r="L10" s="278"/>
      <c r="M10" s="279"/>
      <c r="P10" s="75" t="s">
        <v>164</v>
      </c>
    </row>
    <row r="11" spans="1:16" ht="12" customHeight="1">
      <c r="A11" s="83">
        <f t="shared" si="1"/>
        <v>5</v>
      </c>
      <c r="B11" s="20" t="s">
        <v>818</v>
      </c>
      <c r="C11" s="84" t="s">
        <v>819</v>
      </c>
      <c r="D11" s="88" t="s">
        <v>150</v>
      </c>
      <c r="E11" s="85">
        <v>4</v>
      </c>
      <c r="F11" s="86"/>
      <c r="G11" s="87">
        <f t="shared" si="0"/>
        <v>4</v>
      </c>
      <c r="H11" s="83" t="s">
        <v>149</v>
      </c>
      <c r="I11" s="83"/>
      <c r="J11" s="93"/>
      <c r="K11" s="280"/>
      <c r="L11" s="281"/>
      <c r="M11" s="282"/>
    </row>
    <row r="12" spans="1:16" ht="12" customHeight="1">
      <c r="A12" s="83">
        <f t="shared" si="1"/>
        <v>6</v>
      </c>
      <c r="B12" s="20" t="s">
        <v>957</v>
      </c>
      <c r="C12" s="84" t="s">
        <v>958</v>
      </c>
      <c r="D12" s="88" t="s">
        <v>150</v>
      </c>
      <c r="E12" s="85">
        <v>4</v>
      </c>
      <c r="F12" s="86"/>
      <c r="G12" s="87">
        <f t="shared" si="0"/>
        <v>4</v>
      </c>
      <c r="H12" s="83" t="s">
        <v>149</v>
      </c>
      <c r="I12" s="83"/>
      <c r="J12" s="93"/>
      <c r="K12" s="96"/>
      <c r="L12" s="97"/>
      <c r="M12" s="98"/>
    </row>
    <row r="13" spans="1:16" ht="12" customHeight="1">
      <c r="A13" s="83">
        <f t="shared" si="1"/>
        <v>7</v>
      </c>
      <c r="B13" s="20" t="s">
        <v>960</v>
      </c>
      <c r="C13" s="84" t="s">
        <v>961</v>
      </c>
      <c r="D13" s="88" t="s">
        <v>150</v>
      </c>
      <c r="E13" s="85">
        <v>6</v>
      </c>
      <c r="F13" s="86"/>
      <c r="G13" s="87">
        <f t="shared" si="0"/>
        <v>6</v>
      </c>
      <c r="H13" s="83" t="s">
        <v>149</v>
      </c>
      <c r="I13" s="83"/>
      <c r="J13" s="93"/>
      <c r="K13" s="280" t="s">
        <v>962</v>
      </c>
      <c r="L13" s="281"/>
      <c r="M13" s="282"/>
    </row>
    <row r="14" spans="1:16" ht="12" customHeight="1">
      <c r="A14" s="83">
        <f t="shared" si="1"/>
        <v>8</v>
      </c>
      <c r="B14" s="11" t="s">
        <v>646</v>
      </c>
      <c r="C14" s="84" t="s">
        <v>647</v>
      </c>
      <c r="D14" s="88" t="s">
        <v>150</v>
      </c>
      <c r="E14" s="85">
        <v>16</v>
      </c>
      <c r="F14" s="86"/>
      <c r="G14" s="87">
        <f t="shared" si="0"/>
        <v>16</v>
      </c>
      <c r="H14" s="83" t="s">
        <v>149</v>
      </c>
      <c r="I14" s="83"/>
      <c r="J14" s="93"/>
      <c r="K14" s="308" t="s">
        <v>648</v>
      </c>
      <c r="L14" s="278"/>
      <c r="M14" s="279"/>
    </row>
    <row r="15" spans="1:16" ht="12" customHeight="1">
      <c r="A15" s="83">
        <f t="shared" si="1"/>
        <v>9</v>
      </c>
      <c r="B15" s="73" t="s">
        <v>827</v>
      </c>
      <c r="C15" s="84" t="s">
        <v>828</v>
      </c>
      <c r="D15" s="88" t="s">
        <v>174</v>
      </c>
      <c r="E15" s="85"/>
      <c r="F15" s="86"/>
      <c r="G15" s="87">
        <f t="shared" si="0"/>
        <v>2</v>
      </c>
      <c r="H15" s="83" t="s">
        <v>149</v>
      </c>
      <c r="I15" s="83"/>
      <c r="J15" s="93"/>
      <c r="K15" s="280"/>
      <c r="L15" s="291"/>
      <c r="M15" s="292"/>
    </row>
    <row r="16" spans="1:16" ht="27" customHeight="1">
      <c r="A16" s="83">
        <f t="shared" si="1"/>
        <v>10</v>
      </c>
      <c r="B16" s="73" t="s">
        <v>1308</v>
      </c>
      <c r="C16" s="84" t="s">
        <v>1309</v>
      </c>
      <c r="D16" s="88" t="s">
        <v>161</v>
      </c>
      <c r="E16" s="85"/>
      <c r="F16" s="86"/>
      <c r="G16" s="87">
        <f t="shared" si="0"/>
        <v>4</v>
      </c>
      <c r="H16" s="83" t="s">
        <v>149</v>
      </c>
      <c r="I16" s="83"/>
      <c r="J16" s="93"/>
      <c r="K16" s="280" t="s">
        <v>1310</v>
      </c>
      <c r="L16" s="291"/>
      <c r="M16" s="292"/>
    </row>
    <row r="17" spans="1:16" ht="12" customHeight="1">
      <c r="A17" s="83">
        <f t="shared" si="1"/>
        <v>11</v>
      </c>
      <c r="B17" s="11" t="s">
        <v>778</v>
      </c>
      <c r="C17" s="84" t="s">
        <v>565</v>
      </c>
      <c r="D17" s="88" t="s">
        <v>150</v>
      </c>
      <c r="E17" s="85">
        <v>10</v>
      </c>
      <c r="F17" s="86"/>
      <c r="G17" s="87">
        <f t="shared" si="0"/>
        <v>10</v>
      </c>
      <c r="H17" s="83" t="s">
        <v>149</v>
      </c>
      <c r="I17" s="83"/>
      <c r="J17" s="93"/>
      <c r="K17" s="271"/>
      <c r="L17" s="272"/>
      <c r="M17" s="273"/>
      <c r="P17" s="75" t="s">
        <v>174</v>
      </c>
    </row>
    <row r="18" spans="1:16" ht="12" customHeight="1">
      <c r="A18" s="83">
        <f t="shared" si="1"/>
        <v>12</v>
      </c>
      <c r="B18" s="20" t="s">
        <v>806</v>
      </c>
      <c r="C18" s="84" t="s">
        <v>570</v>
      </c>
      <c r="D18" s="88" t="s">
        <v>150</v>
      </c>
      <c r="E18" s="85">
        <v>10</v>
      </c>
      <c r="F18" s="86"/>
      <c r="G18" s="87">
        <f t="shared" si="0"/>
        <v>10</v>
      </c>
      <c r="H18" s="83" t="s">
        <v>149</v>
      </c>
      <c r="I18" s="83"/>
      <c r="J18" s="93"/>
      <c r="K18" s="84"/>
      <c r="L18" s="94"/>
      <c r="M18" s="95"/>
    </row>
    <row r="19" spans="1:16" ht="12" customHeight="1">
      <c r="A19" s="83">
        <f t="shared" si="1"/>
        <v>13</v>
      </c>
      <c r="B19" s="20" t="s">
        <v>1395</v>
      </c>
      <c r="C19" s="84" t="s">
        <v>1396</v>
      </c>
      <c r="D19" s="88" t="s">
        <v>234</v>
      </c>
      <c r="E19" s="85"/>
      <c r="F19" s="86"/>
      <c r="G19" s="87">
        <f t="shared" si="0"/>
        <v>10</v>
      </c>
      <c r="H19" s="83" t="s">
        <v>149</v>
      </c>
      <c r="I19" s="83"/>
      <c r="J19" s="93"/>
      <c r="K19" s="271"/>
      <c r="L19" s="272"/>
      <c r="M19" s="273"/>
    </row>
    <row r="20" spans="1:16" ht="12" customHeight="1">
      <c r="A20" s="83">
        <f t="shared" si="1"/>
        <v>14</v>
      </c>
      <c r="B20" s="11" t="s">
        <v>1397</v>
      </c>
      <c r="C20" s="22" t="s">
        <v>1398</v>
      </c>
      <c r="D20" s="30" t="s">
        <v>234</v>
      </c>
      <c r="E20" s="85"/>
      <c r="F20" s="86"/>
      <c r="G20" s="87">
        <f t="shared" si="0"/>
        <v>10</v>
      </c>
      <c r="H20" s="83" t="s">
        <v>149</v>
      </c>
      <c r="I20" s="83"/>
      <c r="J20" s="93"/>
      <c r="K20" s="84"/>
      <c r="L20" s="94"/>
      <c r="M20" s="95"/>
    </row>
    <row r="21" spans="1:16" ht="27" customHeight="1">
      <c r="A21" s="83">
        <f t="shared" si="1"/>
        <v>15</v>
      </c>
      <c r="B21" s="21" t="s">
        <v>1399</v>
      </c>
      <c r="C21" s="21" t="s">
        <v>1400</v>
      </c>
      <c r="D21" s="13" t="s">
        <v>150</v>
      </c>
      <c r="E21" s="85">
        <v>1</v>
      </c>
      <c r="F21" s="86"/>
      <c r="G21" s="87">
        <f t="shared" si="0"/>
        <v>1</v>
      </c>
      <c r="H21" s="83" t="s">
        <v>149</v>
      </c>
      <c r="I21" s="83"/>
      <c r="J21" s="93"/>
      <c r="K21" s="271" t="s">
        <v>1401</v>
      </c>
      <c r="L21" s="281"/>
      <c r="M21" s="282"/>
    </row>
    <row r="22" spans="1:16" ht="12" customHeight="1">
      <c r="A22" s="83">
        <f t="shared" si="1"/>
        <v>16</v>
      </c>
      <c r="B22" s="74" t="s">
        <v>232</v>
      </c>
      <c r="C22" s="84" t="s">
        <v>233</v>
      </c>
      <c r="D22" s="88" t="s">
        <v>234</v>
      </c>
      <c r="E22" s="85"/>
      <c r="F22" s="86"/>
      <c r="G22" s="87">
        <f t="shared" si="0"/>
        <v>10</v>
      </c>
      <c r="H22" s="83" t="s">
        <v>149</v>
      </c>
      <c r="I22" s="83"/>
      <c r="J22" s="93"/>
      <c r="K22" s="84"/>
      <c r="L22" s="94"/>
      <c r="M22" s="95"/>
    </row>
    <row r="23" spans="1:16" ht="12" customHeight="1">
      <c r="A23" s="83"/>
      <c r="B23" s="20"/>
      <c r="C23" s="110"/>
      <c r="D23" s="88"/>
      <c r="E23" s="85"/>
      <c r="F23" s="86"/>
      <c r="G23" s="87"/>
      <c r="H23" s="83"/>
      <c r="I23" s="83"/>
      <c r="J23" s="93"/>
      <c r="K23" s="271"/>
      <c r="L23" s="272"/>
      <c r="M23" s="273"/>
    </row>
    <row r="24" spans="1:16" ht="12" customHeight="1">
      <c r="A24" s="83" t="str">
        <f t="shared" ref="A24:A44" si="2">IF(B24=""," ",A23+1)</f>
        <v xml:space="preserve"> </v>
      </c>
      <c r="B24" s="20"/>
      <c r="C24" s="110"/>
      <c r="D24" s="88"/>
      <c r="E24" s="85"/>
      <c r="F24" s="86"/>
      <c r="G24" s="87"/>
      <c r="H24" s="83"/>
      <c r="I24" s="83"/>
      <c r="J24" s="93"/>
      <c r="K24" s="274"/>
      <c r="L24" s="275"/>
      <c r="M24" s="276"/>
    </row>
    <row r="25" spans="1:16" ht="12" customHeight="1">
      <c r="A25" s="83" t="str">
        <f t="shared" si="2"/>
        <v xml:space="preserve"> </v>
      </c>
      <c r="B25" s="11"/>
      <c r="C25" s="22"/>
      <c r="D25" s="30"/>
      <c r="E25" s="85"/>
      <c r="F25" s="86"/>
      <c r="G25" s="87"/>
      <c r="H25" s="83"/>
      <c r="I25" s="83"/>
      <c r="J25" s="93"/>
      <c r="K25" s="271"/>
      <c r="L25" s="272"/>
      <c r="M25" s="273"/>
    </row>
    <row r="26" spans="1:16" ht="12" customHeight="1">
      <c r="A26" s="83" t="str">
        <f t="shared" si="2"/>
        <v xml:space="preserve"> </v>
      </c>
      <c r="B26" s="20"/>
      <c r="C26" s="84"/>
      <c r="D26" s="88"/>
      <c r="E26" s="85"/>
      <c r="F26" s="86"/>
      <c r="G26" s="87"/>
      <c r="H26" s="83"/>
      <c r="I26" s="83"/>
      <c r="J26" s="93"/>
      <c r="K26" s="274"/>
      <c r="L26" s="275"/>
      <c r="M26" s="276"/>
    </row>
    <row r="27" spans="1:16" ht="12" customHeight="1">
      <c r="A27" s="83" t="str">
        <f t="shared" si="2"/>
        <v xml:space="preserve"> </v>
      </c>
      <c r="B27" s="20"/>
      <c r="C27" s="84"/>
      <c r="D27" s="88"/>
      <c r="E27" s="85"/>
      <c r="F27" s="86"/>
      <c r="G27" s="87"/>
      <c r="H27" s="83"/>
      <c r="I27" s="83"/>
      <c r="J27" s="93"/>
      <c r="K27" s="274"/>
      <c r="L27" s="275"/>
      <c r="M27" s="276"/>
    </row>
    <row r="28" spans="1:16" ht="12" customHeight="1">
      <c r="A28" s="83" t="str">
        <f t="shared" si="2"/>
        <v xml:space="preserve"> </v>
      </c>
      <c r="B28" s="20"/>
      <c r="C28" s="84"/>
      <c r="D28" s="88"/>
      <c r="E28" s="85"/>
      <c r="F28" s="86"/>
      <c r="G28" s="87"/>
      <c r="H28" s="83"/>
      <c r="I28" s="83"/>
      <c r="J28" s="93"/>
      <c r="K28" s="84"/>
      <c r="L28" s="94"/>
      <c r="M28" s="95"/>
    </row>
    <row r="29" spans="1:16" ht="12" customHeight="1">
      <c r="A29" s="83" t="str">
        <f t="shared" si="2"/>
        <v xml:space="preserve"> </v>
      </c>
      <c r="B29" s="20"/>
      <c r="C29" s="84"/>
      <c r="D29" s="88"/>
      <c r="E29" s="85"/>
      <c r="F29" s="86"/>
      <c r="G29" s="87"/>
      <c r="H29" s="83"/>
      <c r="I29" s="83"/>
      <c r="J29" s="93"/>
      <c r="K29" s="84"/>
      <c r="L29" s="94"/>
      <c r="M29" s="95"/>
    </row>
    <row r="30" spans="1:16" ht="12" customHeight="1">
      <c r="A30" s="83" t="str">
        <f t="shared" si="2"/>
        <v xml:space="preserve"> </v>
      </c>
      <c r="B30" s="74"/>
      <c r="C30" s="84"/>
      <c r="D30" s="88"/>
      <c r="E30" s="85"/>
      <c r="F30" s="86"/>
      <c r="G30" s="87"/>
      <c r="H30" s="83"/>
      <c r="I30" s="83"/>
      <c r="J30" s="93"/>
      <c r="K30" s="84"/>
      <c r="L30" s="94"/>
      <c r="M30" s="95"/>
    </row>
    <row r="31" spans="1:16" ht="12" customHeight="1">
      <c r="A31" s="83" t="str">
        <f t="shared" si="2"/>
        <v xml:space="preserve"> </v>
      </c>
      <c r="B31" s="74"/>
      <c r="C31" s="84"/>
      <c r="D31" s="88"/>
      <c r="E31" s="85"/>
      <c r="F31" s="86"/>
      <c r="G31" s="87"/>
      <c r="H31" s="83"/>
      <c r="I31" s="83"/>
      <c r="J31" s="93"/>
      <c r="K31" s="84"/>
      <c r="L31" s="94"/>
      <c r="M31" s="95"/>
    </row>
    <row r="32" spans="1:16" ht="12" customHeight="1">
      <c r="A32" s="83" t="str">
        <f t="shared" si="2"/>
        <v xml:space="preserve"> </v>
      </c>
      <c r="B32" s="74"/>
      <c r="C32" s="84"/>
      <c r="D32" s="88"/>
      <c r="E32" s="85"/>
      <c r="F32" s="86"/>
      <c r="G32" s="87"/>
      <c r="H32" s="83"/>
      <c r="I32" s="83"/>
      <c r="J32" s="93"/>
      <c r="K32" s="84"/>
      <c r="L32" s="94"/>
      <c r="M32" s="95"/>
    </row>
    <row r="33" spans="1:13" ht="12" customHeight="1">
      <c r="A33" s="83" t="str">
        <f t="shared" si="2"/>
        <v xml:space="preserve"> </v>
      </c>
      <c r="B33" s="74"/>
      <c r="C33" s="84"/>
      <c r="D33" s="88"/>
      <c r="E33" s="85"/>
      <c r="F33" s="86"/>
      <c r="G33" s="87"/>
      <c r="H33" s="83"/>
      <c r="I33" s="83"/>
      <c r="J33" s="93"/>
      <c r="K33" s="84"/>
      <c r="L33" s="94"/>
      <c r="M33" s="95"/>
    </row>
    <row r="34" spans="1:13" ht="12" customHeight="1">
      <c r="A34" s="83" t="str">
        <f t="shared" si="2"/>
        <v xml:space="preserve"> </v>
      </c>
      <c r="B34" s="74"/>
      <c r="C34" s="84"/>
      <c r="D34" s="88"/>
      <c r="E34" s="85"/>
      <c r="F34" s="86"/>
      <c r="G34" s="87"/>
      <c r="H34" s="83"/>
      <c r="I34" s="83"/>
      <c r="J34" s="93"/>
      <c r="K34" s="84"/>
      <c r="L34" s="94"/>
      <c r="M34" s="95"/>
    </row>
    <row r="35" spans="1:13" ht="12" customHeight="1">
      <c r="A35" s="83" t="str">
        <f t="shared" si="2"/>
        <v xml:space="preserve"> </v>
      </c>
      <c r="B35" s="74"/>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si="2"/>
        <v xml:space="preserve"> </v>
      </c>
      <c r="B44" s="74"/>
      <c r="C44" s="84"/>
      <c r="D44" s="88"/>
      <c r="E44" s="85"/>
      <c r="F44" s="86"/>
      <c r="G44" s="87"/>
      <c r="H44" s="83"/>
      <c r="I44" s="83"/>
      <c r="J44" s="93"/>
      <c r="K44" s="84"/>
      <c r="L44" s="94"/>
      <c r="M44" s="95"/>
    </row>
    <row r="45" spans="1:13" ht="12" customHeight="1">
      <c r="A45" s="83" t="str">
        <f t="shared" ref="A45:A89" si="3">IF(B45=""," ",A44+1)</f>
        <v xml:space="preserve"> </v>
      </c>
      <c r="B45" s="74"/>
      <c r="C45" s="84"/>
      <c r="D45" s="88"/>
      <c r="E45" s="85"/>
      <c r="F45" s="86"/>
      <c r="G45" s="87"/>
      <c r="H45" s="83"/>
      <c r="I45" s="83"/>
      <c r="J45" s="93"/>
      <c r="K45" s="84"/>
      <c r="L45" s="94"/>
      <c r="M45" s="95"/>
    </row>
    <row r="46" spans="1:13" ht="12" customHeight="1">
      <c r="A46" s="83" t="str">
        <f t="shared" si="3"/>
        <v xml:space="preserve"> </v>
      </c>
      <c r="B46" s="74"/>
      <c r="C46" s="84"/>
      <c r="D46" s="88"/>
      <c r="E46" s="85"/>
      <c r="F46" s="86"/>
      <c r="G46" s="87"/>
      <c r="H46" s="83"/>
      <c r="I46" s="83"/>
      <c r="J46" s="93"/>
      <c r="K46" s="84"/>
      <c r="L46" s="94"/>
      <c r="M46" s="95"/>
    </row>
    <row r="47" spans="1:13" ht="12" customHeight="1">
      <c r="A47" s="83" t="str">
        <f t="shared" si="3"/>
        <v xml:space="preserve"> </v>
      </c>
      <c r="B47" s="74"/>
      <c r="C47" s="84"/>
      <c r="D47" s="88"/>
      <c r="E47" s="85"/>
      <c r="F47" s="86"/>
      <c r="G47" s="87"/>
      <c r="H47" s="83"/>
      <c r="I47" s="83"/>
      <c r="J47" s="93"/>
      <c r="K47" s="84"/>
      <c r="L47" s="94"/>
      <c r="M47" s="95"/>
    </row>
    <row r="48" spans="1:13" ht="12" customHeight="1">
      <c r="A48" s="83" t="str">
        <f t="shared" si="3"/>
        <v xml:space="preserve"> </v>
      </c>
      <c r="B48" s="74"/>
      <c r="C48" s="84"/>
      <c r="D48" s="88"/>
      <c r="E48" s="85"/>
      <c r="F48" s="86"/>
      <c r="G48" s="87"/>
      <c r="H48" s="83"/>
      <c r="I48" s="83"/>
      <c r="J48" s="93"/>
      <c r="K48" s="84"/>
      <c r="L48" s="94"/>
      <c r="M48" s="95"/>
    </row>
    <row r="49" spans="1:13" ht="12" customHeight="1">
      <c r="A49" s="83" t="str">
        <f t="shared" si="3"/>
        <v xml:space="preserve"> </v>
      </c>
      <c r="B49" s="74"/>
      <c r="C49" s="84"/>
      <c r="D49" s="88"/>
      <c r="E49" s="85"/>
      <c r="F49" s="86"/>
      <c r="G49" s="87"/>
      <c r="H49" s="83"/>
      <c r="I49" s="83"/>
      <c r="J49" s="93"/>
      <c r="K49" s="84"/>
      <c r="L49" s="94"/>
      <c r="M49" s="95"/>
    </row>
    <row r="50" spans="1:13" ht="12" customHeight="1">
      <c r="A50" s="83" t="str">
        <f t="shared" si="3"/>
        <v xml:space="preserve"> </v>
      </c>
      <c r="B50" s="74"/>
      <c r="C50" s="84"/>
      <c r="D50" s="88"/>
      <c r="E50" s="85"/>
      <c r="F50" s="86"/>
      <c r="G50" s="87"/>
      <c r="H50" s="83"/>
      <c r="I50" s="83"/>
      <c r="J50" s="93"/>
      <c r="K50" s="84"/>
      <c r="L50" s="94"/>
      <c r="M50" s="95"/>
    </row>
    <row r="51" spans="1:13" ht="12" customHeight="1">
      <c r="A51" s="83" t="str">
        <f t="shared" si="3"/>
        <v xml:space="preserve"> </v>
      </c>
      <c r="B51" s="74"/>
      <c r="C51" s="84"/>
      <c r="D51" s="88"/>
      <c r="E51" s="85"/>
      <c r="F51" s="86"/>
      <c r="G51" s="87"/>
      <c r="H51" s="83"/>
      <c r="I51" s="83"/>
      <c r="J51" s="93"/>
      <c r="K51" s="84"/>
      <c r="L51" s="94"/>
      <c r="M51" s="95"/>
    </row>
    <row r="52" spans="1:13" ht="12" customHeight="1">
      <c r="A52" s="83" t="str">
        <f t="shared" si="3"/>
        <v xml:space="preserve"> </v>
      </c>
      <c r="B52" s="74"/>
      <c r="C52" s="84"/>
      <c r="D52" s="88"/>
      <c r="E52" s="85"/>
      <c r="F52" s="86"/>
      <c r="G52" s="87"/>
      <c r="H52" s="83"/>
      <c r="I52" s="83"/>
      <c r="J52" s="93"/>
      <c r="K52" s="84"/>
      <c r="L52" s="94"/>
      <c r="M52" s="95"/>
    </row>
    <row r="53" spans="1:13" ht="12" customHeight="1">
      <c r="A53" s="83" t="str">
        <f t="shared" si="3"/>
        <v xml:space="preserve"> </v>
      </c>
      <c r="B53" s="74"/>
      <c r="C53" s="84"/>
      <c r="D53" s="88"/>
      <c r="E53" s="85"/>
      <c r="F53" s="86"/>
      <c r="G53" s="87"/>
      <c r="H53" s="83"/>
      <c r="I53" s="83"/>
      <c r="J53" s="93"/>
      <c r="K53" s="84"/>
      <c r="L53" s="94"/>
      <c r="M53" s="95"/>
    </row>
    <row r="54" spans="1:13" ht="12" customHeight="1">
      <c r="A54" s="83" t="str">
        <f t="shared" si="3"/>
        <v xml:space="preserve"> </v>
      </c>
      <c r="B54" s="74"/>
      <c r="C54" s="84"/>
      <c r="D54" s="88"/>
      <c r="E54" s="85"/>
      <c r="F54" s="86"/>
      <c r="G54" s="87"/>
      <c r="H54" s="83"/>
      <c r="I54" s="83"/>
      <c r="J54" s="93"/>
      <c r="K54" s="84"/>
      <c r="L54" s="94"/>
      <c r="M54" s="95"/>
    </row>
    <row r="55" spans="1:13" ht="12" customHeight="1">
      <c r="A55" s="83" t="str">
        <f t="shared" si="3"/>
        <v xml:space="preserve"> </v>
      </c>
      <c r="B55" s="74"/>
      <c r="C55" s="84"/>
      <c r="D55" s="88"/>
      <c r="E55" s="85"/>
      <c r="F55" s="86"/>
      <c r="G55" s="87"/>
      <c r="H55" s="83"/>
      <c r="I55" s="83"/>
      <c r="J55" s="93"/>
      <c r="K55" s="84"/>
      <c r="L55" s="94"/>
      <c r="M55" s="95"/>
    </row>
    <row r="56" spans="1:13" ht="12" customHeight="1">
      <c r="A56" s="83" t="str">
        <f t="shared" si="3"/>
        <v xml:space="preserve"> </v>
      </c>
      <c r="B56" s="74"/>
      <c r="C56" s="84"/>
      <c r="D56" s="88"/>
      <c r="E56" s="85"/>
      <c r="F56" s="86"/>
      <c r="G56" s="87"/>
      <c r="H56" s="83"/>
      <c r="I56" s="83"/>
      <c r="J56" s="93"/>
      <c r="K56" s="84"/>
      <c r="L56" s="94"/>
      <c r="M56" s="95"/>
    </row>
    <row r="57" spans="1:13" ht="12" customHeight="1">
      <c r="A57" s="83" t="str">
        <f t="shared" si="3"/>
        <v xml:space="preserve"> </v>
      </c>
      <c r="B57" s="74"/>
      <c r="C57" s="84"/>
      <c r="D57" s="88"/>
      <c r="E57" s="85"/>
      <c r="F57" s="86"/>
      <c r="G57" s="87"/>
      <c r="H57" s="83"/>
      <c r="I57" s="83"/>
      <c r="J57" s="93"/>
      <c r="K57" s="84"/>
      <c r="L57" s="94"/>
      <c r="M57" s="95"/>
    </row>
    <row r="58" spans="1:13" ht="12" customHeight="1">
      <c r="A58" s="83" t="str">
        <f t="shared" si="3"/>
        <v xml:space="preserve"> </v>
      </c>
      <c r="B58" s="74"/>
      <c r="C58" s="84"/>
      <c r="D58" s="88"/>
      <c r="E58" s="85"/>
      <c r="F58" s="86"/>
      <c r="G58" s="87"/>
      <c r="H58" s="83"/>
      <c r="I58" s="83"/>
      <c r="J58" s="93"/>
      <c r="K58" s="84"/>
      <c r="L58" s="94"/>
      <c r="M58" s="95"/>
    </row>
    <row r="59" spans="1:13" ht="12" customHeight="1">
      <c r="A59" s="83" t="str">
        <f t="shared" si="3"/>
        <v xml:space="preserve"> </v>
      </c>
      <c r="B59" s="74"/>
      <c r="C59" s="84"/>
      <c r="D59" s="88"/>
      <c r="E59" s="85"/>
      <c r="F59" s="86"/>
      <c r="G59" s="87"/>
      <c r="H59" s="83"/>
      <c r="I59" s="83"/>
      <c r="J59" s="93"/>
      <c r="K59" s="84"/>
      <c r="L59" s="94"/>
      <c r="M59" s="95"/>
    </row>
    <row r="60" spans="1:13" ht="12" customHeight="1">
      <c r="A60" s="83" t="str">
        <f t="shared" si="3"/>
        <v xml:space="preserve"> </v>
      </c>
      <c r="B60" s="74"/>
      <c r="C60" s="84"/>
      <c r="D60" s="88"/>
      <c r="E60" s="85"/>
      <c r="F60" s="86"/>
      <c r="G60" s="87"/>
      <c r="H60" s="83"/>
      <c r="I60" s="83"/>
      <c r="J60" s="93"/>
      <c r="K60" s="84"/>
      <c r="L60" s="94"/>
      <c r="M60" s="95"/>
    </row>
    <row r="61" spans="1:13" ht="12" customHeight="1">
      <c r="A61" s="83" t="str">
        <f t="shared" si="3"/>
        <v xml:space="preserve"> </v>
      </c>
      <c r="B61" s="74"/>
      <c r="C61" s="84"/>
      <c r="D61" s="88"/>
      <c r="E61" s="85"/>
      <c r="F61" s="86"/>
      <c r="G61" s="87"/>
      <c r="H61" s="83"/>
      <c r="I61" s="83"/>
      <c r="J61" s="93"/>
      <c r="K61" s="84"/>
      <c r="L61" s="94"/>
      <c r="M61" s="95"/>
    </row>
    <row r="62" spans="1:13" ht="12" customHeight="1">
      <c r="A62" s="83" t="str">
        <f t="shared" si="3"/>
        <v xml:space="preserve"> </v>
      </c>
      <c r="B62" s="74"/>
      <c r="C62" s="84"/>
      <c r="D62" s="88"/>
      <c r="E62" s="85"/>
      <c r="F62" s="86"/>
      <c r="G62" s="87"/>
      <c r="H62" s="83"/>
      <c r="I62" s="83"/>
      <c r="J62" s="93"/>
      <c r="K62" s="84"/>
      <c r="L62" s="94"/>
      <c r="M62" s="95"/>
    </row>
    <row r="63" spans="1:13" ht="12" customHeight="1">
      <c r="A63" s="83" t="str">
        <f t="shared" si="3"/>
        <v xml:space="preserve"> </v>
      </c>
      <c r="B63" s="74"/>
      <c r="C63" s="84"/>
      <c r="D63" s="88"/>
      <c r="E63" s="85"/>
      <c r="F63" s="86"/>
      <c r="G63" s="87"/>
      <c r="H63" s="83"/>
      <c r="I63" s="83"/>
      <c r="J63" s="93"/>
      <c r="K63" s="84"/>
      <c r="L63" s="94"/>
      <c r="M63" s="95"/>
    </row>
    <row r="64" spans="1:13" ht="12" customHeight="1">
      <c r="A64" s="83" t="str">
        <f t="shared" si="3"/>
        <v xml:space="preserve"> </v>
      </c>
      <c r="B64" s="74"/>
      <c r="C64" s="84"/>
      <c r="D64" s="88"/>
      <c r="E64" s="85"/>
      <c r="F64" s="86"/>
      <c r="G64" s="87"/>
      <c r="H64" s="83"/>
      <c r="I64" s="83"/>
      <c r="J64" s="93"/>
      <c r="K64" s="84"/>
      <c r="L64" s="94"/>
      <c r="M64" s="95"/>
    </row>
    <row r="65" spans="1:13" ht="12" customHeight="1">
      <c r="A65" s="83" t="str">
        <f t="shared" si="3"/>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ref="A90:A100" si="4">IF(B90=""," ",A89+1)</f>
        <v xml:space="preserve"> </v>
      </c>
      <c r="B90" s="74"/>
      <c r="C90" s="84"/>
      <c r="D90" s="88"/>
      <c r="E90" s="85"/>
      <c r="F90" s="86"/>
      <c r="G90" s="87"/>
      <c r="H90" s="83"/>
      <c r="I90" s="83"/>
      <c r="J90" s="93"/>
      <c r="K90" s="84"/>
      <c r="L90" s="94"/>
      <c r="M90" s="95"/>
    </row>
    <row r="91" spans="1:13" ht="12" customHeight="1">
      <c r="A91" s="83" t="str">
        <f t="shared" si="4"/>
        <v xml:space="preserve"> </v>
      </c>
      <c r="B91" s="74"/>
      <c r="C91" s="84"/>
      <c r="D91" s="88"/>
      <c r="E91" s="85"/>
      <c r="F91" s="86"/>
      <c r="G91" s="87"/>
      <c r="H91" s="83"/>
      <c r="I91" s="83"/>
      <c r="J91" s="93"/>
      <c r="K91" s="84"/>
      <c r="L91" s="94"/>
      <c r="M91" s="95"/>
    </row>
    <row r="92" spans="1:13" ht="12" customHeight="1">
      <c r="A92" s="83" t="str">
        <f t="shared" si="4"/>
        <v xml:space="preserve"> </v>
      </c>
      <c r="B92" s="74"/>
      <c r="C92" s="84"/>
      <c r="D92" s="88"/>
      <c r="E92" s="85"/>
      <c r="F92" s="86"/>
      <c r="G92" s="87"/>
      <c r="H92" s="83"/>
      <c r="I92" s="83"/>
      <c r="J92" s="93"/>
      <c r="K92" s="84"/>
      <c r="L92" s="94"/>
      <c r="M92" s="95"/>
    </row>
    <row r="93" spans="1:13" ht="12" customHeight="1">
      <c r="A93" s="83" t="str">
        <f t="shared" si="4"/>
        <v xml:space="preserve"> </v>
      </c>
      <c r="B93" s="74"/>
      <c r="C93" s="84"/>
      <c r="D93" s="88"/>
      <c r="E93" s="85"/>
      <c r="F93" s="86"/>
      <c r="G93" s="87"/>
      <c r="H93" s="83"/>
      <c r="I93" s="83"/>
      <c r="J93" s="93"/>
      <c r="K93" s="84"/>
      <c r="L93" s="94"/>
      <c r="M93" s="95"/>
    </row>
    <row r="94" spans="1:13" ht="12" customHeight="1">
      <c r="A94" s="83" t="str">
        <f t="shared" si="4"/>
        <v xml:space="preserve"> </v>
      </c>
      <c r="B94" s="74"/>
      <c r="C94" s="84"/>
      <c r="D94" s="88"/>
      <c r="E94" s="85"/>
      <c r="F94" s="86"/>
      <c r="G94" s="87"/>
      <c r="H94" s="83"/>
      <c r="I94" s="83"/>
      <c r="J94" s="93"/>
      <c r="K94" s="84"/>
      <c r="L94" s="94"/>
      <c r="M94" s="95"/>
    </row>
    <row r="95" spans="1:13" ht="12" customHeight="1">
      <c r="A95" s="83" t="str">
        <f t="shared" si="4"/>
        <v xml:space="preserve"> </v>
      </c>
      <c r="B95" s="74"/>
      <c r="C95" s="84"/>
      <c r="D95" s="88"/>
      <c r="E95" s="85"/>
      <c r="F95" s="86"/>
      <c r="G95" s="87"/>
      <c r="H95" s="83"/>
      <c r="I95" s="83"/>
      <c r="J95" s="93"/>
      <c r="K95" s="84"/>
      <c r="L95" s="94"/>
      <c r="M95" s="95"/>
    </row>
    <row r="96" spans="1:13" ht="12" customHeight="1">
      <c r="A96" s="83" t="str">
        <f t="shared" si="4"/>
        <v xml:space="preserve"> </v>
      </c>
      <c r="B96" s="74"/>
      <c r="C96" s="84"/>
      <c r="D96" s="88"/>
      <c r="E96" s="85"/>
      <c r="F96" s="86"/>
      <c r="G96" s="87"/>
      <c r="H96" s="83"/>
      <c r="I96" s="83"/>
      <c r="J96" s="93"/>
      <c r="K96" s="84"/>
      <c r="L96" s="94"/>
      <c r="M96" s="95"/>
    </row>
    <row r="97" spans="1:13" ht="12" customHeight="1">
      <c r="A97" s="83" t="str">
        <f t="shared" si="4"/>
        <v xml:space="preserve"> </v>
      </c>
      <c r="B97" s="74"/>
      <c r="C97" s="84"/>
      <c r="D97" s="88"/>
      <c r="E97" s="85"/>
      <c r="F97" s="86"/>
      <c r="G97" s="87"/>
      <c r="H97" s="83"/>
      <c r="I97" s="83"/>
      <c r="J97" s="93"/>
      <c r="K97" s="84"/>
      <c r="L97" s="94"/>
      <c r="M97" s="95"/>
    </row>
    <row r="98" spans="1:13" ht="12" customHeight="1">
      <c r="A98" s="83" t="str">
        <f t="shared" si="4"/>
        <v xml:space="preserve"> </v>
      </c>
      <c r="B98" s="74"/>
      <c r="C98" s="84"/>
      <c r="D98" s="88"/>
      <c r="E98" s="85"/>
      <c r="F98" s="86"/>
      <c r="G98" s="87"/>
      <c r="H98" s="83"/>
      <c r="I98" s="83"/>
      <c r="J98" s="93"/>
      <c r="K98" s="84"/>
      <c r="L98" s="94"/>
      <c r="M98" s="95"/>
    </row>
    <row r="99" spans="1:13" ht="12" customHeight="1">
      <c r="A99" s="83" t="str">
        <f t="shared" si="4"/>
        <v xml:space="preserve"> </v>
      </c>
      <c r="B99" s="74"/>
      <c r="C99" s="84"/>
      <c r="D99" s="88"/>
      <c r="E99" s="85"/>
      <c r="F99" s="86"/>
      <c r="G99" s="87"/>
      <c r="H99" s="83"/>
      <c r="I99" s="83"/>
      <c r="J99" s="93"/>
      <c r="K99" s="84"/>
      <c r="L99" s="94"/>
      <c r="M99" s="95"/>
    </row>
    <row r="100" spans="1:13" ht="12" customHeight="1">
      <c r="A100" s="83" t="str">
        <f t="shared" si="4"/>
        <v xml:space="preserve"> </v>
      </c>
      <c r="B100" s="74"/>
      <c r="C100" s="84"/>
      <c r="D100" s="88"/>
      <c r="E100" s="85"/>
      <c r="F100" s="86"/>
      <c r="G100" s="87"/>
      <c r="H100" s="83"/>
      <c r="I100" s="83"/>
      <c r="J100" s="93"/>
      <c r="K100" s="84"/>
      <c r="L100" s="94"/>
      <c r="M100" s="95"/>
    </row>
    <row r="102" spans="1:13">
      <c r="B102" s="75" t="s">
        <v>235</v>
      </c>
    </row>
    <row r="103" spans="1:13" ht="12" customHeight="1"/>
    <row r="104" spans="1:13">
      <c r="B104" s="75" t="s">
        <v>236</v>
      </c>
      <c r="C104" s="75" t="s">
        <v>238</v>
      </c>
    </row>
  </sheetData>
  <mergeCells count="31">
    <mergeCell ref="K26:M26"/>
    <mergeCell ref="K27:M27"/>
    <mergeCell ref="A5:A6"/>
    <mergeCell ref="K5:M6"/>
    <mergeCell ref="K19:M19"/>
    <mergeCell ref="K21:M21"/>
    <mergeCell ref="K23:M23"/>
    <mergeCell ref="K24:M24"/>
    <mergeCell ref="K25:M25"/>
    <mergeCell ref="K13:M13"/>
    <mergeCell ref="K14:M14"/>
    <mergeCell ref="K15:M15"/>
    <mergeCell ref="K16:M16"/>
    <mergeCell ref="K17:M17"/>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ageSetUpPr fitToPage="1"/>
  </sheetPr>
  <dimension ref="A1:Q117"/>
  <sheetViews>
    <sheetView showGridLines="0" workbookViewId="0">
      <pane ySplit="6" topLeftCell="A7" activePane="bottomLeft" state="frozen"/>
      <selection pane="bottomLeft" activeCell="B7" sqref="B7:B10"/>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1402</v>
      </c>
      <c r="D3" s="265"/>
      <c r="E3" s="265"/>
      <c r="F3" s="265"/>
      <c r="G3" s="266"/>
      <c r="H3" s="259" t="s">
        <v>140</v>
      </c>
      <c r="I3" s="260"/>
      <c r="J3" s="90">
        <f>COUNT(A7:A100)</f>
        <v>17</v>
      </c>
      <c r="K3" s="78" t="s">
        <v>141</v>
      </c>
      <c r="L3" s="91">
        <v>38671</v>
      </c>
      <c r="M3" s="92" t="s">
        <v>148</v>
      </c>
      <c r="O3" s="75" t="s">
        <v>143</v>
      </c>
      <c r="P3" s="75" t="s">
        <v>144</v>
      </c>
    </row>
    <row r="4" spans="1:16" ht="12" customHeight="1">
      <c r="A4" s="267" t="s">
        <v>145</v>
      </c>
      <c r="B4" s="268"/>
      <c r="C4" s="267" t="s">
        <v>56</v>
      </c>
      <c r="D4" s="269"/>
      <c r="E4" s="269"/>
      <c r="F4" s="269"/>
      <c r="G4" s="268"/>
      <c r="H4" s="259" t="s">
        <v>146</v>
      </c>
      <c r="I4" s="260"/>
      <c r="J4" s="90">
        <f>SUM(G7:G99)</f>
        <v>101</v>
      </c>
      <c r="K4" s="78" t="s">
        <v>147</v>
      </c>
      <c r="L4" s="91">
        <v>38977</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812</v>
      </c>
      <c r="C7" s="84" t="s">
        <v>813</v>
      </c>
      <c r="D7" s="13" t="s">
        <v>164</v>
      </c>
      <c r="E7" s="85"/>
      <c r="F7" s="86"/>
      <c r="G7" s="87">
        <f t="shared" ref="G7:G23" si="0">IF(D7="DATE",4,IF(D7="CHAR",E7,IF(D7="SMALLINT",2,IF(D7="INTEGER",4,IF(D7="TIMESTAMP",10,IF(D7="TIME",3,0))))))</f>
        <v>4</v>
      </c>
      <c r="H7" s="83" t="s">
        <v>149</v>
      </c>
      <c r="I7" s="83"/>
      <c r="J7" s="93" t="s">
        <v>1403</v>
      </c>
      <c r="K7" s="308"/>
      <c r="L7" s="278"/>
      <c r="M7" s="279"/>
      <c r="P7" s="75" t="s">
        <v>165</v>
      </c>
    </row>
    <row r="8" spans="1:16" ht="12" customHeight="1">
      <c r="A8" s="83">
        <f t="shared" ref="A8:A16" si="1">IF(B8=""," ",A7+1)</f>
        <v>2</v>
      </c>
      <c r="B8" s="11" t="s">
        <v>460</v>
      </c>
      <c r="C8" s="21" t="s">
        <v>461</v>
      </c>
      <c r="D8" s="13" t="s">
        <v>164</v>
      </c>
      <c r="E8" s="85"/>
      <c r="F8" s="86"/>
      <c r="G8" s="87">
        <f t="shared" si="0"/>
        <v>4</v>
      </c>
      <c r="H8" s="83" t="s">
        <v>149</v>
      </c>
      <c r="I8" s="83"/>
      <c r="J8" s="93" t="s">
        <v>1404</v>
      </c>
      <c r="K8" s="21"/>
      <c r="L8" s="29"/>
      <c r="M8" s="30"/>
    </row>
    <row r="9" spans="1:16" ht="12" customHeight="1">
      <c r="A9" s="83">
        <f t="shared" si="1"/>
        <v>3</v>
      </c>
      <c r="B9" s="11" t="s">
        <v>462</v>
      </c>
      <c r="C9" s="21" t="s">
        <v>463</v>
      </c>
      <c r="D9" s="13" t="s">
        <v>150</v>
      </c>
      <c r="E9" s="85">
        <v>13</v>
      </c>
      <c r="F9" s="86"/>
      <c r="G9" s="87">
        <f t="shared" si="0"/>
        <v>13</v>
      </c>
      <c r="H9" s="83" t="s">
        <v>149</v>
      </c>
      <c r="I9" s="83"/>
      <c r="J9" s="93" t="s">
        <v>1405</v>
      </c>
      <c r="K9" s="21"/>
      <c r="L9" s="29"/>
      <c r="M9" s="30"/>
      <c r="P9" s="75" t="s">
        <v>164</v>
      </c>
    </row>
    <row r="10" spans="1:16" ht="27" customHeight="1">
      <c r="A10" s="83">
        <f t="shared" si="1"/>
        <v>4</v>
      </c>
      <c r="B10" s="11" t="s">
        <v>464</v>
      </c>
      <c r="C10" s="19" t="s">
        <v>465</v>
      </c>
      <c r="D10" s="88" t="s">
        <v>150</v>
      </c>
      <c r="E10" s="85">
        <v>1</v>
      </c>
      <c r="F10" s="86"/>
      <c r="G10" s="87">
        <f t="shared" si="0"/>
        <v>1</v>
      </c>
      <c r="H10" s="83" t="s">
        <v>149</v>
      </c>
      <c r="I10" s="83"/>
      <c r="J10" s="93"/>
      <c r="K10" s="271" t="s">
        <v>171</v>
      </c>
      <c r="L10" s="272"/>
      <c r="M10" s="273"/>
    </row>
    <row r="11" spans="1:16" ht="12" customHeight="1">
      <c r="A11" s="83">
        <f t="shared" si="1"/>
        <v>5</v>
      </c>
      <c r="B11" s="74" t="s">
        <v>1406</v>
      </c>
      <c r="C11" s="84" t="s">
        <v>1407</v>
      </c>
      <c r="D11" s="88" t="s">
        <v>234</v>
      </c>
      <c r="E11" s="85"/>
      <c r="F11" s="86"/>
      <c r="G11" s="87">
        <f t="shared" si="0"/>
        <v>10</v>
      </c>
      <c r="H11" s="83" t="s">
        <v>149</v>
      </c>
      <c r="I11" s="83"/>
      <c r="J11" s="93" t="s">
        <v>1408</v>
      </c>
      <c r="K11" s="84"/>
      <c r="L11" s="94"/>
      <c r="M11" s="95"/>
    </row>
    <row r="12" spans="1:16" ht="12" customHeight="1">
      <c r="A12" s="83">
        <f t="shared" si="1"/>
        <v>6</v>
      </c>
      <c r="B12" s="11" t="s">
        <v>162</v>
      </c>
      <c r="C12" s="84" t="s">
        <v>163</v>
      </c>
      <c r="D12" s="13" t="s">
        <v>164</v>
      </c>
      <c r="E12" s="85"/>
      <c r="F12" s="86"/>
      <c r="G12" s="87">
        <f t="shared" si="0"/>
        <v>4</v>
      </c>
      <c r="H12" s="83" t="s">
        <v>149</v>
      </c>
      <c r="I12" s="83"/>
      <c r="J12" s="93"/>
      <c r="K12" s="308"/>
      <c r="L12" s="278"/>
      <c r="M12" s="279"/>
    </row>
    <row r="13" spans="1:16" ht="12" customHeight="1">
      <c r="A13" s="83">
        <f t="shared" si="1"/>
        <v>7</v>
      </c>
      <c r="B13" s="11" t="s">
        <v>166</v>
      </c>
      <c r="C13" s="84" t="s">
        <v>167</v>
      </c>
      <c r="D13" s="13" t="s">
        <v>150</v>
      </c>
      <c r="E13" s="85">
        <v>11</v>
      </c>
      <c r="F13" s="86"/>
      <c r="G13" s="87">
        <f t="shared" si="0"/>
        <v>11</v>
      </c>
      <c r="H13" s="83" t="s">
        <v>149</v>
      </c>
      <c r="I13" s="83"/>
      <c r="J13" s="93"/>
      <c r="K13" s="21"/>
      <c r="L13" s="29"/>
      <c r="M13" s="30"/>
      <c r="P13" s="75" t="s">
        <v>165</v>
      </c>
    </row>
    <row r="14" spans="1:16" ht="12" customHeight="1">
      <c r="A14" s="83">
        <f t="shared" si="1"/>
        <v>8</v>
      </c>
      <c r="B14" s="11" t="s">
        <v>169</v>
      </c>
      <c r="C14" s="19" t="s">
        <v>170</v>
      </c>
      <c r="D14" s="88" t="s">
        <v>150</v>
      </c>
      <c r="E14" s="85">
        <v>1</v>
      </c>
      <c r="F14" s="86"/>
      <c r="G14" s="87">
        <f t="shared" si="0"/>
        <v>1</v>
      </c>
      <c r="H14" s="83" t="s">
        <v>149</v>
      </c>
      <c r="I14" s="83"/>
      <c r="J14" s="93"/>
      <c r="K14" s="271" t="s">
        <v>171</v>
      </c>
      <c r="L14" s="272"/>
      <c r="M14" s="273"/>
    </row>
    <row r="15" spans="1:16" ht="27" customHeight="1">
      <c r="A15" s="83">
        <f t="shared" si="1"/>
        <v>9</v>
      </c>
      <c r="B15" s="11" t="s">
        <v>172</v>
      </c>
      <c r="C15" s="84" t="s">
        <v>173</v>
      </c>
      <c r="D15" s="88" t="s">
        <v>174</v>
      </c>
      <c r="E15" s="85"/>
      <c r="F15" s="86"/>
      <c r="G15" s="87">
        <f t="shared" si="0"/>
        <v>2</v>
      </c>
      <c r="H15" s="83" t="s">
        <v>149</v>
      </c>
      <c r="I15" s="83"/>
      <c r="J15" s="93"/>
      <c r="K15" s="277" t="s">
        <v>175</v>
      </c>
      <c r="L15" s="278"/>
      <c r="M15" s="279"/>
    </row>
    <row r="16" spans="1:16" ht="12" customHeight="1">
      <c r="A16" s="83">
        <f t="shared" si="1"/>
        <v>10</v>
      </c>
      <c r="B16" s="20" t="s">
        <v>770</v>
      </c>
      <c r="C16" s="21" t="s">
        <v>771</v>
      </c>
      <c r="D16" s="13" t="s">
        <v>150</v>
      </c>
      <c r="E16" s="85">
        <v>10</v>
      </c>
      <c r="F16" s="86"/>
      <c r="G16" s="87">
        <f t="shared" si="0"/>
        <v>10</v>
      </c>
      <c r="H16" s="83" t="s">
        <v>149</v>
      </c>
      <c r="I16" s="83"/>
      <c r="J16" s="93"/>
      <c r="K16" s="21"/>
      <c r="L16" s="29"/>
      <c r="M16" s="30"/>
    </row>
    <row r="17" spans="1:16" ht="12" customHeight="1">
      <c r="A17" s="83">
        <f t="shared" ref="A17:A23" si="2">IF(B16=""," ",A16+1)</f>
        <v>11</v>
      </c>
      <c r="B17" s="11" t="s">
        <v>772</v>
      </c>
      <c r="C17" s="21" t="s">
        <v>773</v>
      </c>
      <c r="D17" s="13" t="s">
        <v>174</v>
      </c>
      <c r="E17" s="85"/>
      <c r="F17" s="86"/>
      <c r="G17" s="87">
        <f t="shared" si="0"/>
        <v>2</v>
      </c>
      <c r="H17" s="83" t="s">
        <v>149</v>
      </c>
      <c r="I17" s="83"/>
      <c r="J17" s="93"/>
      <c r="K17" s="21"/>
      <c r="L17" s="29"/>
      <c r="M17" s="30"/>
      <c r="P17" s="75" t="s">
        <v>174</v>
      </c>
    </row>
    <row r="18" spans="1:16" ht="12" customHeight="1">
      <c r="A18" s="83">
        <f t="shared" si="2"/>
        <v>12</v>
      </c>
      <c r="B18" s="74" t="s">
        <v>774</v>
      </c>
      <c r="C18" s="21" t="s">
        <v>775</v>
      </c>
      <c r="D18" s="13" t="s">
        <v>150</v>
      </c>
      <c r="E18" s="85">
        <v>10</v>
      </c>
      <c r="F18" s="86"/>
      <c r="G18" s="87">
        <f t="shared" si="0"/>
        <v>10</v>
      </c>
      <c r="H18" s="83" t="s">
        <v>149</v>
      </c>
      <c r="I18" s="83"/>
      <c r="J18" s="93" t="s">
        <v>1409</v>
      </c>
      <c r="K18" s="308"/>
      <c r="L18" s="278"/>
      <c r="M18" s="279"/>
    </row>
    <row r="19" spans="1:16" ht="12" customHeight="1">
      <c r="A19" s="83">
        <f t="shared" si="2"/>
        <v>13</v>
      </c>
      <c r="B19" s="74" t="s">
        <v>776</v>
      </c>
      <c r="C19" s="84" t="s">
        <v>777</v>
      </c>
      <c r="D19" s="88" t="s">
        <v>174</v>
      </c>
      <c r="E19" s="85"/>
      <c r="F19" s="86"/>
      <c r="G19" s="87">
        <f t="shared" si="0"/>
        <v>2</v>
      </c>
      <c r="H19" s="83" t="s">
        <v>149</v>
      </c>
      <c r="I19" s="83"/>
      <c r="J19" s="93"/>
      <c r="K19" s="274"/>
      <c r="L19" s="275"/>
      <c r="M19" s="276"/>
      <c r="P19" s="75" t="s">
        <v>195</v>
      </c>
    </row>
    <row r="20" spans="1:16" ht="48" customHeight="1">
      <c r="A20" s="83">
        <f t="shared" si="2"/>
        <v>14</v>
      </c>
      <c r="B20" s="11" t="s">
        <v>1410</v>
      </c>
      <c r="C20" s="84" t="s">
        <v>1411</v>
      </c>
      <c r="D20" s="88" t="s">
        <v>150</v>
      </c>
      <c r="E20" s="85">
        <v>1</v>
      </c>
      <c r="F20" s="86"/>
      <c r="G20" s="87">
        <f t="shared" si="0"/>
        <v>1</v>
      </c>
      <c r="H20" s="83" t="s">
        <v>149</v>
      </c>
      <c r="I20" s="83"/>
      <c r="J20" s="93"/>
      <c r="K20" s="280" t="s">
        <v>1412</v>
      </c>
      <c r="L20" s="291"/>
      <c r="M20" s="292"/>
    </row>
    <row r="21" spans="1:16" ht="39.75" customHeight="1">
      <c r="A21" s="83">
        <f t="shared" si="2"/>
        <v>15</v>
      </c>
      <c r="B21" s="11" t="s">
        <v>1413</v>
      </c>
      <c r="C21" s="84" t="s">
        <v>1414</v>
      </c>
      <c r="D21" s="88" t="s">
        <v>150</v>
      </c>
      <c r="E21" s="85">
        <v>6</v>
      </c>
      <c r="F21" s="86"/>
      <c r="G21" s="87">
        <f t="shared" si="0"/>
        <v>6</v>
      </c>
      <c r="H21" s="83" t="s">
        <v>149</v>
      </c>
      <c r="I21" s="83"/>
      <c r="J21" s="93"/>
      <c r="K21" s="280" t="s">
        <v>1415</v>
      </c>
      <c r="L21" s="291"/>
      <c r="M21" s="292"/>
    </row>
    <row r="22" spans="1:16" ht="36.75" customHeight="1">
      <c r="A22" s="83">
        <f t="shared" si="2"/>
        <v>16</v>
      </c>
      <c r="B22" s="74" t="s">
        <v>232</v>
      </c>
      <c r="C22" s="84" t="s">
        <v>233</v>
      </c>
      <c r="D22" s="88" t="s">
        <v>234</v>
      </c>
      <c r="E22" s="85"/>
      <c r="F22" s="86"/>
      <c r="G22" s="87">
        <f t="shared" si="0"/>
        <v>10</v>
      </c>
      <c r="H22" s="83" t="s">
        <v>149</v>
      </c>
      <c r="I22" s="83"/>
      <c r="J22" s="93"/>
      <c r="K22" s="84"/>
      <c r="L22" s="94"/>
      <c r="M22" s="95"/>
    </row>
    <row r="23" spans="1:16" ht="12" customHeight="1">
      <c r="A23" s="83">
        <f t="shared" si="2"/>
        <v>17</v>
      </c>
      <c r="B23" s="74" t="s">
        <v>447</v>
      </c>
      <c r="C23" s="84" t="s">
        <v>448</v>
      </c>
      <c r="D23" s="88" t="s">
        <v>234</v>
      </c>
      <c r="E23" s="85"/>
      <c r="F23" s="86"/>
      <c r="G23" s="87">
        <f t="shared" si="0"/>
        <v>10</v>
      </c>
      <c r="H23" s="83" t="s">
        <v>149</v>
      </c>
      <c r="I23" s="83"/>
      <c r="J23" s="93"/>
      <c r="K23" s="274" t="s">
        <v>449</v>
      </c>
      <c r="L23" s="275"/>
      <c r="M23" s="276"/>
    </row>
    <row r="24" spans="1:16" ht="12" customHeight="1">
      <c r="A24" s="83"/>
      <c r="B24" s="11"/>
      <c r="C24" s="84"/>
      <c r="D24" s="88"/>
      <c r="E24" s="85"/>
      <c r="F24" s="86"/>
      <c r="G24" s="87"/>
      <c r="H24" s="83"/>
      <c r="I24" s="83"/>
      <c r="J24" s="93"/>
      <c r="K24" s="274"/>
      <c r="L24" s="275"/>
      <c r="M24" s="276"/>
    </row>
    <row r="25" spans="1:16" ht="12" customHeight="1">
      <c r="A25" s="83" t="str">
        <f t="shared" ref="A25:A35" si="3">IF(B24=""," ",A24+1)</f>
        <v xml:space="preserve"> </v>
      </c>
      <c r="B25" s="11"/>
      <c r="C25" s="84"/>
      <c r="D25" s="88"/>
      <c r="E25" s="85"/>
      <c r="F25" s="86"/>
      <c r="G25" s="87"/>
      <c r="H25" s="83"/>
      <c r="I25" s="83"/>
      <c r="J25" s="93"/>
      <c r="K25" s="274"/>
      <c r="L25" s="275"/>
      <c r="M25" s="276"/>
    </row>
    <row r="26" spans="1:16" ht="12" customHeight="1">
      <c r="A26" s="83" t="str">
        <f t="shared" si="3"/>
        <v xml:space="preserve"> </v>
      </c>
      <c r="B26" s="74"/>
      <c r="C26" s="84"/>
      <c r="D26" s="88"/>
      <c r="E26" s="85"/>
      <c r="F26" s="86"/>
      <c r="G26" s="87"/>
      <c r="H26" s="83"/>
      <c r="I26" s="83"/>
      <c r="J26" s="93"/>
      <c r="K26" s="274"/>
      <c r="L26" s="275"/>
      <c r="M26" s="276"/>
    </row>
    <row r="27" spans="1:16" ht="12" customHeight="1">
      <c r="A27" s="83" t="str">
        <f t="shared" si="3"/>
        <v xml:space="preserve"> </v>
      </c>
      <c r="B27" s="11"/>
      <c r="C27" s="21"/>
      <c r="D27" s="13"/>
      <c r="E27" s="85"/>
      <c r="F27" s="86"/>
      <c r="G27" s="87"/>
      <c r="H27" s="83"/>
      <c r="I27" s="83"/>
      <c r="J27" s="93"/>
      <c r="K27" s="274"/>
      <c r="L27" s="275"/>
      <c r="M27" s="276"/>
    </row>
    <row r="28" spans="1:16" ht="12" customHeight="1">
      <c r="A28" s="83" t="str">
        <f t="shared" si="3"/>
        <v xml:space="preserve"> </v>
      </c>
      <c r="B28" s="11"/>
      <c r="C28" s="21"/>
      <c r="D28" s="13"/>
      <c r="E28" s="85"/>
      <c r="F28" s="86"/>
      <c r="G28" s="87"/>
      <c r="H28" s="83"/>
      <c r="I28" s="83"/>
      <c r="J28" s="93"/>
      <c r="K28" s="274"/>
      <c r="L28" s="275"/>
      <c r="M28" s="276"/>
    </row>
    <row r="29" spans="1:16" ht="12" customHeight="1">
      <c r="A29" s="83" t="str">
        <f t="shared" si="3"/>
        <v xml:space="preserve"> </v>
      </c>
      <c r="B29" s="74"/>
      <c r="C29" s="22"/>
      <c r="D29" s="30"/>
      <c r="E29" s="85"/>
      <c r="F29" s="86"/>
      <c r="G29" s="87"/>
      <c r="H29" s="83"/>
      <c r="I29" s="83"/>
      <c r="J29" s="93"/>
      <c r="K29" s="274"/>
      <c r="L29" s="275"/>
      <c r="M29" s="276"/>
    </row>
    <row r="30" spans="1:16" ht="12" customHeight="1">
      <c r="A30" s="83" t="str">
        <f t="shared" si="3"/>
        <v xml:space="preserve"> </v>
      </c>
      <c r="B30" s="11"/>
      <c r="C30" s="21"/>
      <c r="D30" s="13"/>
      <c r="E30" s="85"/>
      <c r="F30" s="86"/>
      <c r="G30" s="87"/>
      <c r="H30" s="83"/>
      <c r="I30" s="83"/>
      <c r="J30" s="93"/>
      <c r="K30" s="274"/>
      <c r="L30" s="275"/>
      <c r="M30" s="276"/>
    </row>
    <row r="31" spans="1:16" ht="12" customHeight="1">
      <c r="A31" s="83" t="str">
        <f t="shared" si="3"/>
        <v xml:space="preserve"> </v>
      </c>
      <c r="B31" s="11"/>
      <c r="C31" s="110"/>
      <c r="D31" s="88"/>
      <c r="E31" s="85"/>
      <c r="F31" s="86"/>
      <c r="G31" s="87"/>
      <c r="H31" s="83"/>
      <c r="I31" s="83"/>
      <c r="J31" s="93"/>
      <c r="K31" s="274"/>
      <c r="L31" s="275"/>
      <c r="M31" s="276"/>
    </row>
    <row r="32" spans="1:16" ht="12" customHeight="1">
      <c r="A32" s="83" t="str">
        <f t="shared" si="3"/>
        <v xml:space="preserve"> </v>
      </c>
      <c r="B32" s="198"/>
      <c r="C32" s="22"/>
      <c r="D32" s="30"/>
      <c r="E32" s="85"/>
      <c r="F32" s="86"/>
      <c r="G32" s="87"/>
      <c r="H32" s="83"/>
      <c r="I32" s="83"/>
      <c r="J32" s="93"/>
      <c r="K32" s="274"/>
      <c r="L32" s="275"/>
      <c r="M32" s="276"/>
    </row>
    <row r="33" spans="1:13" ht="12" customHeight="1">
      <c r="A33" s="83" t="str">
        <f t="shared" si="3"/>
        <v xml:space="preserve"> </v>
      </c>
      <c r="B33" s="11"/>
      <c r="C33" s="84"/>
      <c r="D33" s="88"/>
      <c r="E33" s="85"/>
      <c r="F33" s="86"/>
      <c r="G33" s="87"/>
      <c r="H33" s="83"/>
      <c r="I33" s="83"/>
      <c r="J33" s="93"/>
      <c r="K33" s="274"/>
      <c r="L33" s="275"/>
      <c r="M33" s="276"/>
    </row>
    <row r="34" spans="1:13" ht="12" customHeight="1">
      <c r="A34" s="83" t="str">
        <f t="shared" si="3"/>
        <v xml:space="preserve"> </v>
      </c>
      <c r="B34" s="11"/>
      <c r="C34" s="21"/>
      <c r="D34" s="13"/>
      <c r="E34" s="85"/>
      <c r="F34" s="86"/>
      <c r="G34" s="87"/>
      <c r="H34" s="83"/>
      <c r="I34" s="83"/>
      <c r="J34" s="93"/>
      <c r="K34" s="274"/>
      <c r="L34" s="275"/>
      <c r="M34" s="276"/>
    </row>
    <row r="35" spans="1:13" ht="12" customHeight="1">
      <c r="A35" s="83" t="str">
        <f t="shared" si="3"/>
        <v xml:space="preserve"> </v>
      </c>
      <c r="B35" s="20"/>
      <c r="C35" s="21"/>
      <c r="D35" s="13"/>
      <c r="E35" s="85"/>
      <c r="F35" s="86"/>
      <c r="G35" s="87"/>
      <c r="H35" s="83"/>
      <c r="I35" s="83"/>
      <c r="J35" s="93"/>
      <c r="K35" s="274"/>
      <c r="L35" s="275"/>
      <c r="M35" s="276"/>
    </row>
    <row r="36" spans="1:13" ht="12" customHeight="1">
      <c r="A36" s="83" t="str">
        <f>IF(B35=""," ",A27+1)</f>
        <v xml:space="preserve"> </v>
      </c>
      <c r="B36" s="11"/>
      <c r="C36" s="21"/>
      <c r="D36" s="13"/>
      <c r="E36" s="85"/>
      <c r="F36" s="86"/>
      <c r="G36" s="87"/>
      <c r="H36" s="83"/>
      <c r="I36" s="83"/>
      <c r="J36" s="93"/>
      <c r="K36" s="274"/>
      <c r="L36" s="275"/>
      <c r="M36" s="276"/>
    </row>
    <row r="37" spans="1:13" ht="12" customHeight="1">
      <c r="A37" s="83" t="str">
        <f>IF(B36=""," ",A36+1)</f>
        <v xml:space="preserve"> </v>
      </c>
      <c r="B37" s="74"/>
      <c r="C37" s="84"/>
      <c r="D37" s="88"/>
      <c r="E37" s="85"/>
      <c r="F37" s="86"/>
      <c r="G37" s="87"/>
      <c r="H37" s="83"/>
      <c r="I37" s="83"/>
      <c r="J37" s="93"/>
      <c r="K37" s="274"/>
      <c r="L37" s="275"/>
      <c r="M37" s="276"/>
    </row>
    <row r="38" spans="1:13" ht="12" customHeight="1">
      <c r="A38" s="83" t="str">
        <f>IF(B37=""," ",A37+1)</f>
        <v xml:space="preserve"> </v>
      </c>
      <c r="B38" s="74"/>
      <c r="C38" s="84"/>
      <c r="D38" s="88"/>
      <c r="E38" s="85"/>
      <c r="F38" s="86"/>
      <c r="G38" s="87"/>
      <c r="H38" s="83"/>
      <c r="I38" s="83"/>
      <c r="J38" s="93"/>
      <c r="K38" s="274"/>
      <c r="L38" s="275"/>
      <c r="M38" s="276"/>
    </row>
    <row r="39" spans="1:13" ht="12" customHeight="1">
      <c r="A39" s="83" t="str">
        <f>IF(B38=""," ",A31+1)</f>
        <v xml:space="preserve"> </v>
      </c>
      <c r="B39" s="20"/>
      <c r="C39" s="84"/>
      <c r="D39" s="88"/>
      <c r="E39" s="85"/>
      <c r="F39" s="86"/>
      <c r="G39" s="87"/>
      <c r="H39" s="83"/>
      <c r="I39" s="83"/>
      <c r="J39" s="93"/>
      <c r="K39" s="274"/>
      <c r="L39" s="275"/>
      <c r="M39" s="276"/>
    </row>
    <row r="40" spans="1:13" ht="12" customHeight="1">
      <c r="A40" s="83" t="str">
        <f>IF(B39=""," ",A39+1)</f>
        <v xml:space="preserve"> </v>
      </c>
      <c r="B40" s="11"/>
      <c r="C40" s="22"/>
      <c r="D40" s="30"/>
      <c r="E40" s="85"/>
      <c r="F40" s="86"/>
      <c r="G40" s="87"/>
      <c r="H40" s="83"/>
      <c r="I40" s="83"/>
      <c r="J40" s="93"/>
      <c r="K40" s="274"/>
      <c r="L40" s="275"/>
      <c r="M40" s="276"/>
    </row>
    <row r="41" spans="1:13" ht="12" customHeight="1">
      <c r="A41" s="83" t="str">
        <f>IF(B40=""," ",A40+1)</f>
        <v xml:space="preserve"> </v>
      </c>
      <c r="B41" s="11"/>
      <c r="C41" s="84"/>
      <c r="D41" s="88"/>
      <c r="E41" s="85"/>
      <c r="F41" s="86"/>
      <c r="G41" s="87"/>
      <c r="H41" s="83"/>
      <c r="I41" s="83"/>
      <c r="J41" s="93"/>
      <c r="K41" s="274"/>
      <c r="L41" s="275"/>
      <c r="M41" s="276"/>
    </row>
    <row r="42" spans="1:13" ht="12" customHeight="1">
      <c r="A42" s="83" t="str">
        <f>IF(B41=""," ",A41+1)</f>
        <v xml:space="preserve"> </v>
      </c>
      <c r="B42" s="11"/>
      <c r="C42" s="22"/>
      <c r="D42" s="30"/>
      <c r="E42" s="85"/>
      <c r="F42" s="86"/>
      <c r="G42" s="87"/>
      <c r="H42" s="83"/>
      <c r="I42" s="83"/>
      <c r="J42" s="93"/>
      <c r="K42" s="274"/>
      <c r="L42" s="275"/>
      <c r="M42" s="276"/>
    </row>
    <row r="43" spans="1:13" ht="12" customHeight="1">
      <c r="A43" s="83" t="str">
        <f>IF(B42=""," ",A42+1)</f>
        <v xml:space="preserve"> </v>
      </c>
      <c r="B43" s="20"/>
      <c r="C43" s="21"/>
      <c r="D43" s="13"/>
      <c r="E43" s="85"/>
      <c r="F43" s="86"/>
      <c r="G43" s="87"/>
      <c r="H43" s="83"/>
      <c r="I43" s="83"/>
      <c r="J43" s="93"/>
      <c r="K43" s="274"/>
      <c r="L43" s="275"/>
      <c r="M43" s="276"/>
    </row>
    <row r="44" spans="1:13" ht="12" customHeight="1">
      <c r="A44" s="83" t="str">
        <f>IF(B43=""," ",A28+1)</f>
        <v xml:space="preserve"> </v>
      </c>
      <c r="B44" s="11"/>
      <c r="C44" s="21"/>
      <c r="D44" s="13"/>
      <c r="E44" s="85"/>
      <c r="F44" s="86"/>
      <c r="G44" s="87"/>
      <c r="H44" s="83"/>
      <c r="I44" s="83"/>
      <c r="J44" s="93"/>
      <c r="K44" s="274"/>
      <c r="L44" s="275"/>
      <c r="M44" s="276"/>
    </row>
    <row r="45" spans="1:13" ht="12" customHeight="1">
      <c r="A45" s="83" t="str">
        <f>IF(B44=""," ",A44+1)</f>
        <v xml:space="preserve"> </v>
      </c>
      <c r="B45" s="74"/>
      <c r="C45" s="84"/>
      <c r="D45" s="88"/>
      <c r="E45" s="85"/>
      <c r="F45" s="86"/>
      <c r="G45" s="87"/>
      <c r="H45" s="83"/>
      <c r="I45" s="83"/>
      <c r="J45" s="93"/>
      <c r="K45" s="274"/>
      <c r="L45" s="275"/>
      <c r="M45" s="276"/>
    </row>
    <row r="46" spans="1:13" ht="12" customHeight="1">
      <c r="A46" s="83" t="str">
        <f>IF(B45=""," ",A38+1)</f>
        <v xml:space="preserve"> </v>
      </c>
      <c r="B46" s="20"/>
      <c r="C46" s="84"/>
      <c r="D46" s="88"/>
      <c r="E46" s="85"/>
      <c r="F46" s="86"/>
      <c r="G46" s="87"/>
      <c r="H46" s="83"/>
      <c r="I46" s="83"/>
      <c r="J46" s="93"/>
      <c r="K46" s="274"/>
      <c r="L46" s="275"/>
      <c r="M46" s="276"/>
    </row>
    <row r="47" spans="1:13" ht="12" customHeight="1">
      <c r="A47" s="83" t="str">
        <f>IF(B46=""," ",A46+1)</f>
        <v xml:space="preserve"> </v>
      </c>
      <c r="B47" s="11"/>
      <c r="C47" s="22"/>
      <c r="D47" s="30"/>
      <c r="E47" s="85"/>
      <c r="F47" s="86"/>
      <c r="G47" s="87"/>
      <c r="H47" s="83"/>
      <c r="I47" s="83"/>
      <c r="J47" s="93"/>
      <c r="K47" s="274"/>
      <c r="L47" s="275"/>
      <c r="M47" s="276"/>
    </row>
    <row r="48" spans="1:13" ht="12" customHeight="1">
      <c r="A48" s="83" t="str">
        <f>IF(B47=""," ",A47+1)</f>
        <v xml:space="preserve"> </v>
      </c>
      <c r="B48" s="11"/>
      <c r="C48" s="84"/>
      <c r="D48" s="88"/>
      <c r="E48" s="85"/>
      <c r="F48" s="86"/>
      <c r="G48" s="87"/>
      <c r="H48" s="83"/>
      <c r="I48" s="83"/>
      <c r="J48" s="93"/>
      <c r="K48" s="274"/>
      <c r="L48" s="275"/>
      <c r="M48" s="276"/>
    </row>
    <row r="49" spans="1:13" ht="12" customHeight="1">
      <c r="A49" s="83" t="str">
        <f>IF(B48=""," ",A48+1)</f>
        <v xml:space="preserve"> </v>
      </c>
      <c r="B49" s="11"/>
      <c r="C49" s="22"/>
      <c r="D49" s="30"/>
      <c r="E49" s="85"/>
      <c r="F49" s="86"/>
      <c r="G49" s="87"/>
      <c r="H49" s="83"/>
      <c r="I49" s="83"/>
      <c r="J49" s="93"/>
      <c r="K49" s="274"/>
      <c r="L49" s="275"/>
      <c r="M49" s="276"/>
    </row>
    <row r="50" spans="1:13" ht="12" customHeight="1">
      <c r="A50" s="83" t="str">
        <f>IF(B49=""," ",A49+1)</f>
        <v xml:space="preserve"> </v>
      </c>
      <c r="B50" s="20"/>
      <c r="C50" s="21"/>
      <c r="D50" s="13"/>
      <c r="E50" s="85"/>
      <c r="F50" s="86"/>
      <c r="G50" s="87"/>
      <c r="H50" s="83"/>
      <c r="I50" s="83"/>
      <c r="J50" s="93"/>
      <c r="K50" s="274"/>
      <c r="L50" s="275"/>
      <c r="M50" s="276"/>
    </row>
    <row r="51" spans="1:13" ht="12" customHeight="1">
      <c r="A51" s="83" t="str">
        <f>IF(B50=""," ",A35+1)</f>
        <v xml:space="preserve"> </v>
      </c>
      <c r="B51" s="11"/>
      <c r="C51" s="21"/>
      <c r="D51" s="13"/>
      <c r="E51" s="85"/>
      <c r="F51" s="86"/>
      <c r="G51" s="87"/>
      <c r="H51" s="83"/>
      <c r="I51" s="83"/>
      <c r="J51" s="93"/>
      <c r="K51" s="274"/>
      <c r="L51" s="275"/>
      <c r="M51" s="276"/>
    </row>
    <row r="52" spans="1:13" ht="12" customHeight="1">
      <c r="A52" s="83" t="str">
        <f t="shared" ref="A52:A60" si="4">IF(B51=""," ",A51+1)</f>
        <v xml:space="preserve"> </v>
      </c>
      <c r="B52" s="74"/>
      <c r="C52" s="84"/>
      <c r="D52" s="88"/>
      <c r="E52" s="85"/>
      <c r="F52" s="86"/>
      <c r="G52" s="87"/>
      <c r="H52" s="83"/>
      <c r="I52" s="83"/>
      <c r="J52" s="93"/>
      <c r="K52" s="274"/>
      <c r="L52" s="275"/>
      <c r="M52" s="276"/>
    </row>
    <row r="53" spans="1:13" ht="12" customHeight="1">
      <c r="A53" s="83" t="str">
        <f t="shared" si="4"/>
        <v xml:space="preserve"> </v>
      </c>
      <c r="B53" s="74"/>
      <c r="C53" s="84"/>
      <c r="D53" s="88"/>
      <c r="E53" s="85"/>
      <c r="F53" s="86"/>
      <c r="G53" s="87"/>
      <c r="H53" s="83"/>
      <c r="I53" s="83"/>
      <c r="J53" s="93"/>
      <c r="K53" s="274"/>
      <c r="L53" s="275"/>
      <c r="M53" s="276"/>
    </row>
    <row r="54" spans="1:13" ht="12" customHeight="1">
      <c r="A54" s="83" t="str">
        <f t="shared" si="4"/>
        <v xml:space="preserve"> </v>
      </c>
      <c r="B54" s="20"/>
      <c r="C54" s="84"/>
      <c r="D54" s="88"/>
      <c r="E54" s="85"/>
      <c r="F54" s="86"/>
      <c r="G54" s="87"/>
      <c r="H54" s="83"/>
      <c r="I54" s="83"/>
      <c r="J54" s="93"/>
      <c r="K54" s="274"/>
      <c r="L54" s="275"/>
      <c r="M54" s="276"/>
    </row>
    <row r="55" spans="1:13" ht="12" customHeight="1">
      <c r="A55" s="83" t="str">
        <f t="shared" si="4"/>
        <v xml:space="preserve"> </v>
      </c>
      <c r="B55" s="11"/>
      <c r="C55" s="22"/>
      <c r="D55" s="30"/>
      <c r="E55" s="85"/>
      <c r="F55" s="86"/>
      <c r="G55" s="87"/>
      <c r="H55" s="83"/>
      <c r="I55" s="83"/>
      <c r="J55" s="93"/>
      <c r="K55" s="274"/>
      <c r="L55" s="275"/>
      <c r="M55" s="276"/>
    </row>
    <row r="56" spans="1:13" ht="12" customHeight="1">
      <c r="A56" s="83" t="str">
        <f t="shared" si="4"/>
        <v xml:space="preserve"> </v>
      </c>
      <c r="B56" s="20"/>
      <c r="C56" s="84"/>
      <c r="D56" s="88"/>
      <c r="E56" s="85"/>
      <c r="F56" s="86"/>
      <c r="G56" s="87"/>
      <c r="H56" s="83"/>
      <c r="I56" s="83"/>
      <c r="J56" s="93"/>
      <c r="K56" s="274"/>
      <c r="L56" s="275"/>
      <c r="M56" s="276"/>
    </row>
    <row r="57" spans="1:13" ht="12" customHeight="1">
      <c r="A57" s="83" t="str">
        <f t="shared" si="4"/>
        <v xml:space="preserve"> </v>
      </c>
      <c r="B57" s="11"/>
      <c r="C57" s="22"/>
      <c r="D57" s="30"/>
      <c r="E57" s="85"/>
      <c r="F57" s="86"/>
      <c r="G57" s="87"/>
      <c r="H57" s="83"/>
      <c r="I57" s="83"/>
      <c r="J57" s="93"/>
      <c r="K57" s="274"/>
      <c r="L57" s="275"/>
      <c r="M57" s="276"/>
    </row>
    <row r="58" spans="1:13" ht="12" customHeight="1">
      <c r="A58" s="83" t="str">
        <f t="shared" si="4"/>
        <v xml:space="preserve"> </v>
      </c>
      <c r="B58" s="11"/>
      <c r="C58" s="84"/>
      <c r="D58" s="88"/>
      <c r="E58" s="85"/>
      <c r="F58" s="86"/>
      <c r="G58" s="87"/>
      <c r="H58" s="83"/>
      <c r="I58" s="83"/>
      <c r="J58" s="93"/>
      <c r="K58" s="274"/>
      <c r="L58" s="275"/>
      <c r="M58" s="276"/>
    </row>
    <row r="59" spans="1:13" ht="12" customHeight="1">
      <c r="A59" s="83" t="str">
        <f t="shared" si="4"/>
        <v xml:space="preserve"> </v>
      </c>
      <c r="B59" s="11"/>
      <c r="C59" s="22"/>
      <c r="D59" s="30"/>
      <c r="E59" s="85"/>
      <c r="F59" s="86"/>
      <c r="G59" s="87"/>
      <c r="H59" s="83"/>
      <c r="I59" s="83"/>
      <c r="J59" s="93"/>
      <c r="K59" s="274"/>
      <c r="L59" s="275"/>
      <c r="M59" s="276"/>
    </row>
    <row r="60" spans="1:13" ht="12" customHeight="1">
      <c r="A60" s="83" t="str">
        <f t="shared" si="4"/>
        <v xml:space="preserve"> </v>
      </c>
      <c r="B60" s="20"/>
      <c r="C60" s="21"/>
      <c r="D60" s="13"/>
      <c r="E60" s="85"/>
      <c r="F60" s="86"/>
      <c r="G60" s="87"/>
      <c r="H60" s="83"/>
      <c r="I60" s="83"/>
      <c r="J60" s="93"/>
      <c r="K60" s="274"/>
      <c r="L60" s="275"/>
      <c r="M60" s="276"/>
    </row>
    <row r="61" spans="1:13" ht="12" customHeight="1">
      <c r="A61" s="83" t="str">
        <f>IF(B60=""," ",A45+1)</f>
        <v xml:space="preserve"> </v>
      </c>
      <c r="B61" s="11"/>
      <c r="C61" s="21"/>
      <c r="D61" s="13"/>
      <c r="E61" s="85"/>
      <c r="F61" s="86"/>
      <c r="G61" s="87"/>
      <c r="H61" s="83"/>
      <c r="I61" s="83"/>
      <c r="J61" s="93"/>
      <c r="K61" s="274"/>
      <c r="L61" s="275"/>
      <c r="M61" s="276"/>
    </row>
    <row r="62" spans="1:13" ht="12" customHeight="1">
      <c r="A62" s="83" t="str">
        <f>IF(B61=""," ",A61+1)</f>
        <v xml:space="preserve"> </v>
      </c>
      <c r="B62" s="74"/>
      <c r="C62" s="84"/>
      <c r="D62" s="88"/>
      <c r="E62" s="85"/>
      <c r="F62" s="86"/>
      <c r="G62" s="87"/>
      <c r="H62" s="83"/>
      <c r="I62" s="83"/>
      <c r="J62" s="93"/>
      <c r="K62" s="274"/>
      <c r="L62" s="275"/>
      <c r="M62" s="276"/>
    </row>
    <row r="63" spans="1:13" ht="12" customHeight="1">
      <c r="A63" s="83" t="str">
        <f>IF(B62=""," ",A55+1)</f>
        <v xml:space="preserve"> </v>
      </c>
      <c r="B63" s="20"/>
      <c r="C63" s="84"/>
      <c r="D63" s="88"/>
      <c r="E63" s="85"/>
      <c r="F63" s="86"/>
      <c r="G63" s="87"/>
      <c r="H63" s="83"/>
      <c r="I63" s="83"/>
      <c r="J63" s="93"/>
      <c r="K63" s="274"/>
      <c r="L63" s="275"/>
      <c r="M63" s="276"/>
    </row>
    <row r="64" spans="1:13" ht="12" customHeight="1">
      <c r="A64" s="83" t="str">
        <f>IF(B63=""," ",A63+1)</f>
        <v xml:space="preserve"> </v>
      </c>
      <c r="B64" s="11"/>
      <c r="C64" s="22"/>
      <c r="D64" s="30"/>
      <c r="E64" s="85"/>
      <c r="F64" s="86"/>
      <c r="G64" s="87"/>
      <c r="H64" s="83"/>
      <c r="I64" s="83"/>
      <c r="J64" s="93"/>
      <c r="K64" s="274"/>
      <c r="L64" s="275"/>
      <c r="M64" s="276"/>
    </row>
    <row r="65" spans="1:13" ht="12" customHeight="1">
      <c r="A65" s="83" t="str">
        <f>IF(B64=""," ",A64+1)</f>
        <v xml:space="preserve"> </v>
      </c>
      <c r="B65" s="11"/>
      <c r="C65" s="84"/>
      <c r="D65" s="88"/>
      <c r="E65" s="85"/>
      <c r="F65" s="86"/>
      <c r="G65" s="87"/>
      <c r="H65" s="83"/>
      <c r="I65" s="83"/>
      <c r="J65" s="93"/>
      <c r="K65" s="274"/>
      <c r="L65" s="275"/>
      <c r="M65" s="276"/>
    </row>
    <row r="66" spans="1:13" ht="12" customHeight="1">
      <c r="A66" s="83" t="str">
        <f>IF(B65=""," ",A65+1)</f>
        <v xml:space="preserve"> </v>
      </c>
      <c r="B66" s="11"/>
      <c r="C66" s="22"/>
      <c r="D66" s="30"/>
      <c r="E66" s="85"/>
      <c r="F66" s="86"/>
      <c r="G66" s="87"/>
      <c r="H66" s="83"/>
      <c r="I66" s="83"/>
      <c r="J66" s="93"/>
      <c r="K66" s="274"/>
      <c r="L66" s="275"/>
      <c r="M66" s="276"/>
    </row>
    <row r="67" spans="1:13" ht="12" customHeight="1">
      <c r="A67" s="83" t="str">
        <f>IF(B66=""," ",A66+1)</f>
        <v xml:space="preserve"> </v>
      </c>
      <c r="B67" s="20"/>
      <c r="C67" s="21"/>
      <c r="D67" s="13"/>
      <c r="E67" s="85"/>
      <c r="F67" s="86"/>
      <c r="G67" s="87"/>
      <c r="H67" s="83"/>
      <c r="I67" s="83"/>
      <c r="J67" s="93"/>
      <c r="K67" s="274"/>
      <c r="L67" s="275"/>
      <c r="M67" s="276"/>
    </row>
    <row r="68" spans="1:13" ht="12" customHeight="1">
      <c r="A68" s="83" t="str">
        <f>IF(B67=""," ",A52+1)</f>
        <v xml:space="preserve"> </v>
      </c>
      <c r="B68" s="11"/>
      <c r="C68" s="21"/>
      <c r="D68" s="13"/>
      <c r="E68" s="85"/>
      <c r="F68" s="86"/>
      <c r="G68" s="87"/>
      <c r="H68" s="83"/>
      <c r="I68" s="83"/>
      <c r="J68" s="93"/>
      <c r="K68" s="274"/>
      <c r="L68" s="275"/>
      <c r="M68" s="276"/>
    </row>
    <row r="69" spans="1:13" ht="12" customHeight="1">
      <c r="A69" s="83" t="str">
        <f t="shared" ref="A69:A80" si="5">IF(B68=""," ",A68+1)</f>
        <v xml:space="preserve"> </v>
      </c>
      <c r="B69" s="74"/>
      <c r="C69" s="84"/>
      <c r="D69" s="88"/>
      <c r="E69" s="85"/>
      <c r="F69" s="86"/>
      <c r="G69" s="87"/>
      <c r="H69" s="83"/>
      <c r="I69" s="83"/>
      <c r="J69" s="93"/>
      <c r="K69" s="274"/>
      <c r="L69" s="275"/>
      <c r="M69" s="276"/>
    </row>
    <row r="70" spans="1:13" ht="12" customHeight="1">
      <c r="A70" s="83" t="str">
        <f t="shared" si="5"/>
        <v xml:space="preserve"> </v>
      </c>
      <c r="B70" s="74"/>
      <c r="C70" s="84"/>
      <c r="D70" s="88"/>
      <c r="E70" s="85"/>
      <c r="F70" s="86"/>
      <c r="G70" s="87"/>
      <c r="H70" s="83"/>
      <c r="I70" s="83"/>
      <c r="J70" s="93"/>
      <c r="K70" s="274"/>
      <c r="L70" s="275"/>
      <c r="M70" s="276"/>
    </row>
    <row r="71" spans="1:13" ht="12" customHeight="1">
      <c r="A71" s="83" t="str">
        <f t="shared" si="5"/>
        <v xml:space="preserve"> </v>
      </c>
      <c r="B71" s="20"/>
      <c r="C71" s="84"/>
      <c r="D71" s="88"/>
      <c r="E71" s="85"/>
      <c r="F71" s="86"/>
      <c r="G71" s="87"/>
      <c r="H71" s="83"/>
      <c r="I71" s="83"/>
      <c r="J71" s="93"/>
      <c r="K71" s="274"/>
      <c r="L71" s="275"/>
      <c r="M71" s="276"/>
    </row>
    <row r="72" spans="1:13" ht="12" customHeight="1">
      <c r="A72" s="83" t="str">
        <f t="shared" si="5"/>
        <v xml:space="preserve"> </v>
      </c>
      <c r="B72" s="11"/>
      <c r="C72" s="22"/>
      <c r="D72" s="30"/>
      <c r="E72" s="85"/>
      <c r="F72" s="86"/>
      <c r="G72" s="87"/>
      <c r="H72" s="83"/>
      <c r="I72" s="83"/>
      <c r="J72" s="93"/>
      <c r="K72" s="274"/>
      <c r="L72" s="275"/>
      <c r="M72" s="276"/>
    </row>
    <row r="73" spans="1:13" ht="12" customHeight="1">
      <c r="A73" s="83" t="str">
        <f t="shared" si="5"/>
        <v xml:space="preserve"> </v>
      </c>
      <c r="B73" s="74"/>
      <c r="C73" s="84"/>
      <c r="D73" s="88"/>
      <c r="E73" s="85"/>
      <c r="F73" s="86"/>
      <c r="G73" s="87"/>
      <c r="H73" s="83"/>
      <c r="I73" s="83"/>
      <c r="J73" s="93"/>
      <c r="K73" s="274"/>
      <c r="L73" s="275"/>
      <c r="M73" s="276"/>
    </row>
    <row r="74" spans="1:13" ht="12" customHeight="1">
      <c r="A74" s="83" t="str">
        <f t="shared" si="5"/>
        <v xml:space="preserve"> </v>
      </c>
      <c r="B74" s="20"/>
      <c r="C74" s="84"/>
      <c r="D74" s="88"/>
      <c r="E74" s="85"/>
      <c r="F74" s="86"/>
      <c r="G74" s="87"/>
      <c r="H74" s="83"/>
      <c r="I74" s="83"/>
      <c r="J74" s="93"/>
      <c r="K74" s="274"/>
      <c r="L74" s="275"/>
      <c r="M74" s="276"/>
    </row>
    <row r="75" spans="1:13" ht="12" customHeight="1">
      <c r="A75" s="83" t="str">
        <f t="shared" si="5"/>
        <v xml:space="preserve"> </v>
      </c>
      <c r="B75" s="11"/>
      <c r="C75" s="22"/>
      <c r="D75" s="30"/>
      <c r="E75" s="85"/>
      <c r="F75" s="86"/>
      <c r="G75" s="87"/>
      <c r="H75" s="83"/>
      <c r="I75" s="83"/>
      <c r="J75" s="93"/>
      <c r="K75" s="274"/>
      <c r="L75" s="275"/>
      <c r="M75" s="276"/>
    </row>
    <row r="76" spans="1:13" ht="12" customHeight="1">
      <c r="A76" s="83" t="str">
        <f t="shared" si="5"/>
        <v xml:space="preserve"> </v>
      </c>
      <c r="B76" s="20"/>
      <c r="C76" s="84"/>
      <c r="D76" s="88"/>
      <c r="E76" s="85"/>
      <c r="F76" s="86"/>
      <c r="G76" s="87"/>
      <c r="H76" s="83"/>
      <c r="I76" s="83"/>
      <c r="J76" s="93"/>
      <c r="K76" s="274"/>
      <c r="L76" s="275"/>
      <c r="M76" s="276"/>
    </row>
    <row r="77" spans="1:13" ht="12" customHeight="1">
      <c r="A77" s="83" t="str">
        <f t="shared" si="5"/>
        <v xml:space="preserve"> </v>
      </c>
      <c r="B77" s="11"/>
      <c r="C77" s="22"/>
      <c r="D77" s="30"/>
      <c r="E77" s="85"/>
      <c r="F77" s="86"/>
      <c r="G77" s="87"/>
      <c r="H77" s="83"/>
      <c r="I77" s="83"/>
      <c r="J77" s="93"/>
      <c r="K77" s="274"/>
      <c r="L77" s="275"/>
      <c r="M77" s="276"/>
    </row>
    <row r="78" spans="1:13" ht="12" customHeight="1">
      <c r="A78" s="83" t="str">
        <f t="shared" si="5"/>
        <v xml:space="preserve"> </v>
      </c>
      <c r="B78" s="11"/>
      <c r="C78" s="84"/>
      <c r="D78" s="88"/>
      <c r="E78" s="85"/>
      <c r="F78" s="86"/>
      <c r="G78" s="87"/>
      <c r="H78" s="83"/>
      <c r="I78" s="83"/>
      <c r="J78" s="93"/>
      <c r="K78" s="274"/>
      <c r="L78" s="275"/>
      <c r="M78" s="276"/>
    </row>
    <row r="79" spans="1:13" ht="12" customHeight="1">
      <c r="A79" s="83" t="str">
        <f t="shared" si="5"/>
        <v xml:space="preserve"> </v>
      </c>
      <c r="B79" s="11"/>
      <c r="C79" s="22"/>
      <c r="D79" s="30"/>
      <c r="E79" s="85"/>
      <c r="F79" s="86"/>
      <c r="G79" s="87"/>
      <c r="H79" s="83"/>
      <c r="I79" s="83"/>
      <c r="J79" s="93"/>
      <c r="K79" s="274"/>
      <c r="L79" s="275"/>
      <c r="M79" s="276"/>
    </row>
    <row r="80" spans="1:13" ht="12" customHeight="1">
      <c r="A80" s="83" t="str">
        <f t="shared" si="5"/>
        <v xml:space="preserve"> </v>
      </c>
      <c r="B80" s="20"/>
      <c r="C80" s="21"/>
      <c r="D80" s="13"/>
      <c r="E80" s="85"/>
      <c r="F80" s="86"/>
      <c r="G80" s="87"/>
      <c r="H80" s="83"/>
      <c r="I80" s="83"/>
      <c r="J80" s="93"/>
      <c r="K80" s="274"/>
      <c r="L80" s="275"/>
      <c r="M80" s="276"/>
    </row>
    <row r="81" spans="1:13" ht="12" customHeight="1">
      <c r="A81" s="83" t="str">
        <f>IF(B80=""," ",A65+1)</f>
        <v xml:space="preserve"> </v>
      </c>
      <c r="B81" s="11"/>
      <c r="C81" s="21"/>
      <c r="D81" s="13"/>
      <c r="E81" s="85"/>
      <c r="F81" s="86"/>
      <c r="G81" s="87"/>
      <c r="H81" s="83"/>
      <c r="I81" s="83"/>
      <c r="J81" s="93"/>
      <c r="K81" s="274"/>
      <c r="L81" s="275"/>
      <c r="M81" s="276"/>
    </row>
    <row r="82" spans="1:13" ht="12" customHeight="1">
      <c r="A82" s="83" t="str">
        <f>IF(B81=""," ",A81+1)</f>
        <v xml:space="preserve"> </v>
      </c>
      <c r="B82" s="74"/>
      <c r="C82" s="84"/>
      <c r="D82" s="88"/>
      <c r="E82" s="85"/>
      <c r="F82" s="86"/>
      <c r="G82" s="87"/>
      <c r="H82" s="83"/>
      <c r="I82" s="83"/>
      <c r="J82" s="93"/>
      <c r="K82" s="274"/>
      <c r="L82" s="275"/>
      <c r="M82" s="276"/>
    </row>
    <row r="83" spans="1:13" ht="12" customHeight="1">
      <c r="A83" s="83" t="str">
        <f>IF(B82=""," ",A75+1)</f>
        <v xml:space="preserve"> </v>
      </c>
      <c r="B83" s="20"/>
      <c r="C83" s="84"/>
      <c r="D83" s="88"/>
      <c r="E83" s="85"/>
      <c r="F83" s="86"/>
      <c r="G83" s="87"/>
      <c r="H83" s="83"/>
      <c r="I83" s="83"/>
      <c r="J83" s="93"/>
      <c r="K83" s="274"/>
      <c r="L83" s="275"/>
      <c r="M83" s="276"/>
    </row>
    <row r="84" spans="1:13" ht="12" customHeight="1">
      <c r="A84" s="83" t="str">
        <f>IF(B83=""," ",A83+1)</f>
        <v xml:space="preserve"> </v>
      </c>
      <c r="B84" s="11"/>
      <c r="C84" s="22"/>
      <c r="D84" s="30"/>
      <c r="E84" s="85"/>
      <c r="F84" s="86"/>
      <c r="G84" s="87"/>
      <c r="H84" s="83"/>
      <c r="I84" s="83"/>
      <c r="J84" s="93"/>
      <c r="K84" s="274"/>
      <c r="L84" s="275"/>
      <c r="M84" s="276"/>
    </row>
    <row r="85" spans="1:13" ht="12" customHeight="1">
      <c r="A85" s="83" t="str">
        <f>IF(B84=""," ",A84+1)</f>
        <v xml:space="preserve"> </v>
      </c>
      <c r="B85" s="11"/>
      <c r="C85" s="84"/>
      <c r="D85" s="88"/>
      <c r="E85" s="85"/>
      <c r="F85" s="86"/>
      <c r="G85" s="87"/>
      <c r="H85" s="83"/>
      <c r="I85" s="83"/>
      <c r="J85" s="93"/>
      <c r="K85" s="274"/>
      <c r="L85" s="275"/>
      <c r="M85" s="276"/>
    </row>
    <row r="86" spans="1:13" ht="12" customHeight="1">
      <c r="A86" s="83" t="str">
        <f>IF(B85=""," ",A85+1)</f>
        <v xml:space="preserve"> </v>
      </c>
      <c r="B86" s="11"/>
      <c r="C86" s="22"/>
      <c r="D86" s="30"/>
      <c r="E86" s="85"/>
      <c r="F86" s="86"/>
      <c r="G86" s="87"/>
      <c r="H86" s="83"/>
      <c r="I86" s="83"/>
      <c r="J86" s="93"/>
      <c r="K86" s="274"/>
      <c r="L86" s="275"/>
      <c r="M86" s="276"/>
    </row>
    <row r="87" spans="1:13" ht="12" customHeight="1">
      <c r="A87" s="83" t="str">
        <f>IF(B86=""," ",A86+1)</f>
        <v xml:space="preserve"> </v>
      </c>
      <c r="B87" s="20"/>
      <c r="C87" s="21"/>
      <c r="D87" s="13"/>
      <c r="E87" s="85"/>
      <c r="F87" s="86"/>
      <c r="G87" s="87"/>
      <c r="H87" s="83"/>
      <c r="I87" s="83"/>
      <c r="J87" s="93"/>
      <c r="K87" s="274"/>
      <c r="L87" s="275"/>
      <c r="M87" s="276"/>
    </row>
    <row r="88" spans="1:13" ht="12" customHeight="1">
      <c r="A88" s="83" t="str">
        <f>IF(B87=""," ",A72+1)</f>
        <v xml:space="preserve"> </v>
      </c>
      <c r="B88" s="11"/>
      <c r="C88" s="21"/>
      <c r="D88" s="13"/>
      <c r="E88" s="85"/>
      <c r="F88" s="86"/>
      <c r="G88" s="87"/>
      <c r="H88" s="83"/>
      <c r="I88" s="83"/>
      <c r="J88" s="93"/>
      <c r="K88" s="274"/>
      <c r="L88" s="275"/>
      <c r="M88" s="276"/>
    </row>
    <row r="89" spans="1:13" ht="12" customHeight="1">
      <c r="A89" s="83" t="str">
        <f t="shared" ref="A89:A97" si="6">IF(B88=""," ",A88+1)</f>
        <v xml:space="preserve"> </v>
      </c>
      <c r="B89" s="74"/>
      <c r="C89" s="84"/>
      <c r="D89" s="88"/>
      <c r="E89" s="85"/>
      <c r="F89" s="86"/>
      <c r="G89" s="87"/>
      <c r="H89" s="83"/>
      <c r="I89" s="83"/>
      <c r="J89" s="93"/>
      <c r="K89" s="274"/>
      <c r="L89" s="275"/>
      <c r="M89" s="276"/>
    </row>
    <row r="90" spans="1:13" ht="12" customHeight="1">
      <c r="A90" s="83" t="str">
        <f t="shared" si="6"/>
        <v xml:space="preserve"> </v>
      </c>
      <c r="B90" s="74"/>
      <c r="C90" s="84"/>
      <c r="D90" s="88"/>
      <c r="E90" s="85"/>
      <c r="F90" s="86"/>
      <c r="G90" s="87"/>
      <c r="H90" s="83"/>
      <c r="I90" s="83"/>
      <c r="J90" s="93"/>
      <c r="K90" s="274"/>
      <c r="L90" s="275"/>
      <c r="M90" s="276"/>
    </row>
    <row r="91" spans="1:13" ht="12" customHeight="1">
      <c r="A91" s="83" t="str">
        <f t="shared" si="6"/>
        <v xml:space="preserve"> </v>
      </c>
      <c r="B91" s="20"/>
      <c r="C91" s="84"/>
      <c r="D91" s="88"/>
      <c r="E91" s="85"/>
      <c r="F91" s="86"/>
      <c r="G91" s="87"/>
      <c r="H91" s="83"/>
      <c r="I91" s="83"/>
      <c r="J91" s="93"/>
      <c r="K91" s="274"/>
      <c r="L91" s="275"/>
      <c r="M91" s="276"/>
    </row>
    <row r="92" spans="1:13" ht="12" customHeight="1">
      <c r="A92" s="83" t="str">
        <f t="shared" si="6"/>
        <v xml:space="preserve"> </v>
      </c>
      <c r="B92" s="11"/>
      <c r="C92" s="22"/>
      <c r="D92" s="30"/>
      <c r="E92" s="85"/>
      <c r="F92" s="86"/>
      <c r="G92" s="87"/>
      <c r="H92" s="83"/>
      <c r="I92" s="83"/>
      <c r="J92" s="93"/>
      <c r="K92" s="274"/>
      <c r="L92" s="275"/>
      <c r="M92" s="276"/>
    </row>
    <row r="93" spans="1:13" ht="12" customHeight="1">
      <c r="A93" s="83" t="str">
        <f t="shared" si="6"/>
        <v xml:space="preserve"> </v>
      </c>
      <c r="B93" s="20"/>
      <c r="C93" s="84"/>
      <c r="D93" s="88"/>
      <c r="E93" s="85"/>
      <c r="F93" s="86"/>
      <c r="G93" s="87"/>
      <c r="H93" s="83"/>
      <c r="I93" s="83"/>
      <c r="J93" s="93"/>
      <c r="K93" s="274"/>
      <c r="L93" s="275"/>
      <c r="M93" s="276"/>
    </row>
    <row r="94" spans="1:13" ht="12" customHeight="1">
      <c r="A94" s="83" t="str">
        <f t="shared" si="6"/>
        <v xml:space="preserve"> </v>
      </c>
      <c r="B94" s="11"/>
      <c r="C94" s="22"/>
      <c r="D94" s="30"/>
      <c r="E94" s="85"/>
      <c r="F94" s="86"/>
      <c r="G94" s="87"/>
      <c r="H94" s="83"/>
      <c r="I94" s="83"/>
      <c r="J94" s="93"/>
      <c r="K94" s="274"/>
      <c r="L94" s="275"/>
      <c r="M94" s="276"/>
    </row>
    <row r="95" spans="1:13" ht="12" customHeight="1">
      <c r="A95" s="83" t="str">
        <f t="shared" si="6"/>
        <v xml:space="preserve"> </v>
      </c>
      <c r="B95" s="11"/>
      <c r="C95" s="84"/>
      <c r="D95" s="88"/>
      <c r="E95" s="85"/>
      <c r="F95" s="86"/>
      <c r="G95" s="87"/>
      <c r="H95" s="83"/>
      <c r="I95" s="83"/>
      <c r="J95" s="93"/>
      <c r="K95" s="274"/>
      <c r="L95" s="275"/>
      <c r="M95" s="276"/>
    </row>
    <row r="96" spans="1:13" ht="12" customHeight="1">
      <c r="A96" s="83" t="str">
        <f t="shared" si="6"/>
        <v xml:space="preserve"> </v>
      </c>
      <c r="B96" s="11"/>
      <c r="C96" s="22"/>
      <c r="D96" s="30"/>
      <c r="E96" s="85"/>
      <c r="F96" s="86"/>
      <c r="G96" s="87"/>
      <c r="H96" s="83"/>
      <c r="I96" s="83"/>
      <c r="J96" s="93"/>
      <c r="K96" s="274"/>
      <c r="L96" s="275"/>
      <c r="M96" s="276"/>
    </row>
    <row r="97" spans="1:13" ht="12" customHeight="1">
      <c r="A97" s="83" t="str">
        <f t="shared" si="6"/>
        <v xml:space="preserve"> </v>
      </c>
      <c r="B97" s="20"/>
      <c r="C97" s="21"/>
      <c r="D97" s="13"/>
      <c r="E97" s="85"/>
      <c r="F97" s="86"/>
      <c r="G97" s="87"/>
      <c r="H97" s="83"/>
      <c r="I97" s="83"/>
      <c r="J97" s="93"/>
      <c r="K97" s="274"/>
      <c r="L97" s="275"/>
      <c r="M97" s="276"/>
    </row>
    <row r="98" spans="1:13" ht="12" customHeight="1">
      <c r="A98" s="83" t="str">
        <f>IF(B97=""," ",A82+1)</f>
        <v xml:space="preserve"> </v>
      </c>
      <c r="B98" s="11"/>
      <c r="C98" s="21"/>
      <c r="D98" s="13"/>
      <c r="E98" s="85"/>
      <c r="F98" s="86"/>
      <c r="G98" s="87"/>
      <c r="H98" s="83"/>
      <c r="I98" s="83"/>
      <c r="J98" s="93"/>
      <c r="K98" s="274"/>
      <c r="L98" s="275"/>
      <c r="M98" s="276"/>
    </row>
    <row r="99" spans="1:13" ht="12" customHeight="1">
      <c r="A99" s="83" t="str">
        <f>IF(B98=""," ",A98+1)</f>
        <v xml:space="preserve"> </v>
      </c>
      <c r="B99" s="74"/>
      <c r="C99" s="84"/>
      <c r="D99" s="88"/>
      <c r="E99" s="85"/>
      <c r="F99" s="86"/>
      <c r="G99" s="87"/>
      <c r="H99" s="83"/>
      <c r="I99" s="83"/>
      <c r="J99" s="93"/>
      <c r="K99" s="274"/>
      <c r="L99" s="275"/>
      <c r="M99" s="276"/>
    </row>
    <row r="100" spans="1:13" ht="12" customHeight="1">
      <c r="A100" s="83" t="str">
        <f>IF(B99=""," ",A92+1)</f>
        <v xml:space="preserve"> </v>
      </c>
    </row>
    <row r="101" spans="1:13">
      <c r="B101" s="75" t="s">
        <v>235</v>
      </c>
    </row>
    <row r="102" spans="1:13">
      <c r="B102" s="75" t="s">
        <v>1416</v>
      </c>
      <c r="C102" s="75" t="s">
        <v>1383</v>
      </c>
    </row>
    <row r="103" spans="1:13">
      <c r="C103" s="75" t="s">
        <v>1417</v>
      </c>
    </row>
    <row r="105" spans="1:13">
      <c r="B105" s="75" t="s">
        <v>239</v>
      </c>
      <c r="C105" s="75" t="s">
        <v>240</v>
      </c>
    </row>
    <row r="106" spans="1:13">
      <c r="C106" s="75" t="s">
        <v>241</v>
      </c>
    </row>
    <row r="108" spans="1:13">
      <c r="B108" s="75" t="s">
        <v>835</v>
      </c>
      <c r="C108" s="75" t="s">
        <v>1418</v>
      </c>
    </row>
    <row r="109" spans="1:13">
      <c r="C109" s="75" t="s">
        <v>1419</v>
      </c>
    </row>
    <row r="110" spans="1:13">
      <c r="C110" s="75" t="s">
        <v>1420</v>
      </c>
    </row>
    <row r="112" spans="1:13">
      <c r="B112" s="100" t="s">
        <v>456</v>
      </c>
      <c r="C112" s="75" t="s">
        <v>457</v>
      </c>
      <c r="D112" s="75" t="s">
        <v>458</v>
      </c>
    </row>
    <row r="113" spans="2:4">
      <c r="C113" s="75" t="s">
        <v>1421</v>
      </c>
    </row>
    <row r="114" spans="2:4">
      <c r="C114" s="75" t="s">
        <v>1422</v>
      </c>
    </row>
    <row r="116" spans="2:4">
      <c r="B116" s="75" t="s">
        <v>1423</v>
      </c>
      <c r="C116" s="75" t="s">
        <v>1424</v>
      </c>
      <c r="D116" s="75" t="s">
        <v>1425</v>
      </c>
    </row>
    <row r="117" spans="2:4">
      <c r="C117" s="75" t="s">
        <v>1426</v>
      </c>
    </row>
  </sheetData>
  <mergeCells count="100">
    <mergeCell ref="K99:M99"/>
    <mergeCell ref="A5:A6"/>
    <mergeCell ref="K5:M6"/>
    <mergeCell ref="K94:M94"/>
    <mergeCell ref="K95:M95"/>
    <mergeCell ref="K96:M96"/>
    <mergeCell ref="K97:M97"/>
    <mergeCell ref="K98:M98"/>
    <mergeCell ref="K89:M89"/>
    <mergeCell ref="K90:M90"/>
    <mergeCell ref="K91:M91"/>
    <mergeCell ref="K92:M92"/>
    <mergeCell ref="K93:M93"/>
    <mergeCell ref="K84:M84"/>
    <mergeCell ref="K85:M85"/>
    <mergeCell ref="K86:M86"/>
    <mergeCell ref="K87:M87"/>
    <mergeCell ref="K88:M88"/>
    <mergeCell ref="K79:M79"/>
    <mergeCell ref="K80:M80"/>
    <mergeCell ref="K81:M81"/>
    <mergeCell ref="K82:M82"/>
    <mergeCell ref="K83:M83"/>
    <mergeCell ref="K74:M74"/>
    <mergeCell ref="K75:M75"/>
    <mergeCell ref="K76:M76"/>
    <mergeCell ref="K77:M77"/>
    <mergeCell ref="K78:M78"/>
    <mergeCell ref="K69:M69"/>
    <mergeCell ref="K70:M70"/>
    <mergeCell ref="K71:M71"/>
    <mergeCell ref="K72:M72"/>
    <mergeCell ref="K73:M73"/>
    <mergeCell ref="K64:M64"/>
    <mergeCell ref="K65:M65"/>
    <mergeCell ref="K66:M66"/>
    <mergeCell ref="K67:M67"/>
    <mergeCell ref="K68:M68"/>
    <mergeCell ref="K59:M59"/>
    <mergeCell ref="K60:M60"/>
    <mergeCell ref="K61:M61"/>
    <mergeCell ref="K62:M62"/>
    <mergeCell ref="K63:M63"/>
    <mergeCell ref="K54:M54"/>
    <mergeCell ref="K55:M55"/>
    <mergeCell ref="K56:M56"/>
    <mergeCell ref="K57:M57"/>
    <mergeCell ref="K58:M58"/>
    <mergeCell ref="K49:M49"/>
    <mergeCell ref="K50:M50"/>
    <mergeCell ref="K51:M51"/>
    <mergeCell ref="K52:M52"/>
    <mergeCell ref="K53:M53"/>
    <mergeCell ref="K44:M44"/>
    <mergeCell ref="K45:M45"/>
    <mergeCell ref="K46:M46"/>
    <mergeCell ref="K47:M47"/>
    <mergeCell ref="K48:M48"/>
    <mergeCell ref="K39:M39"/>
    <mergeCell ref="K40:M40"/>
    <mergeCell ref="K41:M41"/>
    <mergeCell ref="K42:M42"/>
    <mergeCell ref="K43:M43"/>
    <mergeCell ref="K34:M34"/>
    <mergeCell ref="K35:M35"/>
    <mergeCell ref="K36:M36"/>
    <mergeCell ref="K37:M37"/>
    <mergeCell ref="K38:M38"/>
    <mergeCell ref="K29:M29"/>
    <mergeCell ref="K30:M30"/>
    <mergeCell ref="K31:M31"/>
    <mergeCell ref="K32:M32"/>
    <mergeCell ref="K33:M33"/>
    <mergeCell ref="K24:M24"/>
    <mergeCell ref="K25:M25"/>
    <mergeCell ref="K26:M26"/>
    <mergeCell ref="K27:M27"/>
    <mergeCell ref="K28:M28"/>
    <mergeCell ref="K18:M18"/>
    <mergeCell ref="K19:M19"/>
    <mergeCell ref="K20:M20"/>
    <mergeCell ref="K21:M21"/>
    <mergeCell ref="K23:M23"/>
    <mergeCell ref="K7:M7"/>
    <mergeCell ref="K10:M10"/>
    <mergeCell ref="K12:M12"/>
    <mergeCell ref="K14:M14"/>
    <mergeCell ref="K15:M15"/>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pageSetUpPr fitToPage="1"/>
  </sheetPr>
  <dimension ref="A1:Q106"/>
  <sheetViews>
    <sheetView showGridLines="0" workbookViewId="0">
      <pane ySplit="6" topLeftCell="A7" activePane="bottomLeft" state="frozen"/>
      <selection pane="bottomLeft" activeCell="B17" sqref="B17"/>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59" t="s">
        <v>136</v>
      </c>
      <c r="B2" s="260"/>
      <c r="C2" s="259" t="s">
        <v>1</v>
      </c>
      <c r="D2" s="261"/>
      <c r="E2" s="261"/>
      <c r="F2" s="261"/>
      <c r="G2" s="260"/>
      <c r="H2" s="259"/>
      <c r="I2" s="261"/>
      <c r="J2" s="260"/>
      <c r="K2" s="89"/>
      <c r="L2" s="78" t="s">
        <v>137</v>
      </c>
      <c r="M2" s="78" t="s">
        <v>138</v>
      </c>
    </row>
    <row r="3" spans="1:16">
      <c r="A3" s="262"/>
      <c r="B3" s="263"/>
      <c r="C3" s="264" t="s">
        <v>1427</v>
      </c>
      <c r="D3" s="265"/>
      <c r="E3" s="265"/>
      <c r="F3" s="265"/>
      <c r="G3" s="266"/>
      <c r="H3" s="259" t="s">
        <v>140</v>
      </c>
      <c r="I3" s="260"/>
      <c r="J3" s="90">
        <f>COUNT(A7:A100)</f>
        <v>11</v>
      </c>
      <c r="K3" s="78" t="s">
        <v>141</v>
      </c>
      <c r="L3" s="91">
        <v>38671</v>
      </c>
      <c r="M3" s="92" t="s">
        <v>148</v>
      </c>
      <c r="O3" s="129" t="s">
        <v>143</v>
      </c>
      <c r="P3" s="129" t="s">
        <v>144</v>
      </c>
    </row>
    <row r="4" spans="1:16">
      <c r="A4" s="267" t="s">
        <v>145</v>
      </c>
      <c r="B4" s="268"/>
      <c r="C4" s="267" t="s">
        <v>59</v>
      </c>
      <c r="D4" s="269"/>
      <c r="E4" s="269"/>
      <c r="F4" s="269"/>
      <c r="G4" s="268"/>
      <c r="H4" s="259" t="s">
        <v>146</v>
      </c>
      <c r="I4" s="260"/>
      <c r="J4" s="90">
        <f>SUM(G7:G100)</f>
        <v>69</v>
      </c>
      <c r="K4" s="78" t="s">
        <v>147</v>
      </c>
      <c r="L4" s="91">
        <v>38878</v>
      </c>
      <c r="M4" s="83" t="s">
        <v>142</v>
      </c>
      <c r="O4" s="129" t="s">
        <v>149</v>
      </c>
      <c r="P4" s="129" t="s">
        <v>150</v>
      </c>
    </row>
    <row r="5" spans="1:16">
      <c r="A5" s="283" t="s">
        <v>0</v>
      </c>
      <c r="B5" s="259" t="s">
        <v>151</v>
      </c>
      <c r="C5" s="261"/>
      <c r="D5" s="270" t="s">
        <v>152</v>
      </c>
      <c r="E5" s="261"/>
      <c r="F5" s="261"/>
      <c r="G5" s="261"/>
      <c r="H5" s="261"/>
      <c r="I5" s="259" t="s">
        <v>153</v>
      </c>
      <c r="J5" s="260"/>
      <c r="K5" s="285" t="s">
        <v>4</v>
      </c>
      <c r="L5" s="286"/>
      <c r="M5" s="287"/>
      <c r="P5" s="129" t="s">
        <v>154</v>
      </c>
    </row>
    <row r="6" spans="1:16">
      <c r="A6" s="284"/>
      <c r="B6" s="78" t="s">
        <v>5</v>
      </c>
      <c r="C6" s="79" t="s">
        <v>6</v>
      </c>
      <c r="D6" s="80" t="s">
        <v>144</v>
      </c>
      <c r="E6" s="81" t="s">
        <v>155</v>
      </c>
      <c r="F6" s="82" t="s">
        <v>156</v>
      </c>
      <c r="G6" s="78" t="s">
        <v>157</v>
      </c>
      <c r="H6" s="77" t="s">
        <v>158</v>
      </c>
      <c r="I6" s="77" t="s">
        <v>159</v>
      </c>
      <c r="J6" s="77" t="s">
        <v>160</v>
      </c>
      <c r="K6" s="305"/>
      <c r="L6" s="306"/>
      <c r="M6" s="307"/>
      <c r="P6" s="129" t="s">
        <v>161</v>
      </c>
    </row>
    <row r="7" spans="1:16" s="128" customFormat="1">
      <c r="A7" s="131">
        <v>1</v>
      </c>
      <c r="B7" s="132" t="s">
        <v>1428</v>
      </c>
      <c r="C7" s="133" t="s">
        <v>1429</v>
      </c>
      <c r="D7" s="13" t="s">
        <v>161</v>
      </c>
      <c r="E7" s="135"/>
      <c r="F7" s="136"/>
      <c r="G7" s="87">
        <f>IF(D7="DATE",4,IF(D7="CHAR",E7,IF(D7="SMALLINT",2,IF(D7="INTEGER",4,IF(D7="TIMESTAMP",10,IF(D7="TIME",3,0))))))</f>
        <v>4</v>
      </c>
      <c r="H7" s="131" t="s">
        <v>149</v>
      </c>
      <c r="I7" s="131" t="s">
        <v>149</v>
      </c>
      <c r="J7" s="146"/>
      <c r="K7" s="359"/>
      <c r="L7" s="360"/>
      <c r="M7" s="361"/>
      <c r="P7" s="128" t="s">
        <v>165</v>
      </c>
    </row>
    <row r="8" spans="1:16" s="128" customFormat="1">
      <c r="A8" s="131">
        <f t="shared" ref="A8:A17" si="0">IF(B8=""," ",A7+1)</f>
        <v>2</v>
      </c>
      <c r="B8" s="132" t="s">
        <v>812</v>
      </c>
      <c r="C8" s="133" t="s">
        <v>813</v>
      </c>
      <c r="D8" s="13" t="s">
        <v>164</v>
      </c>
      <c r="E8" s="135"/>
      <c r="F8" s="136"/>
      <c r="G8" s="87">
        <f t="shared" ref="G8:G17" si="1">IF(D8="DATE",4,IF(D8="CHAR",E8,IF(D8="SMALLINT",2,IF(D8="INTEGER",4,IF(D8="TIMESTAMP",10,IF(D8="TIME",3,0))))))</f>
        <v>4</v>
      </c>
      <c r="H8" s="131" t="s">
        <v>149</v>
      </c>
      <c r="I8" s="131"/>
      <c r="J8" s="146"/>
      <c r="K8" s="359"/>
      <c r="L8" s="360"/>
      <c r="M8" s="361"/>
    </row>
    <row r="9" spans="1:16" s="128" customFormat="1">
      <c r="A9" s="131">
        <f t="shared" si="0"/>
        <v>3</v>
      </c>
      <c r="B9" s="132" t="s">
        <v>646</v>
      </c>
      <c r="C9" s="133" t="s">
        <v>647</v>
      </c>
      <c r="D9" s="134" t="s">
        <v>150</v>
      </c>
      <c r="E9" s="135">
        <v>16</v>
      </c>
      <c r="F9" s="136"/>
      <c r="G9" s="87">
        <v>16</v>
      </c>
      <c r="H9" s="131" t="s">
        <v>149</v>
      </c>
      <c r="I9" s="131"/>
      <c r="J9" s="146"/>
      <c r="K9" s="359"/>
      <c r="L9" s="360"/>
      <c r="M9" s="361"/>
    </row>
    <row r="10" spans="1:16" s="128" customFormat="1" ht="12" customHeight="1">
      <c r="A10" s="131">
        <f t="shared" si="0"/>
        <v>4</v>
      </c>
      <c r="B10" s="138" t="s">
        <v>1430</v>
      </c>
      <c r="C10" s="133" t="s">
        <v>1431</v>
      </c>
      <c r="D10" s="134" t="s">
        <v>150</v>
      </c>
      <c r="E10" s="135">
        <v>10</v>
      </c>
      <c r="F10" s="136"/>
      <c r="G10" s="87">
        <f t="shared" si="1"/>
        <v>10</v>
      </c>
      <c r="H10" s="131" t="s">
        <v>149</v>
      </c>
      <c r="I10" s="131"/>
      <c r="J10" s="146"/>
      <c r="K10" s="344" t="s">
        <v>1432</v>
      </c>
      <c r="L10" s="345"/>
      <c r="M10" s="346"/>
    </row>
    <row r="11" spans="1:16" s="128" customFormat="1">
      <c r="A11" s="131">
        <f t="shared" si="0"/>
        <v>5</v>
      </c>
      <c r="B11" s="141" t="s">
        <v>1433</v>
      </c>
      <c r="C11" s="133" t="s">
        <v>1434</v>
      </c>
      <c r="D11" s="134" t="s">
        <v>161</v>
      </c>
      <c r="E11" s="135"/>
      <c r="F11" s="136"/>
      <c r="G11" s="87">
        <f t="shared" si="1"/>
        <v>4</v>
      </c>
      <c r="H11" s="131" t="s">
        <v>149</v>
      </c>
      <c r="I11" s="131"/>
      <c r="J11" s="146"/>
      <c r="K11" s="344" t="s">
        <v>1435</v>
      </c>
      <c r="L11" s="345"/>
      <c r="M11" s="346"/>
    </row>
    <row r="12" spans="1:16" s="128" customFormat="1">
      <c r="A12" s="131">
        <f t="shared" si="0"/>
        <v>6</v>
      </c>
      <c r="B12" s="11" t="s">
        <v>1436</v>
      </c>
      <c r="C12" s="133" t="s">
        <v>1263</v>
      </c>
      <c r="D12" s="134" t="s">
        <v>161</v>
      </c>
      <c r="E12" s="135"/>
      <c r="F12" s="136"/>
      <c r="G12" s="87">
        <f t="shared" si="1"/>
        <v>4</v>
      </c>
      <c r="H12" s="131" t="s">
        <v>149</v>
      </c>
      <c r="I12" s="131"/>
      <c r="J12" s="146"/>
      <c r="K12" s="344"/>
      <c r="L12" s="345"/>
      <c r="M12" s="346"/>
    </row>
    <row r="13" spans="1:16" s="128" customFormat="1">
      <c r="A13" s="131">
        <f t="shared" si="0"/>
        <v>7</v>
      </c>
      <c r="B13" s="11" t="s">
        <v>1437</v>
      </c>
      <c r="C13" s="133" t="s">
        <v>1265</v>
      </c>
      <c r="D13" s="134" t="s">
        <v>161</v>
      </c>
      <c r="E13" s="135"/>
      <c r="F13" s="136"/>
      <c r="G13" s="87">
        <f t="shared" si="1"/>
        <v>4</v>
      </c>
      <c r="H13" s="131" t="s">
        <v>149</v>
      </c>
      <c r="I13" s="131"/>
      <c r="J13" s="146"/>
      <c r="K13" s="350"/>
      <c r="L13" s="351"/>
      <c r="M13" s="352"/>
    </row>
    <row r="14" spans="1:16" s="128" customFormat="1">
      <c r="A14" s="131">
        <f t="shared" si="0"/>
        <v>8</v>
      </c>
      <c r="B14" s="141" t="s">
        <v>1438</v>
      </c>
      <c r="C14" s="133" t="s">
        <v>1439</v>
      </c>
      <c r="D14" s="134" t="s">
        <v>161</v>
      </c>
      <c r="E14" s="135"/>
      <c r="F14" s="136"/>
      <c r="G14" s="87">
        <f t="shared" si="1"/>
        <v>4</v>
      </c>
      <c r="H14" s="131" t="s">
        <v>149</v>
      </c>
      <c r="I14" s="131"/>
      <c r="J14" s="146"/>
      <c r="K14" s="350"/>
      <c r="L14" s="351"/>
      <c r="M14" s="352"/>
    </row>
    <row r="15" spans="1:16">
      <c r="A15" s="131">
        <f t="shared" si="0"/>
        <v>9</v>
      </c>
      <c r="B15" s="74" t="s">
        <v>652</v>
      </c>
      <c r="C15" s="84" t="s">
        <v>653</v>
      </c>
      <c r="D15" s="88" t="s">
        <v>150</v>
      </c>
      <c r="E15" s="85">
        <v>1</v>
      </c>
      <c r="F15" s="136"/>
      <c r="G15" s="87">
        <f t="shared" si="1"/>
        <v>1</v>
      </c>
      <c r="H15" s="131" t="s">
        <v>149</v>
      </c>
      <c r="I15" s="131"/>
      <c r="J15" s="146"/>
      <c r="K15" s="344" t="s">
        <v>1440</v>
      </c>
      <c r="L15" s="345"/>
      <c r="M15" s="346"/>
    </row>
    <row r="16" spans="1:16" s="128" customFormat="1" ht="11.25" customHeight="1">
      <c r="A16" s="131">
        <f t="shared" si="0"/>
        <v>10</v>
      </c>
      <c r="B16" s="74" t="s">
        <v>1089</v>
      </c>
      <c r="C16" s="84" t="s">
        <v>1090</v>
      </c>
      <c r="D16" s="88" t="s">
        <v>150</v>
      </c>
      <c r="E16" s="85">
        <v>8</v>
      </c>
      <c r="F16" s="136"/>
      <c r="G16" s="87">
        <f t="shared" si="1"/>
        <v>8</v>
      </c>
      <c r="H16" s="131" t="s">
        <v>149</v>
      </c>
      <c r="I16" s="131"/>
      <c r="J16" s="146"/>
      <c r="K16" s="344" t="s">
        <v>1441</v>
      </c>
      <c r="L16" s="345"/>
      <c r="M16" s="346"/>
    </row>
    <row r="17" spans="1:13" s="128" customFormat="1" ht="12" customHeight="1">
      <c r="A17" s="131">
        <f t="shared" si="0"/>
        <v>11</v>
      </c>
      <c r="B17" s="141" t="s">
        <v>232</v>
      </c>
      <c r="C17" s="133" t="s">
        <v>233</v>
      </c>
      <c r="D17" s="134" t="s">
        <v>234</v>
      </c>
      <c r="E17" s="135"/>
      <c r="F17" s="136"/>
      <c r="G17" s="87">
        <f t="shared" si="1"/>
        <v>10</v>
      </c>
      <c r="H17" s="131" t="s">
        <v>149</v>
      </c>
      <c r="I17" s="131"/>
      <c r="J17" s="146"/>
      <c r="K17" s="157"/>
      <c r="L17" s="158"/>
      <c r="M17" s="159"/>
    </row>
    <row r="18" spans="1:13" ht="11.25" customHeight="1">
      <c r="A18" s="131"/>
      <c r="B18" s="20"/>
      <c r="C18" s="133"/>
      <c r="D18" s="134"/>
      <c r="E18" s="135"/>
      <c r="F18" s="136"/>
      <c r="G18" s="142"/>
      <c r="H18" s="131"/>
      <c r="I18" s="131"/>
      <c r="J18" s="146"/>
      <c r="K18" s="362"/>
      <c r="L18" s="363"/>
      <c r="M18" s="364"/>
    </row>
    <row r="19" spans="1:13">
      <c r="A19" s="131"/>
      <c r="B19" s="152"/>
      <c r="C19" s="133"/>
      <c r="D19" s="134"/>
      <c r="E19" s="135"/>
      <c r="F19" s="136"/>
      <c r="G19" s="142"/>
      <c r="H19" s="131"/>
      <c r="I19" s="131"/>
      <c r="J19" s="146"/>
      <c r="K19" s="344"/>
      <c r="L19" s="345"/>
      <c r="M19" s="346"/>
    </row>
    <row r="20" spans="1:13" s="128" customFormat="1">
      <c r="A20" s="131"/>
      <c r="B20" s="153"/>
      <c r="C20" s="143"/>
      <c r="D20" s="144"/>
      <c r="E20" s="135"/>
      <c r="F20" s="136"/>
      <c r="G20" s="142"/>
      <c r="H20" s="131"/>
      <c r="I20" s="131"/>
      <c r="J20" s="146"/>
      <c r="K20" s="344"/>
      <c r="L20" s="345"/>
      <c r="M20" s="346"/>
    </row>
    <row r="21" spans="1:13" s="128" customFormat="1" ht="11.25" customHeight="1">
      <c r="A21" s="131"/>
      <c r="B21" s="141"/>
      <c r="C21" s="133"/>
      <c r="D21" s="134"/>
      <c r="E21" s="135"/>
      <c r="F21" s="136"/>
      <c r="G21" s="142"/>
      <c r="H21" s="131"/>
      <c r="I21" s="131"/>
      <c r="J21" s="146"/>
      <c r="K21" s="350"/>
      <c r="L21" s="351"/>
      <c r="M21" s="352"/>
    </row>
    <row r="22" spans="1:13">
      <c r="A22" s="131"/>
      <c r="B22" s="140"/>
      <c r="C22" s="133"/>
      <c r="D22" s="134"/>
      <c r="E22" s="135"/>
      <c r="F22" s="136"/>
      <c r="G22" s="142"/>
      <c r="H22" s="131"/>
      <c r="I22" s="131"/>
      <c r="J22" s="146"/>
      <c r="K22" s="133"/>
      <c r="L22" s="149"/>
      <c r="M22" s="150"/>
    </row>
    <row r="23" spans="1:13">
      <c r="A23" s="131"/>
      <c r="B23" s="141"/>
      <c r="C23" s="133"/>
      <c r="D23" s="134"/>
      <c r="E23" s="135"/>
      <c r="F23" s="136"/>
      <c r="G23" s="142"/>
      <c r="H23" s="131"/>
      <c r="I23" s="131"/>
      <c r="J23" s="146"/>
      <c r="K23" s="344"/>
      <c r="L23" s="345"/>
      <c r="M23" s="346"/>
    </row>
    <row r="24" spans="1:13" s="128" customFormat="1">
      <c r="A24" s="131"/>
      <c r="B24" s="140"/>
      <c r="C24" s="143"/>
      <c r="D24" s="144"/>
      <c r="E24" s="135"/>
      <c r="F24" s="136"/>
      <c r="G24" s="142"/>
      <c r="H24" s="131"/>
      <c r="I24" s="131"/>
      <c r="J24" s="146"/>
      <c r="K24" s="350"/>
      <c r="L24" s="351"/>
      <c r="M24" s="352"/>
    </row>
    <row r="25" spans="1:13" s="128" customFormat="1">
      <c r="A25" s="131"/>
      <c r="B25" s="137"/>
      <c r="C25" s="145"/>
      <c r="D25" s="134"/>
      <c r="E25" s="135"/>
      <c r="F25" s="136"/>
      <c r="G25" s="142"/>
      <c r="H25" s="131"/>
      <c r="I25" s="131"/>
      <c r="J25" s="146"/>
      <c r="K25" s="347"/>
      <c r="L25" s="348"/>
      <c r="M25" s="349"/>
    </row>
    <row r="26" spans="1:13">
      <c r="A26" s="131"/>
      <c r="B26" s="141"/>
      <c r="C26" s="133"/>
      <c r="D26" s="134"/>
      <c r="E26" s="135"/>
      <c r="F26" s="136"/>
      <c r="G26" s="142"/>
      <c r="H26" s="131"/>
      <c r="I26" s="131"/>
      <c r="J26" s="146"/>
      <c r="K26" s="133"/>
      <c r="L26" s="149"/>
      <c r="M26" s="150"/>
    </row>
    <row r="27" spans="1:13" s="128" customFormat="1">
      <c r="A27" s="131"/>
      <c r="B27" s="141"/>
      <c r="C27" s="133"/>
      <c r="D27" s="134"/>
      <c r="E27" s="135"/>
      <c r="F27" s="136"/>
      <c r="G27" s="142"/>
      <c r="H27" s="131"/>
      <c r="I27" s="131"/>
      <c r="J27" s="146"/>
      <c r="K27" s="350"/>
      <c r="L27" s="351"/>
      <c r="M27" s="352"/>
    </row>
    <row r="28" spans="1:13" s="128" customFormat="1">
      <c r="A28" s="131"/>
      <c r="B28" s="141"/>
      <c r="C28" s="133"/>
      <c r="D28" s="134"/>
      <c r="E28" s="135"/>
      <c r="F28" s="136"/>
      <c r="G28" s="142"/>
      <c r="H28" s="131"/>
      <c r="I28" s="131"/>
      <c r="J28" s="146"/>
      <c r="K28" s="347"/>
      <c r="L28" s="348"/>
      <c r="M28" s="349"/>
    </row>
    <row r="29" spans="1:13" s="128" customFormat="1">
      <c r="A29" s="131"/>
      <c r="B29" s="141"/>
      <c r="C29" s="133"/>
      <c r="D29" s="134"/>
      <c r="E29" s="135"/>
      <c r="F29" s="136"/>
      <c r="G29" s="142"/>
      <c r="H29" s="131"/>
      <c r="I29" s="131"/>
      <c r="J29" s="146"/>
      <c r="K29" s="350"/>
      <c r="L29" s="351"/>
      <c r="M29" s="352"/>
    </row>
    <row r="30" spans="1:13" s="128" customFormat="1">
      <c r="A30" s="131"/>
      <c r="B30" s="132"/>
      <c r="C30" s="133"/>
      <c r="D30" s="134"/>
      <c r="E30" s="135"/>
      <c r="F30" s="136"/>
      <c r="G30" s="142"/>
      <c r="H30" s="131"/>
      <c r="I30" s="131"/>
      <c r="J30" s="146"/>
      <c r="K30" s="344"/>
      <c r="L30" s="345"/>
      <c r="M30" s="346"/>
    </row>
    <row r="31" spans="1:13">
      <c r="A31" s="131" t="str">
        <f>IF(B31=""," ",#REF!+1)</f>
        <v xml:space="preserve"> </v>
      </c>
      <c r="B31" s="141"/>
      <c r="C31" s="133"/>
      <c r="D31" s="134"/>
      <c r="E31" s="135"/>
      <c r="F31" s="136"/>
      <c r="G31" s="142"/>
      <c r="H31" s="131"/>
      <c r="I31" s="131"/>
      <c r="J31" s="146"/>
      <c r="K31" s="344"/>
      <c r="L31" s="345"/>
      <c r="M31" s="346"/>
    </row>
    <row r="32" spans="1:13">
      <c r="A32" s="131"/>
      <c r="B32" s="141"/>
      <c r="C32" s="133"/>
      <c r="D32" s="134"/>
      <c r="E32" s="135"/>
      <c r="F32" s="136"/>
      <c r="G32" s="142"/>
      <c r="H32" s="131"/>
      <c r="I32" s="131"/>
      <c r="J32" s="146"/>
      <c r="K32" s="344"/>
      <c r="L32" s="345"/>
      <c r="M32" s="346"/>
    </row>
    <row r="33" spans="1:13">
      <c r="A33" s="131" t="str">
        <f>IF(B33=""," ",A32+1)</f>
        <v xml:space="preserve"> </v>
      </c>
      <c r="B33" s="141"/>
      <c r="C33" s="133"/>
      <c r="D33" s="134"/>
      <c r="E33" s="135"/>
      <c r="F33" s="136"/>
      <c r="G33" s="142"/>
      <c r="H33" s="131"/>
      <c r="I33" s="131"/>
      <c r="J33" s="146"/>
      <c r="K33" s="344"/>
      <c r="L33" s="345"/>
      <c r="M33" s="346"/>
    </row>
    <row r="34" spans="1:13">
      <c r="A34" s="131" t="str">
        <f>IF(B34=""," ",#REF!+1)</f>
        <v xml:space="preserve"> </v>
      </c>
      <c r="B34" s="141"/>
      <c r="C34" s="133"/>
      <c r="D34" s="134"/>
      <c r="E34" s="135"/>
      <c r="F34" s="136"/>
      <c r="G34" s="142"/>
      <c r="H34" s="131"/>
      <c r="I34" s="131"/>
      <c r="J34" s="146"/>
      <c r="K34" s="344"/>
      <c r="L34" s="345"/>
      <c r="M34" s="346"/>
    </row>
    <row r="35" spans="1:13">
      <c r="A35" s="131" t="str">
        <f t="shared" ref="A35:A46" si="2">IF(B35=""," ",A34+1)</f>
        <v xml:space="preserve"> </v>
      </c>
      <c r="B35" s="141"/>
      <c r="C35" s="133"/>
      <c r="D35" s="134"/>
      <c r="E35" s="135"/>
      <c r="F35" s="136"/>
      <c r="G35" s="142"/>
      <c r="H35" s="131"/>
      <c r="I35" s="131"/>
      <c r="J35" s="146"/>
      <c r="K35" s="344"/>
      <c r="L35" s="345"/>
      <c r="M35" s="346"/>
    </row>
    <row r="36" spans="1:13">
      <c r="A36" s="131" t="str">
        <f t="shared" si="2"/>
        <v xml:space="preserve"> </v>
      </c>
      <c r="B36" s="141"/>
      <c r="C36" s="133"/>
      <c r="D36" s="134"/>
      <c r="E36" s="135"/>
      <c r="F36" s="136"/>
      <c r="G36" s="142"/>
      <c r="H36" s="131"/>
      <c r="I36" s="131"/>
      <c r="J36" s="146"/>
      <c r="K36" s="344"/>
      <c r="L36" s="345"/>
      <c r="M36" s="346"/>
    </row>
    <row r="37" spans="1:13" ht="11.25" customHeight="1">
      <c r="A37" s="131" t="str">
        <f t="shared" si="2"/>
        <v xml:space="preserve"> </v>
      </c>
      <c r="B37" s="141"/>
      <c r="C37" s="133"/>
      <c r="D37" s="134"/>
      <c r="E37" s="135"/>
      <c r="F37" s="136"/>
      <c r="G37" s="142"/>
      <c r="H37" s="131"/>
      <c r="I37" s="131"/>
      <c r="J37" s="146"/>
      <c r="K37" s="344"/>
      <c r="L37" s="345"/>
      <c r="M37" s="346"/>
    </row>
    <row r="38" spans="1:13">
      <c r="A38" s="131" t="str">
        <f t="shared" si="2"/>
        <v xml:space="preserve"> </v>
      </c>
      <c r="B38" s="141"/>
      <c r="C38" s="133"/>
      <c r="D38" s="134"/>
      <c r="E38" s="135"/>
      <c r="F38" s="136"/>
      <c r="G38" s="142"/>
      <c r="H38" s="131"/>
      <c r="I38" s="131"/>
      <c r="J38" s="146"/>
      <c r="K38" s="344"/>
      <c r="L38" s="345"/>
      <c r="M38" s="346"/>
    </row>
    <row r="39" spans="1:13">
      <c r="A39" s="131" t="str">
        <f t="shared" si="2"/>
        <v xml:space="preserve"> </v>
      </c>
      <c r="B39" s="141"/>
      <c r="C39" s="133"/>
      <c r="D39" s="134"/>
      <c r="E39" s="135"/>
      <c r="F39" s="136"/>
      <c r="G39" s="142"/>
      <c r="H39" s="131"/>
      <c r="I39" s="131"/>
      <c r="J39" s="146"/>
      <c r="K39" s="344"/>
      <c r="L39" s="345"/>
      <c r="M39" s="346"/>
    </row>
    <row r="40" spans="1:13">
      <c r="A40" s="131" t="str">
        <f t="shared" si="2"/>
        <v xml:space="preserve"> </v>
      </c>
      <c r="B40" s="141"/>
      <c r="C40" s="133"/>
      <c r="D40" s="134"/>
      <c r="E40" s="135"/>
      <c r="F40" s="136"/>
      <c r="G40" s="142"/>
      <c r="H40" s="131"/>
      <c r="I40" s="131"/>
      <c r="J40" s="146"/>
      <c r="K40" s="344"/>
      <c r="L40" s="345"/>
      <c r="M40" s="346"/>
    </row>
    <row r="41" spans="1:13">
      <c r="A41" s="131" t="str">
        <f t="shared" si="2"/>
        <v xml:space="preserve"> </v>
      </c>
      <c r="B41" s="141"/>
      <c r="C41" s="133"/>
      <c r="D41" s="134"/>
      <c r="E41" s="135"/>
      <c r="F41" s="136"/>
      <c r="G41" s="142"/>
      <c r="H41" s="131"/>
      <c r="I41" s="131"/>
      <c r="J41" s="146"/>
      <c r="K41" s="344"/>
      <c r="L41" s="345"/>
      <c r="M41" s="346"/>
    </row>
    <row r="42" spans="1:13">
      <c r="A42" s="131" t="str">
        <f t="shared" si="2"/>
        <v xml:space="preserve"> </v>
      </c>
      <c r="B42" s="141"/>
      <c r="C42" s="133"/>
      <c r="D42" s="134"/>
      <c r="E42" s="135"/>
      <c r="F42" s="136"/>
      <c r="G42" s="142"/>
      <c r="H42" s="131"/>
      <c r="I42" s="131"/>
      <c r="J42" s="146"/>
      <c r="K42" s="157"/>
      <c r="L42" s="158"/>
      <c r="M42" s="159"/>
    </row>
    <row r="43" spans="1:13">
      <c r="A43" s="131" t="str">
        <f t="shared" si="2"/>
        <v xml:space="preserve"> </v>
      </c>
      <c r="B43" s="141"/>
      <c r="C43" s="133"/>
      <c r="D43" s="134"/>
      <c r="E43" s="135"/>
      <c r="F43" s="136"/>
      <c r="G43" s="142"/>
      <c r="H43" s="131"/>
      <c r="I43" s="131"/>
      <c r="J43" s="146"/>
      <c r="K43" s="133"/>
      <c r="L43" s="149"/>
      <c r="M43" s="150"/>
    </row>
    <row r="44" spans="1:13">
      <c r="A44" s="131" t="str">
        <f t="shared" si="2"/>
        <v xml:space="preserve"> </v>
      </c>
      <c r="B44" s="132"/>
      <c r="C44" s="133"/>
      <c r="D44" s="134"/>
      <c r="E44" s="135"/>
      <c r="F44" s="136"/>
      <c r="G44" s="142"/>
      <c r="H44" s="131"/>
      <c r="I44" s="131"/>
      <c r="J44" s="146"/>
      <c r="K44" s="133"/>
      <c r="L44" s="149"/>
      <c r="M44" s="150"/>
    </row>
    <row r="45" spans="1:13">
      <c r="A45" s="131" t="str">
        <f t="shared" si="2"/>
        <v xml:space="preserve"> </v>
      </c>
      <c r="B45" s="153"/>
      <c r="C45" s="143"/>
      <c r="D45" s="144"/>
      <c r="E45" s="135"/>
      <c r="F45" s="136"/>
      <c r="G45" s="142"/>
      <c r="H45" s="131"/>
      <c r="I45" s="131"/>
      <c r="J45" s="146"/>
      <c r="K45" s="133"/>
      <c r="L45" s="149"/>
      <c r="M45" s="150"/>
    </row>
    <row r="46" spans="1:13">
      <c r="A46" s="131" t="str">
        <f t="shared" si="2"/>
        <v xml:space="preserve"> </v>
      </c>
      <c r="B46" s="141"/>
      <c r="C46" s="133"/>
      <c r="D46" s="134"/>
      <c r="E46" s="135"/>
      <c r="F46" s="136"/>
      <c r="G46" s="142"/>
      <c r="H46" s="131"/>
      <c r="I46" s="131"/>
      <c r="J46" s="146"/>
      <c r="K46" s="133"/>
      <c r="L46" s="149"/>
      <c r="M46" s="150"/>
    </row>
    <row r="47" spans="1:13" s="128" customFormat="1" ht="11.25" customHeight="1">
      <c r="A47" s="131"/>
      <c r="B47" s="141"/>
      <c r="C47" s="133"/>
      <c r="D47" s="134"/>
      <c r="E47" s="135"/>
      <c r="F47" s="136"/>
      <c r="G47" s="142"/>
      <c r="H47" s="131"/>
      <c r="I47" s="131"/>
      <c r="J47" s="146"/>
      <c r="K47" s="347"/>
      <c r="L47" s="348"/>
      <c r="M47" s="349"/>
    </row>
    <row r="48" spans="1:13" s="128" customFormat="1">
      <c r="A48" s="131"/>
      <c r="B48" s="11"/>
      <c r="C48" s="133"/>
      <c r="D48" s="134"/>
      <c r="E48" s="135"/>
      <c r="F48" s="136"/>
      <c r="G48" s="142"/>
      <c r="H48" s="131"/>
      <c r="I48" s="131"/>
      <c r="J48" s="146"/>
      <c r="K48" s="347"/>
      <c r="L48" s="348"/>
      <c r="M48" s="349"/>
    </row>
    <row r="49" spans="1:13" ht="11.25" customHeight="1">
      <c r="A49" s="131"/>
      <c r="B49" s="20"/>
      <c r="C49" s="133"/>
      <c r="D49" s="134"/>
      <c r="E49" s="135"/>
      <c r="F49" s="136"/>
      <c r="G49" s="142"/>
      <c r="H49" s="131"/>
      <c r="I49" s="131"/>
      <c r="J49" s="146"/>
      <c r="K49" s="154"/>
      <c r="L49" s="155"/>
      <c r="M49" s="156"/>
    </row>
    <row r="50" spans="1:13">
      <c r="A50" s="131"/>
      <c r="B50" s="152"/>
      <c r="C50" s="133"/>
      <c r="D50" s="134"/>
      <c r="E50" s="135"/>
      <c r="F50" s="136"/>
      <c r="G50" s="142"/>
      <c r="H50" s="131"/>
      <c r="I50" s="131"/>
      <c r="J50" s="146"/>
      <c r="K50" s="344"/>
      <c r="L50" s="345"/>
      <c r="M50" s="346"/>
    </row>
    <row r="51" spans="1:13" s="128" customFormat="1">
      <c r="A51" s="131"/>
      <c r="B51" s="153"/>
      <c r="C51" s="143"/>
      <c r="D51" s="144"/>
      <c r="E51" s="135"/>
      <c r="F51" s="136"/>
      <c r="G51" s="142"/>
      <c r="H51" s="131"/>
      <c r="I51" s="131"/>
      <c r="J51" s="146"/>
      <c r="K51" s="347"/>
      <c r="L51" s="348"/>
      <c r="M51" s="349"/>
    </row>
    <row r="52" spans="1:13" s="128" customFormat="1" ht="11.25" customHeight="1">
      <c r="A52" s="131"/>
      <c r="B52" s="141"/>
      <c r="C52" s="133"/>
      <c r="D52" s="134"/>
      <c r="E52" s="135"/>
      <c r="F52" s="136"/>
      <c r="G52" s="142"/>
      <c r="H52" s="131"/>
      <c r="I52" s="131"/>
      <c r="J52" s="146"/>
      <c r="K52" s="350"/>
      <c r="L52" s="351"/>
      <c r="M52" s="352"/>
    </row>
    <row r="53" spans="1:13">
      <c r="A53" s="131"/>
      <c r="B53" s="140"/>
      <c r="C53" s="133"/>
      <c r="D53" s="134"/>
      <c r="E53" s="135"/>
      <c r="F53" s="136"/>
      <c r="G53" s="142"/>
      <c r="H53" s="131"/>
      <c r="I53" s="131"/>
      <c r="J53" s="146"/>
      <c r="K53" s="133"/>
      <c r="L53" s="149"/>
      <c r="M53" s="150"/>
    </row>
    <row r="54" spans="1:13">
      <c r="A54" s="131"/>
      <c r="B54" s="141"/>
      <c r="C54" s="133"/>
      <c r="D54" s="134"/>
      <c r="E54" s="135"/>
      <c r="F54" s="136"/>
      <c r="G54" s="142"/>
      <c r="H54" s="131"/>
      <c r="I54" s="131"/>
      <c r="J54" s="146"/>
      <c r="K54" s="344"/>
      <c r="L54" s="345"/>
      <c r="M54" s="346"/>
    </row>
    <row r="55" spans="1:13" s="128" customFormat="1">
      <c r="A55" s="131"/>
      <c r="B55" s="140"/>
      <c r="C55" s="143"/>
      <c r="D55" s="144"/>
      <c r="E55" s="135"/>
      <c r="F55" s="136"/>
      <c r="G55" s="142"/>
      <c r="H55" s="131"/>
      <c r="I55" s="131"/>
      <c r="J55" s="146"/>
      <c r="K55" s="350"/>
      <c r="L55" s="351"/>
      <c r="M55" s="352"/>
    </row>
    <row r="56" spans="1:13" s="128" customFormat="1">
      <c r="A56" s="131"/>
      <c r="B56" s="137"/>
      <c r="C56" s="145"/>
      <c r="D56" s="134"/>
      <c r="E56" s="135"/>
      <c r="F56" s="136"/>
      <c r="G56" s="142"/>
      <c r="H56" s="131"/>
      <c r="I56" s="131"/>
      <c r="J56" s="146"/>
      <c r="K56" s="347"/>
      <c r="L56" s="348"/>
      <c r="M56" s="349"/>
    </row>
    <row r="57" spans="1:13">
      <c r="A57" s="131"/>
      <c r="B57" s="141"/>
      <c r="C57" s="133"/>
      <c r="D57" s="134"/>
      <c r="E57" s="135"/>
      <c r="F57" s="136"/>
      <c r="G57" s="142"/>
      <c r="H57" s="131"/>
      <c r="I57" s="131"/>
      <c r="J57" s="146"/>
      <c r="K57" s="133"/>
      <c r="L57" s="149"/>
      <c r="M57" s="150"/>
    </row>
    <row r="58" spans="1:13" s="128" customFormat="1">
      <c r="A58" s="131"/>
      <c r="B58" s="141"/>
      <c r="C58" s="133"/>
      <c r="D58" s="134"/>
      <c r="E58" s="135"/>
      <c r="F58" s="136"/>
      <c r="G58" s="142"/>
      <c r="H58" s="131"/>
      <c r="I58" s="131"/>
      <c r="J58" s="146"/>
      <c r="K58" s="350"/>
      <c r="L58" s="351"/>
      <c r="M58" s="352"/>
    </row>
    <row r="59" spans="1:13" s="128" customFormat="1">
      <c r="A59" s="131"/>
      <c r="B59" s="141"/>
      <c r="C59" s="133"/>
      <c r="D59" s="134"/>
      <c r="E59" s="135"/>
      <c r="F59" s="136"/>
      <c r="G59" s="142"/>
      <c r="H59" s="131"/>
      <c r="I59" s="131"/>
      <c r="J59" s="146"/>
      <c r="K59" s="347"/>
      <c r="L59" s="348"/>
      <c r="M59" s="349"/>
    </row>
    <row r="60" spans="1:13" s="128" customFormat="1">
      <c r="A60" s="131"/>
      <c r="B60" s="141"/>
      <c r="C60" s="133"/>
      <c r="D60" s="134"/>
      <c r="E60" s="135"/>
      <c r="F60" s="136"/>
      <c r="G60" s="142"/>
      <c r="H60" s="131"/>
      <c r="I60" s="131"/>
      <c r="J60" s="146"/>
      <c r="K60" s="350"/>
      <c r="L60" s="351"/>
      <c r="M60" s="352"/>
    </row>
    <row r="61" spans="1:13" s="128" customFormat="1">
      <c r="A61" s="131"/>
      <c r="B61" s="132"/>
      <c r="C61" s="133"/>
      <c r="D61" s="134"/>
      <c r="E61" s="135"/>
      <c r="F61" s="136"/>
      <c r="G61" s="142"/>
      <c r="H61" s="131"/>
      <c r="I61" s="131"/>
      <c r="J61" s="146"/>
      <c r="K61" s="344"/>
      <c r="L61" s="345"/>
      <c r="M61" s="346"/>
    </row>
    <row r="62" spans="1:13">
      <c r="A62" s="131" t="str">
        <f>IF(B62=""," ",#REF!+1)</f>
        <v xml:space="preserve"> </v>
      </c>
      <c r="B62" s="141"/>
      <c r="C62" s="133"/>
      <c r="D62" s="134"/>
      <c r="E62" s="135"/>
      <c r="F62" s="136"/>
      <c r="G62" s="142"/>
      <c r="H62" s="131"/>
      <c r="I62" s="131"/>
      <c r="J62" s="146"/>
      <c r="K62" s="344"/>
      <c r="L62" s="345"/>
      <c r="M62" s="346"/>
    </row>
    <row r="63" spans="1:13">
      <c r="A63" s="131"/>
      <c r="B63" s="141"/>
      <c r="C63" s="133"/>
      <c r="D63" s="134"/>
      <c r="E63" s="135"/>
      <c r="F63" s="136"/>
      <c r="G63" s="142"/>
      <c r="H63" s="131"/>
      <c r="I63" s="131"/>
      <c r="J63" s="146"/>
      <c r="K63" s="344"/>
      <c r="L63" s="345"/>
      <c r="M63" s="346"/>
    </row>
    <row r="64" spans="1:13">
      <c r="A64" s="131" t="str">
        <f>IF(B64=""," ",A63+1)</f>
        <v xml:space="preserve"> </v>
      </c>
      <c r="B64" s="141"/>
      <c r="C64" s="133"/>
      <c r="D64" s="134"/>
      <c r="E64" s="135"/>
      <c r="F64" s="136"/>
      <c r="G64" s="142"/>
      <c r="H64" s="131"/>
      <c r="I64" s="131"/>
      <c r="J64" s="146"/>
      <c r="K64" s="344"/>
      <c r="L64" s="345"/>
      <c r="M64" s="346"/>
    </row>
    <row r="65" spans="1:13">
      <c r="A65" s="131" t="str">
        <f>IF(B65=""," ",#REF!+1)</f>
        <v xml:space="preserve"> </v>
      </c>
      <c r="B65" s="141"/>
      <c r="C65" s="133"/>
      <c r="D65" s="134"/>
      <c r="E65" s="135"/>
      <c r="F65" s="136"/>
      <c r="G65" s="142"/>
      <c r="H65" s="131"/>
      <c r="I65" s="131"/>
      <c r="J65" s="146"/>
      <c r="K65" s="344"/>
      <c r="L65" s="345"/>
      <c r="M65" s="346"/>
    </row>
    <row r="66" spans="1:13">
      <c r="A66" s="131" t="str">
        <f t="shared" ref="A66:A77" si="3">IF(B66=""," ",A65+1)</f>
        <v xml:space="preserve"> </v>
      </c>
      <c r="B66" s="141"/>
      <c r="C66" s="133"/>
      <c r="D66" s="134"/>
      <c r="E66" s="135"/>
      <c r="F66" s="136"/>
      <c r="G66" s="142"/>
      <c r="H66" s="131"/>
      <c r="I66" s="131"/>
      <c r="J66" s="146"/>
      <c r="K66" s="344"/>
      <c r="L66" s="345"/>
      <c r="M66" s="346"/>
    </row>
    <row r="67" spans="1:13">
      <c r="A67" s="131" t="str">
        <f t="shared" si="3"/>
        <v xml:space="preserve"> </v>
      </c>
      <c r="B67" s="141"/>
      <c r="C67" s="133"/>
      <c r="D67" s="134"/>
      <c r="E67" s="135"/>
      <c r="F67" s="136"/>
      <c r="G67" s="142"/>
      <c r="H67" s="131"/>
      <c r="I67" s="131"/>
      <c r="J67" s="146"/>
      <c r="K67" s="344"/>
      <c r="L67" s="345"/>
      <c r="M67" s="346"/>
    </row>
    <row r="68" spans="1:13" ht="11.25" customHeight="1">
      <c r="A68" s="131" t="str">
        <f t="shared" si="3"/>
        <v xml:space="preserve"> </v>
      </c>
      <c r="B68" s="141"/>
      <c r="C68" s="133"/>
      <c r="D68" s="134"/>
      <c r="E68" s="135"/>
      <c r="F68" s="136"/>
      <c r="G68" s="142"/>
      <c r="H68" s="131"/>
      <c r="I68" s="131"/>
      <c r="J68" s="146"/>
      <c r="K68" s="344"/>
      <c r="L68" s="345"/>
      <c r="M68" s="346"/>
    </row>
    <row r="69" spans="1:13">
      <c r="A69" s="131" t="str">
        <f t="shared" si="3"/>
        <v xml:space="preserve"> </v>
      </c>
      <c r="B69" s="141"/>
      <c r="C69" s="133"/>
      <c r="D69" s="134"/>
      <c r="E69" s="135"/>
      <c r="F69" s="136"/>
      <c r="G69" s="142"/>
      <c r="H69" s="131"/>
      <c r="I69" s="131"/>
      <c r="J69" s="146"/>
      <c r="K69" s="344"/>
      <c r="L69" s="345"/>
      <c r="M69" s="346"/>
    </row>
    <row r="70" spans="1:13">
      <c r="A70" s="131" t="str">
        <f t="shared" si="3"/>
        <v xml:space="preserve"> </v>
      </c>
      <c r="B70" s="141"/>
      <c r="C70" s="133"/>
      <c r="D70" s="134"/>
      <c r="E70" s="135"/>
      <c r="F70" s="136"/>
      <c r="G70" s="142"/>
      <c r="H70" s="131"/>
      <c r="I70" s="131"/>
      <c r="J70" s="146"/>
      <c r="K70" s="344"/>
      <c r="L70" s="345"/>
      <c r="M70" s="346"/>
    </row>
    <row r="71" spans="1:13">
      <c r="A71" s="131" t="str">
        <f t="shared" si="3"/>
        <v xml:space="preserve"> </v>
      </c>
      <c r="B71" s="141"/>
      <c r="C71" s="133"/>
      <c r="D71" s="134"/>
      <c r="E71" s="135"/>
      <c r="F71" s="136"/>
      <c r="G71" s="142"/>
      <c r="H71" s="131"/>
      <c r="I71" s="131"/>
      <c r="J71" s="146"/>
      <c r="K71" s="344"/>
      <c r="L71" s="345"/>
      <c r="M71" s="346"/>
    </row>
    <row r="72" spans="1:13">
      <c r="A72" s="131" t="str">
        <f t="shared" si="3"/>
        <v xml:space="preserve"> </v>
      </c>
      <c r="B72" s="141"/>
      <c r="C72" s="133"/>
      <c r="D72" s="134"/>
      <c r="E72" s="135"/>
      <c r="F72" s="136"/>
      <c r="G72" s="142"/>
      <c r="H72" s="131"/>
      <c r="I72" s="131"/>
      <c r="J72" s="146"/>
      <c r="K72" s="344"/>
      <c r="L72" s="345"/>
      <c r="M72" s="346"/>
    </row>
    <row r="73" spans="1:13">
      <c r="A73" s="131" t="str">
        <f t="shared" si="3"/>
        <v xml:space="preserve"> </v>
      </c>
      <c r="B73" s="141"/>
      <c r="C73" s="133"/>
      <c r="D73" s="134"/>
      <c r="E73" s="135"/>
      <c r="F73" s="136"/>
      <c r="G73" s="142"/>
      <c r="H73" s="131"/>
      <c r="I73" s="131"/>
      <c r="J73" s="146"/>
      <c r="K73" s="157"/>
      <c r="L73" s="158"/>
      <c r="M73" s="159"/>
    </row>
    <row r="74" spans="1:13">
      <c r="A74" s="131" t="str">
        <f t="shared" si="3"/>
        <v xml:space="preserve"> </v>
      </c>
      <c r="B74" s="141"/>
      <c r="C74" s="133"/>
      <c r="D74" s="134"/>
      <c r="E74" s="135"/>
      <c r="F74" s="136"/>
      <c r="G74" s="142"/>
      <c r="H74" s="131"/>
      <c r="I74" s="131"/>
      <c r="J74" s="146"/>
      <c r="K74" s="133"/>
      <c r="L74" s="149"/>
      <c r="M74" s="150"/>
    </row>
    <row r="75" spans="1:13">
      <c r="A75" s="131" t="str">
        <f t="shared" si="3"/>
        <v xml:space="preserve"> </v>
      </c>
      <c r="B75" s="132"/>
      <c r="C75" s="133"/>
      <c r="D75" s="134"/>
      <c r="E75" s="135"/>
      <c r="F75" s="136"/>
      <c r="G75" s="142"/>
      <c r="H75" s="131"/>
      <c r="I75" s="131"/>
      <c r="J75" s="146"/>
      <c r="K75" s="133"/>
      <c r="L75" s="149"/>
      <c r="M75" s="150"/>
    </row>
    <row r="76" spans="1:13">
      <c r="A76" s="131" t="str">
        <f t="shared" si="3"/>
        <v xml:space="preserve"> </v>
      </c>
      <c r="B76" s="153"/>
      <c r="C76" s="143"/>
      <c r="D76" s="144"/>
      <c r="E76" s="135"/>
      <c r="F76" s="136"/>
      <c r="G76" s="142"/>
      <c r="H76" s="131"/>
      <c r="I76" s="131"/>
      <c r="J76" s="146"/>
      <c r="K76" s="133"/>
      <c r="L76" s="149"/>
      <c r="M76" s="150"/>
    </row>
    <row r="77" spans="1:13">
      <c r="A77" s="131" t="str">
        <f t="shared" si="3"/>
        <v xml:space="preserve"> </v>
      </c>
      <c r="B77" s="141"/>
      <c r="C77" s="133"/>
      <c r="D77" s="134"/>
      <c r="E77" s="135"/>
      <c r="F77" s="136"/>
      <c r="G77" s="142"/>
      <c r="H77" s="131"/>
      <c r="I77" s="131"/>
      <c r="J77" s="146"/>
      <c r="K77" s="133"/>
      <c r="L77" s="149"/>
      <c r="M77" s="150"/>
    </row>
    <row r="78" spans="1:13" s="128" customFormat="1" ht="11.25" customHeight="1">
      <c r="A78" s="131"/>
      <c r="B78" s="141"/>
      <c r="C78" s="133"/>
      <c r="D78" s="134"/>
      <c r="E78" s="135"/>
      <c r="F78" s="136"/>
      <c r="G78" s="142"/>
      <c r="H78" s="131"/>
      <c r="I78" s="131"/>
      <c r="J78" s="146"/>
      <c r="K78" s="347"/>
      <c r="L78" s="348"/>
      <c r="M78" s="349"/>
    </row>
    <row r="79" spans="1:13" s="128" customFormat="1">
      <c r="A79" s="131"/>
      <c r="B79" s="11"/>
      <c r="C79" s="133"/>
      <c r="D79" s="134"/>
      <c r="E79" s="135"/>
      <c r="F79" s="136"/>
      <c r="G79" s="142"/>
      <c r="H79" s="131"/>
      <c r="I79" s="131"/>
      <c r="J79" s="146"/>
      <c r="K79" s="347"/>
      <c r="L79" s="348"/>
      <c r="M79" s="349"/>
    </row>
    <row r="80" spans="1:13" ht="11.25" customHeight="1">
      <c r="A80" s="131"/>
      <c r="B80" s="20"/>
      <c r="C80" s="133"/>
      <c r="D80" s="134"/>
      <c r="E80" s="135"/>
      <c r="F80" s="136"/>
      <c r="G80" s="142"/>
      <c r="H80" s="131"/>
      <c r="I80" s="131"/>
      <c r="J80" s="146"/>
      <c r="K80" s="154"/>
      <c r="L80" s="155"/>
      <c r="M80" s="156"/>
    </row>
    <row r="81" spans="1:13">
      <c r="A81" s="131"/>
      <c r="B81" s="152"/>
      <c r="C81" s="133"/>
      <c r="D81" s="134"/>
      <c r="E81" s="135"/>
      <c r="F81" s="136"/>
      <c r="G81" s="142"/>
      <c r="H81" s="131"/>
      <c r="I81" s="131"/>
      <c r="J81" s="146"/>
      <c r="K81" s="344"/>
      <c r="L81" s="345"/>
      <c r="M81" s="346"/>
    </row>
    <row r="82" spans="1:13" s="128" customFormat="1">
      <c r="A82" s="131"/>
      <c r="B82" s="153"/>
      <c r="C82" s="143"/>
      <c r="D82" s="144"/>
      <c r="E82" s="135"/>
      <c r="F82" s="136"/>
      <c r="G82" s="142"/>
      <c r="H82" s="131"/>
      <c r="I82" s="131"/>
      <c r="J82" s="146"/>
      <c r="K82" s="347"/>
      <c r="L82" s="348"/>
      <c r="M82" s="349"/>
    </row>
    <row r="83" spans="1:13" s="128" customFormat="1" ht="11.25" customHeight="1">
      <c r="A83" s="131"/>
      <c r="B83" s="141"/>
      <c r="C83" s="133"/>
      <c r="D83" s="134"/>
      <c r="E83" s="135"/>
      <c r="F83" s="136"/>
      <c r="G83" s="142"/>
      <c r="H83" s="131"/>
      <c r="I83" s="131"/>
      <c r="J83" s="146"/>
      <c r="K83" s="350"/>
      <c r="L83" s="351"/>
      <c r="M83" s="352"/>
    </row>
    <row r="84" spans="1:13">
      <c r="A84" s="131"/>
      <c r="B84" s="140"/>
      <c r="C84" s="133"/>
      <c r="D84" s="134"/>
      <c r="E84" s="135"/>
      <c r="F84" s="136"/>
      <c r="G84" s="142"/>
      <c r="H84" s="131"/>
      <c r="I84" s="131"/>
      <c r="J84" s="146"/>
      <c r="K84" s="133"/>
      <c r="L84" s="149"/>
      <c r="M84" s="150"/>
    </row>
    <row r="85" spans="1:13">
      <c r="A85" s="131"/>
      <c r="B85" s="141"/>
      <c r="C85" s="133"/>
      <c r="D85" s="134"/>
      <c r="E85" s="135"/>
      <c r="F85" s="136"/>
      <c r="G85" s="142"/>
      <c r="H85" s="131"/>
      <c r="I85" s="131"/>
      <c r="J85" s="146"/>
      <c r="K85" s="344"/>
      <c r="L85" s="345"/>
      <c r="M85" s="346"/>
    </row>
    <row r="86" spans="1:13" s="128" customFormat="1">
      <c r="A86" s="131"/>
      <c r="B86" s="140"/>
      <c r="C86" s="143"/>
      <c r="D86" s="144"/>
      <c r="E86" s="135"/>
      <c r="F86" s="136"/>
      <c r="G86" s="142"/>
      <c r="H86" s="131"/>
      <c r="I86" s="131"/>
      <c r="J86" s="146"/>
      <c r="K86" s="350"/>
      <c r="L86" s="351"/>
      <c r="M86" s="352"/>
    </row>
    <row r="87" spans="1:13" s="128" customFormat="1">
      <c r="A87" s="131"/>
      <c r="B87" s="137"/>
      <c r="C87" s="145"/>
      <c r="D87" s="134"/>
      <c r="E87" s="135"/>
      <c r="F87" s="136"/>
      <c r="G87" s="142"/>
      <c r="H87" s="131"/>
      <c r="I87" s="131"/>
      <c r="J87" s="146"/>
      <c r="K87" s="347"/>
      <c r="L87" s="348"/>
      <c r="M87" s="349"/>
    </row>
    <row r="88" spans="1:13">
      <c r="A88" s="131"/>
      <c r="B88" s="141"/>
      <c r="C88" s="133"/>
      <c r="D88" s="134"/>
      <c r="E88" s="135"/>
      <c r="F88" s="136"/>
      <c r="G88" s="142"/>
      <c r="H88" s="131"/>
      <c r="I88" s="131"/>
      <c r="J88" s="146"/>
      <c r="K88" s="133"/>
      <c r="L88" s="149"/>
      <c r="M88" s="150"/>
    </row>
    <row r="89" spans="1:13" s="128" customFormat="1">
      <c r="A89" s="131"/>
      <c r="B89" s="141"/>
      <c r="C89" s="133"/>
      <c r="D89" s="134"/>
      <c r="E89" s="135"/>
      <c r="F89" s="136"/>
      <c r="G89" s="142"/>
      <c r="H89" s="131"/>
      <c r="I89" s="131"/>
      <c r="J89" s="146"/>
      <c r="K89" s="350"/>
      <c r="L89" s="351"/>
      <c r="M89" s="352"/>
    </row>
    <row r="90" spans="1:13" s="128" customFormat="1">
      <c r="A90" s="131"/>
      <c r="B90" s="141"/>
      <c r="C90" s="133"/>
      <c r="D90" s="134"/>
      <c r="E90" s="135"/>
      <c r="F90" s="136"/>
      <c r="G90" s="142"/>
      <c r="H90" s="131"/>
      <c r="I90" s="131"/>
      <c r="J90" s="146"/>
      <c r="K90" s="347"/>
      <c r="L90" s="348"/>
      <c r="M90" s="349"/>
    </row>
    <row r="91" spans="1:13" s="128" customFormat="1">
      <c r="A91" s="131"/>
      <c r="B91" s="141"/>
      <c r="C91" s="133"/>
      <c r="D91" s="134"/>
      <c r="E91" s="135"/>
      <c r="F91" s="136"/>
      <c r="G91" s="142"/>
      <c r="H91" s="131"/>
      <c r="I91" s="131"/>
      <c r="J91" s="146"/>
      <c r="K91" s="350"/>
      <c r="L91" s="351"/>
      <c r="M91" s="352"/>
    </row>
    <row r="92" spans="1:13" s="128" customFormat="1">
      <c r="A92" s="131"/>
      <c r="B92" s="132"/>
      <c r="C92" s="133"/>
      <c r="D92" s="134"/>
      <c r="E92" s="135"/>
      <c r="F92" s="136"/>
      <c r="G92" s="142"/>
      <c r="H92" s="131"/>
      <c r="I92" s="131"/>
      <c r="J92" s="146"/>
      <c r="K92" s="344"/>
      <c r="L92" s="345"/>
      <c r="M92" s="346"/>
    </row>
    <row r="93" spans="1:13">
      <c r="A93" s="131" t="str">
        <f>IF(B93=""," ",#REF!+1)</f>
        <v xml:space="preserve"> </v>
      </c>
      <c r="B93" s="141"/>
      <c r="C93" s="133"/>
      <c r="D93" s="134"/>
      <c r="E93" s="135"/>
      <c r="F93" s="136"/>
      <c r="G93" s="142"/>
      <c r="H93" s="131"/>
      <c r="I93" s="131"/>
      <c r="J93" s="146"/>
      <c r="K93" s="344"/>
      <c r="L93" s="345"/>
      <c r="M93" s="346"/>
    </row>
    <row r="94" spans="1:13">
      <c r="A94" s="131"/>
      <c r="B94" s="141"/>
      <c r="C94" s="133"/>
      <c r="D94" s="134"/>
      <c r="E94" s="135"/>
      <c r="F94" s="136"/>
      <c r="G94" s="142"/>
      <c r="H94" s="131"/>
      <c r="I94" s="131"/>
      <c r="J94" s="146"/>
      <c r="K94" s="344"/>
      <c r="L94" s="345"/>
      <c r="M94" s="346"/>
    </row>
    <row r="95" spans="1:13">
      <c r="A95" s="131" t="str">
        <f>IF(B95=""," ",A94+1)</f>
        <v xml:space="preserve"> </v>
      </c>
      <c r="B95" s="141"/>
      <c r="C95" s="133"/>
      <c r="D95" s="134"/>
      <c r="E95" s="135"/>
      <c r="F95" s="136"/>
      <c r="G95" s="142"/>
      <c r="H95" s="131"/>
      <c r="I95" s="131"/>
      <c r="J95" s="146"/>
      <c r="K95" s="344"/>
      <c r="L95" s="345"/>
      <c r="M95" s="346"/>
    </row>
    <row r="96" spans="1:13">
      <c r="A96" s="131" t="str">
        <f>IF(B96=""," ",#REF!+1)</f>
        <v xml:space="preserve"> </v>
      </c>
      <c r="B96" s="141"/>
      <c r="C96" s="133"/>
      <c r="D96" s="134"/>
      <c r="E96" s="135"/>
      <c r="F96" s="136"/>
      <c r="G96" s="142"/>
      <c r="H96" s="131"/>
      <c r="I96" s="131"/>
      <c r="J96" s="146"/>
      <c r="K96" s="344"/>
      <c r="L96" s="345"/>
      <c r="M96" s="346"/>
    </row>
    <row r="97" spans="1:13">
      <c r="A97" s="131" t="str">
        <f>IF(B97=""," ",A96+1)</f>
        <v xml:space="preserve"> </v>
      </c>
      <c r="B97" s="141"/>
      <c r="C97" s="133"/>
      <c r="D97" s="134"/>
      <c r="E97" s="135"/>
      <c r="F97" s="136"/>
      <c r="G97" s="142"/>
      <c r="H97" s="131"/>
      <c r="I97" s="131"/>
      <c r="J97" s="146"/>
      <c r="K97" s="344"/>
      <c r="L97" s="345"/>
      <c r="M97" s="346"/>
    </row>
    <row r="98" spans="1:13">
      <c r="A98" s="131" t="str">
        <f>IF(B98=""," ",A97+1)</f>
        <v xml:space="preserve"> </v>
      </c>
      <c r="B98" s="141"/>
      <c r="C98" s="133"/>
      <c r="D98" s="134"/>
      <c r="E98" s="135"/>
      <c r="F98" s="136"/>
      <c r="G98" s="142"/>
      <c r="H98" s="131"/>
      <c r="I98" s="131"/>
      <c r="J98" s="146"/>
      <c r="K98" s="344"/>
      <c r="L98" s="345"/>
      <c r="M98" s="346"/>
    </row>
    <row r="99" spans="1:13" ht="11.25" customHeight="1">
      <c r="A99" s="131" t="str">
        <f>IF(B99=""," ",A98+1)</f>
        <v xml:space="preserve"> </v>
      </c>
      <c r="B99" s="141"/>
      <c r="C99" s="133"/>
      <c r="D99" s="134"/>
      <c r="E99" s="135"/>
      <c r="F99" s="136"/>
      <c r="G99" s="142"/>
      <c r="H99" s="131"/>
      <c r="I99" s="131"/>
      <c r="J99" s="146"/>
      <c r="K99" s="344"/>
      <c r="L99" s="345"/>
      <c r="M99" s="346"/>
    </row>
    <row r="100" spans="1:13">
      <c r="A100" s="131" t="str">
        <f>IF(B100=""," ",A99+1)</f>
        <v xml:space="preserve"> </v>
      </c>
      <c r="B100" s="141"/>
      <c r="C100" s="133"/>
      <c r="D100" s="134"/>
      <c r="E100" s="135"/>
      <c r="F100" s="136"/>
      <c r="G100" s="142"/>
      <c r="H100" s="131"/>
      <c r="I100" s="131"/>
      <c r="J100" s="146"/>
      <c r="K100" s="344"/>
      <c r="L100" s="345"/>
      <c r="M100" s="346"/>
    </row>
    <row r="102" spans="1:13" s="75" customFormat="1">
      <c r="A102" s="76"/>
      <c r="B102" s="75" t="s">
        <v>235</v>
      </c>
    </row>
    <row r="103" spans="1:13" s="75" customFormat="1" ht="12" customHeight="1">
      <c r="A103" s="76"/>
    </row>
    <row r="104" spans="1:13" s="75" customFormat="1">
      <c r="A104" s="76"/>
      <c r="B104" s="75" t="s">
        <v>236</v>
      </c>
      <c r="C104" s="75" t="s">
        <v>238</v>
      </c>
    </row>
    <row r="106" spans="1:13">
      <c r="B106" s="129" t="s">
        <v>1197</v>
      </c>
      <c r="C106" s="75" t="s">
        <v>1442</v>
      </c>
    </row>
  </sheetData>
  <mergeCells count="89">
    <mergeCell ref="K5:M6"/>
    <mergeCell ref="K96:M96"/>
    <mergeCell ref="K97:M97"/>
    <mergeCell ref="K98:M98"/>
    <mergeCell ref="K99:M99"/>
    <mergeCell ref="K100:M100"/>
    <mergeCell ref="K91:M91"/>
    <mergeCell ref="K92:M92"/>
    <mergeCell ref="K93:M93"/>
    <mergeCell ref="K94:M94"/>
    <mergeCell ref="K95:M95"/>
    <mergeCell ref="K85:M85"/>
    <mergeCell ref="K86:M86"/>
    <mergeCell ref="K87:M87"/>
    <mergeCell ref="K89:M89"/>
    <mergeCell ref="K90:M90"/>
    <mergeCell ref="K78:M78"/>
    <mergeCell ref="K79:M79"/>
    <mergeCell ref="K81:M81"/>
    <mergeCell ref="K82:M82"/>
    <mergeCell ref="K83:M83"/>
    <mergeCell ref="K68:M68"/>
    <mergeCell ref="K69:M69"/>
    <mergeCell ref="K70:M70"/>
    <mergeCell ref="K71:M71"/>
    <mergeCell ref="K72:M72"/>
    <mergeCell ref="K63:M63"/>
    <mergeCell ref="K64:M64"/>
    <mergeCell ref="K65:M65"/>
    <mergeCell ref="K66:M66"/>
    <mergeCell ref="K67:M67"/>
    <mergeCell ref="K58:M58"/>
    <mergeCell ref="K59:M59"/>
    <mergeCell ref="K60:M60"/>
    <mergeCell ref="K61:M61"/>
    <mergeCell ref="K62:M62"/>
    <mergeCell ref="K51:M51"/>
    <mergeCell ref="K52:M52"/>
    <mergeCell ref="K54:M54"/>
    <mergeCell ref="K55:M55"/>
    <mergeCell ref="K56:M56"/>
    <mergeCell ref="K40:M40"/>
    <mergeCell ref="K41:M41"/>
    <mergeCell ref="K47:M47"/>
    <mergeCell ref="K48:M48"/>
    <mergeCell ref="K50:M50"/>
    <mergeCell ref="K35:M35"/>
    <mergeCell ref="K36:M36"/>
    <mergeCell ref="K37:M37"/>
    <mergeCell ref="K38:M38"/>
    <mergeCell ref="K39:M39"/>
    <mergeCell ref="K30:M30"/>
    <mergeCell ref="K31:M31"/>
    <mergeCell ref="K32:M32"/>
    <mergeCell ref="K33:M33"/>
    <mergeCell ref="K34:M34"/>
    <mergeCell ref="K24:M24"/>
    <mergeCell ref="K25:M25"/>
    <mergeCell ref="K27:M27"/>
    <mergeCell ref="K28:M28"/>
    <mergeCell ref="K29:M29"/>
    <mergeCell ref="K18:M18"/>
    <mergeCell ref="K19:M19"/>
    <mergeCell ref="K20:M20"/>
    <mergeCell ref="K21:M21"/>
    <mergeCell ref="K23:M23"/>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5:A6"/>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c r="B1" s="3"/>
    </row>
    <row r="2" spans="1:16">
      <c r="A2" s="259" t="s">
        <v>136</v>
      </c>
      <c r="B2" s="260"/>
      <c r="C2" s="259" t="s">
        <v>1</v>
      </c>
      <c r="D2" s="261"/>
      <c r="E2" s="261"/>
      <c r="F2" s="261"/>
      <c r="G2" s="260"/>
      <c r="H2" s="259"/>
      <c r="I2" s="261"/>
      <c r="J2" s="260"/>
      <c r="K2" s="89"/>
      <c r="L2" s="78" t="s">
        <v>137</v>
      </c>
      <c r="M2" s="78" t="s">
        <v>138</v>
      </c>
    </row>
    <row r="3" spans="1:16">
      <c r="A3" s="262"/>
      <c r="B3" s="263"/>
      <c r="C3" s="264" t="s">
        <v>1443</v>
      </c>
      <c r="D3" s="265"/>
      <c r="E3" s="265"/>
      <c r="F3" s="265"/>
      <c r="G3" s="266"/>
      <c r="H3" s="259" t="s">
        <v>140</v>
      </c>
      <c r="I3" s="260"/>
      <c r="J3" s="90">
        <f>COUNT(A7:A100)</f>
        <v>8</v>
      </c>
      <c r="K3" s="78" t="s">
        <v>141</v>
      </c>
      <c r="L3" s="91">
        <v>38775</v>
      </c>
      <c r="M3" s="92" t="s">
        <v>142</v>
      </c>
      <c r="O3" s="75" t="s">
        <v>143</v>
      </c>
      <c r="P3" s="75" t="s">
        <v>144</v>
      </c>
    </row>
    <row r="4" spans="1:16">
      <c r="A4" s="267" t="s">
        <v>145</v>
      </c>
      <c r="B4" s="268"/>
      <c r="C4" s="267" t="s">
        <v>62</v>
      </c>
      <c r="D4" s="269"/>
      <c r="E4" s="269"/>
      <c r="F4" s="269"/>
      <c r="G4" s="268"/>
      <c r="H4" s="259" t="s">
        <v>146</v>
      </c>
      <c r="I4" s="260"/>
      <c r="J4" s="90">
        <f>SUM(G7:G100)</f>
        <v>53</v>
      </c>
      <c r="K4" s="78" t="s">
        <v>147</v>
      </c>
      <c r="L4" s="91">
        <v>38878</v>
      </c>
      <c r="M4" s="83" t="s">
        <v>142</v>
      </c>
      <c r="O4" s="75" t="s">
        <v>149</v>
      </c>
      <c r="P4" s="75" t="s">
        <v>150</v>
      </c>
    </row>
    <row r="5" spans="1:16">
      <c r="A5" s="283" t="s">
        <v>0</v>
      </c>
      <c r="B5" s="259" t="s">
        <v>151</v>
      </c>
      <c r="C5" s="261"/>
      <c r="D5" s="270" t="s">
        <v>152</v>
      </c>
      <c r="E5" s="261"/>
      <c r="F5" s="261"/>
      <c r="G5" s="261"/>
      <c r="H5" s="261"/>
      <c r="I5" s="259" t="s">
        <v>153</v>
      </c>
      <c r="J5" s="260"/>
      <c r="K5" s="285" t="s">
        <v>4</v>
      </c>
      <c r="L5" s="286"/>
      <c r="M5" s="287"/>
      <c r="P5" s="75" t="s">
        <v>154</v>
      </c>
    </row>
    <row r="6" spans="1:16">
      <c r="A6" s="284"/>
      <c r="B6" s="78" t="s">
        <v>5</v>
      </c>
      <c r="C6" s="79" t="s">
        <v>6</v>
      </c>
      <c r="D6" s="80" t="s">
        <v>144</v>
      </c>
      <c r="E6" s="81" t="s">
        <v>155</v>
      </c>
      <c r="F6" s="82" t="s">
        <v>156</v>
      </c>
      <c r="G6" s="78" t="s">
        <v>157</v>
      </c>
      <c r="H6" s="77" t="s">
        <v>158</v>
      </c>
      <c r="I6" s="77" t="s">
        <v>159</v>
      </c>
      <c r="J6" s="77" t="s">
        <v>160</v>
      </c>
      <c r="K6" s="305"/>
      <c r="L6" s="306"/>
      <c r="M6" s="307"/>
      <c r="P6" s="75" t="s">
        <v>161</v>
      </c>
    </row>
    <row r="7" spans="1:16">
      <c r="A7" s="83">
        <v>1</v>
      </c>
      <c r="B7" s="11" t="s">
        <v>812</v>
      </c>
      <c r="C7" s="84" t="s">
        <v>813</v>
      </c>
      <c r="D7" s="13" t="s">
        <v>164</v>
      </c>
      <c r="E7" s="85"/>
      <c r="F7" s="86"/>
      <c r="G7" s="87">
        <f>IF(D7="DATE",4,IF(D7="CHAR",E7,IF(D7="SMALLINT",2,IF(D7="INTEGER",4,IF(D7="TIMESTAMP",10,IF(D7="TIME",3,0))))))</f>
        <v>4</v>
      </c>
      <c r="H7" s="83" t="s">
        <v>149</v>
      </c>
      <c r="I7" s="83" t="s">
        <v>149</v>
      </c>
      <c r="J7" s="93"/>
      <c r="K7" s="271"/>
      <c r="L7" s="272"/>
      <c r="M7" s="273"/>
      <c r="P7" s="75" t="s">
        <v>165</v>
      </c>
    </row>
    <row r="8" spans="1:16">
      <c r="A8" s="83">
        <f t="shared" ref="A8:A16" si="0">IF(B8=""," ",A7+1)</f>
        <v>2</v>
      </c>
      <c r="B8" s="11" t="s">
        <v>646</v>
      </c>
      <c r="C8" s="84" t="s">
        <v>647</v>
      </c>
      <c r="D8" s="88" t="s">
        <v>150</v>
      </c>
      <c r="E8" s="85">
        <v>16</v>
      </c>
      <c r="F8" s="86"/>
      <c r="G8" s="87">
        <f>IF(D8="DATE",4,IF(D8="CHAR",E8,IF(D8="SMALLINT",2,IF(D8="INTEGER",4,IF(D8="TIMESTAMP",10,IF(D8="TIME",3,0))))))</f>
        <v>16</v>
      </c>
      <c r="H8" s="83" t="s">
        <v>149</v>
      </c>
      <c r="I8" s="83" t="s">
        <v>149</v>
      </c>
      <c r="J8" s="93"/>
      <c r="K8" s="271"/>
      <c r="L8" s="272"/>
      <c r="M8" s="273"/>
    </row>
    <row r="9" spans="1:16" ht="27.75" customHeight="1">
      <c r="A9" s="83">
        <f t="shared" si="0"/>
        <v>3</v>
      </c>
      <c r="B9" s="11" t="s">
        <v>1444</v>
      </c>
      <c r="C9" s="84" t="s">
        <v>1445</v>
      </c>
      <c r="D9" s="88" t="s">
        <v>150</v>
      </c>
      <c r="E9" s="85">
        <v>1</v>
      </c>
      <c r="F9" s="86"/>
      <c r="G9" s="87">
        <v>1</v>
      </c>
      <c r="H9" s="83" t="s">
        <v>149</v>
      </c>
      <c r="I9" s="83" t="s">
        <v>149</v>
      </c>
      <c r="J9" s="93"/>
      <c r="K9" s="271" t="s">
        <v>1446</v>
      </c>
      <c r="L9" s="272"/>
      <c r="M9" s="273"/>
    </row>
    <row r="10" spans="1:16" ht="12" customHeight="1">
      <c r="A10" s="83">
        <f t="shared" si="0"/>
        <v>4</v>
      </c>
      <c r="B10" s="21" t="s">
        <v>1430</v>
      </c>
      <c r="C10" s="84" t="s">
        <v>1431</v>
      </c>
      <c r="D10" s="88" t="s">
        <v>150</v>
      </c>
      <c r="E10" s="85">
        <v>10</v>
      </c>
      <c r="F10" s="86"/>
      <c r="G10" s="87">
        <f>IF(D10="DATE",4,IF(D10="CHAR",E10,IF(D10="SMALLINT",2,IF(D10="INTEGER",4,IF(D10="TIMESTAMP",10,IF(D10="TIME",3,0))))))</f>
        <v>10</v>
      </c>
      <c r="H10" s="83" t="s">
        <v>149</v>
      </c>
      <c r="I10" s="83"/>
      <c r="J10" s="93"/>
      <c r="K10" s="280" t="s">
        <v>1447</v>
      </c>
      <c r="L10" s="291"/>
      <c r="M10" s="292"/>
    </row>
    <row r="11" spans="1:16" ht="42" customHeight="1">
      <c r="A11" s="83">
        <f t="shared" si="0"/>
        <v>5</v>
      </c>
      <c r="B11" s="74" t="s">
        <v>1433</v>
      </c>
      <c r="C11" s="84" t="s">
        <v>1434</v>
      </c>
      <c r="D11" s="88" t="s">
        <v>161</v>
      </c>
      <c r="E11" s="85"/>
      <c r="F11" s="86"/>
      <c r="G11" s="87">
        <f>IF(D11="DATE",4,IF(D11="CHAR",E11,IF(D11="SMALLINT",2,IF(D11="INTEGER",4,IF(D11="TIMESTAMP",10,IF(D11="TIME",3,0))))))</f>
        <v>4</v>
      </c>
      <c r="H11" s="83" t="s">
        <v>149</v>
      </c>
      <c r="I11" s="83"/>
      <c r="J11" s="93"/>
      <c r="K11" s="280" t="s">
        <v>1448</v>
      </c>
      <c r="L11" s="291"/>
      <c r="M11" s="292"/>
    </row>
    <row r="12" spans="1:16" ht="42" customHeight="1">
      <c r="A12" s="83">
        <f t="shared" si="0"/>
        <v>6</v>
      </c>
      <c r="B12" s="11" t="s">
        <v>1449</v>
      </c>
      <c r="C12" s="84" t="s">
        <v>1450</v>
      </c>
      <c r="D12" s="88" t="s">
        <v>161</v>
      </c>
      <c r="E12" s="85"/>
      <c r="F12" s="86"/>
      <c r="G12" s="87">
        <f>IF(D12="DATE",4,IF(D12="CHAR",E12,IF(D12="SMALLINT",2,IF(D12="INTEGER",4,IF(D12="TIMESTAMP",10,IF(D12="TIME",3,0))))))</f>
        <v>4</v>
      </c>
      <c r="H12" s="83" t="s">
        <v>149</v>
      </c>
      <c r="I12" s="83"/>
      <c r="J12" s="93"/>
      <c r="K12" s="280" t="s">
        <v>1451</v>
      </c>
      <c r="L12" s="291"/>
      <c r="M12" s="292"/>
    </row>
    <row r="13" spans="1:16" ht="47.25" customHeight="1">
      <c r="A13" s="83">
        <f t="shared" si="0"/>
        <v>7</v>
      </c>
      <c r="B13" s="74" t="s">
        <v>1452</v>
      </c>
      <c r="C13" s="84" t="s">
        <v>1453</v>
      </c>
      <c r="D13" s="88" t="s">
        <v>161</v>
      </c>
      <c r="E13" s="85"/>
      <c r="F13" s="86"/>
      <c r="G13" s="87">
        <f>IF(D13="DATE",4,IF(D13="CHAR",E13,IF(D13="SMALLINT",2,IF(D13="INTEGER",4,IF(D13="TIMESTAMP",10,IF(D13="TIME",3,0))))))</f>
        <v>4</v>
      </c>
      <c r="H13" s="83" t="s">
        <v>149</v>
      </c>
      <c r="I13" s="83"/>
      <c r="J13" s="93"/>
      <c r="K13" s="271" t="s">
        <v>1454</v>
      </c>
      <c r="L13" s="272"/>
      <c r="M13" s="273"/>
    </row>
    <row r="14" spans="1:16">
      <c r="A14" s="83">
        <f t="shared" si="0"/>
        <v>8</v>
      </c>
      <c r="B14" s="74" t="s">
        <v>232</v>
      </c>
      <c r="C14" s="84" t="s">
        <v>233</v>
      </c>
      <c r="D14" s="88" t="s">
        <v>234</v>
      </c>
      <c r="E14" s="85"/>
      <c r="F14" s="86"/>
      <c r="G14" s="87">
        <f>IF(D14="DATE",4,IF(D14="CHAR",E14,IF(D14="SMALLINT",2,IF(D14="INTEGER",4,IF(D14="TIMESTAMP",10,IF(D14="TIME",3,0))))))</f>
        <v>10</v>
      </c>
      <c r="H14" s="83" t="s">
        <v>149</v>
      </c>
      <c r="I14" s="83"/>
      <c r="J14" s="93"/>
      <c r="K14" s="271"/>
      <c r="L14" s="272"/>
      <c r="M14" s="273"/>
    </row>
    <row r="15" spans="1:16">
      <c r="A15" s="83" t="str">
        <f t="shared" si="0"/>
        <v xml:space="preserve"> </v>
      </c>
      <c r="B15" s="74"/>
      <c r="C15" s="84"/>
      <c r="D15" s="88"/>
      <c r="E15" s="85"/>
      <c r="F15" s="86"/>
      <c r="G15" s="87"/>
      <c r="H15" s="83"/>
      <c r="I15" s="83"/>
      <c r="J15" s="93"/>
      <c r="K15" s="280"/>
      <c r="L15" s="291"/>
      <c r="M15" s="292"/>
    </row>
    <row r="16" spans="1:16" ht="11.25" customHeight="1">
      <c r="A16" s="83" t="str">
        <f t="shared" si="0"/>
        <v xml:space="preserve"> </v>
      </c>
      <c r="B16" s="74"/>
      <c r="C16" s="84"/>
      <c r="D16" s="88"/>
      <c r="E16" s="85"/>
      <c r="F16" s="86"/>
      <c r="G16" s="87"/>
      <c r="H16" s="83"/>
      <c r="I16" s="83"/>
      <c r="J16" s="93"/>
      <c r="K16" s="280"/>
      <c r="L16" s="291"/>
      <c r="M16" s="292"/>
    </row>
    <row r="17" spans="1:13">
      <c r="A17" s="83"/>
      <c r="B17" s="11"/>
      <c r="C17" s="84"/>
      <c r="D17" s="88"/>
      <c r="E17" s="85"/>
      <c r="F17" s="86"/>
      <c r="G17" s="87"/>
      <c r="H17" s="83"/>
      <c r="I17" s="83"/>
      <c r="J17" s="93"/>
      <c r="K17" s="280"/>
      <c r="L17" s="291"/>
      <c r="M17" s="292"/>
    </row>
    <row r="18" spans="1:13" ht="11.25" customHeight="1">
      <c r="A18" s="83"/>
      <c r="B18" s="20"/>
      <c r="C18" s="84"/>
      <c r="D18" s="88"/>
      <c r="E18" s="85"/>
      <c r="F18" s="86"/>
      <c r="G18" s="87"/>
      <c r="H18" s="83"/>
      <c r="I18" s="83"/>
      <c r="J18" s="93"/>
      <c r="K18" s="365"/>
      <c r="L18" s="366"/>
      <c r="M18" s="367"/>
    </row>
    <row r="19" spans="1:13">
      <c r="A19" s="83"/>
      <c r="B19" s="73"/>
      <c r="C19" s="84"/>
      <c r="D19" s="88"/>
      <c r="E19" s="85"/>
      <c r="F19" s="86"/>
      <c r="G19" s="87"/>
      <c r="H19" s="83"/>
      <c r="I19" s="83"/>
      <c r="J19" s="93"/>
      <c r="K19" s="280"/>
      <c r="L19" s="291"/>
      <c r="M19" s="292"/>
    </row>
    <row r="20" spans="1:13">
      <c r="A20" s="83"/>
      <c r="B20" s="73"/>
      <c r="C20" s="22"/>
      <c r="D20" s="30"/>
      <c r="E20" s="85"/>
      <c r="F20" s="86"/>
      <c r="G20" s="87"/>
      <c r="H20" s="83"/>
      <c r="I20" s="83"/>
      <c r="J20" s="93"/>
      <c r="K20" s="280"/>
      <c r="L20" s="291"/>
      <c r="M20" s="292"/>
    </row>
    <row r="21" spans="1:13" ht="11.25" customHeight="1">
      <c r="A21" s="83"/>
      <c r="B21" s="74"/>
      <c r="C21" s="84"/>
      <c r="D21" s="88"/>
      <c r="E21" s="85"/>
      <c r="F21" s="86"/>
      <c r="G21" s="87"/>
      <c r="H21" s="83"/>
      <c r="I21" s="83"/>
      <c r="J21" s="93"/>
      <c r="K21" s="271"/>
      <c r="L21" s="272"/>
      <c r="M21" s="273"/>
    </row>
    <row r="22" spans="1:13">
      <c r="A22" s="83"/>
      <c r="B22" s="11"/>
      <c r="C22" s="84"/>
      <c r="D22" s="88"/>
      <c r="E22" s="85"/>
      <c r="F22" s="86"/>
      <c r="G22" s="87"/>
      <c r="H22" s="83"/>
      <c r="I22" s="83"/>
      <c r="J22" s="93"/>
      <c r="K22" s="84"/>
      <c r="L22" s="94"/>
      <c r="M22" s="95"/>
    </row>
    <row r="23" spans="1:13">
      <c r="A23" s="83"/>
      <c r="B23" s="74"/>
      <c r="C23" s="84"/>
      <c r="D23" s="88"/>
      <c r="E23" s="85"/>
      <c r="F23" s="86"/>
      <c r="G23" s="87"/>
      <c r="H23" s="83"/>
      <c r="I23" s="83"/>
      <c r="J23" s="93"/>
      <c r="K23" s="280"/>
      <c r="L23" s="291"/>
      <c r="M23" s="292"/>
    </row>
    <row r="24" spans="1:13">
      <c r="A24" s="83"/>
      <c r="B24" s="11"/>
      <c r="C24" s="22"/>
      <c r="D24" s="30"/>
      <c r="E24" s="85"/>
      <c r="F24" s="86"/>
      <c r="G24" s="87"/>
      <c r="H24" s="83"/>
      <c r="I24" s="83"/>
      <c r="J24" s="93"/>
      <c r="K24" s="271"/>
      <c r="L24" s="272"/>
      <c r="M24" s="273"/>
    </row>
    <row r="25" spans="1:13">
      <c r="A25" s="83"/>
      <c r="B25" s="20"/>
      <c r="C25" s="110"/>
      <c r="D25" s="88"/>
      <c r="E25" s="85"/>
      <c r="F25" s="86"/>
      <c r="G25" s="87"/>
      <c r="H25" s="83"/>
      <c r="I25" s="83"/>
      <c r="J25" s="93"/>
      <c r="K25" s="274"/>
      <c r="L25" s="275"/>
      <c r="M25" s="276"/>
    </row>
    <row r="26" spans="1:13">
      <c r="A26" s="83"/>
      <c r="B26" s="74"/>
      <c r="C26" s="84"/>
      <c r="D26" s="88"/>
      <c r="E26" s="85"/>
      <c r="F26" s="86"/>
      <c r="G26" s="87"/>
      <c r="H26" s="83"/>
      <c r="I26" s="83"/>
      <c r="J26" s="93"/>
      <c r="K26" s="84"/>
      <c r="L26" s="94"/>
      <c r="M26" s="95"/>
    </row>
    <row r="27" spans="1:13">
      <c r="A27" s="83"/>
      <c r="B27" s="74"/>
      <c r="C27" s="84"/>
      <c r="D27" s="88"/>
      <c r="E27" s="85"/>
      <c r="F27" s="86"/>
      <c r="G27" s="87"/>
      <c r="H27" s="83"/>
      <c r="I27" s="83"/>
      <c r="J27" s="93"/>
      <c r="K27" s="271"/>
      <c r="L27" s="272"/>
      <c r="M27" s="273"/>
    </row>
    <row r="28" spans="1:13">
      <c r="A28" s="83"/>
      <c r="B28" s="74"/>
      <c r="C28" s="84"/>
      <c r="D28" s="88"/>
      <c r="E28" s="85"/>
      <c r="F28" s="86"/>
      <c r="G28" s="87"/>
      <c r="H28" s="83"/>
      <c r="I28" s="83"/>
      <c r="J28" s="93"/>
      <c r="K28" s="274"/>
      <c r="L28" s="275"/>
      <c r="M28" s="276"/>
    </row>
    <row r="29" spans="1:13">
      <c r="A29" s="83"/>
      <c r="B29" s="74"/>
      <c r="C29" s="84"/>
      <c r="D29" s="88"/>
      <c r="E29" s="85"/>
      <c r="F29" s="86"/>
      <c r="G29" s="87"/>
      <c r="H29" s="83"/>
      <c r="I29" s="83"/>
      <c r="J29" s="93"/>
      <c r="K29" s="271"/>
      <c r="L29" s="272"/>
      <c r="M29" s="273"/>
    </row>
    <row r="30" spans="1:13">
      <c r="A30" s="83"/>
      <c r="B30" s="11"/>
      <c r="C30" s="84"/>
      <c r="D30" s="88"/>
      <c r="E30" s="85"/>
      <c r="F30" s="86"/>
      <c r="G30" s="87"/>
      <c r="H30" s="83"/>
      <c r="I30" s="83"/>
      <c r="J30" s="93"/>
      <c r="K30" s="280"/>
      <c r="L30" s="291"/>
      <c r="M30" s="292"/>
    </row>
    <row r="31" spans="1:13">
      <c r="A31" s="83" t="str">
        <f>IF(B31=""," ",#REF!+1)</f>
        <v xml:space="preserve"> </v>
      </c>
      <c r="B31" s="74"/>
      <c r="C31" s="84"/>
      <c r="D31" s="88"/>
      <c r="E31" s="85"/>
      <c r="F31" s="86"/>
      <c r="G31" s="87"/>
      <c r="H31" s="83"/>
      <c r="I31" s="83"/>
      <c r="J31" s="93"/>
      <c r="K31" s="280"/>
      <c r="L31" s="291"/>
      <c r="M31" s="292"/>
    </row>
    <row r="32" spans="1:13">
      <c r="A32" s="83"/>
      <c r="B32" s="74"/>
      <c r="C32" s="84"/>
      <c r="D32" s="88"/>
      <c r="E32" s="85"/>
      <c r="F32" s="86"/>
      <c r="G32" s="87"/>
      <c r="H32" s="83"/>
      <c r="I32" s="83"/>
      <c r="J32" s="93"/>
      <c r="K32" s="280"/>
      <c r="L32" s="291"/>
      <c r="M32" s="292"/>
    </row>
    <row r="33" spans="1:13">
      <c r="A33" s="83" t="str">
        <f>IF(B33=""," ",A32+1)</f>
        <v xml:space="preserve"> </v>
      </c>
      <c r="B33" s="74"/>
      <c r="C33" s="84"/>
      <c r="D33" s="88"/>
      <c r="E33" s="85"/>
      <c r="F33" s="86"/>
      <c r="G33" s="87"/>
      <c r="H33" s="83"/>
      <c r="I33" s="83"/>
      <c r="J33" s="93"/>
      <c r="K33" s="280"/>
      <c r="L33" s="291"/>
      <c r="M33" s="292"/>
    </row>
    <row r="34" spans="1:13">
      <c r="A34" s="83" t="str">
        <f>IF(B34=""," ",#REF!+1)</f>
        <v xml:space="preserve"> </v>
      </c>
      <c r="B34" s="74"/>
      <c r="C34" s="84"/>
      <c r="D34" s="88"/>
      <c r="E34" s="85"/>
      <c r="F34" s="86"/>
      <c r="G34" s="87"/>
      <c r="H34" s="83"/>
      <c r="I34" s="83"/>
      <c r="J34" s="93"/>
      <c r="K34" s="280"/>
      <c r="L34" s="291"/>
      <c r="M34" s="292"/>
    </row>
    <row r="35" spans="1:13">
      <c r="A35" s="83" t="str">
        <f t="shared" ref="A35:A46" si="1">IF(B35=""," ",A34+1)</f>
        <v xml:space="preserve"> </v>
      </c>
      <c r="B35" s="74"/>
      <c r="C35" s="84"/>
      <c r="D35" s="88"/>
      <c r="E35" s="85"/>
      <c r="F35" s="86"/>
      <c r="G35" s="87"/>
      <c r="H35" s="83"/>
      <c r="I35" s="83"/>
      <c r="J35" s="93"/>
      <c r="K35" s="280"/>
      <c r="L35" s="291"/>
      <c r="M35" s="292"/>
    </row>
    <row r="36" spans="1:13">
      <c r="A36" s="83" t="str">
        <f t="shared" si="1"/>
        <v xml:space="preserve"> </v>
      </c>
      <c r="B36" s="74"/>
      <c r="C36" s="84"/>
      <c r="D36" s="88"/>
      <c r="E36" s="85"/>
      <c r="F36" s="86"/>
      <c r="G36" s="87"/>
      <c r="H36" s="83"/>
      <c r="I36" s="83"/>
      <c r="J36" s="93"/>
      <c r="K36" s="280"/>
      <c r="L36" s="291"/>
      <c r="M36" s="292"/>
    </row>
    <row r="37" spans="1:13" ht="11.25" customHeight="1">
      <c r="A37" s="83" t="str">
        <f t="shared" si="1"/>
        <v xml:space="preserve"> </v>
      </c>
      <c r="B37" s="74"/>
      <c r="C37" s="84"/>
      <c r="D37" s="88"/>
      <c r="E37" s="85"/>
      <c r="F37" s="86"/>
      <c r="G37" s="87"/>
      <c r="H37" s="83"/>
      <c r="I37" s="83"/>
      <c r="J37" s="93"/>
      <c r="K37" s="280"/>
      <c r="L37" s="291"/>
      <c r="M37" s="292"/>
    </row>
    <row r="38" spans="1:13">
      <c r="A38" s="83" t="str">
        <f t="shared" si="1"/>
        <v xml:space="preserve"> </v>
      </c>
      <c r="B38" s="74"/>
      <c r="C38" s="84"/>
      <c r="D38" s="88"/>
      <c r="E38" s="85"/>
      <c r="F38" s="86"/>
      <c r="G38" s="87"/>
      <c r="H38" s="83"/>
      <c r="I38" s="83"/>
      <c r="J38" s="93"/>
      <c r="K38" s="280"/>
      <c r="L38" s="291"/>
      <c r="M38" s="292"/>
    </row>
    <row r="39" spans="1:13">
      <c r="A39" s="83" t="str">
        <f t="shared" si="1"/>
        <v xml:space="preserve"> </v>
      </c>
      <c r="B39" s="74"/>
      <c r="C39" s="84"/>
      <c r="D39" s="88"/>
      <c r="E39" s="85"/>
      <c r="F39" s="86"/>
      <c r="G39" s="87"/>
      <c r="H39" s="83"/>
      <c r="I39" s="83"/>
      <c r="J39" s="93"/>
      <c r="K39" s="280"/>
      <c r="L39" s="291"/>
      <c r="M39" s="292"/>
    </row>
    <row r="40" spans="1:13">
      <c r="A40" s="83" t="str">
        <f t="shared" si="1"/>
        <v xml:space="preserve"> </v>
      </c>
      <c r="B40" s="74"/>
      <c r="C40" s="84"/>
      <c r="D40" s="88"/>
      <c r="E40" s="85"/>
      <c r="F40" s="86"/>
      <c r="G40" s="87"/>
      <c r="H40" s="83"/>
      <c r="I40" s="83"/>
      <c r="J40" s="93"/>
      <c r="K40" s="280"/>
      <c r="L40" s="291"/>
      <c r="M40" s="292"/>
    </row>
    <row r="41" spans="1:13">
      <c r="A41" s="83" t="str">
        <f t="shared" si="1"/>
        <v xml:space="preserve"> </v>
      </c>
      <c r="B41" s="74"/>
      <c r="C41" s="84"/>
      <c r="D41" s="88"/>
      <c r="E41" s="85"/>
      <c r="F41" s="86"/>
      <c r="G41" s="87"/>
      <c r="H41" s="83"/>
      <c r="I41" s="83"/>
      <c r="J41" s="93"/>
      <c r="K41" s="280"/>
      <c r="L41" s="291"/>
      <c r="M41" s="292"/>
    </row>
    <row r="42" spans="1:13">
      <c r="A42" s="83" t="str">
        <f t="shared" si="1"/>
        <v xml:space="preserve"> </v>
      </c>
      <c r="B42" s="74"/>
      <c r="C42" s="84"/>
      <c r="D42" s="88"/>
      <c r="E42" s="85"/>
      <c r="F42" s="86"/>
      <c r="G42" s="87"/>
      <c r="H42" s="83"/>
      <c r="I42" s="83"/>
      <c r="J42" s="93"/>
      <c r="K42" s="96"/>
      <c r="L42" s="97"/>
      <c r="M42" s="98"/>
    </row>
    <row r="43" spans="1:13">
      <c r="A43" s="83" t="str">
        <f t="shared" si="1"/>
        <v xml:space="preserve"> </v>
      </c>
      <c r="B43" s="74"/>
      <c r="C43" s="84"/>
      <c r="D43" s="88"/>
      <c r="E43" s="85"/>
      <c r="F43" s="86"/>
      <c r="G43" s="87"/>
      <c r="H43" s="83"/>
      <c r="I43" s="83"/>
      <c r="J43" s="93"/>
      <c r="K43" s="84"/>
      <c r="L43" s="94"/>
      <c r="M43" s="95"/>
    </row>
    <row r="44" spans="1:13">
      <c r="A44" s="83" t="str">
        <f t="shared" si="1"/>
        <v xml:space="preserve"> </v>
      </c>
      <c r="B44" s="11"/>
      <c r="C44" s="84"/>
      <c r="D44" s="88"/>
      <c r="E44" s="85"/>
      <c r="F44" s="86"/>
      <c r="G44" s="87"/>
      <c r="H44" s="83"/>
      <c r="I44" s="83"/>
      <c r="J44" s="93"/>
      <c r="K44" s="84"/>
      <c r="L44" s="94"/>
      <c r="M44" s="95"/>
    </row>
    <row r="45" spans="1:13">
      <c r="A45" s="83" t="str">
        <f t="shared" si="1"/>
        <v xml:space="preserve"> </v>
      </c>
      <c r="B45" s="73"/>
      <c r="C45" s="22"/>
      <c r="D45" s="30"/>
      <c r="E45" s="85"/>
      <c r="F45" s="86"/>
      <c r="G45" s="87"/>
      <c r="H45" s="83"/>
      <c r="I45" s="83"/>
      <c r="J45" s="93"/>
      <c r="K45" s="84"/>
      <c r="L45" s="94"/>
      <c r="M45" s="95"/>
    </row>
    <row r="46" spans="1:13">
      <c r="A46" s="83" t="str">
        <f t="shared" si="1"/>
        <v xml:space="preserve"> </v>
      </c>
      <c r="B46" s="74"/>
      <c r="C46" s="84"/>
      <c r="D46" s="88"/>
      <c r="E46" s="85"/>
      <c r="F46" s="86"/>
      <c r="G46" s="87"/>
      <c r="H46" s="83"/>
      <c r="I46" s="83"/>
      <c r="J46" s="93"/>
      <c r="K46" s="84"/>
      <c r="L46" s="94"/>
      <c r="M46" s="95"/>
    </row>
    <row r="47" spans="1:13" ht="11.25" customHeight="1">
      <c r="A47" s="83"/>
      <c r="B47" s="74"/>
      <c r="C47" s="84"/>
      <c r="D47" s="88"/>
      <c r="E47" s="85"/>
      <c r="F47" s="86"/>
      <c r="G47" s="87"/>
      <c r="H47" s="83"/>
      <c r="I47" s="83"/>
      <c r="J47" s="93"/>
      <c r="K47" s="274"/>
      <c r="L47" s="275"/>
      <c r="M47" s="276"/>
    </row>
    <row r="48" spans="1:13">
      <c r="A48" s="83"/>
      <c r="B48" s="11"/>
      <c r="C48" s="84"/>
      <c r="D48" s="88"/>
      <c r="E48" s="85"/>
      <c r="F48" s="86"/>
      <c r="G48" s="87"/>
      <c r="H48" s="83"/>
      <c r="I48" s="83"/>
      <c r="J48" s="93"/>
      <c r="K48" s="274"/>
      <c r="L48" s="275"/>
      <c r="M48" s="276"/>
    </row>
    <row r="49" spans="1:13" ht="11.25" customHeight="1">
      <c r="A49" s="83"/>
      <c r="B49" s="20"/>
      <c r="C49" s="84"/>
      <c r="D49" s="88"/>
      <c r="E49" s="85"/>
      <c r="F49" s="86"/>
      <c r="G49" s="87"/>
      <c r="H49" s="83"/>
      <c r="I49" s="83"/>
      <c r="J49" s="93"/>
      <c r="K49" s="125"/>
      <c r="L49" s="126"/>
      <c r="M49" s="127"/>
    </row>
    <row r="50" spans="1:13">
      <c r="A50" s="83"/>
      <c r="B50" s="73"/>
      <c r="C50" s="84"/>
      <c r="D50" s="88"/>
      <c r="E50" s="85"/>
      <c r="F50" s="86"/>
      <c r="G50" s="87"/>
      <c r="H50" s="83"/>
      <c r="I50" s="83"/>
      <c r="J50" s="93"/>
      <c r="K50" s="280"/>
      <c r="L50" s="291"/>
      <c r="M50" s="292"/>
    </row>
    <row r="51" spans="1:13">
      <c r="A51" s="83"/>
      <c r="B51" s="73"/>
      <c r="C51" s="22"/>
      <c r="D51" s="30"/>
      <c r="E51" s="85"/>
      <c r="F51" s="86"/>
      <c r="G51" s="87"/>
      <c r="H51" s="83"/>
      <c r="I51" s="83"/>
      <c r="J51" s="93"/>
      <c r="K51" s="274"/>
      <c r="L51" s="275"/>
      <c r="M51" s="276"/>
    </row>
    <row r="52" spans="1:13" ht="11.25" customHeight="1">
      <c r="A52" s="83"/>
      <c r="B52" s="74"/>
      <c r="C52" s="84"/>
      <c r="D52" s="88"/>
      <c r="E52" s="85"/>
      <c r="F52" s="86"/>
      <c r="G52" s="87"/>
      <c r="H52" s="83"/>
      <c r="I52" s="83"/>
      <c r="J52" s="93"/>
      <c r="K52" s="271"/>
      <c r="L52" s="272"/>
      <c r="M52" s="273"/>
    </row>
    <row r="53" spans="1:13">
      <c r="A53" s="83"/>
      <c r="B53" s="11"/>
      <c r="C53" s="84"/>
      <c r="D53" s="88"/>
      <c r="E53" s="85"/>
      <c r="F53" s="86"/>
      <c r="G53" s="87"/>
      <c r="H53" s="83"/>
      <c r="I53" s="83"/>
      <c r="J53" s="93"/>
      <c r="K53" s="84"/>
      <c r="L53" s="94"/>
      <c r="M53" s="95"/>
    </row>
    <row r="54" spans="1:13">
      <c r="A54" s="83"/>
      <c r="B54" s="74"/>
      <c r="C54" s="84"/>
      <c r="D54" s="88"/>
      <c r="E54" s="85"/>
      <c r="F54" s="86"/>
      <c r="G54" s="87"/>
      <c r="H54" s="83"/>
      <c r="I54" s="83"/>
      <c r="J54" s="93"/>
      <c r="K54" s="280"/>
      <c r="L54" s="291"/>
      <c r="M54" s="292"/>
    </row>
    <row r="55" spans="1:13">
      <c r="A55" s="83"/>
      <c r="B55" s="11"/>
      <c r="C55" s="22"/>
      <c r="D55" s="30"/>
      <c r="E55" s="85"/>
      <c r="F55" s="86"/>
      <c r="G55" s="87"/>
      <c r="H55" s="83"/>
      <c r="I55" s="83"/>
      <c r="J55" s="93"/>
      <c r="K55" s="271"/>
      <c r="L55" s="272"/>
      <c r="M55" s="273"/>
    </row>
    <row r="56" spans="1:13">
      <c r="A56" s="83"/>
      <c r="B56" s="20"/>
      <c r="C56" s="110"/>
      <c r="D56" s="88"/>
      <c r="E56" s="85"/>
      <c r="F56" s="86"/>
      <c r="G56" s="87"/>
      <c r="H56" s="83"/>
      <c r="I56" s="83"/>
      <c r="J56" s="93"/>
      <c r="K56" s="274"/>
      <c r="L56" s="275"/>
      <c r="M56" s="276"/>
    </row>
    <row r="57" spans="1:13">
      <c r="A57" s="83"/>
      <c r="B57" s="74"/>
      <c r="C57" s="84"/>
      <c r="D57" s="88"/>
      <c r="E57" s="85"/>
      <c r="F57" s="86"/>
      <c r="G57" s="87"/>
      <c r="H57" s="83"/>
      <c r="I57" s="83"/>
      <c r="J57" s="93"/>
      <c r="K57" s="84"/>
      <c r="L57" s="94"/>
      <c r="M57" s="95"/>
    </row>
    <row r="58" spans="1:13">
      <c r="A58" s="83"/>
      <c r="B58" s="74"/>
      <c r="C58" s="84"/>
      <c r="D58" s="88"/>
      <c r="E58" s="85"/>
      <c r="F58" s="86"/>
      <c r="G58" s="87"/>
      <c r="H58" s="83"/>
      <c r="I58" s="83"/>
      <c r="J58" s="93"/>
      <c r="K58" s="271"/>
      <c r="L58" s="272"/>
      <c r="M58" s="273"/>
    </row>
    <row r="59" spans="1:13">
      <c r="A59" s="83"/>
      <c r="B59" s="74"/>
      <c r="C59" s="84"/>
      <c r="D59" s="88"/>
      <c r="E59" s="85"/>
      <c r="F59" s="86"/>
      <c r="G59" s="87"/>
      <c r="H59" s="83"/>
      <c r="I59" s="83"/>
      <c r="J59" s="93"/>
      <c r="K59" s="274"/>
      <c r="L59" s="275"/>
      <c r="M59" s="276"/>
    </row>
    <row r="60" spans="1:13">
      <c r="A60" s="83"/>
      <c r="B60" s="74"/>
      <c r="C60" s="84"/>
      <c r="D60" s="88"/>
      <c r="E60" s="85"/>
      <c r="F60" s="86"/>
      <c r="G60" s="87"/>
      <c r="H60" s="83"/>
      <c r="I60" s="83"/>
      <c r="J60" s="93"/>
      <c r="K60" s="271"/>
      <c r="L60" s="272"/>
      <c r="M60" s="273"/>
    </row>
    <row r="61" spans="1:13">
      <c r="A61" s="83"/>
      <c r="B61" s="11"/>
      <c r="C61" s="84"/>
      <c r="D61" s="88"/>
      <c r="E61" s="85"/>
      <c r="F61" s="86"/>
      <c r="G61" s="87"/>
      <c r="H61" s="83"/>
      <c r="I61" s="83"/>
      <c r="J61" s="93"/>
      <c r="K61" s="280"/>
      <c r="L61" s="291"/>
      <c r="M61" s="292"/>
    </row>
    <row r="62" spans="1:13">
      <c r="A62" s="83" t="str">
        <f>IF(B62=""," ",#REF!+1)</f>
        <v xml:space="preserve"> </v>
      </c>
      <c r="B62" s="74"/>
      <c r="C62" s="84"/>
      <c r="D62" s="88"/>
      <c r="E62" s="85"/>
      <c r="F62" s="86"/>
      <c r="G62" s="87"/>
      <c r="H62" s="83"/>
      <c r="I62" s="83"/>
      <c r="J62" s="93"/>
      <c r="K62" s="280"/>
      <c r="L62" s="291"/>
      <c r="M62" s="292"/>
    </row>
    <row r="63" spans="1:13">
      <c r="A63" s="83"/>
      <c r="B63" s="74"/>
      <c r="C63" s="84"/>
      <c r="D63" s="88"/>
      <c r="E63" s="85"/>
      <c r="F63" s="86"/>
      <c r="G63" s="87"/>
      <c r="H63" s="83"/>
      <c r="I63" s="83"/>
      <c r="J63" s="93"/>
      <c r="K63" s="280"/>
      <c r="L63" s="291"/>
      <c r="M63" s="292"/>
    </row>
    <row r="64" spans="1:13">
      <c r="A64" s="83" t="str">
        <f>IF(B64=""," ",A63+1)</f>
        <v xml:space="preserve"> </v>
      </c>
      <c r="B64" s="74"/>
      <c r="C64" s="84"/>
      <c r="D64" s="88"/>
      <c r="E64" s="85"/>
      <c r="F64" s="86"/>
      <c r="G64" s="87"/>
      <c r="H64" s="83"/>
      <c r="I64" s="83"/>
      <c r="J64" s="93"/>
      <c r="K64" s="280"/>
      <c r="L64" s="291"/>
      <c r="M64" s="292"/>
    </row>
    <row r="65" spans="1:13">
      <c r="A65" s="83" t="str">
        <f>IF(B65=""," ",#REF!+1)</f>
        <v xml:space="preserve"> </v>
      </c>
      <c r="B65" s="74"/>
      <c r="C65" s="84"/>
      <c r="D65" s="88"/>
      <c r="E65" s="85"/>
      <c r="F65" s="86"/>
      <c r="G65" s="87"/>
      <c r="H65" s="83"/>
      <c r="I65" s="83"/>
      <c r="J65" s="93"/>
      <c r="K65" s="280"/>
      <c r="L65" s="291"/>
      <c r="M65" s="292"/>
    </row>
    <row r="66" spans="1:13">
      <c r="A66" s="83" t="str">
        <f t="shared" ref="A66:A77" si="2">IF(B66=""," ",A65+1)</f>
        <v xml:space="preserve"> </v>
      </c>
      <c r="B66" s="74"/>
      <c r="C66" s="84"/>
      <c r="D66" s="88"/>
      <c r="E66" s="85"/>
      <c r="F66" s="86"/>
      <c r="G66" s="87"/>
      <c r="H66" s="83"/>
      <c r="I66" s="83"/>
      <c r="J66" s="93"/>
      <c r="K66" s="280"/>
      <c r="L66" s="291"/>
      <c r="M66" s="292"/>
    </row>
    <row r="67" spans="1:13">
      <c r="A67" s="83" t="str">
        <f t="shared" si="2"/>
        <v xml:space="preserve"> </v>
      </c>
      <c r="B67" s="74"/>
      <c r="C67" s="84"/>
      <c r="D67" s="88"/>
      <c r="E67" s="85"/>
      <c r="F67" s="86"/>
      <c r="G67" s="87"/>
      <c r="H67" s="83"/>
      <c r="I67" s="83"/>
      <c r="J67" s="93"/>
      <c r="K67" s="280"/>
      <c r="L67" s="291"/>
      <c r="M67" s="292"/>
    </row>
    <row r="68" spans="1:13" ht="11.25" customHeight="1">
      <c r="A68" s="83" t="str">
        <f t="shared" si="2"/>
        <v xml:space="preserve"> </v>
      </c>
      <c r="B68" s="74"/>
      <c r="C68" s="84"/>
      <c r="D68" s="88"/>
      <c r="E68" s="85"/>
      <c r="F68" s="86"/>
      <c r="G68" s="87"/>
      <c r="H68" s="83"/>
      <c r="I68" s="83"/>
      <c r="J68" s="93"/>
      <c r="K68" s="280"/>
      <c r="L68" s="291"/>
      <c r="M68" s="292"/>
    </row>
    <row r="69" spans="1:13">
      <c r="A69" s="83" t="str">
        <f t="shared" si="2"/>
        <v xml:space="preserve"> </v>
      </c>
      <c r="B69" s="74"/>
      <c r="C69" s="84"/>
      <c r="D69" s="88"/>
      <c r="E69" s="85"/>
      <c r="F69" s="86"/>
      <c r="G69" s="87"/>
      <c r="H69" s="83"/>
      <c r="I69" s="83"/>
      <c r="J69" s="93"/>
      <c r="K69" s="280"/>
      <c r="L69" s="291"/>
      <c r="M69" s="292"/>
    </row>
    <row r="70" spans="1:13">
      <c r="A70" s="83" t="str">
        <f t="shared" si="2"/>
        <v xml:space="preserve"> </v>
      </c>
      <c r="B70" s="74"/>
      <c r="C70" s="84"/>
      <c r="D70" s="88"/>
      <c r="E70" s="85"/>
      <c r="F70" s="86"/>
      <c r="G70" s="87"/>
      <c r="H70" s="83"/>
      <c r="I70" s="83"/>
      <c r="J70" s="93"/>
      <c r="K70" s="280"/>
      <c r="L70" s="291"/>
      <c r="M70" s="292"/>
    </row>
    <row r="71" spans="1:13">
      <c r="A71" s="83" t="str">
        <f t="shared" si="2"/>
        <v xml:space="preserve"> </v>
      </c>
      <c r="B71" s="74"/>
      <c r="C71" s="84"/>
      <c r="D71" s="88"/>
      <c r="E71" s="85"/>
      <c r="F71" s="86"/>
      <c r="G71" s="87"/>
      <c r="H71" s="83"/>
      <c r="I71" s="83"/>
      <c r="J71" s="93"/>
      <c r="K71" s="280"/>
      <c r="L71" s="291"/>
      <c r="M71" s="292"/>
    </row>
    <row r="72" spans="1:13">
      <c r="A72" s="83" t="str">
        <f t="shared" si="2"/>
        <v xml:space="preserve"> </v>
      </c>
      <c r="B72" s="74"/>
      <c r="C72" s="84"/>
      <c r="D72" s="88"/>
      <c r="E72" s="85"/>
      <c r="F72" s="86"/>
      <c r="G72" s="87"/>
      <c r="H72" s="83"/>
      <c r="I72" s="83"/>
      <c r="J72" s="93"/>
      <c r="K72" s="280"/>
      <c r="L72" s="291"/>
      <c r="M72" s="292"/>
    </row>
    <row r="73" spans="1:13">
      <c r="A73" s="83" t="str">
        <f t="shared" si="2"/>
        <v xml:space="preserve"> </v>
      </c>
      <c r="B73" s="74"/>
      <c r="C73" s="84"/>
      <c r="D73" s="88"/>
      <c r="E73" s="85"/>
      <c r="F73" s="86"/>
      <c r="G73" s="87"/>
      <c r="H73" s="83"/>
      <c r="I73" s="83"/>
      <c r="J73" s="93"/>
      <c r="K73" s="96"/>
      <c r="L73" s="97"/>
      <c r="M73" s="98"/>
    </row>
    <row r="74" spans="1:13">
      <c r="A74" s="83" t="str">
        <f t="shared" si="2"/>
        <v xml:space="preserve"> </v>
      </c>
      <c r="B74" s="74"/>
      <c r="C74" s="84"/>
      <c r="D74" s="88"/>
      <c r="E74" s="85"/>
      <c r="F74" s="86"/>
      <c r="G74" s="87"/>
      <c r="H74" s="83"/>
      <c r="I74" s="83"/>
      <c r="J74" s="93"/>
      <c r="K74" s="84"/>
      <c r="L74" s="94"/>
      <c r="M74" s="95"/>
    </row>
    <row r="75" spans="1:13">
      <c r="A75" s="83" t="str">
        <f t="shared" si="2"/>
        <v xml:space="preserve"> </v>
      </c>
      <c r="B75" s="11"/>
      <c r="C75" s="84"/>
      <c r="D75" s="88"/>
      <c r="E75" s="85"/>
      <c r="F75" s="86"/>
      <c r="G75" s="87"/>
      <c r="H75" s="83"/>
      <c r="I75" s="83"/>
      <c r="J75" s="93"/>
      <c r="K75" s="84"/>
      <c r="L75" s="94"/>
      <c r="M75" s="95"/>
    </row>
    <row r="76" spans="1:13">
      <c r="A76" s="83" t="str">
        <f t="shared" si="2"/>
        <v xml:space="preserve"> </v>
      </c>
      <c r="B76" s="73"/>
      <c r="C76" s="22"/>
      <c r="D76" s="30"/>
      <c r="E76" s="85"/>
      <c r="F76" s="86"/>
      <c r="G76" s="87"/>
      <c r="H76" s="83"/>
      <c r="I76" s="83"/>
      <c r="J76" s="93"/>
      <c r="K76" s="84"/>
      <c r="L76" s="94"/>
      <c r="M76" s="95"/>
    </row>
    <row r="77" spans="1:13">
      <c r="A77" s="83" t="str">
        <f t="shared" si="2"/>
        <v xml:space="preserve"> </v>
      </c>
      <c r="B77" s="74"/>
      <c r="C77" s="84"/>
      <c r="D77" s="88"/>
      <c r="E77" s="85"/>
      <c r="F77" s="86"/>
      <c r="G77" s="87"/>
      <c r="H77" s="83"/>
      <c r="I77" s="83"/>
      <c r="J77" s="93"/>
      <c r="K77" s="84"/>
      <c r="L77" s="94"/>
      <c r="M77" s="95"/>
    </row>
    <row r="78" spans="1:13" ht="11.25" customHeight="1">
      <c r="A78" s="83"/>
      <c r="B78" s="74"/>
      <c r="C78" s="84"/>
      <c r="D78" s="88"/>
      <c r="E78" s="85"/>
      <c r="F78" s="86"/>
      <c r="G78" s="87"/>
      <c r="H78" s="83"/>
      <c r="I78" s="83"/>
      <c r="J78" s="93"/>
      <c r="K78" s="274"/>
      <c r="L78" s="275"/>
      <c r="M78" s="276"/>
    </row>
    <row r="79" spans="1:13">
      <c r="A79" s="83"/>
      <c r="B79" s="11"/>
      <c r="C79" s="84"/>
      <c r="D79" s="88"/>
      <c r="E79" s="85"/>
      <c r="F79" s="86"/>
      <c r="G79" s="87"/>
      <c r="H79" s="83"/>
      <c r="I79" s="83"/>
      <c r="J79" s="93"/>
      <c r="K79" s="274"/>
      <c r="L79" s="275"/>
      <c r="M79" s="276"/>
    </row>
    <row r="80" spans="1:13" ht="11.25" customHeight="1">
      <c r="A80" s="83"/>
      <c r="B80" s="20"/>
      <c r="C80" s="84"/>
      <c r="D80" s="88"/>
      <c r="E80" s="85"/>
      <c r="F80" s="86"/>
      <c r="G80" s="87"/>
      <c r="H80" s="83"/>
      <c r="I80" s="83"/>
      <c r="J80" s="93"/>
      <c r="K80" s="125"/>
      <c r="L80" s="126"/>
      <c r="M80" s="127"/>
    </row>
    <row r="81" spans="1:13">
      <c r="A81" s="83"/>
      <c r="B81" s="73"/>
      <c r="C81" s="84"/>
      <c r="D81" s="88"/>
      <c r="E81" s="85"/>
      <c r="F81" s="86"/>
      <c r="G81" s="87"/>
      <c r="H81" s="83"/>
      <c r="I81" s="83"/>
      <c r="J81" s="93"/>
      <c r="K81" s="280"/>
      <c r="L81" s="291"/>
      <c r="M81" s="292"/>
    </row>
    <row r="82" spans="1:13">
      <c r="A82" s="83"/>
      <c r="B82" s="73"/>
      <c r="C82" s="22"/>
      <c r="D82" s="30"/>
      <c r="E82" s="85"/>
      <c r="F82" s="86"/>
      <c r="G82" s="87"/>
      <c r="H82" s="83"/>
      <c r="I82" s="83"/>
      <c r="J82" s="93"/>
      <c r="K82" s="274"/>
      <c r="L82" s="275"/>
      <c r="M82" s="276"/>
    </row>
    <row r="83" spans="1:13" ht="11.25" customHeight="1">
      <c r="A83" s="83"/>
      <c r="B83" s="74"/>
      <c r="C83" s="84"/>
      <c r="D83" s="88"/>
      <c r="E83" s="85"/>
      <c r="F83" s="86"/>
      <c r="G83" s="87"/>
      <c r="H83" s="83"/>
      <c r="I83" s="83"/>
      <c r="J83" s="93"/>
      <c r="K83" s="271"/>
      <c r="L83" s="272"/>
      <c r="M83" s="273"/>
    </row>
    <row r="84" spans="1:13">
      <c r="A84" s="83"/>
      <c r="B84" s="11"/>
      <c r="C84" s="84"/>
      <c r="D84" s="88"/>
      <c r="E84" s="85"/>
      <c r="F84" s="86"/>
      <c r="G84" s="87"/>
      <c r="H84" s="83"/>
      <c r="I84" s="83"/>
      <c r="J84" s="93"/>
      <c r="K84" s="84"/>
      <c r="L84" s="94"/>
      <c r="M84" s="95"/>
    </row>
    <row r="85" spans="1:13">
      <c r="A85" s="83"/>
      <c r="B85" s="74"/>
      <c r="C85" s="84"/>
      <c r="D85" s="88"/>
      <c r="E85" s="85"/>
      <c r="F85" s="86"/>
      <c r="G85" s="87"/>
      <c r="H85" s="83"/>
      <c r="I85" s="83"/>
      <c r="J85" s="93"/>
      <c r="K85" s="280"/>
      <c r="L85" s="291"/>
      <c r="M85" s="292"/>
    </row>
    <row r="86" spans="1:13">
      <c r="A86" s="83"/>
      <c r="B86" s="11"/>
      <c r="C86" s="22"/>
      <c r="D86" s="30"/>
      <c r="E86" s="85"/>
      <c r="F86" s="86"/>
      <c r="G86" s="87"/>
      <c r="H86" s="83"/>
      <c r="I86" s="83"/>
      <c r="J86" s="93"/>
      <c r="K86" s="271"/>
      <c r="L86" s="272"/>
      <c r="M86" s="273"/>
    </row>
    <row r="87" spans="1:13">
      <c r="A87" s="83"/>
      <c r="B87" s="20"/>
      <c r="C87" s="110"/>
      <c r="D87" s="88"/>
      <c r="E87" s="85"/>
      <c r="F87" s="86"/>
      <c r="G87" s="87"/>
      <c r="H87" s="83"/>
      <c r="I87" s="83"/>
      <c r="J87" s="93"/>
      <c r="K87" s="274"/>
      <c r="L87" s="275"/>
      <c r="M87" s="276"/>
    </row>
    <row r="88" spans="1:13">
      <c r="A88" s="83"/>
      <c r="B88" s="74"/>
      <c r="C88" s="84"/>
      <c r="D88" s="88"/>
      <c r="E88" s="85"/>
      <c r="F88" s="86"/>
      <c r="G88" s="87"/>
      <c r="H88" s="83"/>
      <c r="I88" s="83"/>
      <c r="J88" s="93"/>
      <c r="K88" s="84"/>
      <c r="L88" s="94"/>
      <c r="M88" s="95"/>
    </row>
    <row r="89" spans="1:13">
      <c r="A89" s="83"/>
      <c r="B89" s="74"/>
      <c r="C89" s="84"/>
      <c r="D89" s="88"/>
      <c r="E89" s="85"/>
      <c r="F89" s="86"/>
      <c r="G89" s="87"/>
      <c r="H89" s="83"/>
      <c r="I89" s="83"/>
      <c r="J89" s="93"/>
      <c r="K89" s="271"/>
      <c r="L89" s="272"/>
      <c r="M89" s="273"/>
    </row>
    <row r="90" spans="1:13">
      <c r="A90" s="83"/>
      <c r="B90" s="74"/>
      <c r="C90" s="84"/>
      <c r="D90" s="88"/>
      <c r="E90" s="85"/>
      <c r="F90" s="86"/>
      <c r="G90" s="87"/>
      <c r="H90" s="83"/>
      <c r="I90" s="83"/>
      <c r="J90" s="93"/>
      <c r="K90" s="274"/>
      <c r="L90" s="275"/>
      <c r="M90" s="276"/>
    </row>
    <row r="91" spans="1:13">
      <c r="A91" s="83"/>
      <c r="B91" s="74"/>
      <c r="C91" s="84"/>
      <c r="D91" s="88"/>
      <c r="E91" s="85"/>
      <c r="F91" s="86"/>
      <c r="G91" s="87"/>
      <c r="H91" s="83"/>
      <c r="I91" s="83"/>
      <c r="J91" s="93"/>
      <c r="K91" s="271"/>
      <c r="L91" s="272"/>
      <c r="M91" s="273"/>
    </row>
    <row r="92" spans="1:13">
      <c r="A92" s="83"/>
      <c r="B92" s="11"/>
      <c r="C92" s="84"/>
      <c r="D92" s="88"/>
      <c r="E92" s="85"/>
      <c r="F92" s="86"/>
      <c r="G92" s="87"/>
      <c r="H92" s="83"/>
      <c r="I92" s="83"/>
      <c r="J92" s="93"/>
      <c r="K92" s="280"/>
      <c r="L92" s="291"/>
      <c r="M92" s="292"/>
    </row>
    <row r="93" spans="1:13">
      <c r="A93" s="83" t="str">
        <f>IF(B93=""," ",#REF!+1)</f>
        <v xml:space="preserve"> </v>
      </c>
      <c r="B93" s="74"/>
      <c r="C93" s="84"/>
      <c r="D93" s="88"/>
      <c r="E93" s="85"/>
      <c r="F93" s="86"/>
      <c r="G93" s="87"/>
      <c r="H93" s="83"/>
      <c r="I93" s="83"/>
      <c r="J93" s="93"/>
      <c r="K93" s="280"/>
      <c r="L93" s="291"/>
      <c r="M93" s="292"/>
    </row>
    <row r="94" spans="1:13">
      <c r="A94" s="83"/>
      <c r="B94" s="74"/>
      <c r="C94" s="84"/>
      <c r="D94" s="88"/>
      <c r="E94" s="85"/>
      <c r="F94" s="86"/>
      <c r="G94" s="87"/>
      <c r="H94" s="83"/>
      <c r="I94" s="83"/>
      <c r="J94" s="93"/>
      <c r="K94" s="280"/>
      <c r="L94" s="291"/>
      <c r="M94" s="292"/>
    </row>
    <row r="95" spans="1:13">
      <c r="A95" s="83" t="str">
        <f>IF(B95=""," ",A94+1)</f>
        <v xml:space="preserve"> </v>
      </c>
      <c r="B95" s="74"/>
      <c r="C95" s="84"/>
      <c r="D95" s="88"/>
      <c r="E95" s="85"/>
      <c r="F95" s="86"/>
      <c r="G95" s="87"/>
      <c r="H95" s="83"/>
      <c r="I95" s="83"/>
      <c r="J95" s="93"/>
      <c r="K95" s="280"/>
      <c r="L95" s="291"/>
      <c r="M95" s="292"/>
    </row>
    <row r="96" spans="1:13">
      <c r="A96" s="83" t="str">
        <f>IF(B96=""," ",#REF!+1)</f>
        <v xml:space="preserve"> </v>
      </c>
      <c r="B96" s="74"/>
      <c r="C96" s="84"/>
      <c r="D96" s="88"/>
      <c r="E96" s="85"/>
      <c r="F96" s="86"/>
      <c r="G96" s="87"/>
      <c r="H96" s="83"/>
      <c r="I96" s="83"/>
      <c r="J96" s="93"/>
      <c r="K96" s="280"/>
      <c r="L96" s="291"/>
      <c r="M96" s="292"/>
    </row>
    <row r="97" spans="1:13">
      <c r="A97" s="83" t="str">
        <f>IF(B97=""," ",A96+1)</f>
        <v xml:space="preserve"> </v>
      </c>
      <c r="B97" s="74"/>
      <c r="C97" s="84"/>
      <c r="D97" s="88"/>
      <c r="E97" s="85"/>
      <c r="F97" s="86"/>
      <c r="G97" s="87"/>
      <c r="H97" s="83"/>
      <c r="I97" s="83"/>
      <c r="J97" s="93"/>
      <c r="K97" s="280"/>
      <c r="L97" s="291"/>
      <c r="M97" s="292"/>
    </row>
    <row r="98" spans="1:13">
      <c r="A98" s="83" t="str">
        <f>IF(B98=""," ",A97+1)</f>
        <v xml:space="preserve"> </v>
      </c>
      <c r="B98" s="74"/>
      <c r="C98" s="84"/>
      <c r="D98" s="88"/>
      <c r="E98" s="85"/>
      <c r="F98" s="86"/>
      <c r="G98" s="87"/>
      <c r="H98" s="83"/>
      <c r="I98" s="83"/>
      <c r="J98" s="93"/>
      <c r="K98" s="280"/>
      <c r="L98" s="291"/>
      <c r="M98" s="292"/>
    </row>
    <row r="99" spans="1:13" ht="11.25" customHeight="1">
      <c r="A99" s="83" t="str">
        <f>IF(B99=""," ",A98+1)</f>
        <v xml:space="preserve"> </v>
      </c>
      <c r="B99" s="74"/>
      <c r="C99" s="84"/>
      <c r="D99" s="88"/>
      <c r="E99" s="85"/>
      <c r="F99" s="86"/>
      <c r="G99" s="87"/>
      <c r="H99" s="83"/>
      <c r="I99" s="83"/>
      <c r="J99" s="93"/>
      <c r="K99" s="280"/>
      <c r="L99" s="291"/>
      <c r="M99" s="292"/>
    </row>
    <row r="100" spans="1:13">
      <c r="A100" s="83" t="str">
        <f>IF(B100=""," ",A99+1)</f>
        <v xml:space="preserve"> </v>
      </c>
      <c r="B100" s="74"/>
      <c r="C100" s="84"/>
      <c r="D100" s="88"/>
      <c r="E100" s="85"/>
      <c r="F100" s="86"/>
      <c r="G100" s="87"/>
      <c r="H100" s="83"/>
      <c r="I100" s="83"/>
      <c r="J100" s="93"/>
      <c r="K100" s="280"/>
      <c r="L100" s="291"/>
      <c r="M100" s="292"/>
    </row>
    <row r="102" spans="1:13">
      <c r="B102" s="75" t="s">
        <v>235</v>
      </c>
    </row>
    <row r="103" spans="1:13" ht="12" customHeight="1"/>
    <row r="104" spans="1:13">
      <c r="B104" s="75" t="s">
        <v>1197</v>
      </c>
      <c r="C104" s="75" t="s">
        <v>1455</v>
      </c>
    </row>
    <row r="106" spans="1:13">
      <c r="B106" s="75" t="s">
        <v>1456</v>
      </c>
      <c r="C106" s="75" t="s">
        <v>1457</v>
      </c>
    </row>
  </sheetData>
  <mergeCells count="90">
    <mergeCell ref="K100:M100"/>
    <mergeCell ref="A5:A6"/>
    <mergeCell ref="K5:M6"/>
    <mergeCell ref="K95:M95"/>
    <mergeCell ref="K96:M96"/>
    <mergeCell ref="K97:M97"/>
    <mergeCell ref="K98:M98"/>
    <mergeCell ref="K99:M99"/>
    <mergeCell ref="K90:M90"/>
    <mergeCell ref="K91:M91"/>
    <mergeCell ref="K92:M92"/>
    <mergeCell ref="K93:M93"/>
    <mergeCell ref="K94:M94"/>
    <mergeCell ref="K83:M83"/>
    <mergeCell ref="K85:M85"/>
    <mergeCell ref="K86:M86"/>
    <mergeCell ref="K87:M87"/>
    <mergeCell ref="K89:M89"/>
    <mergeCell ref="K72:M72"/>
    <mergeCell ref="K78:M78"/>
    <mergeCell ref="K79:M79"/>
    <mergeCell ref="K81:M81"/>
    <mergeCell ref="K82:M82"/>
    <mergeCell ref="K67:M67"/>
    <mergeCell ref="K68:M68"/>
    <mergeCell ref="K69:M69"/>
    <mergeCell ref="K70:M70"/>
    <mergeCell ref="K71:M71"/>
    <mergeCell ref="K62:M62"/>
    <mergeCell ref="K63:M63"/>
    <mergeCell ref="K64:M64"/>
    <mergeCell ref="K65:M65"/>
    <mergeCell ref="K66:M66"/>
    <mergeCell ref="K56:M56"/>
    <mergeCell ref="K58:M58"/>
    <mergeCell ref="K59:M59"/>
    <mergeCell ref="K60:M60"/>
    <mergeCell ref="K61:M61"/>
    <mergeCell ref="K50:M50"/>
    <mergeCell ref="K51:M51"/>
    <mergeCell ref="K52:M52"/>
    <mergeCell ref="K54:M54"/>
    <mergeCell ref="K55:M55"/>
    <mergeCell ref="K39:M39"/>
    <mergeCell ref="K40:M40"/>
    <mergeCell ref="K41:M41"/>
    <mergeCell ref="K47:M47"/>
    <mergeCell ref="K48:M48"/>
    <mergeCell ref="K34:M34"/>
    <mergeCell ref="K35:M35"/>
    <mergeCell ref="K36:M36"/>
    <mergeCell ref="K37:M37"/>
    <mergeCell ref="K38:M38"/>
    <mergeCell ref="K29:M29"/>
    <mergeCell ref="K30:M30"/>
    <mergeCell ref="K31:M31"/>
    <mergeCell ref="K32:M32"/>
    <mergeCell ref="K33:M33"/>
    <mergeCell ref="K23:M23"/>
    <mergeCell ref="K24:M24"/>
    <mergeCell ref="K25:M25"/>
    <mergeCell ref="K27:M27"/>
    <mergeCell ref="K28:M28"/>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pageSetUpPr fitToPage="1"/>
  </sheetPr>
  <dimension ref="A1:Q136"/>
  <sheetViews>
    <sheetView showGridLines="0" tabSelected="1" workbookViewId="0">
      <pane ySplit="6" topLeftCell="A11" activePane="bottomLeft" state="frozen"/>
      <selection pane="bottomLeft" activeCell="B35" sqref="B35"/>
    </sheetView>
  </sheetViews>
  <sheetFormatPr defaultColWidth="9" defaultRowHeight="12"/>
  <cols>
    <col min="1" max="1" width="4.5" style="162" customWidth="1"/>
    <col min="2" max="2" width="28.625" style="161" customWidth="1"/>
    <col min="3" max="3" width="13.375" style="161" customWidth="1"/>
    <col min="4" max="4" width="9.375" style="161" customWidth="1"/>
    <col min="5" max="5" width="4.875" style="161" customWidth="1"/>
    <col min="6" max="6" width="4.75" style="161" customWidth="1"/>
    <col min="7" max="7" width="6.125" style="161" customWidth="1"/>
    <col min="8" max="9" width="4.75" style="161" customWidth="1"/>
    <col min="10" max="11" width="9.625" style="161" customWidth="1"/>
    <col min="12" max="13" width="10.25" style="161" customWidth="1"/>
    <col min="14" max="17" width="9" style="161" hidden="1" customWidth="1"/>
    <col min="18" max="16384" width="9" style="161"/>
  </cols>
  <sheetData>
    <row r="1" spans="1:16">
      <c r="B1" s="163"/>
    </row>
    <row r="2" spans="1:16">
      <c r="A2" s="368" t="s">
        <v>136</v>
      </c>
      <c r="B2" s="369"/>
      <c r="C2" s="368" t="s">
        <v>1</v>
      </c>
      <c r="D2" s="370"/>
      <c r="E2" s="370"/>
      <c r="F2" s="370"/>
      <c r="G2" s="369"/>
      <c r="H2" s="368"/>
      <c r="I2" s="370"/>
      <c r="J2" s="369"/>
      <c r="K2" s="185"/>
      <c r="L2" s="165" t="s">
        <v>137</v>
      </c>
      <c r="M2" s="165" t="s">
        <v>138</v>
      </c>
    </row>
    <row r="3" spans="1:16">
      <c r="A3" s="371"/>
      <c r="B3" s="372"/>
      <c r="C3" s="373" t="s">
        <v>1458</v>
      </c>
      <c r="D3" s="374"/>
      <c r="E3" s="374"/>
      <c r="F3" s="374"/>
      <c r="G3" s="375"/>
      <c r="H3" s="368" t="s">
        <v>140</v>
      </c>
      <c r="I3" s="369"/>
      <c r="J3" s="186">
        <f>COUNT(A7:A100)</f>
        <v>29</v>
      </c>
      <c r="K3" s="165" t="s">
        <v>141</v>
      </c>
      <c r="L3" s="187">
        <v>38671</v>
      </c>
      <c r="M3" s="188" t="s">
        <v>148</v>
      </c>
      <c r="O3" s="161" t="s">
        <v>143</v>
      </c>
      <c r="P3" s="161" t="s">
        <v>144</v>
      </c>
    </row>
    <row r="4" spans="1:16">
      <c r="A4" s="376" t="s">
        <v>145</v>
      </c>
      <c r="B4" s="377"/>
      <c r="C4" s="376" t="s">
        <v>65</v>
      </c>
      <c r="D4" s="378"/>
      <c r="E4" s="378"/>
      <c r="F4" s="378"/>
      <c r="G4" s="377"/>
      <c r="H4" s="368" t="s">
        <v>146</v>
      </c>
      <c r="I4" s="369"/>
      <c r="J4" s="186">
        <f>SUM(G7:G100)</f>
        <v>297</v>
      </c>
      <c r="K4" s="165" t="s">
        <v>147</v>
      </c>
      <c r="L4" s="187">
        <v>38878</v>
      </c>
      <c r="M4" s="170" t="s">
        <v>148</v>
      </c>
      <c r="O4" s="161" t="s">
        <v>149</v>
      </c>
      <c r="P4" s="161" t="s">
        <v>150</v>
      </c>
    </row>
    <row r="5" spans="1:16">
      <c r="A5" s="397" t="s">
        <v>0</v>
      </c>
      <c r="B5" s="368" t="s">
        <v>151</v>
      </c>
      <c r="C5" s="370"/>
      <c r="D5" s="379" t="s">
        <v>152</v>
      </c>
      <c r="E5" s="370"/>
      <c r="F5" s="370"/>
      <c r="G5" s="370"/>
      <c r="H5" s="370"/>
      <c r="I5" s="368" t="s">
        <v>153</v>
      </c>
      <c r="J5" s="369"/>
      <c r="K5" s="399" t="s">
        <v>4</v>
      </c>
      <c r="L5" s="400"/>
      <c r="M5" s="401"/>
      <c r="P5" s="161" t="s">
        <v>154</v>
      </c>
    </row>
    <row r="6" spans="1:16">
      <c r="A6" s="398"/>
      <c r="B6" s="165" t="s">
        <v>5</v>
      </c>
      <c r="C6" s="166" t="s">
        <v>6</v>
      </c>
      <c r="D6" s="167" t="s">
        <v>144</v>
      </c>
      <c r="E6" s="168" t="s">
        <v>155</v>
      </c>
      <c r="F6" s="169" t="s">
        <v>156</v>
      </c>
      <c r="G6" s="165" t="s">
        <v>157</v>
      </c>
      <c r="H6" s="164" t="s">
        <v>158</v>
      </c>
      <c r="I6" s="164" t="s">
        <v>159</v>
      </c>
      <c r="J6" s="164" t="s">
        <v>160</v>
      </c>
      <c r="K6" s="402"/>
      <c r="L6" s="403"/>
      <c r="M6" s="404"/>
      <c r="P6" s="161" t="s">
        <v>161</v>
      </c>
    </row>
    <row r="7" spans="1:16">
      <c r="A7" s="170">
        <v>1</v>
      </c>
      <c r="B7" s="171" t="s">
        <v>1459</v>
      </c>
      <c r="C7" s="172" t="s">
        <v>1460</v>
      </c>
      <c r="D7" s="173" t="s">
        <v>164</v>
      </c>
      <c r="E7" s="174"/>
      <c r="F7" s="175"/>
      <c r="G7" s="176">
        <f t="shared" ref="G7:G13" si="0">IF(D7="DATE",4,IF(D7="CHAR",E7,IF(D7="SMALLINT",2,IF(D7="INTEGER",4,IF(D7="TIMESTAMP",10,IF(D7="TIME",3,0))))))</f>
        <v>4</v>
      </c>
      <c r="H7" s="170" t="s">
        <v>149</v>
      </c>
      <c r="I7" s="170" t="s">
        <v>149</v>
      </c>
      <c r="J7" s="189"/>
      <c r="K7" s="380"/>
      <c r="L7" s="381"/>
      <c r="M7" s="382"/>
      <c r="P7" s="161" t="s">
        <v>165</v>
      </c>
    </row>
    <row r="8" spans="1:16">
      <c r="A8" s="83">
        <f t="shared" ref="A8:A19" si="1">IF(B8=""," ",A7+1)</f>
        <v>2</v>
      </c>
      <c r="B8" s="171" t="s">
        <v>1461</v>
      </c>
      <c r="C8" s="172" t="s">
        <v>1462</v>
      </c>
      <c r="D8" s="177" t="s">
        <v>161</v>
      </c>
      <c r="E8" s="174"/>
      <c r="F8" s="175"/>
      <c r="G8" s="176">
        <f t="shared" si="0"/>
        <v>4</v>
      </c>
      <c r="H8" s="170" t="s">
        <v>149</v>
      </c>
      <c r="I8" s="170" t="s">
        <v>149</v>
      </c>
      <c r="J8" s="189"/>
      <c r="K8" s="380"/>
      <c r="L8" s="381"/>
      <c r="M8" s="382"/>
    </row>
    <row r="9" spans="1:16">
      <c r="A9" s="83">
        <f t="shared" si="1"/>
        <v>3</v>
      </c>
      <c r="B9" s="178" t="s">
        <v>1463</v>
      </c>
      <c r="C9" s="172" t="s">
        <v>1464</v>
      </c>
      <c r="D9" s="177" t="s">
        <v>150</v>
      </c>
      <c r="E9" s="174">
        <v>1</v>
      </c>
      <c r="F9" s="175"/>
      <c r="G9" s="176">
        <f t="shared" si="0"/>
        <v>1</v>
      </c>
      <c r="H9" s="170" t="s">
        <v>149</v>
      </c>
      <c r="I9" s="170"/>
      <c r="J9" s="189"/>
      <c r="K9" s="383" t="s">
        <v>1465</v>
      </c>
      <c r="L9" s="384"/>
      <c r="M9" s="385"/>
    </row>
    <row r="10" spans="1:16" ht="39.75" customHeight="1">
      <c r="A10" s="83">
        <f t="shared" si="1"/>
        <v>4</v>
      </c>
      <c r="B10" s="171" t="s">
        <v>1466</v>
      </c>
      <c r="C10" s="172" t="s">
        <v>1467</v>
      </c>
      <c r="D10" s="177" t="s">
        <v>150</v>
      </c>
      <c r="E10" s="174">
        <v>1</v>
      </c>
      <c r="F10" s="175"/>
      <c r="G10" s="176">
        <f t="shared" si="0"/>
        <v>1</v>
      </c>
      <c r="H10" s="170" t="s">
        <v>149</v>
      </c>
      <c r="I10" s="170"/>
      <c r="J10" s="189"/>
      <c r="K10" s="383" t="s">
        <v>1468</v>
      </c>
      <c r="L10" s="384"/>
      <c r="M10" s="385"/>
    </row>
    <row r="11" spans="1:16" ht="12" customHeight="1">
      <c r="A11" s="83">
        <f t="shared" si="1"/>
        <v>5</v>
      </c>
      <c r="B11" s="171" t="s">
        <v>162</v>
      </c>
      <c r="C11" s="172" t="s">
        <v>163</v>
      </c>
      <c r="D11" s="173" t="s">
        <v>164</v>
      </c>
      <c r="E11" s="174"/>
      <c r="F11" s="175"/>
      <c r="G11" s="176">
        <f t="shared" si="0"/>
        <v>4</v>
      </c>
      <c r="H11" s="170" t="s">
        <v>149</v>
      </c>
      <c r="I11" s="170"/>
      <c r="J11" s="189"/>
      <c r="K11" s="380" t="s">
        <v>1469</v>
      </c>
      <c r="L11" s="381"/>
      <c r="M11" s="382"/>
      <c r="P11" s="161" t="s">
        <v>165</v>
      </c>
    </row>
    <row r="12" spans="1:16">
      <c r="A12" s="83">
        <f t="shared" si="1"/>
        <v>6</v>
      </c>
      <c r="B12" s="11" t="s">
        <v>460</v>
      </c>
      <c r="C12" s="21" t="s">
        <v>461</v>
      </c>
      <c r="D12" s="13" t="s">
        <v>164</v>
      </c>
      <c r="E12" s="85"/>
      <c r="F12" s="86"/>
      <c r="G12" s="87">
        <f t="shared" si="0"/>
        <v>4</v>
      </c>
      <c r="H12" s="83" t="s">
        <v>149</v>
      </c>
      <c r="I12" s="170"/>
      <c r="J12" s="189"/>
      <c r="K12" s="380" t="s">
        <v>1469</v>
      </c>
      <c r="L12" s="381"/>
      <c r="M12" s="382"/>
    </row>
    <row r="13" spans="1:16" s="75" customFormat="1" ht="12" customHeight="1">
      <c r="A13" s="83">
        <f t="shared" si="1"/>
        <v>7</v>
      </c>
      <c r="B13" s="11" t="s">
        <v>812</v>
      </c>
      <c r="C13" s="84" t="s">
        <v>813</v>
      </c>
      <c r="D13" s="13" t="s">
        <v>164</v>
      </c>
      <c r="E13" s="85"/>
      <c r="F13" s="86"/>
      <c r="G13" s="87">
        <f t="shared" si="0"/>
        <v>4</v>
      </c>
      <c r="H13" s="83" t="s">
        <v>149</v>
      </c>
      <c r="I13" s="83"/>
      <c r="J13" s="93"/>
      <c r="K13" s="380" t="s">
        <v>1469</v>
      </c>
      <c r="L13" s="381"/>
      <c r="M13" s="382"/>
      <c r="P13" s="75" t="s">
        <v>165</v>
      </c>
    </row>
    <row r="14" spans="1:16" ht="27" customHeight="1">
      <c r="A14" s="83">
        <f t="shared" si="1"/>
        <v>8</v>
      </c>
      <c r="B14" s="171" t="s">
        <v>646</v>
      </c>
      <c r="C14" s="172" t="s">
        <v>647</v>
      </c>
      <c r="D14" s="177" t="s">
        <v>150</v>
      </c>
      <c r="E14" s="174">
        <v>16</v>
      </c>
      <c r="F14" s="175"/>
      <c r="G14" s="176">
        <v>16</v>
      </c>
      <c r="H14" s="170" t="s">
        <v>149</v>
      </c>
      <c r="I14" s="170"/>
      <c r="J14" s="189"/>
      <c r="K14" s="386" t="s">
        <v>1470</v>
      </c>
      <c r="L14" s="381"/>
      <c r="M14" s="382"/>
    </row>
    <row r="15" spans="1:16" ht="12" customHeight="1">
      <c r="A15" s="83">
        <f t="shared" si="1"/>
        <v>9</v>
      </c>
      <c r="B15" s="179" t="s">
        <v>596</v>
      </c>
      <c r="C15" s="172" t="s">
        <v>597</v>
      </c>
      <c r="D15" s="177" t="s">
        <v>150</v>
      </c>
      <c r="E15" s="174">
        <v>7</v>
      </c>
      <c r="F15" s="175"/>
      <c r="G15" s="176">
        <v>7</v>
      </c>
      <c r="H15" s="170" t="s">
        <v>149</v>
      </c>
      <c r="I15" s="170"/>
      <c r="J15" s="189"/>
      <c r="K15" s="380" t="s">
        <v>1469</v>
      </c>
      <c r="L15" s="381"/>
      <c r="M15" s="382"/>
    </row>
    <row r="16" spans="1:16" s="75" customFormat="1" ht="12" customHeight="1">
      <c r="A16" s="83">
        <f t="shared" si="1"/>
        <v>10</v>
      </c>
      <c r="B16" s="20" t="s">
        <v>818</v>
      </c>
      <c r="C16" s="84" t="s">
        <v>819</v>
      </c>
      <c r="D16" s="88" t="s">
        <v>150</v>
      </c>
      <c r="E16" s="85">
        <v>4</v>
      </c>
      <c r="F16" s="86"/>
      <c r="G16" s="87">
        <f>IF(D16="DATE",4,IF(D16="CHAR",E16,IF(D16="SMALLINT",2,IF(D16="INTEGER",4,IF(D16="TIMESTAMP",10,IF(D16="TIME",3,0))))))</f>
        <v>4</v>
      </c>
      <c r="H16" s="83" t="s">
        <v>149</v>
      </c>
      <c r="I16" s="83"/>
      <c r="J16" s="93"/>
      <c r="K16" s="380" t="s">
        <v>1469</v>
      </c>
      <c r="L16" s="381"/>
      <c r="M16" s="382"/>
    </row>
    <row r="17" spans="1:14" ht="12" customHeight="1">
      <c r="A17" s="83">
        <f t="shared" si="1"/>
        <v>11</v>
      </c>
      <c r="B17" s="20" t="s">
        <v>960</v>
      </c>
      <c r="C17" s="172" t="s">
        <v>961</v>
      </c>
      <c r="D17" s="177" t="s">
        <v>150</v>
      </c>
      <c r="E17" s="174">
        <v>6</v>
      </c>
      <c r="F17" s="175"/>
      <c r="G17" s="176">
        <f t="shared" ref="G17:G35" si="2">IF(D17="DATE",4,IF(D17="CHAR",E17,IF(D17="SMALLINT",2,IF(D17="INTEGER",4,IF(D17="TIMESTAMP",10,IF(D17="TIME",3,0))))))</f>
        <v>6</v>
      </c>
      <c r="H17" s="170" t="s">
        <v>149</v>
      </c>
      <c r="I17" s="170"/>
      <c r="J17" s="189"/>
      <c r="K17" s="380" t="s">
        <v>1469</v>
      </c>
      <c r="L17" s="381"/>
      <c r="M17" s="382"/>
    </row>
    <row r="18" spans="1:14" ht="12" customHeight="1">
      <c r="A18" s="83">
        <f t="shared" si="1"/>
        <v>12</v>
      </c>
      <c r="B18" s="171" t="s">
        <v>1471</v>
      </c>
      <c r="C18" s="172" t="s">
        <v>1472</v>
      </c>
      <c r="D18" s="177" t="s">
        <v>150</v>
      </c>
      <c r="E18" s="174">
        <v>20</v>
      </c>
      <c r="F18" s="175"/>
      <c r="G18" s="176">
        <f t="shared" si="2"/>
        <v>20</v>
      </c>
      <c r="H18" s="170" t="s">
        <v>149</v>
      </c>
      <c r="I18" s="170"/>
      <c r="J18" s="189"/>
      <c r="K18" s="380" t="s">
        <v>1469</v>
      </c>
      <c r="L18" s="381"/>
      <c r="M18" s="382"/>
    </row>
    <row r="19" spans="1:14" ht="12" customHeight="1">
      <c r="A19" s="83">
        <f t="shared" si="1"/>
        <v>13</v>
      </c>
      <c r="B19" s="171" t="s">
        <v>1473</v>
      </c>
      <c r="C19" s="172" t="s">
        <v>1474</v>
      </c>
      <c r="D19" s="177" t="s">
        <v>150</v>
      </c>
      <c r="E19" s="174">
        <v>20</v>
      </c>
      <c r="F19" s="175"/>
      <c r="G19" s="176">
        <f t="shared" si="2"/>
        <v>20</v>
      </c>
      <c r="H19" s="170" t="s">
        <v>149</v>
      </c>
      <c r="I19" s="170"/>
      <c r="J19" s="189"/>
      <c r="K19" s="380" t="s">
        <v>1469</v>
      </c>
      <c r="L19" s="381"/>
      <c r="M19" s="382"/>
    </row>
    <row r="20" spans="1:14" ht="12" customHeight="1">
      <c r="A20" s="83">
        <f t="shared" ref="A20:A35" si="3">IF(B20=""," ",A19+1)</f>
        <v>14</v>
      </c>
      <c r="B20" s="178" t="s">
        <v>1504</v>
      </c>
      <c r="C20" s="172" t="s">
        <v>1505</v>
      </c>
      <c r="D20" s="177" t="s">
        <v>150</v>
      </c>
      <c r="E20" s="174">
        <v>50</v>
      </c>
      <c r="F20" s="175"/>
      <c r="G20" s="176">
        <f t="shared" ref="G20" si="4">IF(D20="DATE",4,IF(D20="CHAR",E20,IF(D20="SMALLINT",2,IF(D20="INTEGER",4,IF(D20="TIMESTAMP",10,IF(D20="TIME",3,0))))))</f>
        <v>50</v>
      </c>
      <c r="H20" s="170" t="s">
        <v>149</v>
      </c>
      <c r="I20" s="170"/>
      <c r="J20" s="189"/>
      <c r="K20" s="386" t="s">
        <v>1506</v>
      </c>
      <c r="L20" s="387"/>
      <c r="M20" s="388"/>
    </row>
    <row r="21" spans="1:14" s="75" customFormat="1" ht="27" customHeight="1">
      <c r="A21" s="83">
        <f t="shared" si="3"/>
        <v>15</v>
      </c>
      <c r="B21" s="11" t="s">
        <v>676</v>
      </c>
      <c r="C21" s="84" t="s">
        <v>677</v>
      </c>
      <c r="D21" s="88" t="s">
        <v>150</v>
      </c>
      <c r="E21" s="85">
        <v>2</v>
      </c>
      <c r="F21" s="86"/>
      <c r="G21" s="87">
        <f t="shared" si="2"/>
        <v>2</v>
      </c>
      <c r="H21" s="83" t="s">
        <v>149</v>
      </c>
      <c r="I21" s="83"/>
      <c r="J21" s="93"/>
      <c r="K21" s="280" t="s">
        <v>678</v>
      </c>
      <c r="L21" s="291"/>
      <c r="M21" s="292"/>
    </row>
    <row r="22" spans="1:14" ht="27" customHeight="1">
      <c r="A22" s="83">
        <f t="shared" si="3"/>
        <v>16</v>
      </c>
      <c r="B22" s="178" t="s">
        <v>1475</v>
      </c>
      <c r="C22" s="172" t="s">
        <v>1476</v>
      </c>
      <c r="D22" s="177" t="s">
        <v>150</v>
      </c>
      <c r="E22" s="174">
        <v>50</v>
      </c>
      <c r="F22" s="175"/>
      <c r="G22" s="176">
        <f t="shared" si="2"/>
        <v>50</v>
      </c>
      <c r="H22" s="170" t="s">
        <v>149</v>
      </c>
      <c r="I22" s="170"/>
      <c r="J22" s="189"/>
      <c r="K22" s="386" t="s">
        <v>1477</v>
      </c>
      <c r="L22" s="387"/>
      <c r="M22" s="388"/>
    </row>
    <row r="23" spans="1:14" ht="12" customHeight="1">
      <c r="A23" s="83">
        <f t="shared" si="3"/>
        <v>17</v>
      </c>
      <c r="B23" s="178" t="s">
        <v>1478</v>
      </c>
      <c r="C23" s="172" t="s">
        <v>1479</v>
      </c>
      <c r="D23" s="177" t="s">
        <v>150</v>
      </c>
      <c r="E23" s="174">
        <v>8</v>
      </c>
      <c r="F23" s="175"/>
      <c r="G23" s="176">
        <f t="shared" si="2"/>
        <v>8</v>
      </c>
      <c r="H23" s="170" t="s">
        <v>149</v>
      </c>
      <c r="I23" s="170"/>
      <c r="J23" s="189"/>
      <c r="K23" s="383"/>
      <c r="L23" s="384"/>
      <c r="M23" s="385"/>
    </row>
    <row r="24" spans="1:14" ht="12" customHeight="1">
      <c r="A24" s="83">
        <f t="shared" si="3"/>
        <v>18</v>
      </c>
      <c r="B24" s="180" t="s">
        <v>1480</v>
      </c>
      <c r="C24" s="172" t="s">
        <v>1097</v>
      </c>
      <c r="D24" s="177" t="s">
        <v>234</v>
      </c>
      <c r="E24" s="174"/>
      <c r="F24" s="175"/>
      <c r="G24" s="176">
        <f t="shared" si="2"/>
        <v>10</v>
      </c>
      <c r="H24" s="170" t="s">
        <v>149</v>
      </c>
      <c r="I24" s="170"/>
      <c r="J24" s="189"/>
      <c r="K24" s="383"/>
      <c r="L24" s="384"/>
      <c r="M24" s="385"/>
      <c r="N24" s="193"/>
    </row>
    <row r="25" spans="1:14" ht="12" customHeight="1">
      <c r="A25" s="83">
        <f t="shared" si="3"/>
        <v>19</v>
      </c>
      <c r="B25" s="178" t="s">
        <v>1481</v>
      </c>
      <c r="C25" s="172" t="s">
        <v>1482</v>
      </c>
      <c r="D25" s="177" t="s">
        <v>234</v>
      </c>
      <c r="E25" s="174"/>
      <c r="F25" s="175"/>
      <c r="G25" s="176">
        <f t="shared" si="2"/>
        <v>10</v>
      </c>
      <c r="H25" s="170" t="s">
        <v>149</v>
      </c>
      <c r="I25" s="170"/>
      <c r="J25" s="189"/>
      <c r="K25" s="389"/>
      <c r="L25" s="390"/>
      <c r="M25" s="391"/>
    </row>
    <row r="26" spans="1:14" ht="12" customHeight="1">
      <c r="A26" s="83">
        <f t="shared" si="3"/>
        <v>20</v>
      </c>
      <c r="B26" s="178" t="s">
        <v>1483</v>
      </c>
      <c r="C26" s="172" t="s">
        <v>1484</v>
      </c>
      <c r="D26" s="177" t="s">
        <v>234</v>
      </c>
      <c r="E26" s="174"/>
      <c r="F26" s="175"/>
      <c r="G26" s="176">
        <f t="shared" si="2"/>
        <v>10</v>
      </c>
      <c r="H26" s="170" t="s">
        <v>149</v>
      </c>
      <c r="I26" s="170"/>
      <c r="J26" s="189"/>
      <c r="K26" s="389"/>
      <c r="L26" s="390"/>
      <c r="M26" s="391"/>
    </row>
    <row r="27" spans="1:14" ht="12" customHeight="1">
      <c r="A27" s="83">
        <f t="shared" si="3"/>
        <v>21</v>
      </c>
      <c r="B27" s="20" t="s">
        <v>1485</v>
      </c>
      <c r="C27" s="172" t="s">
        <v>1486</v>
      </c>
      <c r="D27" s="177" t="s">
        <v>234</v>
      </c>
      <c r="E27" s="174"/>
      <c r="F27" s="175"/>
      <c r="G27" s="176">
        <f t="shared" si="2"/>
        <v>10</v>
      </c>
      <c r="H27" s="170" t="s">
        <v>149</v>
      </c>
      <c r="I27" s="170"/>
      <c r="J27" s="189"/>
      <c r="K27" s="392"/>
      <c r="L27" s="393"/>
      <c r="M27" s="394"/>
    </row>
    <row r="28" spans="1:14" ht="12" customHeight="1">
      <c r="A28" s="83">
        <f t="shared" si="3"/>
        <v>22</v>
      </c>
      <c r="B28" s="20" t="s">
        <v>1487</v>
      </c>
      <c r="C28" s="172" t="s">
        <v>1488</v>
      </c>
      <c r="D28" s="177" t="s">
        <v>234</v>
      </c>
      <c r="E28" s="174"/>
      <c r="F28" s="175"/>
      <c r="G28" s="176">
        <f t="shared" si="2"/>
        <v>10</v>
      </c>
      <c r="H28" s="170" t="s">
        <v>149</v>
      </c>
      <c r="I28" s="170"/>
      <c r="J28" s="189"/>
      <c r="K28" s="392"/>
      <c r="L28" s="393"/>
      <c r="M28" s="394"/>
      <c r="N28" s="193"/>
    </row>
    <row r="29" spans="1:14" ht="12" customHeight="1">
      <c r="A29" s="83">
        <f t="shared" si="3"/>
        <v>23</v>
      </c>
      <c r="B29" s="20" t="s">
        <v>1489</v>
      </c>
      <c r="C29" s="172" t="s">
        <v>1490</v>
      </c>
      <c r="D29" s="177" t="s">
        <v>161</v>
      </c>
      <c r="E29" s="174"/>
      <c r="F29" s="175"/>
      <c r="G29" s="176">
        <f t="shared" si="2"/>
        <v>4</v>
      </c>
      <c r="H29" s="170" t="s">
        <v>149</v>
      </c>
      <c r="I29" s="170"/>
      <c r="J29" s="189"/>
      <c r="K29" s="383" t="s">
        <v>1491</v>
      </c>
      <c r="L29" s="384"/>
      <c r="M29" s="385"/>
    </row>
    <row r="30" spans="1:14" ht="27" customHeight="1">
      <c r="A30" s="83">
        <f t="shared" si="3"/>
        <v>24</v>
      </c>
      <c r="B30" s="20" t="s">
        <v>1492</v>
      </c>
      <c r="C30" s="172" t="s">
        <v>1493</v>
      </c>
      <c r="D30" s="177" t="s">
        <v>161</v>
      </c>
      <c r="E30" s="174"/>
      <c r="F30" s="175"/>
      <c r="G30" s="176">
        <f t="shared" si="2"/>
        <v>4</v>
      </c>
      <c r="H30" s="170" t="s">
        <v>149</v>
      </c>
      <c r="I30" s="170"/>
      <c r="J30" s="189"/>
      <c r="K30" s="383" t="s">
        <v>1494</v>
      </c>
      <c r="L30" s="384"/>
      <c r="M30" s="385"/>
    </row>
    <row r="31" spans="1:14" ht="27" customHeight="1">
      <c r="A31" s="83">
        <f t="shared" si="3"/>
        <v>25</v>
      </c>
      <c r="B31" s="20" t="s">
        <v>1495</v>
      </c>
      <c r="C31" s="172" t="s">
        <v>1496</v>
      </c>
      <c r="D31" s="177" t="s">
        <v>150</v>
      </c>
      <c r="E31" s="174">
        <v>12</v>
      </c>
      <c r="F31" s="175"/>
      <c r="G31" s="176">
        <f t="shared" si="2"/>
        <v>12</v>
      </c>
      <c r="H31" s="170" t="s">
        <v>149</v>
      </c>
      <c r="I31" s="170"/>
      <c r="J31" s="189"/>
      <c r="K31" s="383" t="s">
        <v>1497</v>
      </c>
      <c r="L31" s="384"/>
      <c r="M31" s="385"/>
    </row>
    <row r="32" spans="1:14" ht="39.950000000000003" customHeight="1">
      <c r="A32" s="83">
        <f t="shared" si="3"/>
        <v>26</v>
      </c>
      <c r="B32" s="171" t="s">
        <v>753</v>
      </c>
      <c r="C32" s="181" t="s">
        <v>1498</v>
      </c>
      <c r="D32" s="182" t="s">
        <v>150</v>
      </c>
      <c r="E32" s="174">
        <v>2</v>
      </c>
      <c r="F32" s="175"/>
      <c r="G32" s="176">
        <f t="shared" si="2"/>
        <v>2</v>
      </c>
      <c r="H32" s="170" t="s">
        <v>149</v>
      </c>
      <c r="I32" s="170"/>
      <c r="J32" s="189"/>
      <c r="K32" s="383" t="s">
        <v>1499</v>
      </c>
      <c r="L32" s="384"/>
      <c r="M32" s="385"/>
    </row>
    <row r="33" spans="1:13" ht="39.950000000000003" customHeight="1">
      <c r="A33" s="83">
        <f t="shared" si="3"/>
        <v>27</v>
      </c>
      <c r="B33" s="183" t="s">
        <v>1500</v>
      </c>
      <c r="C33" s="184" t="s">
        <v>1501</v>
      </c>
      <c r="D33" s="88" t="s">
        <v>150</v>
      </c>
      <c r="E33" s="85">
        <v>8</v>
      </c>
      <c r="F33" s="86"/>
      <c r="G33" s="87">
        <f t="shared" si="2"/>
        <v>8</v>
      </c>
      <c r="H33" s="170" t="s">
        <v>149</v>
      </c>
      <c r="I33" s="170"/>
      <c r="J33" s="189"/>
      <c r="K33" s="383" t="s">
        <v>1502</v>
      </c>
      <c r="L33" s="384"/>
      <c r="M33" s="385"/>
    </row>
    <row r="34" spans="1:13" ht="27.75" customHeight="1">
      <c r="A34" s="83">
        <f t="shared" si="3"/>
        <v>28</v>
      </c>
      <c r="B34" s="171" t="s">
        <v>738</v>
      </c>
      <c r="C34" s="172" t="s">
        <v>739</v>
      </c>
      <c r="D34" s="177" t="s">
        <v>174</v>
      </c>
      <c r="E34" s="174"/>
      <c r="F34" s="175"/>
      <c r="G34" s="176">
        <f t="shared" si="2"/>
        <v>2</v>
      </c>
      <c r="H34" s="170" t="s">
        <v>149</v>
      </c>
      <c r="I34" s="170"/>
      <c r="J34" s="189"/>
      <c r="K34" s="383" t="s">
        <v>1503</v>
      </c>
      <c r="L34" s="395"/>
      <c r="M34" s="396"/>
    </row>
    <row r="35" spans="1:13">
      <c r="A35" s="83">
        <f t="shared" si="3"/>
        <v>29</v>
      </c>
      <c r="B35" s="178" t="s">
        <v>232</v>
      </c>
      <c r="C35" s="172" t="s">
        <v>233</v>
      </c>
      <c r="D35" s="177" t="s">
        <v>234</v>
      </c>
      <c r="E35" s="174"/>
      <c r="F35" s="175"/>
      <c r="G35" s="176">
        <f t="shared" si="2"/>
        <v>10</v>
      </c>
      <c r="H35" s="170" t="s">
        <v>149</v>
      </c>
      <c r="I35" s="170"/>
      <c r="J35" s="189"/>
      <c r="K35" s="386"/>
      <c r="L35" s="387"/>
      <c r="M35" s="388"/>
    </row>
    <row r="36" spans="1:13">
      <c r="A36" s="170"/>
      <c r="B36" s="178"/>
      <c r="C36" s="172"/>
      <c r="D36" s="177"/>
      <c r="E36" s="174"/>
      <c r="F36" s="175"/>
      <c r="G36" s="176"/>
      <c r="H36" s="170"/>
      <c r="I36" s="170"/>
      <c r="J36" s="189"/>
      <c r="K36" s="389"/>
      <c r="L36" s="390"/>
      <c r="M36" s="391"/>
    </row>
    <row r="37" spans="1:13">
      <c r="A37" s="170"/>
      <c r="B37" s="178"/>
      <c r="C37" s="172"/>
      <c r="D37" s="177"/>
      <c r="E37" s="174"/>
      <c r="F37" s="175"/>
      <c r="G37" s="176"/>
      <c r="H37" s="170"/>
      <c r="I37" s="170"/>
      <c r="J37" s="189"/>
      <c r="K37" s="386"/>
      <c r="L37" s="387"/>
      <c r="M37" s="388"/>
    </row>
    <row r="38" spans="1:13">
      <c r="A38" s="170"/>
      <c r="B38" s="171"/>
      <c r="C38" s="172"/>
      <c r="D38" s="177"/>
      <c r="E38" s="174"/>
      <c r="F38" s="175"/>
      <c r="G38" s="176"/>
      <c r="H38" s="170"/>
      <c r="I38" s="170"/>
      <c r="J38" s="189"/>
      <c r="K38" s="383"/>
      <c r="L38" s="384"/>
      <c r="M38" s="385"/>
    </row>
    <row r="39" spans="1:13">
      <c r="A39" s="170"/>
      <c r="B39" s="178"/>
      <c r="C39" s="172"/>
      <c r="D39" s="177"/>
      <c r="E39" s="174"/>
      <c r="F39" s="175"/>
      <c r="G39" s="176"/>
      <c r="H39" s="170"/>
      <c r="I39" s="170"/>
      <c r="J39" s="189"/>
      <c r="K39" s="383"/>
      <c r="L39" s="384"/>
      <c r="M39" s="385"/>
    </row>
    <row r="40" spans="1:13">
      <c r="A40" s="170"/>
      <c r="B40" s="178"/>
      <c r="C40" s="172"/>
      <c r="D40" s="177"/>
      <c r="E40" s="174"/>
      <c r="F40" s="175"/>
      <c r="G40" s="176"/>
      <c r="H40" s="170"/>
      <c r="I40" s="170"/>
      <c r="J40" s="189"/>
      <c r="K40" s="383"/>
      <c r="L40" s="384"/>
      <c r="M40" s="385"/>
    </row>
    <row r="41" spans="1:13">
      <c r="A41" s="170" t="str">
        <f>IF(B41=""," ",A40+1)</f>
        <v xml:space="preserve"> </v>
      </c>
      <c r="B41" s="178"/>
      <c r="C41" s="172"/>
      <c r="D41" s="177"/>
      <c r="E41" s="174"/>
      <c r="F41" s="175"/>
      <c r="G41" s="176"/>
      <c r="H41" s="170"/>
      <c r="I41" s="170"/>
      <c r="J41" s="189"/>
      <c r="K41" s="383"/>
      <c r="L41" s="384"/>
      <c r="M41" s="385"/>
    </row>
    <row r="42" spans="1:13">
      <c r="A42" s="170" t="str">
        <f>IF(B42=""," ",#REF!+1)</f>
        <v xml:space="preserve"> </v>
      </c>
      <c r="B42" s="178"/>
      <c r="C42" s="172"/>
      <c r="D42" s="177"/>
      <c r="E42" s="174"/>
      <c r="F42" s="175"/>
      <c r="G42" s="176"/>
      <c r="H42" s="170"/>
      <c r="I42" s="170"/>
      <c r="J42" s="189"/>
      <c r="K42" s="383"/>
      <c r="L42" s="384"/>
      <c r="M42" s="385"/>
    </row>
    <row r="43" spans="1:13">
      <c r="A43" s="170" t="str">
        <f t="shared" ref="A43:A74" si="5">IF(B43=""," ",A42+1)</f>
        <v xml:space="preserve"> </v>
      </c>
      <c r="B43" s="178"/>
      <c r="C43" s="172"/>
      <c r="D43" s="177"/>
      <c r="E43" s="174"/>
      <c r="F43" s="175"/>
      <c r="G43" s="176"/>
      <c r="H43" s="170"/>
      <c r="I43" s="170"/>
      <c r="J43" s="189"/>
      <c r="K43" s="383"/>
      <c r="L43" s="384"/>
      <c r="M43" s="385"/>
    </row>
    <row r="44" spans="1:13">
      <c r="A44" s="170" t="str">
        <f t="shared" si="5"/>
        <v xml:space="preserve"> </v>
      </c>
      <c r="B44" s="178"/>
      <c r="C44" s="172"/>
      <c r="D44" s="177"/>
      <c r="E44" s="174"/>
      <c r="F44" s="175"/>
      <c r="G44" s="176"/>
      <c r="H44" s="170"/>
      <c r="I44" s="170"/>
      <c r="J44" s="189"/>
      <c r="K44" s="383"/>
      <c r="L44" s="384"/>
      <c r="M44" s="385"/>
    </row>
    <row r="45" spans="1:13" ht="11.25" customHeight="1">
      <c r="A45" s="170" t="str">
        <f t="shared" si="5"/>
        <v xml:space="preserve"> </v>
      </c>
      <c r="B45" s="178"/>
      <c r="C45" s="172"/>
      <c r="D45" s="177"/>
      <c r="E45" s="174"/>
      <c r="F45" s="175"/>
      <c r="G45" s="176"/>
      <c r="H45" s="170"/>
      <c r="I45" s="170"/>
      <c r="J45" s="189"/>
      <c r="K45" s="383"/>
      <c r="L45" s="384"/>
      <c r="M45" s="385"/>
    </row>
    <row r="46" spans="1:13">
      <c r="A46" s="170" t="str">
        <f t="shared" si="5"/>
        <v xml:space="preserve"> </v>
      </c>
      <c r="B46" s="178"/>
      <c r="C46" s="172"/>
      <c r="D46" s="177"/>
      <c r="E46" s="174"/>
      <c r="F46" s="175"/>
      <c r="G46" s="176"/>
      <c r="H46" s="170"/>
      <c r="I46" s="170"/>
      <c r="J46" s="189"/>
      <c r="K46" s="383"/>
      <c r="L46" s="384"/>
      <c r="M46" s="385"/>
    </row>
    <row r="47" spans="1:13">
      <c r="A47" s="170" t="str">
        <f t="shared" si="5"/>
        <v xml:space="preserve"> </v>
      </c>
      <c r="B47" s="178"/>
      <c r="C47" s="172"/>
      <c r="D47" s="177"/>
      <c r="E47" s="174"/>
      <c r="F47" s="175"/>
      <c r="G47" s="176"/>
      <c r="H47" s="170"/>
      <c r="I47" s="170"/>
      <c r="J47" s="189"/>
      <c r="K47" s="383"/>
      <c r="L47" s="384"/>
      <c r="M47" s="385"/>
    </row>
    <row r="48" spans="1:13">
      <c r="A48" s="170" t="str">
        <f t="shared" si="5"/>
        <v xml:space="preserve"> </v>
      </c>
      <c r="B48" s="178"/>
      <c r="C48" s="172"/>
      <c r="D48" s="177"/>
      <c r="E48" s="174"/>
      <c r="F48" s="175"/>
      <c r="G48" s="176"/>
      <c r="H48" s="170"/>
      <c r="I48" s="170"/>
      <c r="J48" s="189"/>
      <c r="K48" s="383"/>
      <c r="L48" s="384"/>
      <c r="M48" s="385"/>
    </row>
    <row r="49" spans="1:13">
      <c r="A49" s="170" t="str">
        <f t="shared" si="5"/>
        <v xml:space="preserve"> </v>
      </c>
      <c r="B49" s="178"/>
      <c r="C49" s="172"/>
      <c r="D49" s="177"/>
      <c r="E49" s="174"/>
      <c r="F49" s="175"/>
      <c r="G49" s="176"/>
      <c r="H49" s="170"/>
      <c r="I49" s="170"/>
      <c r="J49" s="189"/>
      <c r="K49" s="383"/>
      <c r="L49" s="384"/>
      <c r="M49" s="385"/>
    </row>
    <row r="50" spans="1:13">
      <c r="A50" s="170" t="str">
        <f t="shared" si="5"/>
        <v xml:space="preserve"> </v>
      </c>
      <c r="B50" s="178"/>
      <c r="C50" s="172"/>
      <c r="D50" s="177"/>
      <c r="E50" s="174"/>
      <c r="F50" s="175"/>
      <c r="G50" s="176"/>
      <c r="H50" s="170"/>
      <c r="I50" s="170"/>
      <c r="J50" s="189"/>
      <c r="K50" s="190"/>
      <c r="L50" s="191"/>
      <c r="M50" s="192"/>
    </row>
    <row r="51" spans="1:13">
      <c r="A51" s="170" t="str">
        <f t="shared" si="5"/>
        <v xml:space="preserve"> </v>
      </c>
      <c r="B51" s="178"/>
      <c r="C51" s="172"/>
      <c r="D51" s="177"/>
      <c r="E51" s="174"/>
      <c r="F51" s="175"/>
      <c r="G51" s="176"/>
      <c r="H51" s="170"/>
      <c r="I51" s="170"/>
      <c r="J51" s="189"/>
      <c r="K51" s="172"/>
      <c r="L51" s="194"/>
      <c r="M51" s="195"/>
    </row>
    <row r="52" spans="1:13">
      <c r="A52" s="170" t="str">
        <f t="shared" si="5"/>
        <v xml:space="preserve"> </v>
      </c>
      <c r="B52" s="171"/>
      <c r="C52" s="172"/>
      <c r="D52" s="177"/>
      <c r="E52" s="174"/>
      <c r="F52" s="175"/>
      <c r="G52" s="176"/>
      <c r="H52" s="170"/>
      <c r="I52" s="170"/>
      <c r="J52" s="189"/>
      <c r="K52" s="172"/>
      <c r="L52" s="194"/>
      <c r="M52" s="195"/>
    </row>
    <row r="53" spans="1:13" ht="11.25" customHeight="1">
      <c r="A53" s="170" t="str">
        <f t="shared" si="5"/>
        <v xml:space="preserve"> </v>
      </c>
      <c r="B53" s="178"/>
      <c r="C53" s="172"/>
      <c r="D53" s="177"/>
      <c r="E53" s="174"/>
      <c r="F53" s="175"/>
      <c r="G53" s="176"/>
      <c r="H53" s="170"/>
      <c r="I53" s="170"/>
      <c r="J53" s="189"/>
      <c r="K53" s="383"/>
      <c r="L53" s="384"/>
      <c r="M53" s="385"/>
    </row>
    <row r="54" spans="1:13">
      <c r="A54" s="170" t="str">
        <f t="shared" si="5"/>
        <v xml:space="preserve"> </v>
      </c>
      <c r="B54" s="178"/>
      <c r="C54" s="172"/>
      <c r="D54" s="177"/>
      <c r="E54" s="174"/>
      <c r="F54" s="175"/>
      <c r="G54" s="176"/>
      <c r="H54" s="170"/>
      <c r="I54" s="170"/>
      <c r="J54" s="189"/>
      <c r="K54" s="383"/>
      <c r="L54" s="384"/>
      <c r="M54" s="385"/>
    </row>
    <row r="55" spans="1:13">
      <c r="A55" s="170" t="str">
        <f t="shared" si="5"/>
        <v xml:space="preserve"> </v>
      </c>
      <c r="B55" s="178"/>
      <c r="C55" s="172"/>
      <c r="D55" s="177"/>
      <c r="E55" s="174"/>
      <c r="F55" s="175"/>
      <c r="G55" s="176"/>
      <c r="H55" s="170"/>
      <c r="I55" s="170"/>
      <c r="J55" s="189"/>
      <c r="K55" s="383"/>
      <c r="L55" s="384"/>
      <c r="M55" s="385"/>
    </row>
    <row r="56" spans="1:13">
      <c r="A56" s="170" t="str">
        <f t="shared" si="5"/>
        <v xml:space="preserve"> </v>
      </c>
      <c r="B56" s="178"/>
      <c r="C56" s="172"/>
      <c r="D56" s="177"/>
      <c r="E56" s="174"/>
      <c r="F56" s="175"/>
      <c r="G56" s="176"/>
      <c r="H56" s="170"/>
      <c r="I56" s="170"/>
      <c r="J56" s="189"/>
      <c r="K56" s="383"/>
      <c r="L56" s="384"/>
      <c r="M56" s="385"/>
    </row>
    <row r="57" spans="1:13">
      <c r="A57" s="170" t="str">
        <f t="shared" si="5"/>
        <v xml:space="preserve"> </v>
      </c>
      <c r="B57" s="178"/>
      <c r="C57" s="172"/>
      <c r="D57" s="177"/>
      <c r="E57" s="174"/>
      <c r="F57" s="175"/>
      <c r="G57" s="176"/>
      <c r="H57" s="170"/>
      <c r="I57" s="170"/>
      <c r="J57" s="189"/>
      <c r="K57" s="383"/>
      <c r="L57" s="384"/>
      <c r="M57" s="385"/>
    </row>
    <row r="58" spans="1:13">
      <c r="A58" s="170" t="str">
        <f t="shared" si="5"/>
        <v xml:space="preserve"> </v>
      </c>
      <c r="B58" s="178"/>
      <c r="C58" s="172"/>
      <c r="D58" s="177"/>
      <c r="E58" s="174"/>
      <c r="F58" s="175"/>
      <c r="G58" s="176"/>
      <c r="H58" s="170"/>
      <c r="I58" s="170"/>
      <c r="J58" s="189"/>
      <c r="K58" s="190"/>
      <c r="L58" s="191"/>
      <c r="M58" s="192"/>
    </row>
    <row r="59" spans="1:13">
      <c r="A59" s="170" t="str">
        <f t="shared" si="5"/>
        <v xml:space="preserve"> </v>
      </c>
      <c r="B59" s="178"/>
      <c r="C59" s="172"/>
      <c r="D59" s="177"/>
      <c r="E59" s="174"/>
      <c r="F59" s="175"/>
      <c r="G59" s="176"/>
      <c r="H59" s="170"/>
      <c r="I59" s="170"/>
      <c r="J59" s="189"/>
      <c r="K59" s="172"/>
      <c r="L59" s="194"/>
      <c r="M59" s="195"/>
    </row>
    <row r="60" spans="1:13">
      <c r="A60" s="170" t="str">
        <f t="shared" si="5"/>
        <v xml:space="preserve"> </v>
      </c>
      <c r="B60" s="171"/>
      <c r="C60" s="172"/>
      <c r="D60" s="177"/>
      <c r="E60" s="174"/>
      <c r="F60" s="175"/>
      <c r="G60" s="176"/>
      <c r="H60" s="170"/>
      <c r="I60" s="170"/>
      <c r="J60" s="189"/>
      <c r="K60" s="172"/>
      <c r="L60" s="194"/>
      <c r="M60" s="195"/>
    </row>
    <row r="61" spans="1:13" ht="11.25" customHeight="1">
      <c r="A61" s="170" t="str">
        <f t="shared" si="5"/>
        <v xml:space="preserve"> </v>
      </c>
      <c r="B61" s="178"/>
      <c r="C61" s="172"/>
      <c r="D61" s="177"/>
      <c r="E61" s="174"/>
      <c r="F61" s="175"/>
      <c r="G61" s="176"/>
      <c r="H61" s="170"/>
      <c r="I61" s="170"/>
      <c r="J61" s="189"/>
      <c r="K61" s="383"/>
      <c r="L61" s="384"/>
      <c r="M61" s="385"/>
    </row>
    <row r="62" spans="1:13">
      <c r="A62" s="170" t="str">
        <f t="shared" si="5"/>
        <v xml:space="preserve"> </v>
      </c>
      <c r="B62" s="178"/>
      <c r="C62" s="172"/>
      <c r="D62" s="177"/>
      <c r="E62" s="174"/>
      <c r="F62" s="175"/>
      <c r="G62" s="176"/>
      <c r="H62" s="170"/>
      <c r="I62" s="170"/>
      <c r="J62" s="189"/>
      <c r="K62" s="383"/>
      <c r="L62" s="384"/>
      <c r="M62" s="385"/>
    </row>
    <row r="63" spans="1:13">
      <c r="A63" s="170" t="str">
        <f t="shared" si="5"/>
        <v xml:space="preserve"> </v>
      </c>
      <c r="B63" s="178"/>
      <c r="C63" s="172"/>
      <c r="D63" s="177"/>
      <c r="E63" s="174"/>
      <c r="F63" s="175"/>
      <c r="G63" s="176"/>
      <c r="H63" s="170"/>
      <c r="I63" s="170"/>
      <c r="J63" s="189"/>
      <c r="K63" s="383"/>
      <c r="L63" s="384"/>
      <c r="M63" s="385"/>
    </row>
    <row r="64" spans="1:13">
      <c r="A64" s="170" t="str">
        <f t="shared" si="5"/>
        <v xml:space="preserve"> </v>
      </c>
      <c r="B64" s="178"/>
      <c r="C64" s="172"/>
      <c r="D64" s="177"/>
      <c r="E64" s="174"/>
      <c r="F64" s="175"/>
      <c r="G64" s="176"/>
      <c r="H64" s="170"/>
      <c r="I64" s="170"/>
      <c r="J64" s="189"/>
      <c r="K64" s="383"/>
      <c r="L64" s="384"/>
      <c r="M64" s="385"/>
    </row>
    <row r="65" spans="1:13">
      <c r="A65" s="170" t="str">
        <f t="shared" si="5"/>
        <v xml:space="preserve"> </v>
      </c>
      <c r="B65" s="178"/>
      <c r="C65" s="172"/>
      <c r="D65" s="177"/>
      <c r="E65" s="174"/>
      <c r="F65" s="175"/>
      <c r="G65" s="176"/>
      <c r="H65" s="170"/>
      <c r="I65" s="170"/>
      <c r="J65" s="189"/>
      <c r="K65" s="383"/>
      <c r="L65" s="384"/>
      <c r="M65" s="385"/>
    </row>
    <row r="66" spans="1:13">
      <c r="A66" s="170" t="str">
        <f t="shared" si="5"/>
        <v xml:space="preserve"> </v>
      </c>
      <c r="B66" s="178"/>
      <c r="C66" s="172"/>
      <c r="D66" s="177"/>
      <c r="E66" s="174"/>
      <c r="F66" s="175"/>
      <c r="G66" s="176"/>
      <c r="H66" s="170"/>
      <c r="I66" s="170"/>
      <c r="J66" s="189"/>
      <c r="K66" s="190"/>
      <c r="L66" s="191"/>
      <c r="M66" s="192"/>
    </row>
    <row r="67" spans="1:13">
      <c r="A67" s="170" t="str">
        <f t="shared" si="5"/>
        <v xml:space="preserve"> </v>
      </c>
      <c r="B67" s="178"/>
      <c r="C67" s="172"/>
      <c r="D67" s="177"/>
      <c r="E67" s="174"/>
      <c r="F67" s="175"/>
      <c r="G67" s="176"/>
      <c r="H67" s="170"/>
      <c r="I67" s="170"/>
      <c r="J67" s="189"/>
      <c r="K67" s="172"/>
      <c r="L67" s="194"/>
      <c r="M67" s="195"/>
    </row>
    <row r="68" spans="1:13">
      <c r="A68" s="170" t="str">
        <f t="shared" si="5"/>
        <v xml:space="preserve"> </v>
      </c>
      <c r="B68" s="171"/>
      <c r="C68" s="172"/>
      <c r="D68" s="177"/>
      <c r="E68" s="174"/>
      <c r="F68" s="175"/>
      <c r="G68" s="176"/>
      <c r="H68" s="170"/>
      <c r="I68" s="170"/>
      <c r="J68" s="189"/>
      <c r="K68" s="172"/>
      <c r="L68" s="194"/>
      <c r="M68" s="195"/>
    </row>
    <row r="69" spans="1:13" ht="11.25" customHeight="1">
      <c r="A69" s="170" t="str">
        <f t="shared" si="5"/>
        <v xml:space="preserve"> </v>
      </c>
      <c r="B69" s="178"/>
      <c r="C69" s="172"/>
      <c r="D69" s="177"/>
      <c r="E69" s="174"/>
      <c r="F69" s="175"/>
      <c r="G69" s="176"/>
      <c r="H69" s="170"/>
      <c r="I69" s="170"/>
      <c r="J69" s="189"/>
      <c r="K69" s="383"/>
      <c r="L69" s="384"/>
      <c r="M69" s="385"/>
    </row>
    <row r="70" spans="1:13">
      <c r="A70" s="170" t="str">
        <f t="shared" si="5"/>
        <v xml:space="preserve"> </v>
      </c>
      <c r="B70" s="178"/>
      <c r="C70" s="172"/>
      <c r="D70" s="177"/>
      <c r="E70" s="174"/>
      <c r="F70" s="175"/>
      <c r="G70" s="176"/>
      <c r="H70" s="170"/>
      <c r="I70" s="170"/>
      <c r="J70" s="189"/>
      <c r="K70" s="383"/>
      <c r="L70" s="384"/>
      <c r="M70" s="385"/>
    </row>
    <row r="71" spans="1:13">
      <c r="A71" s="170" t="str">
        <f t="shared" si="5"/>
        <v xml:space="preserve"> </v>
      </c>
      <c r="B71" s="178"/>
      <c r="C71" s="172"/>
      <c r="D71" s="177"/>
      <c r="E71" s="174"/>
      <c r="F71" s="175"/>
      <c r="G71" s="176"/>
      <c r="H71" s="170"/>
      <c r="I71" s="170"/>
      <c r="J71" s="189"/>
      <c r="K71" s="383"/>
      <c r="L71" s="384"/>
      <c r="M71" s="385"/>
    </row>
    <row r="72" spans="1:13">
      <c r="A72" s="170" t="str">
        <f t="shared" si="5"/>
        <v xml:space="preserve"> </v>
      </c>
      <c r="B72" s="178"/>
      <c r="C72" s="172"/>
      <c r="D72" s="177"/>
      <c r="E72" s="174"/>
      <c r="F72" s="175"/>
      <c r="G72" s="176"/>
      <c r="H72" s="170"/>
      <c r="I72" s="170"/>
      <c r="J72" s="189"/>
      <c r="K72" s="383"/>
      <c r="L72" s="384"/>
      <c r="M72" s="385"/>
    </row>
    <row r="73" spans="1:13">
      <c r="A73" s="170" t="str">
        <f t="shared" si="5"/>
        <v xml:space="preserve"> </v>
      </c>
      <c r="B73" s="178"/>
      <c r="C73" s="172"/>
      <c r="D73" s="177"/>
      <c r="E73" s="174"/>
      <c r="F73" s="175"/>
      <c r="G73" s="176"/>
      <c r="H73" s="170"/>
      <c r="I73" s="170"/>
      <c r="J73" s="189"/>
      <c r="K73" s="383"/>
      <c r="L73" s="384"/>
      <c r="M73" s="385"/>
    </row>
    <row r="74" spans="1:13">
      <c r="A74" s="170" t="str">
        <f t="shared" si="5"/>
        <v xml:space="preserve"> </v>
      </c>
      <c r="B74" s="178"/>
      <c r="C74" s="172"/>
      <c r="D74" s="177"/>
      <c r="E74" s="174"/>
      <c r="F74" s="175"/>
      <c r="G74" s="176"/>
      <c r="H74" s="170"/>
      <c r="I74" s="170"/>
      <c r="J74" s="189"/>
      <c r="K74" s="190"/>
      <c r="L74" s="191"/>
      <c r="M74" s="192"/>
    </row>
    <row r="75" spans="1:13">
      <c r="A75" s="170" t="str">
        <f t="shared" ref="A75:A100" si="6">IF(B75=""," ",A74+1)</f>
        <v xml:space="preserve"> </v>
      </c>
      <c r="B75" s="178"/>
      <c r="C75" s="172"/>
      <c r="D75" s="177"/>
      <c r="E75" s="174"/>
      <c r="F75" s="175"/>
      <c r="G75" s="176"/>
      <c r="H75" s="170"/>
      <c r="I75" s="170"/>
      <c r="J75" s="189"/>
      <c r="K75" s="172"/>
      <c r="L75" s="194"/>
      <c r="M75" s="195"/>
    </row>
    <row r="76" spans="1:13">
      <c r="A76" s="170" t="str">
        <f t="shared" si="6"/>
        <v xml:space="preserve"> </v>
      </c>
      <c r="B76" s="171"/>
      <c r="C76" s="172"/>
      <c r="D76" s="177"/>
      <c r="E76" s="174"/>
      <c r="F76" s="175"/>
      <c r="G76" s="176"/>
      <c r="H76" s="170"/>
      <c r="I76" s="170"/>
      <c r="J76" s="189"/>
      <c r="K76" s="172"/>
      <c r="L76" s="194"/>
      <c r="M76" s="195"/>
    </row>
    <row r="77" spans="1:13" ht="11.25" customHeight="1">
      <c r="A77" s="170" t="str">
        <f t="shared" si="6"/>
        <v xml:space="preserve"> </v>
      </c>
      <c r="B77" s="178"/>
      <c r="C77" s="172"/>
      <c r="D77" s="177"/>
      <c r="E77" s="174"/>
      <c r="F77" s="175"/>
      <c r="G77" s="176"/>
      <c r="H77" s="170"/>
      <c r="I77" s="170"/>
      <c r="J77" s="189"/>
      <c r="K77" s="383"/>
      <c r="L77" s="384"/>
      <c r="M77" s="385"/>
    </row>
    <row r="78" spans="1:13">
      <c r="A78" s="170" t="str">
        <f t="shared" si="6"/>
        <v xml:space="preserve"> </v>
      </c>
      <c r="B78" s="178"/>
      <c r="C78" s="172"/>
      <c r="D78" s="177"/>
      <c r="E78" s="174"/>
      <c r="F78" s="175"/>
      <c r="G78" s="176"/>
      <c r="H78" s="170"/>
      <c r="I78" s="170"/>
      <c r="J78" s="189"/>
      <c r="K78" s="383"/>
      <c r="L78" s="384"/>
      <c r="M78" s="385"/>
    </row>
    <row r="79" spans="1:13">
      <c r="A79" s="170" t="str">
        <f t="shared" si="6"/>
        <v xml:space="preserve"> </v>
      </c>
      <c r="B79" s="178"/>
      <c r="C79" s="172"/>
      <c r="D79" s="177"/>
      <c r="E79" s="174"/>
      <c r="F79" s="175"/>
      <c r="G79" s="176"/>
      <c r="H79" s="170"/>
      <c r="I79" s="170"/>
      <c r="J79" s="189"/>
      <c r="K79" s="383"/>
      <c r="L79" s="384"/>
      <c r="M79" s="385"/>
    </row>
    <row r="80" spans="1:13">
      <c r="A80" s="170" t="str">
        <f t="shared" si="6"/>
        <v xml:space="preserve"> </v>
      </c>
      <c r="B80" s="178"/>
      <c r="C80" s="172"/>
      <c r="D80" s="177"/>
      <c r="E80" s="174"/>
      <c r="F80" s="175"/>
      <c r="G80" s="176"/>
      <c r="H80" s="170"/>
      <c r="I80" s="170"/>
      <c r="J80" s="189"/>
      <c r="K80" s="383"/>
      <c r="L80" s="384"/>
      <c r="M80" s="385"/>
    </row>
    <row r="81" spans="1:13">
      <c r="A81" s="170" t="str">
        <f t="shared" si="6"/>
        <v xml:space="preserve"> </v>
      </c>
      <c r="B81" s="178"/>
      <c r="C81" s="172"/>
      <c r="D81" s="177"/>
      <c r="E81" s="174"/>
      <c r="F81" s="175"/>
      <c r="G81" s="176"/>
      <c r="H81" s="170"/>
      <c r="I81" s="170"/>
      <c r="J81" s="189"/>
      <c r="K81" s="383"/>
      <c r="L81" s="384"/>
      <c r="M81" s="385"/>
    </row>
    <row r="82" spans="1:13">
      <c r="A82" s="170" t="str">
        <f t="shared" si="6"/>
        <v xml:space="preserve"> </v>
      </c>
      <c r="B82" s="178"/>
      <c r="C82" s="172"/>
      <c r="D82" s="177"/>
      <c r="E82" s="174"/>
      <c r="F82" s="175"/>
      <c r="G82" s="176"/>
      <c r="H82" s="170"/>
      <c r="I82" s="170"/>
      <c r="J82" s="189"/>
      <c r="K82" s="190"/>
      <c r="L82" s="191"/>
      <c r="M82" s="192"/>
    </row>
    <row r="83" spans="1:13">
      <c r="A83" s="170" t="str">
        <f t="shared" si="6"/>
        <v xml:space="preserve"> </v>
      </c>
      <c r="B83" s="178"/>
      <c r="C83" s="172"/>
      <c r="D83" s="177"/>
      <c r="E83" s="174"/>
      <c r="F83" s="175"/>
      <c r="G83" s="176"/>
      <c r="H83" s="170"/>
      <c r="I83" s="170"/>
      <c r="J83" s="189"/>
      <c r="K83" s="172"/>
      <c r="L83" s="194"/>
      <c r="M83" s="195"/>
    </row>
    <row r="84" spans="1:13">
      <c r="A84" s="170" t="str">
        <f t="shared" si="6"/>
        <v xml:space="preserve"> </v>
      </c>
      <c r="B84" s="171"/>
      <c r="C84" s="172"/>
      <c r="D84" s="177"/>
      <c r="E84" s="174"/>
      <c r="F84" s="175"/>
      <c r="G84" s="176"/>
      <c r="H84" s="170"/>
      <c r="I84" s="170"/>
      <c r="J84" s="189"/>
      <c r="K84" s="172"/>
      <c r="L84" s="194"/>
      <c r="M84" s="195"/>
    </row>
    <row r="85" spans="1:13" ht="11.25" customHeight="1">
      <c r="A85" s="170" t="str">
        <f t="shared" si="6"/>
        <v xml:space="preserve"> </v>
      </c>
      <c r="B85" s="178"/>
      <c r="C85" s="172"/>
      <c r="D85" s="177"/>
      <c r="E85" s="174"/>
      <c r="F85" s="175"/>
      <c r="G85" s="176"/>
      <c r="H85" s="170"/>
      <c r="I85" s="170"/>
      <c r="J85" s="189"/>
      <c r="K85" s="383"/>
      <c r="L85" s="384"/>
      <c r="M85" s="385"/>
    </row>
    <row r="86" spans="1:13">
      <c r="A86" s="170" t="str">
        <f t="shared" si="6"/>
        <v xml:space="preserve"> </v>
      </c>
      <c r="B86" s="178"/>
      <c r="C86" s="172"/>
      <c r="D86" s="177"/>
      <c r="E86" s="174"/>
      <c r="F86" s="175"/>
      <c r="G86" s="176"/>
      <c r="H86" s="170"/>
      <c r="I86" s="170"/>
      <c r="J86" s="189"/>
      <c r="K86" s="383"/>
      <c r="L86" s="384"/>
      <c r="M86" s="385"/>
    </row>
    <row r="87" spans="1:13">
      <c r="A87" s="170" t="str">
        <f t="shared" si="6"/>
        <v xml:space="preserve"> </v>
      </c>
      <c r="B87" s="178"/>
      <c r="C87" s="172"/>
      <c r="D87" s="177"/>
      <c r="E87" s="174"/>
      <c r="F87" s="175"/>
      <c r="G87" s="176"/>
      <c r="H87" s="170"/>
      <c r="I87" s="170"/>
      <c r="J87" s="189"/>
      <c r="K87" s="383"/>
      <c r="L87" s="384"/>
      <c r="M87" s="385"/>
    </row>
    <row r="88" spans="1:13">
      <c r="A88" s="170" t="str">
        <f t="shared" si="6"/>
        <v xml:space="preserve"> </v>
      </c>
      <c r="B88" s="178"/>
      <c r="C88" s="172"/>
      <c r="D88" s="177"/>
      <c r="E88" s="174"/>
      <c r="F88" s="175"/>
      <c r="G88" s="176"/>
      <c r="H88" s="170"/>
      <c r="I88" s="170"/>
      <c r="J88" s="189"/>
      <c r="K88" s="383"/>
      <c r="L88" s="384"/>
      <c r="M88" s="385"/>
    </row>
    <row r="89" spans="1:13">
      <c r="A89" s="170" t="str">
        <f t="shared" si="6"/>
        <v xml:space="preserve"> </v>
      </c>
      <c r="B89" s="178"/>
      <c r="C89" s="172"/>
      <c r="D89" s="177"/>
      <c r="E89" s="174"/>
      <c r="F89" s="175"/>
      <c r="G89" s="176"/>
      <c r="H89" s="170"/>
      <c r="I89" s="170"/>
      <c r="J89" s="189"/>
      <c r="K89" s="383"/>
      <c r="L89" s="384"/>
      <c r="M89" s="385"/>
    </row>
    <row r="90" spans="1:13">
      <c r="A90" s="170" t="str">
        <f t="shared" si="6"/>
        <v xml:space="preserve"> </v>
      </c>
      <c r="B90" s="178"/>
      <c r="C90" s="172"/>
      <c r="D90" s="177"/>
      <c r="E90" s="174"/>
      <c r="F90" s="175"/>
      <c r="G90" s="176"/>
      <c r="H90" s="170"/>
      <c r="I90" s="170"/>
      <c r="J90" s="189"/>
      <c r="K90" s="190"/>
      <c r="L90" s="191"/>
      <c r="M90" s="192"/>
    </row>
    <row r="91" spans="1:13">
      <c r="A91" s="170" t="str">
        <f t="shared" si="6"/>
        <v xml:space="preserve"> </v>
      </c>
      <c r="B91" s="178"/>
      <c r="C91" s="172"/>
      <c r="D91" s="177"/>
      <c r="E91" s="174"/>
      <c r="F91" s="175"/>
      <c r="G91" s="176"/>
      <c r="H91" s="170"/>
      <c r="I91" s="170"/>
      <c r="J91" s="189"/>
      <c r="K91" s="172"/>
      <c r="L91" s="194"/>
      <c r="M91" s="195"/>
    </row>
    <row r="92" spans="1:13">
      <c r="A92" s="170" t="str">
        <f t="shared" si="6"/>
        <v xml:space="preserve"> </v>
      </c>
      <c r="B92" s="171"/>
      <c r="C92" s="172"/>
      <c r="D92" s="177"/>
      <c r="E92" s="174"/>
      <c r="F92" s="175"/>
      <c r="G92" s="176"/>
      <c r="H92" s="170"/>
      <c r="I92" s="170"/>
      <c r="J92" s="189"/>
      <c r="K92" s="172"/>
      <c r="L92" s="194"/>
      <c r="M92" s="195"/>
    </row>
    <row r="93" spans="1:13">
      <c r="A93" s="170" t="str">
        <f t="shared" si="6"/>
        <v xml:space="preserve"> </v>
      </c>
      <c r="B93" s="178"/>
      <c r="C93" s="172"/>
      <c r="D93" s="177"/>
      <c r="E93" s="174"/>
      <c r="F93" s="175"/>
      <c r="G93" s="176"/>
      <c r="H93" s="170"/>
      <c r="I93" s="170"/>
      <c r="J93" s="189"/>
      <c r="K93" s="172"/>
      <c r="L93" s="194"/>
      <c r="M93" s="195"/>
    </row>
    <row r="94" spans="1:13">
      <c r="A94" s="170" t="str">
        <f t="shared" si="6"/>
        <v xml:space="preserve"> </v>
      </c>
      <c r="B94" s="171"/>
      <c r="C94" s="172"/>
      <c r="D94" s="177"/>
      <c r="E94" s="174"/>
      <c r="F94" s="175"/>
      <c r="G94" s="176"/>
      <c r="H94" s="170"/>
      <c r="I94" s="170"/>
      <c r="J94" s="189"/>
      <c r="K94" s="172"/>
      <c r="L94" s="194"/>
      <c r="M94" s="195"/>
    </row>
    <row r="95" spans="1:13" ht="11.25" customHeight="1">
      <c r="A95" s="170" t="str">
        <f t="shared" si="6"/>
        <v xml:space="preserve"> </v>
      </c>
      <c r="B95" s="178"/>
      <c r="C95" s="172"/>
      <c r="D95" s="177"/>
      <c r="E95" s="174"/>
      <c r="F95" s="175"/>
      <c r="G95" s="176"/>
      <c r="H95" s="170"/>
      <c r="I95" s="170"/>
      <c r="J95" s="189"/>
      <c r="K95" s="383"/>
      <c r="L95" s="384"/>
      <c r="M95" s="385"/>
    </row>
    <row r="96" spans="1:13">
      <c r="A96" s="170" t="str">
        <f t="shared" si="6"/>
        <v xml:space="preserve"> </v>
      </c>
      <c r="B96" s="178"/>
      <c r="C96" s="172"/>
      <c r="D96" s="177"/>
      <c r="E96" s="174"/>
      <c r="F96" s="175"/>
      <c r="G96" s="176"/>
      <c r="H96" s="170"/>
      <c r="I96" s="170"/>
      <c r="J96" s="189"/>
      <c r="K96" s="383"/>
      <c r="L96" s="384"/>
      <c r="M96" s="385"/>
    </row>
    <row r="97" spans="1:13">
      <c r="A97" s="170" t="str">
        <f t="shared" si="6"/>
        <v xml:space="preserve"> </v>
      </c>
      <c r="B97" s="178"/>
      <c r="C97" s="172"/>
      <c r="D97" s="177"/>
      <c r="E97" s="174"/>
      <c r="F97" s="175"/>
      <c r="G97" s="176"/>
      <c r="H97" s="170"/>
      <c r="I97" s="170"/>
      <c r="J97" s="189"/>
      <c r="K97" s="383"/>
      <c r="L97" s="384"/>
      <c r="M97" s="385"/>
    </row>
    <row r="98" spans="1:13">
      <c r="A98" s="170" t="str">
        <f t="shared" si="6"/>
        <v xml:space="preserve"> </v>
      </c>
      <c r="B98" s="178"/>
      <c r="C98" s="172"/>
      <c r="D98" s="177"/>
      <c r="E98" s="174"/>
      <c r="F98" s="175"/>
      <c r="G98" s="176"/>
      <c r="H98" s="170"/>
      <c r="I98" s="170"/>
      <c r="J98" s="189"/>
      <c r="K98" s="383"/>
      <c r="L98" s="384"/>
      <c r="M98" s="385"/>
    </row>
    <row r="99" spans="1:13">
      <c r="A99" s="170" t="str">
        <f t="shared" si="6"/>
        <v xml:space="preserve"> </v>
      </c>
      <c r="B99" s="178"/>
      <c r="C99" s="172"/>
      <c r="D99" s="177"/>
      <c r="E99" s="174"/>
      <c r="F99" s="175"/>
      <c r="G99" s="176"/>
      <c r="H99" s="170"/>
      <c r="I99" s="170"/>
      <c r="J99" s="189"/>
      <c r="K99" s="383"/>
      <c r="L99" s="384"/>
      <c r="M99" s="385"/>
    </row>
    <row r="100" spans="1:13">
      <c r="A100" s="170" t="str">
        <f t="shared" si="6"/>
        <v xml:space="preserve"> </v>
      </c>
      <c r="B100" s="178"/>
      <c r="C100" s="172"/>
      <c r="D100" s="177"/>
      <c r="E100" s="174"/>
      <c r="F100" s="175"/>
      <c r="G100" s="176"/>
      <c r="H100" s="170"/>
      <c r="I100" s="170"/>
      <c r="J100" s="189"/>
      <c r="K100" s="190"/>
      <c r="L100" s="191"/>
      <c r="M100" s="192"/>
    </row>
    <row r="102" spans="1:13">
      <c r="B102" s="75" t="s">
        <v>235</v>
      </c>
      <c r="C102" s="75"/>
      <c r="D102" s="75"/>
      <c r="E102" s="75"/>
      <c r="F102" s="75"/>
      <c r="G102" s="75"/>
      <c r="H102" s="75"/>
    </row>
    <row r="103" spans="1:13">
      <c r="B103" s="75"/>
      <c r="C103" s="75"/>
      <c r="D103" s="75"/>
      <c r="E103" s="75"/>
      <c r="F103" s="75"/>
      <c r="G103" s="75"/>
      <c r="H103" s="75"/>
    </row>
    <row r="104" spans="1:13">
      <c r="B104" s="75" t="s">
        <v>236</v>
      </c>
      <c r="C104" s="75" t="s">
        <v>238</v>
      </c>
      <c r="D104" s="75"/>
      <c r="E104" s="75"/>
      <c r="F104" s="75"/>
      <c r="G104" s="75"/>
      <c r="H104" s="75"/>
    </row>
    <row r="106" spans="1:13">
      <c r="B106" s="75" t="s">
        <v>1294</v>
      </c>
      <c r="C106" s="75" t="s">
        <v>457</v>
      </c>
      <c r="D106" s="75" t="s">
        <v>1507</v>
      </c>
      <c r="E106" s="75"/>
      <c r="F106" s="75" t="s">
        <v>174</v>
      </c>
      <c r="G106" s="75"/>
      <c r="H106" s="75"/>
    </row>
    <row r="107" spans="1:13">
      <c r="B107" s="75"/>
      <c r="C107" s="75"/>
      <c r="D107" s="75" t="s">
        <v>1508</v>
      </c>
      <c r="E107" s="75"/>
      <c r="F107" s="75" t="s">
        <v>164</v>
      </c>
      <c r="G107" s="75"/>
      <c r="H107" s="75"/>
    </row>
    <row r="108" spans="1:13">
      <c r="B108" s="75"/>
      <c r="C108" s="75"/>
      <c r="D108" s="75" t="s">
        <v>646</v>
      </c>
      <c r="E108" s="75"/>
      <c r="F108" s="75" t="s">
        <v>150</v>
      </c>
      <c r="G108" s="75"/>
      <c r="H108" s="75"/>
    </row>
    <row r="109" spans="1:13">
      <c r="B109" s="75"/>
      <c r="C109" s="75"/>
      <c r="D109" s="75" t="s">
        <v>596</v>
      </c>
      <c r="E109" s="75"/>
      <c r="F109" s="75" t="s">
        <v>150</v>
      </c>
      <c r="G109" s="75"/>
      <c r="H109" s="75"/>
    </row>
    <row r="110" spans="1:13">
      <c r="B110" s="75"/>
      <c r="C110" s="75"/>
      <c r="D110" s="75" t="s">
        <v>1509</v>
      </c>
      <c r="E110" s="75"/>
      <c r="F110" s="75" t="s">
        <v>161</v>
      </c>
      <c r="G110" s="75"/>
      <c r="H110" s="75"/>
    </row>
    <row r="111" spans="1:13">
      <c r="B111" s="75"/>
      <c r="C111" s="75"/>
      <c r="D111" s="75" t="s">
        <v>1510</v>
      </c>
      <c r="E111" s="75"/>
      <c r="F111" s="75" t="s">
        <v>150</v>
      </c>
      <c r="G111" s="75"/>
      <c r="H111" s="75"/>
    </row>
    <row r="112" spans="1:13">
      <c r="B112" s="75"/>
      <c r="D112" s="161" t="s">
        <v>676</v>
      </c>
      <c r="F112" s="75" t="s">
        <v>150</v>
      </c>
    </row>
    <row r="113" spans="1:8">
      <c r="C113" s="75" t="s">
        <v>1511</v>
      </c>
      <c r="D113" s="75" t="s">
        <v>1512</v>
      </c>
      <c r="E113" s="75"/>
      <c r="F113" s="75" t="s">
        <v>1513</v>
      </c>
      <c r="G113" s="75" t="s">
        <v>1475</v>
      </c>
      <c r="H113" s="75"/>
    </row>
    <row r="114" spans="1:8">
      <c r="C114" s="161" t="s">
        <v>1514</v>
      </c>
      <c r="D114" s="196" t="s">
        <v>960</v>
      </c>
      <c r="F114" s="161" t="s">
        <v>1515</v>
      </c>
    </row>
    <row r="116" spans="1:8">
      <c r="B116" s="75" t="s">
        <v>1516</v>
      </c>
      <c r="C116" s="75" t="s">
        <v>1442</v>
      </c>
    </row>
    <row r="118" spans="1:8">
      <c r="B118" s="75" t="s">
        <v>761</v>
      </c>
      <c r="C118" s="161" t="s">
        <v>1517</v>
      </c>
    </row>
    <row r="119" spans="1:8">
      <c r="C119" s="161" t="s">
        <v>1518</v>
      </c>
    </row>
    <row r="120" spans="1:8">
      <c r="C120" s="161" t="s">
        <v>1519</v>
      </c>
    </row>
    <row r="121" spans="1:8" s="75" customFormat="1">
      <c r="A121" s="76"/>
      <c r="C121" s="75" t="s">
        <v>1520</v>
      </c>
    </row>
    <row r="122" spans="1:8">
      <c r="C122" s="161" t="s">
        <v>1521</v>
      </c>
    </row>
    <row r="124" spans="1:8">
      <c r="B124" s="75" t="s">
        <v>591</v>
      </c>
      <c r="C124" s="161" t="s">
        <v>1522</v>
      </c>
    </row>
    <row r="126" spans="1:8">
      <c r="B126" s="75" t="s">
        <v>1199</v>
      </c>
      <c r="C126" s="75" t="s">
        <v>457</v>
      </c>
      <c r="D126" s="75" t="s">
        <v>812</v>
      </c>
      <c r="E126" s="75"/>
      <c r="F126" s="75"/>
      <c r="G126" s="75"/>
      <c r="H126" s="75"/>
    </row>
    <row r="128" spans="1:8">
      <c r="B128" s="75" t="s">
        <v>454</v>
      </c>
      <c r="C128" s="75" t="s">
        <v>1523</v>
      </c>
      <c r="D128" s="75" t="s">
        <v>1524</v>
      </c>
      <c r="E128" s="75"/>
      <c r="F128" s="75"/>
      <c r="G128" s="75"/>
      <c r="H128" s="75"/>
    </row>
    <row r="130" spans="2:6">
      <c r="B130" s="161" t="s">
        <v>1525</v>
      </c>
      <c r="C130" s="197" t="s">
        <v>457</v>
      </c>
      <c r="D130" s="197" t="s">
        <v>1526</v>
      </c>
      <c r="E130" s="197"/>
      <c r="F130" s="197"/>
    </row>
    <row r="131" spans="2:6">
      <c r="C131" s="197" t="s">
        <v>1523</v>
      </c>
      <c r="D131" s="197" t="s">
        <v>1527</v>
      </c>
      <c r="E131" s="197"/>
      <c r="F131" s="197"/>
    </row>
    <row r="132" spans="2:6">
      <c r="D132" s="197" t="s">
        <v>1528</v>
      </c>
      <c r="E132" s="197"/>
      <c r="F132" s="197"/>
    </row>
    <row r="133" spans="2:6">
      <c r="D133" s="197" t="s">
        <v>1529</v>
      </c>
      <c r="E133" s="197"/>
      <c r="F133" s="197"/>
    </row>
    <row r="134" spans="2:6">
      <c r="D134" s="197" t="s">
        <v>1530</v>
      </c>
      <c r="E134" s="197"/>
      <c r="F134" s="197"/>
    </row>
    <row r="135" spans="2:6">
      <c r="D135" s="197" t="s">
        <v>1531</v>
      </c>
      <c r="E135" s="197"/>
      <c r="F135" s="197"/>
    </row>
    <row r="136" spans="2:6">
      <c r="D136" s="197" t="s">
        <v>1532</v>
      </c>
      <c r="E136" s="197"/>
      <c r="F136" s="197"/>
    </row>
  </sheetData>
  <mergeCells count="87">
    <mergeCell ref="K97:M97"/>
    <mergeCell ref="K98:M98"/>
    <mergeCell ref="K99:M99"/>
    <mergeCell ref="A5:A6"/>
    <mergeCell ref="K5:M6"/>
    <mergeCell ref="K20:M20"/>
    <mergeCell ref="K87:M87"/>
    <mergeCell ref="K88:M88"/>
    <mergeCell ref="K89:M89"/>
    <mergeCell ref="K95:M95"/>
    <mergeCell ref="K96:M96"/>
    <mergeCell ref="K79:M79"/>
    <mergeCell ref="K80:M80"/>
    <mergeCell ref="K81:M81"/>
    <mergeCell ref="K85:M85"/>
    <mergeCell ref="K86:M86"/>
    <mergeCell ref="K71:M71"/>
    <mergeCell ref="K72:M72"/>
    <mergeCell ref="K73:M73"/>
    <mergeCell ref="K77:M77"/>
    <mergeCell ref="K78:M78"/>
    <mergeCell ref="K63:M63"/>
    <mergeCell ref="K64:M64"/>
    <mergeCell ref="K65:M65"/>
    <mergeCell ref="K69:M69"/>
    <mergeCell ref="K70:M70"/>
    <mergeCell ref="K55:M55"/>
    <mergeCell ref="K56:M56"/>
    <mergeCell ref="K57:M57"/>
    <mergeCell ref="K61:M61"/>
    <mergeCell ref="K62:M62"/>
    <mergeCell ref="K47:M47"/>
    <mergeCell ref="K48:M48"/>
    <mergeCell ref="K49:M49"/>
    <mergeCell ref="K53:M53"/>
    <mergeCell ref="K54:M54"/>
    <mergeCell ref="K42:M42"/>
    <mergeCell ref="K43:M43"/>
    <mergeCell ref="K44:M44"/>
    <mergeCell ref="K45:M45"/>
    <mergeCell ref="K46:M46"/>
    <mergeCell ref="K37:M37"/>
    <mergeCell ref="K38:M38"/>
    <mergeCell ref="K39:M39"/>
    <mergeCell ref="K40:M40"/>
    <mergeCell ref="K41:M41"/>
    <mergeCell ref="K33:M33"/>
    <mergeCell ref="K34:M34"/>
    <mergeCell ref="K35:M35"/>
    <mergeCell ref="K36:M36"/>
    <mergeCell ref="K28:M28"/>
    <mergeCell ref="K29:M29"/>
    <mergeCell ref="K30:M30"/>
    <mergeCell ref="K31:M31"/>
    <mergeCell ref="K32:M32"/>
    <mergeCell ref="K23:M23"/>
    <mergeCell ref="K24:M24"/>
    <mergeCell ref="K25:M25"/>
    <mergeCell ref="K26:M26"/>
    <mergeCell ref="K27:M27"/>
    <mergeCell ref="K17:M17"/>
    <mergeCell ref="K18:M18"/>
    <mergeCell ref="K19:M19"/>
    <mergeCell ref="K21:M21"/>
    <mergeCell ref="K22:M22"/>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59" t="s">
        <v>136</v>
      </c>
      <c r="B2" s="260"/>
      <c r="C2" s="259" t="s">
        <v>1</v>
      </c>
      <c r="D2" s="261"/>
      <c r="E2" s="261"/>
      <c r="F2" s="261"/>
      <c r="G2" s="260"/>
      <c r="H2" s="259"/>
      <c r="I2" s="261"/>
      <c r="J2" s="260"/>
      <c r="K2" s="89"/>
      <c r="L2" s="78" t="s">
        <v>137</v>
      </c>
      <c r="M2" s="78" t="s">
        <v>138</v>
      </c>
    </row>
    <row r="3" spans="1:16">
      <c r="A3" s="262"/>
      <c r="B3" s="263"/>
      <c r="C3" s="353" t="s">
        <v>1533</v>
      </c>
      <c r="D3" s="354"/>
      <c r="E3" s="354"/>
      <c r="F3" s="354"/>
      <c r="G3" s="355"/>
      <c r="H3" s="259" t="s">
        <v>140</v>
      </c>
      <c r="I3" s="260"/>
      <c r="J3" s="90">
        <f>COUNT(A7:A100)</f>
        <v>13</v>
      </c>
      <c r="K3" s="78" t="s">
        <v>141</v>
      </c>
      <c r="L3" s="91">
        <v>38671</v>
      </c>
      <c r="M3" s="92" t="s">
        <v>148</v>
      </c>
      <c r="O3" s="129" t="s">
        <v>143</v>
      </c>
      <c r="P3" s="129" t="s">
        <v>144</v>
      </c>
    </row>
    <row r="4" spans="1:16">
      <c r="A4" s="267" t="s">
        <v>145</v>
      </c>
      <c r="B4" s="268"/>
      <c r="C4" s="356" t="s">
        <v>68</v>
      </c>
      <c r="D4" s="357"/>
      <c r="E4" s="357"/>
      <c r="F4" s="357"/>
      <c r="G4" s="358"/>
      <c r="H4" s="259" t="s">
        <v>146</v>
      </c>
      <c r="I4" s="260"/>
      <c r="J4" s="90">
        <f>SUM(G7:G100)</f>
        <v>80</v>
      </c>
      <c r="K4" s="78" t="s">
        <v>147</v>
      </c>
      <c r="L4" s="91">
        <v>38878</v>
      </c>
      <c r="M4" s="83" t="s">
        <v>148</v>
      </c>
      <c r="O4" s="129" t="s">
        <v>149</v>
      </c>
      <c r="P4" s="129" t="s">
        <v>150</v>
      </c>
    </row>
    <row r="5" spans="1:16">
      <c r="A5" s="283" t="s">
        <v>0</v>
      </c>
      <c r="B5" s="259" t="s">
        <v>151</v>
      </c>
      <c r="C5" s="261"/>
      <c r="D5" s="270" t="s">
        <v>152</v>
      </c>
      <c r="E5" s="261"/>
      <c r="F5" s="261"/>
      <c r="G5" s="261"/>
      <c r="H5" s="261"/>
      <c r="I5" s="259" t="s">
        <v>153</v>
      </c>
      <c r="J5" s="260"/>
      <c r="K5" s="285" t="s">
        <v>4</v>
      </c>
      <c r="L5" s="286"/>
      <c r="M5" s="287"/>
      <c r="P5" s="129" t="s">
        <v>154</v>
      </c>
    </row>
    <row r="6" spans="1:16">
      <c r="A6" s="284"/>
      <c r="B6" s="78" t="s">
        <v>5</v>
      </c>
      <c r="C6" s="79" t="s">
        <v>6</v>
      </c>
      <c r="D6" s="80" t="s">
        <v>144</v>
      </c>
      <c r="E6" s="81" t="s">
        <v>155</v>
      </c>
      <c r="F6" s="82" t="s">
        <v>156</v>
      </c>
      <c r="G6" s="78" t="s">
        <v>157</v>
      </c>
      <c r="H6" s="77" t="s">
        <v>158</v>
      </c>
      <c r="I6" s="77" t="s">
        <v>159</v>
      </c>
      <c r="J6" s="77" t="s">
        <v>160</v>
      </c>
      <c r="K6" s="305"/>
      <c r="L6" s="306"/>
      <c r="M6" s="307"/>
      <c r="P6" s="129" t="s">
        <v>161</v>
      </c>
    </row>
    <row r="7" spans="1:16" s="128" customFormat="1">
      <c r="A7" s="131">
        <v>1</v>
      </c>
      <c r="B7" s="132" t="s">
        <v>812</v>
      </c>
      <c r="C7" s="133" t="s">
        <v>813</v>
      </c>
      <c r="D7" s="139" t="s">
        <v>164</v>
      </c>
      <c r="E7" s="135"/>
      <c r="F7" s="136"/>
      <c r="G7" s="87">
        <f t="shared" ref="G7:G19" si="0">IF(D7="DATE",4,IF(D7="CHAR",E7,IF(D7="SMALLINT",2,IF(D7="INTEGER",4,IF(D7="TIMESTAMP",10,IF(D7="TIME",3,0))))))</f>
        <v>4</v>
      </c>
      <c r="H7" s="131" t="s">
        <v>149</v>
      </c>
      <c r="I7" s="131" t="s">
        <v>149</v>
      </c>
      <c r="J7" s="146"/>
      <c r="K7" s="341"/>
      <c r="L7" s="342"/>
      <c r="M7" s="343"/>
      <c r="P7" s="128" t="s">
        <v>165</v>
      </c>
    </row>
    <row r="8" spans="1:16" s="128" customFormat="1">
      <c r="A8" s="131">
        <f t="shared" ref="A8:A19" si="1">IF(B8=""," ",A7+1)</f>
        <v>2</v>
      </c>
      <c r="B8" s="132" t="s">
        <v>460</v>
      </c>
      <c r="C8" s="138" t="s">
        <v>461</v>
      </c>
      <c r="D8" s="139" t="s">
        <v>164</v>
      </c>
      <c r="E8" s="135"/>
      <c r="F8" s="136"/>
      <c r="G8" s="87">
        <f t="shared" si="0"/>
        <v>4</v>
      </c>
      <c r="H8" s="131" t="s">
        <v>149</v>
      </c>
      <c r="I8" s="131" t="s">
        <v>149</v>
      </c>
      <c r="J8" s="146"/>
      <c r="K8" s="138"/>
      <c r="L8" s="147"/>
      <c r="M8" s="148"/>
    </row>
    <row r="9" spans="1:16" s="128" customFormat="1" ht="11.25" customHeight="1">
      <c r="A9" s="131">
        <f t="shared" si="1"/>
        <v>3</v>
      </c>
      <c r="B9" s="132" t="s">
        <v>462</v>
      </c>
      <c r="C9" s="138" t="s">
        <v>463</v>
      </c>
      <c r="D9" s="139" t="s">
        <v>150</v>
      </c>
      <c r="E9" s="135">
        <v>20</v>
      </c>
      <c r="F9" s="136"/>
      <c r="G9" s="87">
        <f t="shared" si="0"/>
        <v>20</v>
      </c>
      <c r="H9" s="131" t="s">
        <v>149</v>
      </c>
      <c r="I9" s="131" t="s">
        <v>149</v>
      </c>
      <c r="J9" s="146"/>
      <c r="K9" s="138"/>
      <c r="L9" s="147"/>
      <c r="M9" s="148"/>
      <c r="P9" s="128" t="s">
        <v>164</v>
      </c>
    </row>
    <row r="10" spans="1:16" s="75" customFormat="1" ht="27" customHeight="1">
      <c r="A10" s="131">
        <f t="shared" si="1"/>
        <v>4</v>
      </c>
      <c r="B10" s="11" t="s">
        <v>464</v>
      </c>
      <c r="C10" s="19" t="s">
        <v>465</v>
      </c>
      <c r="D10" s="88" t="s">
        <v>150</v>
      </c>
      <c r="E10" s="85">
        <v>1</v>
      </c>
      <c r="F10" s="86"/>
      <c r="G10" s="87">
        <f t="shared" si="0"/>
        <v>1</v>
      </c>
      <c r="H10" s="131" t="s">
        <v>149</v>
      </c>
      <c r="I10" s="83"/>
      <c r="J10" s="93"/>
      <c r="K10" s="271" t="s">
        <v>171</v>
      </c>
      <c r="L10" s="272"/>
      <c r="M10" s="273"/>
    </row>
    <row r="11" spans="1:16" s="128" customFormat="1">
      <c r="A11" s="131">
        <f t="shared" si="1"/>
        <v>5</v>
      </c>
      <c r="B11" s="132" t="s">
        <v>646</v>
      </c>
      <c r="C11" s="133" t="s">
        <v>647</v>
      </c>
      <c r="D11" s="134" t="s">
        <v>150</v>
      </c>
      <c r="E11" s="135">
        <v>10</v>
      </c>
      <c r="F11" s="136"/>
      <c r="G11" s="87">
        <f t="shared" si="0"/>
        <v>10</v>
      </c>
      <c r="H11" s="131" t="s">
        <v>149</v>
      </c>
      <c r="I11" s="131" t="s">
        <v>149</v>
      </c>
      <c r="J11" s="146"/>
      <c r="K11" s="341"/>
      <c r="L11" s="342"/>
      <c r="M11" s="343"/>
    </row>
    <row r="12" spans="1:16" ht="11.25" customHeight="1">
      <c r="A12" s="131">
        <f t="shared" si="1"/>
        <v>6</v>
      </c>
      <c r="B12" s="20" t="s">
        <v>1534</v>
      </c>
      <c r="C12" s="133" t="s">
        <v>1535</v>
      </c>
      <c r="D12" s="134" t="s">
        <v>150</v>
      </c>
      <c r="E12" s="135">
        <v>2</v>
      </c>
      <c r="F12" s="136"/>
      <c r="G12" s="87">
        <f t="shared" si="0"/>
        <v>2</v>
      </c>
      <c r="H12" s="131" t="s">
        <v>149</v>
      </c>
      <c r="I12" s="131" t="s">
        <v>149</v>
      </c>
      <c r="J12" s="146"/>
      <c r="K12" s="154"/>
      <c r="L12" s="155"/>
      <c r="M12" s="156"/>
    </row>
    <row r="13" spans="1:16" s="128" customFormat="1">
      <c r="A13" s="131">
        <f t="shared" si="1"/>
        <v>7</v>
      </c>
      <c r="B13" s="11" t="s">
        <v>825</v>
      </c>
      <c r="C13" s="133" t="s">
        <v>826</v>
      </c>
      <c r="D13" s="134" t="s">
        <v>161</v>
      </c>
      <c r="E13" s="135"/>
      <c r="F13" s="136"/>
      <c r="G13" s="87">
        <f t="shared" si="0"/>
        <v>4</v>
      </c>
      <c r="H13" s="131" t="s">
        <v>149</v>
      </c>
      <c r="I13" s="131"/>
      <c r="J13" s="146"/>
      <c r="K13" s="347"/>
      <c r="L13" s="348"/>
      <c r="M13" s="349"/>
    </row>
    <row r="14" spans="1:16" s="128" customFormat="1">
      <c r="A14" s="131">
        <f t="shared" si="1"/>
        <v>8</v>
      </c>
      <c r="B14" s="21" t="s">
        <v>1536</v>
      </c>
      <c r="C14" s="133" t="s">
        <v>1537</v>
      </c>
      <c r="D14" s="134" t="s">
        <v>150</v>
      </c>
      <c r="E14" s="135">
        <v>10</v>
      </c>
      <c r="F14" s="136"/>
      <c r="G14" s="87">
        <f t="shared" si="0"/>
        <v>10</v>
      </c>
      <c r="H14" s="131" t="s">
        <v>149</v>
      </c>
      <c r="I14" s="131"/>
      <c r="J14" s="146"/>
      <c r="K14" s="133"/>
      <c r="L14" s="149"/>
      <c r="M14" s="150"/>
    </row>
    <row r="15" spans="1:16" ht="11.25" customHeight="1">
      <c r="A15" s="131">
        <f t="shared" si="1"/>
        <v>9</v>
      </c>
      <c r="B15" s="20" t="s">
        <v>1538</v>
      </c>
      <c r="C15" s="133" t="s">
        <v>1539</v>
      </c>
      <c r="D15" s="134" t="s">
        <v>174</v>
      </c>
      <c r="E15" s="135"/>
      <c r="F15" s="136"/>
      <c r="G15" s="87">
        <f t="shared" si="0"/>
        <v>2</v>
      </c>
      <c r="H15" s="131" t="s">
        <v>149</v>
      </c>
      <c r="I15" s="131"/>
      <c r="J15" s="146"/>
      <c r="K15" s="154"/>
      <c r="L15" s="155"/>
      <c r="M15" s="156"/>
    </row>
    <row r="16" spans="1:16">
      <c r="A16" s="131">
        <f t="shared" si="1"/>
        <v>10</v>
      </c>
      <c r="B16" s="152" t="s">
        <v>1540</v>
      </c>
      <c r="C16" s="133" t="s">
        <v>1541</v>
      </c>
      <c r="D16" s="134" t="s">
        <v>150</v>
      </c>
      <c r="E16" s="135">
        <v>10</v>
      </c>
      <c r="F16" s="136"/>
      <c r="G16" s="87">
        <f t="shared" si="0"/>
        <v>10</v>
      </c>
      <c r="H16" s="131" t="s">
        <v>149</v>
      </c>
      <c r="I16" s="131"/>
      <c r="J16" s="146"/>
      <c r="K16" s="344"/>
      <c r="L16" s="345"/>
      <c r="M16" s="346"/>
    </row>
    <row r="17" spans="1:13" s="128" customFormat="1">
      <c r="A17" s="131">
        <f t="shared" si="1"/>
        <v>11</v>
      </c>
      <c r="B17" s="153" t="s">
        <v>1542</v>
      </c>
      <c r="C17" s="143" t="s">
        <v>1543</v>
      </c>
      <c r="D17" s="144" t="s">
        <v>174</v>
      </c>
      <c r="E17" s="135"/>
      <c r="F17" s="136"/>
      <c r="G17" s="87">
        <f t="shared" si="0"/>
        <v>2</v>
      </c>
      <c r="H17" s="131" t="s">
        <v>149</v>
      </c>
      <c r="I17" s="131"/>
      <c r="J17" s="146"/>
      <c r="K17" s="347"/>
      <c r="L17" s="348"/>
      <c r="M17" s="349"/>
    </row>
    <row r="18" spans="1:13" s="128" customFormat="1" ht="11.25" customHeight="1">
      <c r="A18" s="131">
        <f t="shared" si="1"/>
        <v>12</v>
      </c>
      <c r="B18" s="141" t="s">
        <v>1544</v>
      </c>
      <c r="C18" s="133" t="s">
        <v>1545</v>
      </c>
      <c r="D18" s="134" t="s">
        <v>150</v>
      </c>
      <c r="E18" s="135">
        <v>1</v>
      </c>
      <c r="F18" s="136"/>
      <c r="G18" s="87">
        <f t="shared" si="0"/>
        <v>1</v>
      </c>
      <c r="H18" s="131" t="s">
        <v>149</v>
      </c>
      <c r="I18" s="131"/>
      <c r="J18" s="146"/>
      <c r="K18" s="350"/>
      <c r="L18" s="351"/>
      <c r="M18" s="352"/>
    </row>
    <row r="19" spans="1:13">
      <c r="A19" s="131">
        <f t="shared" si="1"/>
        <v>13</v>
      </c>
      <c r="B19" s="141" t="s">
        <v>232</v>
      </c>
      <c r="C19" s="133" t="s">
        <v>233</v>
      </c>
      <c r="D19" s="134" t="s">
        <v>234</v>
      </c>
      <c r="E19" s="135"/>
      <c r="F19" s="136"/>
      <c r="G19" s="87">
        <f t="shared" si="0"/>
        <v>10</v>
      </c>
      <c r="H19" s="131" t="s">
        <v>149</v>
      </c>
      <c r="I19" s="131"/>
      <c r="J19" s="146"/>
      <c r="K19" s="133"/>
      <c r="L19" s="149"/>
      <c r="M19" s="150"/>
    </row>
    <row r="20" spans="1:13" s="128" customFormat="1">
      <c r="A20" s="131"/>
      <c r="B20" s="141"/>
      <c r="C20" s="133"/>
      <c r="D20" s="134"/>
      <c r="E20" s="135"/>
      <c r="F20" s="136"/>
      <c r="G20" s="142"/>
      <c r="H20" s="131"/>
      <c r="I20" s="131"/>
      <c r="J20" s="146"/>
      <c r="K20" s="350"/>
      <c r="L20" s="351"/>
      <c r="M20" s="352"/>
    </row>
    <row r="21" spans="1:13" s="128" customFormat="1">
      <c r="A21" s="131"/>
      <c r="B21" s="141"/>
      <c r="C21" s="133"/>
      <c r="D21" s="134"/>
      <c r="E21" s="135"/>
      <c r="F21" s="136"/>
      <c r="G21" s="142"/>
      <c r="H21" s="131"/>
      <c r="I21" s="131"/>
      <c r="J21" s="146"/>
      <c r="K21" s="347"/>
      <c r="L21" s="348"/>
      <c r="M21" s="349"/>
    </row>
    <row r="22" spans="1:13" s="128" customFormat="1">
      <c r="A22" s="131"/>
      <c r="B22" s="141"/>
      <c r="C22" s="133"/>
      <c r="D22" s="134"/>
      <c r="E22" s="135"/>
      <c r="F22" s="136"/>
      <c r="G22" s="142"/>
      <c r="H22" s="131"/>
      <c r="I22" s="131"/>
      <c r="J22" s="146"/>
      <c r="K22" s="350"/>
      <c r="L22" s="351"/>
      <c r="M22" s="352"/>
    </row>
    <row r="23" spans="1:13" s="128" customFormat="1">
      <c r="A23" s="131"/>
      <c r="B23" s="132"/>
      <c r="C23" s="133"/>
      <c r="D23" s="134"/>
      <c r="E23" s="135"/>
      <c r="F23" s="136"/>
      <c r="G23" s="142"/>
      <c r="H23" s="131"/>
      <c r="I23" s="131"/>
      <c r="J23" s="146"/>
      <c r="K23" s="344"/>
      <c r="L23" s="345"/>
      <c r="M23" s="346"/>
    </row>
    <row r="24" spans="1:13">
      <c r="A24" s="131" t="str">
        <f>IF(B24=""," ",#REF!+1)</f>
        <v xml:space="preserve"> </v>
      </c>
      <c r="B24" s="141"/>
      <c r="C24" s="133"/>
      <c r="D24" s="134"/>
      <c r="E24" s="135"/>
      <c r="F24" s="136"/>
      <c r="G24" s="142"/>
      <c r="H24" s="131"/>
      <c r="I24" s="131"/>
      <c r="J24" s="146"/>
      <c r="K24" s="344"/>
      <c r="L24" s="345"/>
      <c r="M24" s="346"/>
    </row>
    <row r="25" spans="1:13">
      <c r="A25" s="131"/>
      <c r="B25" s="141"/>
      <c r="C25" s="133"/>
      <c r="D25" s="134"/>
      <c r="E25" s="135"/>
      <c r="F25" s="136"/>
      <c r="G25" s="142"/>
      <c r="H25" s="131"/>
      <c r="I25" s="131"/>
      <c r="J25" s="146"/>
      <c r="K25" s="344"/>
      <c r="L25" s="345"/>
      <c r="M25" s="346"/>
    </row>
    <row r="26" spans="1:13">
      <c r="A26" s="131" t="str">
        <f>IF(B26=""," ",A25+1)</f>
        <v xml:space="preserve"> </v>
      </c>
      <c r="B26" s="141"/>
      <c r="C26" s="133"/>
      <c r="D26" s="134"/>
      <c r="E26" s="135"/>
      <c r="F26" s="136"/>
      <c r="G26" s="142"/>
      <c r="H26" s="131"/>
      <c r="I26" s="131"/>
      <c r="J26" s="146"/>
      <c r="K26" s="344"/>
      <c r="L26" s="345"/>
      <c r="M26" s="346"/>
    </row>
    <row r="27" spans="1:13">
      <c r="A27" s="131" t="str">
        <f>IF(B27=""," ",#REF!+1)</f>
        <v xml:space="preserve"> </v>
      </c>
      <c r="B27" s="141"/>
      <c r="C27" s="133"/>
      <c r="D27" s="134"/>
      <c r="E27" s="135"/>
      <c r="F27" s="136"/>
      <c r="G27" s="142"/>
      <c r="H27" s="131"/>
      <c r="I27" s="131"/>
      <c r="J27" s="146"/>
      <c r="K27" s="344"/>
      <c r="L27" s="345"/>
      <c r="M27" s="346"/>
    </row>
    <row r="28" spans="1:13">
      <c r="A28" s="131" t="str">
        <f>IF(B28=""," ",A27+1)</f>
        <v xml:space="preserve"> </v>
      </c>
      <c r="B28" s="141"/>
      <c r="C28" s="133"/>
      <c r="D28" s="134"/>
      <c r="E28" s="135"/>
      <c r="F28" s="136"/>
      <c r="G28" s="142"/>
      <c r="H28" s="131"/>
      <c r="I28" s="131"/>
      <c r="J28" s="146"/>
      <c r="K28" s="344"/>
      <c r="L28" s="345"/>
      <c r="M28" s="346"/>
    </row>
    <row r="29" spans="1:13">
      <c r="A29" s="131" t="str">
        <f>IF(B29=""," ",A28+1)</f>
        <v xml:space="preserve"> </v>
      </c>
      <c r="B29" s="141"/>
      <c r="C29" s="133"/>
      <c r="D29" s="134"/>
      <c r="E29" s="135"/>
      <c r="F29" s="136"/>
      <c r="G29" s="142"/>
      <c r="H29" s="131"/>
      <c r="I29" s="131"/>
      <c r="J29" s="146"/>
      <c r="K29" s="344"/>
      <c r="L29" s="345"/>
      <c r="M29" s="346"/>
    </row>
    <row r="30" spans="1:13" ht="11.25" customHeight="1">
      <c r="A30" s="131" t="str">
        <f>IF(B30=""," ",A23+1)</f>
        <v xml:space="preserve"> </v>
      </c>
      <c r="B30" s="141"/>
      <c r="C30" s="133"/>
      <c r="D30" s="134"/>
      <c r="E30" s="135"/>
      <c r="F30" s="136"/>
      <c r="G30" s="142"/>
      <c r="H30" s="131"/>
      <c r="I30" s="131"/>
      <c r="J30" s="146"/>
      <c r="K30" s="344"/>
      <c r="L30" s="345"/>
      <c r="M30" s="346"/>
    </row>
    <row r="31" spans="1:13">
      <c r="A31" s="131" t="str">
        <f>IF(B31=""," ",A30+1)</f>
        <v xml:space="preserve"> </v>
      </c>
      <c r="B31" s="141"/>
      <c r="C31" s="133"/>
      <c r="D31" s="134"/>
      <c r="E31" s="135"/>
      <c r="F31" s="136"/>
      <c r="G31" s="142"/>
      <c r="H31" s="131"/>
      <c r="I31" s="131"/>
      <c r="J31" s="146"/>
      <c r="K31" s="344"/>
      <c r="L31" s="345"/>
      <c r="M31" s="346"/>
    </row>
    <row r="32" spans="1:13">
      <c r="A32" s="131" t="str">
        <f>IF(B32=""," ",A31+1)</f>
        <v xml:space="preserve"> </v>
      </c>
      <c r="B32" s="141"/>
      <c r="C32" s="133"/>
      <c r="D32" s="134"/>
      <c r="E32" s="135"/>
      <c r="F32" s="136"/>
      <c r="G32" s="142"/>
      <c r="H32" s="131"/>
      <c r="I32" s="131"/>
      <c r="J32" s="146"/>
      <c r="K32" s="344"/>
      <c r="L32" s="345"/>
      <c r="M32" s="346"/>
    </row>
    <row r="33" spans="1:13">
      <c r="A33" s="131" t="str">
        <f>IF(B33=""," ",A32+1)</f>
        <v xml:space="preserve"> </v>
      </c>
      <c r="B33" s="141"/>
      <c r="C33" s="133"/>
      <c r="D33" s="134"/>
      <c r="E33" s="135"/>
      <c r="F33" s="136"/>
      <c r="G33" s="142"/>
      <c r="H33" s="131"/>
      <c r="I33" s="131"/>
      <c r="J33" s="146"/>
      <c r="K33" s="344"/>
      <c r="L33" s="345"/>
      <c r="M33" s="346"/>
    </row>
    <row r="34" spans="1:13">
      <c r="A34" s="131" t="str">
        <f>IF(B34=""," ",A33+1)</f>
        <v xml:space="preserve"> </v>
      </c>
      <c r="B34" s="141"/>
      <c r="C34" s="133"/>
      <c r="D34" s="134"/>
      <c r="E34" s="135"/>
      <c r="F34" s="136"/>
      <c r="G34" s="142"/>
      <c r="H34" s="131"/>
      <c r="I34" s="131"/>
      <c r="J34" s="146"/>
      <c r="K34" s="344"/>
      <c r="L34" s="345"/>
      <c r="M34" s="346"/>
    </row>
    <row r="35" spans="1:13">
      <c r="A35" s="131" t="str">
        <f>IF(B35=""," ",A34+1)</f>
        <v xml:space="preserve"> </v>
      </c>
      <c r="B35" s="141"/>
      <c r="C35" s="133"/>
      <c r="D35" s="134"/>
      <c r="E35" s="135"/>
      <c r="F35" s="136"/>
      <c r="G35" s="142"/>
      <c r="H35" s="131"/>
      <c r="I35" s="131"/>
      <c r="J35" s="146"/>
      <c r="K35" s="157"/>
      <c r="L35" s="158"/>
      <c r="M35" s="159"/>
    </row>
    <row r="36" spans="1:13" ht="11.25" customHeight="1">
      <c r="A36" s="131" t="str">
        <f>IF(B36=""," ",A23+1)</f>
        <v xml:space="preserve"> </v>
      </c>
      <c r="B36" s="141"/>
      <c r="C36" s="133"/>
      <c r="D36" s="134"/>
      <c r="E36" s="135"/>
      <c r="F36" s="136"/>
      <c r="G36" s="142"/>
      <c r="H36" s="131"/>
      <c r="I36" s="131"/>
      <c r="J36" s="146"/>
      <c r="K36" s="344"/>
      <c r="L36" s="345"/>
      <c r="M36" s="346"/>
    </row>
    <row r="37" spans="1:13">
      <c r="A37" s="131" t="str">
        <f>IF(B37=""," ",A36+1)</f>
        <v xml:space="preserve"> </v>
      </c>
      <c r="B37" s="141"/>
      <c r="C37" s="133"/>
      <c r="D37" s="134"/>
      <c r="E37" s="135"/>
      <c r="F37" s="136"/>
      <c r="G37" s="142"/>
      <c r="H37" s="131"/>
      <c r="I37" s="131"/>
      <c r="J37" s="146"/>
      <c r="K37" s="344"/>
      <c r="L37" s="345"/>
      <c r="M37" s="346"/>
    </row>
    <row r="38" spans="1:13">
      <c r="A38" s="131" t="str">
        <f>IF(B38=""," ",A37+1)</f>
        <v xml:space="preserve"> </v>
      </c>
      <c r="B38" s="141"/>
      <c r="C38" s="133"/>
      <c r="D38" s="134"/>
      <c r="E38" s="135"/>
      <c r="F38" s="136"/>
      <c r="G38" s="142"/>
      <c r="H38" s="131"/>
      <c r="I38" s="131"/>
      <c r="J38" s="146"/>
      <c r="K38" s="344"/>
      <c r="L38" s="345"/>
      <c r="M38" s="346"/>
    </row>
    <row r="39" spans="1:13">
      <c r="A39" s="131" t="str">
        <f>IF(B39=""," ",A38+1)</f>
        <v xml:space="preserve"> </v>
      </c>
      <c r="B39" s="141"/>
      <c r="C39" s="133"/>
      <c r="D39" s="134"/>
      <c r="E39" s="135"/>
      <c r="F39" s="136"/>
      <c r="G39" s="142"/>
      <c r="H39" s="131"/>
      <c r="I39" s="131"/>
      <c r="J39" s="146"/>
      <c r="K39" s="344"/>
      <c r="L39" s="345"/>
      <c r="M39" s="346"/>
    </row>
    <row r="40" spans="1:13">
      <c r="A40" s="131" t="str">
        <f>IF(B40=""," ",A39+1)</f>
        <v xml:space="preserve"> </v>
      </c>
      <c r="B40" s="141"/>
      <c r="C40" s="133"/>
      <c r="D40" s="134"/>
      <c r="E40" s="135"/>
      <c r="F40" s="136"/>
      <c r="G40" s="142"/>
      <c r="H40" s="131"/>
      <c r="I40" s="131"/>
      <c r="J40" s="146"/>
      <c r="K40" s="344"/>
      <c r="L40" s="345"/>
      <c r="M40" s="346"/>
    </row>
    <row r="41" spans="1:13">
      <c r="A41" s="131" t="str">
        <f>IF(B41=""," ",A40+1)</f>
        <v xml:space="preserve"> </v>
      </c>
      <c r="B41" s="141"/>
      <c r="C41" s="133"/>
      <c r="D41" s="134"/>
      <c r="E41" s="135"/>
      <c r="F41" s="136"/>
      <c r="G41" s="142"/>
      <c r="H41" s="131"/>
      <c r="I41" s="131"/>
      <c r="J41" s="146"/>
      <c r="K41" s="157"/>
      <c r="L41" s="158"/>
      <c r="M41" s="159"/>
    </row>
    <row r="42" spans="1:13" ht="11.25" customHeight="1">
      <c r="A42" s="131" t="str">
        <f>IF(B42=""," ",A29+1)</f>
        <v xml:space="preserve"> </v>
      </c>
      <c r="B42" s="141"/>
      <c r="C42" s="133"/>
      <c r="D42" s="134"/>
      <c r="E42" s="135"/>
      <c r="F42" s="136"/>
      <c r="G42" s="142"/>
      <c r="H42" s="131"/>
      <c r="I42" s="131"/>
      <c r="J42" s="146"/>
      <c r="K42" s="344"/>
      <c r="L42" s="345"/>
      <c r="M42" s="346"/>
    </row>
    <row r="43" spans="1:13">
      <c r="A43" s="131" t="str">
        <f t="shared" ref="A43:A54" si="2">IF(B43=""," ",A42+1)</f>
        <v xml:space="preserve"> </v>
      </c>
      <c r="B43" s="141"/>
      <c r="C43" s="133"/>
      <c r="D43" s="134"/>
      <c r="E43" s="135"/>
      <c r="F43" s="136"/>
      <c r="G43" s="142"/>
      <c r="H43" s="131"/>
      <c r="I43" s="131"/>
      <c r="J43" s="146"/>
      <c r="K43" s="344"/>
      <c r="L43" s="345"/>
      <c r="M43" s="346"/>
    </row>
    <row r="44" spans="1:13">
      <c r="A44" s="131" t="str">
        <f t="shared" si="2"/>
        <v xml:space="preserve"> </v>
      </c>
      <c r="B44" s="141"/>
      <c r="C44" s="133"/>
      <c r="D44" s="134"/>
      <c r="E44" s="135"/>
      <c r="F44" s="136"/>
      <c r="G44" s="142"/>
      <c r="H44" s="131"/>
      <c r="I44" s="131"/>
      <c r="J44" s="146"/>
      <c r="K44" s="344"/>
      <c r="L44" s="345"/>
      <c r="M44" s="346"/>
    </row>
    <row r="45" spans="1:13">
      <c r="A45" s="131" t="str">
        <f t="shared" si="2"/>
        <v xml:space="preserve"> </v>
      </c>
      <c r="B45" s="141"/>
      <c r="C45" s="133"/>
      <c r="D45" s="134"/>
      <c r="E45" s="135"/>
      <c r="F45" s="136"/>
      <c r="G45" s="142"/>
      <c r="H45" s="131"/>
      <c r="I45" s="131"/>
      <c r="J45" s="146"/>
      <c r="K45" s="344"/>
      <c r="L45" s="345"/>
      <c r="M45" s="346"/>
    </row>
    <row r="46" spans="1:13">
      <c r="A46" s="131" t="str">
        <f t="shared" si="2"/>
        <v xml:space="preserve"> </v>
      </c>
      <c r="B46" s="141"/>
      <c r="C46" s="133"/>
      <c r="D46" s="134"/>
      <c r="E46" s="135"/>
      <c r="F46" s="136"/>
      <c r="G46" s="142"/>
      <c r="H46" s="131"/>
      <c r="I46" s="131"/>
      <c r="J46" s="146"/>
      <c r="K46" s="344"/>
      <c r="L46" s="345"/>
      <c r="M46" s="346"/>
    </row>
    <row r="47" spans="1:13">
      <c r="A47" s="131" t="str">
        <f t="shared" si="2"/>
        <v xml:space="preserve"> </v>
      </c>
      <c r="B47" s="141"/>
      <c r="C47" s="133"/>
      <c r="D47" s="134"/>
      <c r="E47" s="135"/>
      <c r="F47" s="136"/>
      <c r="G47" s="142"/>
      <c r="H47" s="131"/>
      <c r="I47" s="131"/>
      <c r="J47" s="146"/>
      <c r="K47" s="157"/>
      <c r="L47" s="158"/>
      <c r="M47" s="159"/>
    </row>
    <row r="48" spans="1:13">
      <c r="A48" s="131" t="str">
        <f t="shared" si="2"/>
        <v xml:space="preserve"> </v>
      </c>
      <c r="B48" s="141"/>
      <c r="C48" s="133"/>
      <c r="D48" s="134"/>
      <c r="E48" s="135"/>
      <c r="F48" s="136"/>
      <c r="G48" s="142"/>
      <c r="H48" s="131"/>
      <c r="I48" s="131"/>
      <c r="J48" s="146"/>
      <c r="K48" s="133"/>
      <c r="L48" s="149"/>
      <c r="M48" s="150"/>
    </row>
    <row r="49" spans="1:13">
      <c r="A49" s="131" t="str">
        <f t="shared" si="2"/>
        <v xml:space="preserve"> </v>
      </c>
      <c r="B49" s="132"/>
      <c r="C49" s="133"/>
      <c r="D49" s="134"/>
      <c r="E49" s="135"/>
      <c r="F49" s="136"/>
      <c r="G49" s="142"/>
      <c r="H49" s="131"/>
      <c r="I49" s="131"/>
      <c r="J49" s="146"/>
      <c r="K49" s="133"/>
      <c r="L49" s="149"/>
      <c r="M49" s="150"/>
    </row>
    <row r="50" spans="1:13">
      <c r="A50" s="131" t="str">
        <f t="shared" si="2"/>
        <v xml:space="preserve"> </v>
      </c>
      <c r="B50" s="153"/>
      <c r="C50" s="143"/>
      <c r="D50" s="144"/>
      <c r="E50" s="135"/>
      <c r="F50" s="136"/>
      <c r="G50" s="142"/>
      <c r="H50" s="131"/>
      <c r="I50" s="131"/>
      <c r="J50" s="146"/>
      <c r="K50" s="133"/>
      <c r="L50" s="149"/>
      <c r="M50" s="150"/>
    </row>
    <row r="51" spans="1:13">
      <c r="A51" s="131" t="str">
        <f t="shared" si="2"/>
        <v xml:space="preserve"> </v>
      </c>
      <c r="B51" s="141"/>
      <c r="C51" s="133"/>
      <c r="D51" s="134"/>
      <c r="E51" s="135"/>
      <c r="F51" s="136"/>
      <c r="G51" s="142"/>
      <c r="H51" s="131"/>
      <c r="I51" s="131"/>
      <c r="J51" s="146"/>
      <c r="K51" s="133"/>
      <c r="L51" s="149"/>
      <c r="M51" s="150"/>
    </row>
    <row r="52" spans="1:13">
      <c r="A52" s="131" t="str">
        <f t="shared" si="2"/>
        <v xml:space="preserve"> </v>
      </c>
      <c r="B52" s="141"/>
      <c r="C52" s="133"/>
      <c r="D52" s="134"/>
      <c r="E52" s="135"/>
      <c r="F52" s="136"/>
      <c r="G52" s="142"/>
      <c r="H52" s="131"/>
      <c r="I52" s="131"/>
      <c r="J52" s="146"/>
      <c r="K52" s="344"/>
      <c r="L52" s="345"/>
      <c r="M52" s="346"/>
    </row>
    <row r="53" spans="1:13">
      <c r="A53" s="131" t="str">
        <f t="shared" si="2"/>
        <v xml:space="preserve"> </v>
      </c>
      <c r="B53" s="141"/>
      <c r="C53" s="133"/>
      <c r="D53" s="134"/>
      <c r="E53" s="135"/>
      <c r="F53" s="136"/>
      <c r="G53" s="142"/>
      <c r="H53" s="131"/>
      <c r="I53" s="131"/>
      <c r="J53" s="146"/>
      <c r="K53" s="344"/>
      <c r="L53" s="345"/>
      <c r="M53" s="346"/>
    </row>
    <row r="54" spans="1:13">
      <c r="A54" s="131" t="str">
        <f t="shared" si="2"/>
        <v xml:space="preserve"> </v>
      </c>
      <c r="B54" s="141"/>
      <c r="C54" s="133"/>
      <c r="D54" s="134"/>
      <c r="E54" s="135"/>
      <c r="F54" s="136"/>
      <c r="G54" s="142"/>
      <c r="H54" s="131"/>
      <c r="I54" s="131"/>
      <c r="J54" s="146"/>
      <c r="K54" s="157"/>
      <c r="L54" s="158"/>
      <c r="M54" s="159"/>
    </row>
    <row r="55" spans="1:13" ht="11.25" customHeight="1">
      <c r="A55" s="131" t="str">
        <f>IF(B55=""," ",A42+1)</f>
        <v xml:space="preserve"> </v>
      </c>
      <c r="B55" s="141"/>
      <c r="C55" s="133"/>
      <c r="D55" s="134"/>
      <c r="E55" s="135"/>
      <c r="F55" s="136"/>
      <c r="G55" s="142"/>
      <c r="H55" s="131"/>
      <c r="I55" s="131"/>
      <c r="J55" s="146"/>
      <c r="K55" s="344"/>
      <c r="L55" s="345"/>
      <c r="M55" s="346"/>
    </row>
    <row r="56" spans="1:13">
      <c r="A56" s="131" t="str">
        <f>IF(B56=""," ",A55+1)</f>
        <v xml:space="preserve"> </v>
      </c>
      <c r="B56" s="141"/>
      <c r="C56" s="133"/>
      <c r="D56" s="134"/>
      <c r="E56" s="135"/>
      <c r="F56" s="136"/>
      <c r="G56" s="142"/>
      <c r="H56" s="131"/>
      <c r="I56" s="131"/>
      <c r="J56" s="146"/>
      <c r="K56" s="344"/>
      <c r="L56" s="345"/>
      <c r="M56" s="346"/>
    </row>
    <row r="57" spans="1:13">
      <c r="A57" s="131" t="str">
        <f>IF(B57=""," ",A56+1)</f>
        <v xml:space="preserve"> </v>
      </c>
      <c r="B57" s="141"/>
      <c r="C57" s="133"/>
      <c r="D57" s="134"/>
      <c r="E57" s="135"/>
      <c r="F57" s="136"/>
      <c r="G57" s="142"/>
      <c r="H57" s="131"/>
      <c r="I57" s="131"/>
      <c r="J57" s="146"/>
      <c r="K57" s="344"/>
      <c r="L57" s="345"/>
      <c r="M57" s="346"/>
    </row>
    <row r="58" spans="1:13">
      <c r="A58" s="131" t="str">
        <f>IF(B58=""," ",A57+1)</f>
        <v xml:space="preserve"> </v>
      </c>
      <c r="B58" s="141"/>
      <c r="C58" s="133"/>
      <c r="D58" s="134"/>
      <c r="E58" s="135"/>
      <c r="F58" s="136"/>
      <c r="G58" s="142"/>
      <c r="H58" s="131"/>
      <c r="I58" s="131"/>
      <c r="J58" s="146"/>
      <c r="K58" s="344"/>
      <c r="L58" s="345"/>
      <c r="M58" s="346"/>
    </row>
    <row r="59" spans="1:13">
      <c r="A59" s="131" t="str">
        <f>IF(B59=""," ",A58+1)</f>
        <v xml:space="preserve"> </v>
      </c>
      <c r="B59" s="141"/>
      <c r="C59" s="133"/>
      <c r="D59" s="134"/>
      <c r="E59" s="135"/>
      <c r="F59" s="136"/>
      <c r="G59" s="142"/>
      <c r="H59" s="131"/>
      <c r="I59" s="131"/>
      <c r="J59" s="146"/>
      <c r="K59" s="344"/>
      <c r="L59" s="345"/>
      <c r="M59" s="346"/>
    </row>
    <row r="60" spans="1:13">
      <c r="A60" s="131" t="str">
        <f>IF(B60=""," ",A59+1)</f>
        <v xml:space="preserve"> </v>
      </c>
      <c r="B60" s="141"/>
      <c r="C60" s="133"/>
      <c r="D60" s="134"/>
      <c r="E60" s="135"/>
      <c r="F60" s="136"/>
      <c r="G60" s="142"/>
      <c r="H60" s="131"/>
      <c r="I60" s="131"/>
      <c r="J60" s="146"/>
      <c r="K60" s="157"/>
      <c r="L60" s="158"/>
      <c r="M60" s="159"/>
    </row>
    <row r="61" spans="1:13" ht="11.25" customHeight="1">
      <c r="A61" s="131" t="str">
        <f>IF(B61=""," ",A48+1)</f>
        <v xml:space="preserve"> </v>
      </c>
      <c r="B61" s="141"/>
      <c r="C61" s="133"/>
      <c r="D61" s="134"/>
      <c r="E61" s="135"/>
      <c r="F61" s="136"/>
      <c r="G61" s="142"/>
      <c r="H61" s="131"/>
      <c r="I61" s="131"/>
      <c r="J61" s="146"/>
      <c r="K61" s="344"/>
      <c r="L61" s="345"/>
      <c r="M61" s="346"/>
    </row>
    <row r="62" spans="1:13">
      <c r="A62" s="131" t="str">
        <f t="shared" ref="A62:A73" si="3">IF(B62=""," ",A61+1)</f>
        <v xml:space="preserve"> </v>
      </c>
      <c r="B62" s="141"/>
      <c r="C62" s="133"/>
      <c r="D62" s="134"/>
      <c r="E62" s="135"/>
      <c r="F62" s="136"/>
      <c r="G62" s="142"/>
      <c r="H62" s="131"/>
      <c r="I62" s="131"/>
      <c r="J62" s="146"/>
      <c r="K62" s="344"/>
      <c r="L62" s="345"/>
      <c r="M62" s="346"/>
    </row>
    <row r="63" spans="1:13">
      <c r="A63" s="131" t="str">
        <f t="shared" si="3"/>
        <v xml:space="preserve"> </v>
      </c>
      <c r="B63" s="141"/>
      <c r="C63" s="133"/>
      <c r="D63" s="134"/>
      <c r="E63" s="135"/>
      <c r="F63" s="136"/>
      <c r="G63" s="142"/>
      <c r="H63" s="131"/>
      <c r="I63" s="131"/>
      <c r="J63" s="146"/>
      <c r="K63" s="344"/>
      <c r="L63" s="345"/>
      <c r="M63" s="346"/>
    </row>
    <row r="64" spans="1:13">
      <c r="A64" s="131" t="str">
        <f t="shared" si="3"/>
        <v xml:space="preserve"> </v>
      </c>
      <c r="B64" s="141"/>
      <c r="C64" s="133"/>
      <c r="D64" s="134"/>
      <c r="E64" s="135"/>
      <c r="F64" s="136"/>
      <c r="G64" s="142"/>
      <c r="H64" s="131"/>
      <c r="I64" s="131"/>
      <c r="J64" s="146"/>
      <c r="K64" s="344"/>
      <c r="L64" s="345"/>
      <c r="M64" s="346"/>
    </row>
    <row r="65" spans="1:13">
      <c r="A65" s="131" t="str">
        <f t="shared" si="3"/>
        <v xml:space="preserve"> </v>
      </c>
      <c r="B65" s="141"/>
      <c r="C65" s="133"/>
      <c r="D65" s="134"/>
      <c r="E65" s="135"/>
      <c r="F65" s="136"/>
      <c r="G65" s="142"/>
      <c r="H65" s="131"/>
      <c r="I65" s="131"/>
      <c r="J65" s="146"/>
      <c r="K65" s="344"/>
      <c r="L65" s="345"/>
      <c r="M65" s="346"/>
    </row>
    <row r="66" spans="1:13">
      <c r="A66" s="131" t="str">
        <f t="shared" si="3"/>
        <v xml:space="preserve"> </v>
      </c>
      <c r="B66" s="141"/>
      <c r="C66" s="133"/>
      <c r="D66" s="134"/>
      <c r="E66" s="135"/>
      <c r="F66" s="136"/>
      <c r="G66" s="142"/>
      <c r="H66" s="131"/>
      <c r="I66" s="131"/>
      <c r="J66" s="146"/>
      <c r="K66" s="157"/>
      <c r="L66" s="158"/>
      <c r="M66" s="159"/>
    </row>
    <row r="67" spans="1:13">
      <c r="A67" s="131" t="str">
        <f t="shared" si="3"/>
        <v xml:space="preserve"> </v>
      </c>
      <c r="B67" s="141"/>
      <c r="C67" s="133"/>
      <c r="D67" s="134"/>
      <c r="E67" s="135"/>
      <c r="F67" s="136"/>
      <c r="G67" s="142"/>
      <c r="H67" s="131"/>
      <c r="I67" s="131"/>
      <c r="J67" s="146"/>
      <c r="K67" s="133"/>
      <c r="L67" s="149"/>
      <c r="M67" s="150"/>
    </row>
    <row r="68" spans="1:13">
      <c r="A68" s="131" t="str">
        <f t="shared" si="3"/>
        <v xml:space="preserve"> </v>
      </c>
      <c r="B68" s="132"/>
      <c r="C68" s="133"/>
      <c r="D68" s="134"/>
      <c r="E68" s="135"/>
      <c r="F68" s="136"/>
      <c r="G68" s="142"/>
      <c r="H68" s="131"/>
      <c r="I68" s="131"/>
      <c r="J68" s="146"/>
      <c r="K68" s="133"/>
      <c r="L68" s="149"/>
      <c r="M68" s="150"/>
    </row>
    <row r="69" spans="1:13">
      <c r="A69" s="131" t="str">
        <f t="shared" si="3"/>
        <v xml:space="preserve"> </v>
      </c>
      <c r="B69" s="153"/>
      <c r="C69" s="143"/>
      <c r="D69" s="144"/>
      <c r="E69" s="135"/>
      <c r="F69" s="136"/>
      <c r="G69" s="142"/>
      <c r="H69" s="131"/>
      <c r="I69" s="131"/>
      <c r="J69" s="146"/>
      <c r="K69" s="133"/>
      <c r="L69" s="149"/>
      <c r="M69" s="150"/>
    </row>
    <row r="70" spans="1:13">
      <c r="A70" s="131" t="str">
        <f t="shared" si="3"/>
        <v xml:space="preserve"> </v>
      </c>
      <c r="B70" s="141"/>
      <c r="C70" s="133"/>
      <c r="D70" s="134"/>
      <c r="E70" s="135"/>
      <c r="F70" s="136"/>
      <c r="G70" s="142"/>
      <c r="H70" s="131"/>
      <c r="I70" s="131"/>
      <c r="J70" s="146"/>
      <c r="K70" s="133"/>
      <c r="L70" s="149"/>
      <c r="M70" s="150"/>
    </row>
    <row r="71" spans="1:13">
      <c r="A71" s="131" t="str">
        <f t="shared" si="3"/>
        <v xml:space="preserve"> </v>
      </c>
      <c r="B71" s="141"/>
      <c r="C71" s="133"/>
      <c r="D71" s="134"/>
      <c r="E71" s="135"/>
      <c r="F71" s="136"/>
      <c r="G71" s="142"/>
      <c r="H71" s="131"/>
      <c r="I71" s="131"/>
      <c r="J71" s="146"/>
      <c r="K71" s="344"/>
      <c r="L71" s="345"/>
      <c r="M71" s="346"/>
    </row>
    <row r="72" spans="1:13">
      <c r="A72" s="131" t="str">
        <f t="shared" si="3"/>
        <v xml:space="preserve"> </v>
      </c>
      <c r="B72" s="141"/>
      <c r="C72" s="133"/>
      <c r="D72" s="134"/>
      <c r="E72" s="135"/>
      <c r="F72" s="136"/>
      <c r="G72" s="142"/>
      <c r="H72" s="131"/>
      <c r="I72" s="131"/>
      <c r="J72" s="146"/>
      <c r="K72" s="344"/>
      <c r="L72" s="345"/>
      <c r="M72" s="346"/>
    </row>
    <row r="73" spans="1:13">
      <c r="A73" s="131" t="str">
        <f t="shared" si="3"/>
        <v xml:space="preserve"> </v>
      </c>
      <c r="B73" s="141"/>
      <c r="C73" s="133"/>
      <c r="D73" s="134"/>
      <c r="E73" s="135"/>
      <c r="F73" s="136"/>
      <c r="G73" s="142"/>
      <c r="H73" s="131"/>
      <c r="I73" s="131"/>
      <c r="J73" s="146"/>
      <c r="K73" s="157"/>
      <c r="L73" s="158"/>
      <c r="M73" s="159"/>
    </row>
    <row r="74" spans="1:13" ht="11.25" customHeight="1">
      <c r="A74" s="131" t="str">
        <f>IF(B74=""," ",A61+1)</f>
        <v xml:space="preserve"> </v>
      </c>
      <c r="B74" s="141"/>
      <c r="C74" s="133"/>
      <c r="D74" s="134"/>
      <c r="E74" s="135"/>
      <c r="F74" s="136"/>
      <c r="G74" s="142"/>
      <c r="H74" s="131"/>
      <c r="I74" s="131"/>
      <c r="J74" s="146"/>
      <c r="K74" s="344"/>
      <c r="L74" s="345"/>
      <c r="M74" s="346"/>
    </row>
    <row r="75" spans="1:13">
      <c r="A75" s="131" t="str">
        <f>IF(B75=""," ",A74+1)</f>
        <v xml:space="preserve"> </v>
      </c>
      <c r="B75" s="141"/>
      <c r="C75" s="133"/>
      <c r="D75" s="134"/>
      <c r="E75" s="135"/>
      <c r="F75" s="136"/>
      <c r="G75" s="142"/>
      <c r="H75" s="131"/>
      <c r="I75" s="131"/>
      <c r="J75" s="146"/>
      <c r="K75" s="344"/>
      <c r="L75" s="345"/>
      <c r="M75" s="346"/>
    </row>
    <row r="76" spans="1:13">
      <c r="A76" s="131" t="str">
        <f>IF(B76=""," ",A75+1)</f>
        <v xml:space="preserve"> </v>
      </c>
      <c r="B76" s="141"/>
      <c r="C76" s="133"/>
      <c r="D76" s="134"/>
      <c r="E76" s="135"/>
      <c r="F76" s="136"/>
      <c r="G76" s="142"/>
      <c r="H76" s="131"/>
      <c r="I76" s="131"/>
      <c r="J76" s="146"/>
      <c r="K76" s="344"/>
      <c r="L76" s="345"/>
      <c r="M76" s="346"/>
    </row>
    <row r="77" spans="1:13">
      <c r="A77" s="131" t="str">
        <f>IF(B77=""," ",A76+1)</f>
        <v xml:space="preserve"> </v>
      </c>
      <c r="B77" s="141"/>
      <c r="C77" s="133"/>
      <c r="D77" s="134"/>
      <c r="E77" s="135"/>
      <c r="F77" s="136"/>
      <c r="G77" s="142"/>
      <c r="H77" s="131"/>
      <c r="I77" s="131"/>
      <c r="J77" s="146"/>
      <c r="K77" s="344"/>
      <c r="L77" s="345"/>
      <c r="M77" s="346"/>
    </row>
    <row r="78" spans="1:13">
      <c r="A78" s="131" t="str">
        <f>IF(B78=""," ",A77+1)</f>
        <v xml:space="preserve"> </v>
      </c>
      <c r="B78" s="141"/>
      <c r="C78" s="133"/>
      <c r="D78" s="134"/>
      <c r="E78" s="135"/>
      <c r="F78" s="136"/>
      <c r="G78" s="142"/>
      <c r="H78" s="131"/>
      <c r="I78" s="131"/>
      <c r="J78" s="146"/>
      <c r="K78" s="344"/>
      <c r="L78" s="345"/>
      <c r="M78" s="346"/>
    </row>
    <row r="79" spans="1:13">
      <c r="A79" s="131" t="str">
        <f>IF(B79=""," ",A78+1)</f>
        <v xml:space="preserve"> </v>
      </c>
      <c r="B79" s="141"/>
      <c r="C79" s="133"/>
      <c r="D79" s="134"/>
      <c r="E79" s="135"/>
      <c r="F79" s="136"/>
      <c r="G79" s="142"/>
      <c r="H79" s="131"/>
      <c r="I79" s="131"/>
      <c r="J79" s="146"/>
      <c r="K79" s="157"/>
      <c r="L79" s="158"/>
      <c r="M79" s="159"/>
    </row>
    <row r="80" spans="1:13" ht="11.25" customHeight="1">
      <c r="A80" s="131" t="str">
        <f>IF(B80=""," ",A67+1)</f>
        <v xml:space="preserve"> </v>
      </c>
      <c r="B80" s="141"/>
      <c r="C80" s="133"/>
      <c r="D80" s="134"/>
      <c r="E80" s="135"/>
      <c r="F80" s="136"/>
      <c r="G80" s="142"/>
      <c r="H80" s="131"/>
      <c r="I80" s="131"/>
      <c r="J80" s="146"/>
      <c r="K80" s="344"/>
      <c r="L80" s="345"/>
      <c r="M80" s="346"/>
    </row>
    <row r="81" spans="1:13">
      <c r="A81" s="131" t="str">
        <f t="shared" ref="A81:A92" si="4">IF(B81=""," ",A80+1)</f>
        <v xml:space="preserve"> </v>
      </c>
      <c r="B81" s="141"/>
      <c r="C81" s="133"/>
      <c r="D81" s="134"/>
      <c r="E81" s="135"/>
      <c r="F81" s="136"/>
      <c r="G81" s="142"/>
      <c r="H81" s="131"/>
      <c r="I81" s="131"/>
      <c r="J81" s="146"/>
      <c r="K81" s="344"/>
      <c r="L81" s="345"/>
      <c r="M81" s="346"/>
    </row>
    <row r="82" spans="1:13">
      <c r="A82" s="131" t="str">
        <f t="shared" si="4"/>
        <v xml:space="preserve"> </v>
      </c>
      <c r="B82" s="141"/>
      <c r="C82" s="133"/>
      <c r="D82" s="134"/>
      <c r="E82" s="135"/>
      <c r="F82" s="136"/>
      <c r="G82" s="142"/>
      <c r="H82" s="131"/>
      <c r="I82" s="131"/>
      <c r="J82" s="146"/>
      <c r="K82" s="344"/>
      <c r="L82" s="345"/>
      <c r="M82" s="346"/>
    </row>
    <row r="83" spans="1:13">
      <c r="A83" s="131" t="str">
        <f t="shared" si="4"/>
        <v xml:space="preserve"> </v>
      </c>
      <c r="B83" s="141"/>
      <c r="C83" s="133"/>
      <c r="D83" s="134"/>
      <c r="E83" s="135"/>
      <c r="F83" s="136"/>
      <c r="G83" s="142"/>
      <c r="H83" s="131"/>
      <c r="I83" s="131"/>
      <c r="J83" s="146"/>
      <c r="K83" s="344"/>
      <c r="L83" s="345"/>
      <c r="M83" s="346"/>
    </row>
    <row r="84" spans="1:13">
      <c r="A84" s="131" t="str">
        <f t="shared" si="4"/>
        <v xml:space="preserve"> </v>
      </c>
      <c r="B84" s="141"/>
      <c r="C84" s="133"/>
      <c r="D84" s="134"/>
      <c r="E84" s="135"/>
      <c r="F84" s="136"/>
      <c r="G84" s="142"/>
      <c r="H84" s="131"/>
      <c r="I84" s="131"/>
      <c r="J84" s="146"/>
      <c r="K84" s="344"/>
      <c r="L84" s="345"/>
      <c r="M84" s="346"/>
    </row>
    <row r="85" spans="1:13">
      <c r="A85" s="131" t="str">
        <f t="shared" si="4"/>
        <v xml:space="preserve"> </v>
      </c>
      <c r="B85" s="141"/>
      <c r="C85" s="133"/>
      <c r="D85" s="134"/>
      <c r="E85" s="135"/>
      <c r="F85" s="136"/>
      <c r="G85" s="142"/>
      <c r="H85" s="131"/>
      <c r="I85" s="131"/>
      <c r="J85" s="146"/>
      <c r="K85" s="157"/>
      <c r="L85" s="158"/>
      <c r="M85" s="159"/>
    </row>
    <row r="86" spans="1:13">
      <c r="A86" s="131" t="str">
        <f t="shared" si="4"/>
        <v xml:space="preserve"> </v>
      </c>
      <c r="B86" s="141"/>
      <c r="C86" s="133"/>
      <c r="D86" s="134"/>
      <c r="E86" s="135"/>
      <c r="F86" s="136"/>
      <c r="G86" s="142"/>
      <c r="H86" s="131"/>
      <c r="I86" s="131"/>
      <c r="J86" s="146"/>
      <c r="K86" s="133"/>
      <c r="L86" s="149"/>
      <c r="M86" s="150"/>
    </row>
    <row r="87" spans="1:13">
      <c r="A87" s="131" t="str">
        <f t="shared" si="4"/>
        <v xml:space="preserve"> </v>
      </c>
      <c r="B87" s="132"/>
      <c r="C87" s="133"/>
      <c r="D87" s="134"/>
      <c r="E87" s="135"/>
      <c r="F87" s="136"/>
      <c r="G87" s="142"/>
      <c r="H87" s="131"/>
      <c r="I87" s="131"/>
      <c r="J87" s="146"/>
      <c r="K87" s="133"/>
      <c r="L87" s="149"/>
      <c r="M87" s="150"/>
    </row>
    <row r="88" spans="1:13">
      <c r="A88" s="131" t="str">
        <f t="shared" si="4"/>
        <v xml:space="preserve"> </v>
      </c>
      <c r="B88" s="153"/>
      <c r="C88" s="143"/>
      <c r="D88" s="144"/>
      <c r="E88" s="135"/>
      <c r="F88" s="136"/>
      <c r="G88" s="142"/>
      <c r="H88" s="131"/>
      <c r="I88" s="131"/>
      <c r="J88" s="146"/>
      <c r="K88" s="133"/>
      <c r="L88" s="149"/>
      <c r="M88" s="150"/>
    </row>
    <row r="89" spans="1:13">
      <c r="A89" s="131" t="str">
        <f t="shared" si="4"/>
        <v xml:space="preserve"> </v>
      </c>
      <c r="B89" s="141"/>
      <c r="C89" s="133"/>
      <c r="D89" s="134"/>
      <c r="E89" s="135"/>
      <c r="F89" s="136"/>
      <c r="G89" s="142"/>
      <c r="H89" s="131"/>
      <c r="I89" s="131"/>
      <c r="J89" s="146"/>
      <c r="K89" s="133"/>
      <c r="L89" s="149"/>
      <c r="M89" s="150"/>
    </row>
    <row r="90" spans="1:13">
      <c r="A90" s="131" t="str">
        <f t="shared" si="4"/>
        <v xml:space="preserve"> </v>
      </c>
      <c r="B90" s="141"/>
      <c r="C90" s="133"/>
      <c r="D90" s="134"/>
      <c r="E90" s="135"/>
      <c r="F90" s="136"/>
      <c r="G90" s="142"/>
      <c r="H90" s="131"/>
      <c r="I90" s="131"/>
      <c r="J90" s="146"/>
      <c r="K90" s="344"/>
      <c r="L90" s="345"/>
      <c r="M90" s="346"/>
    </row>
    <row r="91" spans="1:13">
      <c r="A91" s="131" t="str">
        <f t="shared" si="4"/>
        <v xml:space="preserve"> </v>
      </c>
      <c r="B91" s="141"/>
      <c r="C91" s="133"/>
      <c r="D91" s="134"/>
      <c r="E91" s="135"/>
      <c r="F91" s="136"/>
      <c r="G91" s="142"/>
      <c r="H91" s="131"/>
      <c r="I91" s="131"/>
      <c r="J91" s="146"/>
      <c r="K91" s="344"/>
      <c r="L91" s="345"/>
      <c r="M91" s="346"/>
    </row>
    <row r="92" spans="1:13">
      <c r="A92" s="131" t="str">
        <f t="shared" si="4"/>
        <v xml:space="preserve"> </v>
      </c>
      <c r="B92" s="141"/>
      <c r="C92" s="133"/>
      <c r="D92" s="134"/>
      <c r="E92" s="135"/>
      <c r="F92" s="136"/>
      <c r="G92" s="142"/>
      <c r="H92" s="131"/>
      <c r="I92" s="131"/>
      <c r="J92" s="146"/>
      <c r="K92" s="157"/>
      <c r="L92" s="158"/>
      <c r="M92" s="159"/>
    </row>
    <row r="93" spans="1:13" ht="11.25" customHeight="1">
      <c r="A93" s="131" t="str">
        <f>IF(B93=""," ",A80+1)</f>
        <v xml:space="preserve"> </v>
      </c>
      <c r="B93" s="141"/>
      <c r="C93" s="133"/>
      <c r="D93" s="134"/>
      <c r="E93" s="135"/>
      <c r="F93" s="136"/>
      <c r="G93" s="142"/>
      <c r="H93" s="131"/>
      <c r="I93" s="131"/>
      <c r="J93" s="146"/>
      <c r="K93" s="344"/>
      <c r="L93" s="345"/>
      <c r="M93" s="346"/>
    </row>
    <row r="94" spans="1:13">
      <c r="A94" s="131" t="str">
        <f>IF(B94=""," ",A93+1)</f>
        <v xml:space="preserve"> </v>
      </c>
      <c r="B94" s="141"/>
      <c r="C94" s="133"/>
      <c r="D94" s="134"/>
      <c r="E94" s="135"/>
      <c r="F94" s="136"/>
      <c r="G94" s="142"/>
      <c r="H94" s="131"/>
      <c r="I94" s="131"/>
      <c r="J94" s="146"/>
      <c r="K94" s="344"/>
      <c r="L94" s="345"/>
      <c r="M94" s="346"/>
    </row>
    <row r="95" spans="1:13">
      <c r="A95" s="131" t="str">
        <f>IF(B95=""," ",A94+1)</f>
        <v xml:space="preserve"> </v>
      </c>
      <c r="B95" s="141"/>
      <c r="C95" s="133"/>
      <c r="D95" s="134"/>
      <c r="E95" s="135"/>
      <c r="F95" s="136"/>
      <c r="G95" s="142"/>
      <c r="H95" s="131"/>
      <c r="I95" s="131"/>
      <c r="J95" s="146"/>
      <c r="K95" s="344"/>
      <c r="L95" s="345"/>
      <c r="M95" s="346"/>
    </row>
    <row r="96" spans="1:13">
      <c r="A96" s="131" t="str">
        <f>IF(B96=""," ",A95+1)</f>
        <v xml:space="preserve"> </v>
      </c>
      <c r="B96" s="141"/>
      <c r="C96" s="133"/>
      <c r="D96" s="134"/>
      <c r="E96" s="135"/>
      <c r="F96" s="136"/>
      <c r="G96" s="142"/>
      <c r="H96" s="131"/>
      <c r="I96" s="131"/>
      <c r="J96" s="146"/>
      <c r="K96" s="344"/>
      <c r="L96" s="345"/>
      <c r="M96" s="346"/>
    </row>
    <row r="97" spans="1:13">
      <c r="A97" s="131" t="str">
        <f>IF(B97=""," ",A96+1)</f>
        <v xml:space="preserve"> </v>
      </c>
      <c r="B97" s="141"/>
      <c r="C97" s="133"/>
      <c r="D97" s="134"/>
      <c r="E97" s="135"/>
      <c r="F97" s="136"/>
      <c r="G97" s="142"/>
      <c r="H97" s="131"/>
      <c r="I97" s="131"/>
      <c r="J97" s="146"/>
      <c r="K97" s="344"/>
      <c r="L97" s="345"/>
      <c r="M97" s="346"/>
    </row>
    <row r="98" spans="1:13">
      <c r="A98" s="131" t="str">
        <f>IF(B98=""," ",A97+1)</f>
        <v xml:space="preserve"> </v>
      </c>
      <c r="B98" s="141"/>
      <c r="C98" s="133"/>
      <c r="D98" s="134"/>
      <c r="E98" s="135"/>
      <c r="F98" s="136"/>
      <c r="G98" s="142"/>
      <c r="H98" s="131"/>
      <c r="I98" s="131"/>
      <c r="J98" s="146"/>
      <c r="K98" s="157"/>
      <c r="L98" s="158"/>
      <c r="M98" s="159"/>
    </row>
    <row r="99" spans="1:13" ht="11.25" customHeight="1">
      <c r="A99" s="131" t="str">
        <f>IF(B99=""," ",A86+1)</f>
        <v xml:space="preserve"> </v>
      </c>
      <c r="B99" s="141"/>
      <c r="C99" s="133"/>
      <c r="D99" s="134"/>
      <c r="E99" s="135"/>
      <c r="F99" s="136"/>
      <c r="G99" s="142"/>
      <c r="H99" s="131"/>
      <c r="I99" s="131"/>
      <c r="J99" s="146"/>
      <c r="K99" s="344"/>
      <c r="L99" s="345"/>
      <c r="M99" s="346"/>
    </row>
    <row r="100" spans="1:13">
      <c r="A100" s="131" t="str">
        <f>IF(B100=""," ",A99+1)</f>
        <v xml:space="preserve"> </v>
      </c>
      <c r="B100" s="141"/>
      <c r="C100" s="133"/>
      <c r="D100" s="134"/>
      <c r="E100" s="135"/>
      <c r="F100" s="136"/>
      <c r="G100" s="142"/>
      <c r="H100" s="131"/>
      <c r="I100" s="131"/>
      <c r="J100" s="146"/>
      <c r="K100" s="344"/>
      <c r="L100" s="345"/>
      <c r="M100" s="346"/>
    </row>
    <row r="102" spans="1:13" s="75" customFormat="1">
      <c r="A102" s="76"/>
      <c r="B102" s="75" t="s">
        <v>235</v>
      </c>
    </row>
    <row r="103" spans="1:13" s="75" customFormat="1">
      <c r="A103" s="76"/>
    </row>
    <row r="104" spans="1:13" s="75" customFormat="1">
      <c r="A104" s="76"/>
      <c r="B104" s="75" t="s">
        <v>236</v>
      </c>
      <c r="C104" s="75" t="s">
        <v>588</v>
      </c>
    </row>
    <row r="105" spans="1:13" s="75" customFormat="1">
      <c r="A105" s="76"/>
    </row>
    <row r="106" spans="1:13" s="75" customFormat="1">
      <c r="A106" s="76"/>
      <c r="B106" s="75" t="s">
        <v>236</v>
      </c>
      <c r="C106" s="75" t="s">
        <v>238</v>
      </c>
    </row>
  </sheetData>
  <mergeCells count="79">
    <mergeCell ref="K5:M6"/>
    <mergeCell ref="K95:M95"/>
    <mergeCell ref="K96:M96"/>
    <mergeCell ref="K97:M97"/>
    <mergeCell ref="K99:M99"/>
    <mergeCell ref="K100:M100"/>
    <mergeCell ref="K84:M84"/>
    <mergeCell ref="K90:M90"/>
    <mergeCell ref="K91:M91"/>
    <mergeCell ref="K93:M93"/>
    <mergeCell ref="K94:M94"/>
    <mergeCell ref="K78:M78"/>
    <mergeCell ref="K80:M80"/>
    <mergeCell ref="K81:M81"/>
    <mergeCell ref="K82:M82"/>
    <mergeCell ref="K83:M83"/>
    <mergeCell ref="K72:M72"/>
    <mergeCell ref="K74:M74"/>
    <mergeCell ref="K75:M75"/>
    <mergeCell ref="K76:M76"/>
    <mergeCell ref="K77:M77"/>
    <mergeCell ref="K62:M62"/>
    <mergeCell ref="K63:M63"/>
    <mergeCell ref="K64:M64"/>
    <mergeCell ref="K65:M65"/>
    <mergeCell ref="K71:M71"/>
    <mergeCell ref="K56:M56"/>
    <mergeCell ref="K57:M57"/>
    <mergeCell ref="K58:M58"/>
    <mergeCell ref="K59:M59"/>
    <mergeCell ref="K61:M61"/>
    <mergeCell ref="K45:M45"/>
    <mergeCell ref="K46:M46"/>
    <mergeCell ref="K52:M52"/>
    <mergeCell ref="K53:M53"/>
    <mergeCell ref="K55:M55"/>
    <mergeCell ref="K39:M39"/>
    <mergeCell ref="K40:M40"/>
    <mergeCell ref="K42:M42"/>
    <mergeCell ref="K43:M43"/>
    <mergeCell ref="K44:M44"/>
    <mergeCell ref="K33:M33"/>
    <mergeCell ref="K34:M34"/>
    <mergeCell ref="K36:M36"/>
    <mergeCell ref="K37:M37"/>
    <mergeCell ref="K38:M38"/>
    <mergeCell ref="K28:M28"/>
    <mergeCell ref="K29:M29"/>
    <mergeCell ref="K30:M30"/>
    <mergeCell ref="K31:M31"/>
    <mergeCell ref="K32:M32"/>
    <mergeCell ref="K23:M23"/>
    <mergeCell ref="K24:M24"/>
    <mergeCell ref="K25:M25"/>
    <mergeCell ref="K26:M26"/>
    <mergeCell ref="K27:M27"/>
    <mergeCell ref="K17:M17"/>
    <mergeCell ref="K18:M18"/>
    <mergeCell ref="K20:M20"/>
    <mergeCell ref="K21:M21"/>
    <mergeCell ref="K22:M22"/>
    <mergeCell ref="K7:M7"/>
    <mergeCell ref="K10:M10"/>
    <mergeCell ref="K11:M11"/>
    <mergeCell ref="K13:M13"/>
    <mergeCell ref="K16:M16"/>
    <mergeCell ref="A4:B4"/>
    <mergeCell ref="C4:G4"/>
    <mergeCell ref="H4:I4"/>
    <mergeCell ref="B5:C5"/>
    <mergeCell ref="D5:H5"/>
    <mergeCell ref="I5:J5"/>
    <mergeCell ref="A5:A6"/>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59" t="s">
        <v>136</v>
      </c>
      <c r="B2" s="260"/>
      <c r="C2" s="259" t="s">
        <v>1</v>
      </c>
      <c r="D2" s="261"/>
      <c r="E2" s="261"/>
      <c r="F2" s="261"/>
      <c r="G2" s="260"/>
      <c r="H2" s="259"/>
      <c r="I2" s="261"/>
      <c r="J2" s="260"/>
      <c r="K2" s="89"/>
      <c r="L2" s="78" t="s">
        <v>137</v>
      </c>
      <c r="M2" s="78" t="s">
        <v>138</v>
      </c>
    </row>
    <row r="3" spans="1:16">
      <c r="A3" s="262"/>
      <c r="B3" s="263"/>
      <c r="C3" s="353" t="s">
        <v>1546</v>
      </c>
      <c r="D3" s="354"/>
      <c r="E3" s="354"/>
      <c r="F3" s="354"/>
      <c r="G3" s="355"/>
      <c r="H3" s="259" t="s">
        <v>140</v>
      </c>
      <c r="I3" s="260"/>
      <c r="J3" s="90">
        <f>COUNT(A7:A100)</f>
        <v>31</v>
      </c>
      <c r="K3" s="78" t="s">
        <v>141</v>
      </c>
      <c r="L3" s="91">
        <v>38644</v>
      </c>
      <c r="M3" s="92" t="s">
        <v>142</v>
      </c>
      <c r="O3" s="129" t="s">
        <v>143</v>
      </c>
      <c r="P3" s="129" t="s">
        <v>144</v>
      </c>
    </row>
    <row r="4" spans="1:16">
      <c r="A4" s="267" t="s">
        <v>145</v>
      </c>
      <c r="B4" s="268"/>
      <c r="C4" s="356" t="s">
        <v>69</v>
      </c>
      <c r="D4" s="357"/>
      <c r="E4" s="357"/>
      <c r="F4" s="357"/>
      <c r="G4" s="358"/>
      <c r="H4" s="259" t="s">
        <v>146</v>
      </c>
      <c r="I4" s="260"/>
      <c r="J4" s="90">
        <f>SUM(G7:G100)</f>
        <v>107</v>
      </c>
      <c r="K4" s="78" t="s">
        <v>147</v>
      </c>
      <c r="L4" s="91">
        <v>38878</v>
      </c>
      <c r="M4" s="83" t="s">
        <v>148</v>
      </c>
      <c r="O4" s="129" t="s">
        <v>149</v>
      </c>
      <c r="P4" s="129" t="s">
        <v>150</v>
      </c>
    </row>
    <row r="5" spans="1:16">
      <c r="A5" s="283" t="s">
        <v>0</v>
      </c>
      <c r="B5" s="259" t="s">
        <v>151</v>
      </c>
      <c r="C5" s="261"/>
      <c r="D5" s="270" t="s">
        <v>152</v>
      </c>
      <c r="E5" s="261"/>
      <c r="F5" s="261"/>
      <c r="G5" s="261"/>
      <c r="H5" s="261"/>
      <c r="I5" s="259" t="s">
        <v>153</v>
      </c>
      <c r="J5" s="260"/>
      <c r="K5" s="285" t="s">
        <v>4</v>
      </c>
      <c r="L5" s="286"/>
      <c r="M5" s="287"/>
      <c r="P5" s="129" t="s">
        <v>154</v>
      </c>
    </row>
    <row r="6" spans="1:16">
      <c r="A6" s="284"/>
      <c r="B6" s="78" t="s">
        <v>5</v>
      </c>
      <c r="C6" s="79" t="s">
        <v>6</v>
      </c>
      <c r="D6" s="80" t="s">
        <v>144</v>
      </c>
      <c r="E6" s="81" t="s">
        <v>155</v>
      </c>
      <c r="F6" s="82" t="s">
        <v>156</v>
      </c>
      <c r="G6" s="78" t="s">
        <v>157</v>
      </c>
      <c r="H6" s="77" t="s">
        <v>158</v>
      </c>
      <c r="I6" s="77" t="s">
        <v>159</v>
      </c>
      <c r="J6" s="77" t="s">
        <v>160</v>
      </c>
      <c r="K6" s="305"/>
      <c r="L6" s="306"/>
      <c r="M6" s="307"/>
      <c r="P6" s="129" t="s">
        <v>161</v>
      </c>
    </row>
    <row r="7" spans="1:16" s="128" customFormat="1">
      <c r="A7" s="131">
        <v>1</v>
      </c>
      <c r="B7" s="132" t="s">
        <v>812</v>
      </c>
      <c r="C7" s="133" t="s">
        <v>813</v>
      </c>
      <c r="D7" s="139" t="s">
        <v>164</v>
      </c>
      <c r="E7" s="135"/>
      <c r="F7" s="136"/>
      <c r="G7" s="87">
        <f t="shared" ref="G7:G37" si="0">IF(D7="DATE",4,IF(D7="CHAR",E7,IF(D7="SMALLINT",2,IF(D7="INTEGER",4,IF(D7="TIMESTAMP",10,IF(D7="TIME",3,0))))))</f>
        <v>4</v>
      </c>
      <c r="H7" s="131" t="s">
        <v>149</v>
      </c>
      <c r="I7" s="131" t="s">
        <v>149</v>
      </c>
      <c r="J7" s="146"/>
      <c r="K7" s="341"/>
      <c r="L7" s="342"/>
      <c r="M7" s="343"/>
      <c r="P7" s="128" t="s">
        <v>165</v>
      </c>
    </row>
    <row r="8" spans="1:16" s="128" customFormat="1">
      <c r="A8" s="131">
        <f t="shared" ref="A8:A37" si="1">IF(B8=""," ",A7+1)</f>
        <v>2</v>
      </c>
      <c r="B8" s="132" t="s">
        <v>460</v>
      </c>
      <c r="C8" s="138" t="s">
        <v>461</v>
      </c>
      <c r="D8" s="139" t="s">
        <v>164</v>
      </c>
      <c r="E8" s="135"/>
      <c r="F8" s="136"/>
      <c r="G8" s="87">
        <f t="shared" si="0"/>
        <v>4</v>
      </c>
      <c r="H8" s="131" t="s">
        <v>149</v>
      </c>
      <c r="I8" s="131" t="s">
        <v>149</v>
      </c>
      <c r="J8" s="146"/>
      <c r="K8" s="138"/>
      <c r="L8" s="147"/>
      <c r="M8" s="148"/>
    </row>
    <row r="9" spans="1:16" s="128" customFormat="1" ht="11.25" customHeight="1">
      <c r="A9" s="131">
        <f t="shared" si="1"/>
        <v>3</v>
      </c>
      <c r="B9" s="132" t="s">
        <v>462</v>
      </c>
      <c r="C9" s="138" t="s">
        <v>463</v>
      </c>
      <c r="D9" s="139" t="s">
        <v>150</v>
      </c>
      <c r="E9" s="135">
        <v>20</v>
      </c>
      <c r="F9" s="136"/>
      <c r="G9" s="87">
        <f t="shared" si="0"/>
        <v>20</v>
      </c>
      <c r="H9" s="131" t="s">
        <v>149</v>
      </c>
      <c r="I9" s="131" t="s">
        <v>149</v>
      </c>
      <c r="J9" s="146"/>
      <c r="K9" s="138"/>
      <c r="L9" s="147"/>
      <c r="M9" s="148"/>
      <c r="P9" s="128" t="s">
        <v>164</v>
      </c>
    </row>
    <row r="10" spans="1:16" s="75" customFormat="1" ht="27" customHeight="1">
      <c r="A10" s="83">
        <f t="shared" si="1"/>
        <v>4</v>
      </c>
      <c r="B10" s="11" t="s">
        <v>464</v>
      </c>
      <c r="C10" s="19" t="s">
        <v>465</v>
      </c>
      <c r="D10" s="88" t="s">
        <v>150</v>
      </c>
      <c r="E10" s="85">
        <v>1</v>
      </c>
      <c r="F10" s="86"/>
      <c r="G10" s="87">
        <f t="shared" si="0"/>
        <v>1</v>
      </c>
      <c r="H10" s="131" t="s">
        <v>149</v>
      </c>
      <c r="I10" s="83"/>
      <c r="J10" s="93"/>
      <c r="K10" s="271" t="s">
        <v>171</v>
      </c>
      <c r="L10" s="272"/>
      <c r="M10" s="273"/>
    </row>
    <row r="11" spans="1:16" s="128" customFormat="1">
      <c r="A11" s="131">
        <f>IF(B11=""," ",A9+1)</f>
        <v>4</v>
      </c>
      <c r="B11" s="11" t="s">
        <v>667</v>
      </c>
      <c r="C11" s="133" t="s">
        <v>668</v>
      </c>
      <c r="D11" s="134" t="s">
        <v>161</v>
      </c>
      <c r="E11" s="135"/>
      <c r="F11" s="136"/>
      <c r="G11" s="87">
        <f t="shared" si="0"/>
        <v>4</v>
      </c>
      <c r="H11" s="131" t="s">
        <v>149</v>
      </c>
      <c r="I11" s="131" t="s">
        <v>149</v>
      </c>
      <c r="J11" s="146"/>
      <c r="K11" s="133"/>
      <c r="L11" s="149"/>
      <c r="M11" s="150"/>
    </row>
    <row r="12" spans="1:16" s="128" customFormat="1">
      <c r="A12" s="131">
        <f t="shared" si="1"/>
        <v>5</v>
      </c>
      <c r="B12" s="140" t="s">
        <v>744</v>
      </c>
      <c r="C12" s="145" t="s">
        <v>745</v>
      </c>
      <c r="D12" s="134" t="s">
        <v>174</v>
      </c>
      <c r="E12" s="135"/>
      <c r="F12" s="136"/>
      <c r="G12" s="87">
        <f t="shared" si="0"/>
        <v>2</v>
      </c>
      <c r="H12" s="131" t="s">
        <v>149</v>
      </c>
      <c r="I12" s="131" t="s">
        <v>149</v>
      </c>
      <c r="J12" s="146"/>
      <c r="K12" s="133"/>
      <c r="L12" s="149"/>
      <c r="M12" s="150"/>
    </row>
    <row r="13" spans="1:16" s="128" customFormat="1">
      <c r="A13" s="131">
        <f t="shared" si="1"/>
        <v>6</v>
      </c>
      <c r="B13" s="140" t="s">
        <v>814</v>
      </c>
      <c r="C13" s="145" t="s">
        <v>815</v>
      </c>
      <c r="D13" s="134" t="s">
        <v>174</v>
      </c>
      <c r="E13" s="135"/>
      <c r="F13" s="136"/>
      <c r="G13" s="87">
        <f t="shared" si="0"/>
        <v>2</v>
      </c>
      <c r="H13" s="131" t="s">
        <v>149</v>
      </c>
      <c r="I13" s="131" t="s">
        <v>149</v>
      </c>
      <c r="J13" s="146"/>
      <c r="K13" s="133"/>
      <c r="L13" s="149"/>
      <c r="M13" s="150"/>
    </row>
    <row r="14" spans="1:16" s="128" customFormat="1">
      <c r="A14" s="131">
        <f t="shared" si="1"/>
        <v>7</v>
      </c>
      <c r="B14" s="132" t="s">
        <v>1547</v>
      </c>
      <c r="C14" s="138" t="s">
        <v>1548</v>
      </c>
      <c r="D14" s="139" t="s">
        <v>150</v>
      </c>
      <c r="E14" s="135">
        <v>2</v>
      </c>
      <c r="F14" s="136"/>
      <c r="G14" s="87">
        <f t="shared" si="0"/>
        <v>2</v>
      </c>
      <c r="H14" s="131" t="s">
        <v>149</v>
      </c>
      <c r="I14" s="131" t="s">
        <v>149</v>
      </c>
      <c r="J14" s="146"/>
      <c r="K14" s="341"/>
      <c r="L14" s="342"/>
      <c r="M14" s="343"/>
    </row>
    <row r="15" spans="1:16" ht="11.25" customHeight="1">
      <c r="A15" s="131">
        <f t="shared" si="1"/>
        <v>8</v>
      </c>
      <c r="B15" s="20" t="s">
        <v>818</v>
      </c>
      <c r="C15" s="133" t="s">
        <v>819</v>
      </c>
      <c r="D15" s="134" t="s">
        <v>150</v>
      </c>
      <c r="E15" s="135">
        <v>10</v>
      </c>
      <c r="F15" s="136"/>
      <c r="G15" s="87">
        <f t="shared" si="0"/>
        <v>10</v>
      </c>
      <c r="H15" s="131" t="s">
        <v>149</v>
      </c>
      <c r="I15" s="131"/>
      <c r="J15" s="146"/>
      <c r="K15" s="154"/>
      <c r="L15" s="155"/>
      <c r="M15" s="156"/>
    </row>
    <row r="16" spans="1:16" ht="11.25" customHeight="1">
      <c r="A16" s="131">
        <f t="shared" si="1"/>
        <v>9</v>
      </c>
      <c r="B16" s="20" t="s">
        <v>957</v>
      </c>
      <c r="C16" s="133" t="s">
        <v>958</v>
      </c>
      <c r="D16" s="134" t="s">
        <v>150</v>
      </c>
      <c r="E16" s="135">
        <v>10</v>
      </c>
      <c r="F16" s="136"/>
      <c r="G16" s="87">
        <f t="shared" si="0"/>
        <v>10</v>
      </c>
      <c r="H16" s="131" t="s">
        <v>149</v>
      </c>
      <c r="I16" s="131"/>
      <c r="J16" s="146"/>
      <c r="K16" s="154"/>
      <c r="L16" s="155"/>
      <c r="M16" s="156"/>
    </row>
    <row r="17" spans="1:16" ht="11.25" customHeight="1">
      <c r="A17" s="131">
        <f t="shared" si="1"/>
        <v>10</v>
      </c>
      <c r="B17" s="20" t="s">
        <v>960</v>
      </c>
      <c r="C17" s="133" t="s">
        <v>961</v>
      </c>
      <c r="D17" s="134" t="s">
        <v>150</v>
      </c>
      <c r="E17" s="135">
        <v>5</v>
      </c>
      <c r="F17" s="136"/>
      <c r="G17" s="87">
        <f t="shared" si="0"/>
        <v>5</v>
      </c>
      <c r="H17" s="131" t="s">
        <v>149</v>
      </c>
      <c r="I17" s="131"/>
      <c r="J17" s="146"/>
      <c r="K17" s="154"/>
      <c r="L17" s="155"/>
      <c r="M17" s="156"/>
    </row>
    <row r="18" spans="1:16" ht="11.25" customHeight="1">
      <c r="A18" s="131">
        <f t="shared" si="1"/>
        <v>11</v>
      </c>
      <c r="B18" s="20" t="s">
        <v>1350</v>
      </c>
      <c r="C18" s="133" t="s">
        <v>1351</v>
      </c>
      <c r="D18" s="134" t="s">
        <v>150</v>
      </c>
      <c r="E18" s="135">
        <v>5</v>
      </c>
      <c r="F18" s="136"/>
      <c r="G18" s="87">
        <f t="shared" si="0"/>
        <v>5</v>
      </c>
      <c r="H18" s="131" t="s">
        <v>149</v>
      </c>
      <c r="I18" s="131"/>
      <c r="J18" s="146"/>
      <c r="K18" s="154"/>
      <c r="L18" s="155"/>
      <c r="M18" s="156"/>
    </row>
    <row r="19" spans="1:16" s="128" customFormat="1">
      <c r="A19" s="131">
        <f t="shared" si="1"/>
        <v>12</v>
      </c>
      <c r="B19" s="141" t="s">
        <v>774</v>
      </c>
      <c r="C19" s="138" t="s">
        <v>775</v>
      </c>
      <c r="D19" s="139" t="s">
        <v>150</v>
      </c>
      <c r="E19" s="135">
        <v>10</v>
      </c>
      <c r="F19" s="136"/>
      <c r="G19" s="87">
        <f t="shared" si="0"/>
        <v>10</v>
      </c>
      <c r="H19" s="131" t="s">
        <v>149</v>
      </c>
      <c r="I19" s="131"/>
      <c r="J19" s="146"/>
      <c r="K19" s="341"/>
      <c r="L19" s="342"/>
      <c r="M19" s="343"/>
      <c r="P19" s="128" t="s">
        <v>195</v>
      </c>
    </row>
    <row r="20" spans="1:16" s="128" customFormat="1" ht="11.25" customHeight="1">
      <c r="A20" s="131">
        <f t="shared" si="1"/>
        <v>13</v>
      </c>
      <c r="B20" s="141" t="s">
        <v>776</v>
      </c>
      <c r="C20" s="133" t="s">
        <v>777</v>
      </c>
      <c r="D20" s="134" t="s">
        <v>174</v>
      </c>
      <c r="E20" s="135"/>
      <c r="F20" s="136"/>
      <c r="G20" s="87">
        <f t="shared" si="0"/>
        <v>2</v>
      </c>
      <c r="H20" s="131" t="s">
        <v>149</v>
      </c>
      <c r="I20" s="131"/>
      <c r="J20" s="146"/>
      <c r="K20" s="347"/>
      <c r="L20" s="348"/>
      <c r="M20" s="349"/>
    </row>
    <row r="21" spans="1:16">
      <c r="A21" s="131">
        <f t="shared" si="1"/>
        <v>14</v>
      </c>
      <c r="B21" s="20" t="s">
        <v>1549</v>
      </c>
      <c r="C21" s="133" t="s">
        <v>1550</v>
      </c>
      <c r="D21" s="134" t="s">
        <v>150</v>
      </c>
      <c r="E21" s="135">
        <v>1</v>
      </c>
      <c r="F21" s="136"/>
      <c r="G21" s="87">
        <f t="shared" si="0"/>
        <v>1</v>
      </c>
      <c r="H21" s="131" t="s">
        <v>149</v>
      </c>
      <c r="I21" s="131"/>
      <c r="J21" s="146"/>
      <c r="K21" s="133"/>
      <c r="L21" s="149"/>
      <c r="M21" s="150"/>
    </row>
    <row r="22" spans="1:16" s="128" customFormat="1">
      <c r="A22" s="131">
        <f t="shared" si="1"/>
        <v>15</v>
      </c>
      <c r="B22" s="140" t="s">
        <v>1551</v>
      </c>
      <c r="C22" s="143" t="s">
        <v>1552</v>
      </c>
      <c r="D22" s="134" t="s">
        <v>150</v>
      </c>
      <c r="E22" s="135">
        <v>1</v>
      </c>
      <c r="F22" s="136"/>
      <c r="G22" s="87">
        <f t="shared" si="0"/>
        <v>1</v>
      </c>
      <c r="H22" s="131" t="s">
        <v>149</v>
      </c>
      <c r="I22" s="131"/>
      <c r="J22" s="146"/>
      <c r="K22" s="350"/>
      <c r="L22" s="351"/>
      <c r="M22" s="352"/>
      <c r="P22" s="128" t="s">
        <v>195</v>
      </c>
    </row>
    <row r="23" spans="1:16" s="128" customFormat="1">
      <c r="A23" s="131">
        <f t="shared" si="1"/>
        <v>16</v>
      </c>
      <c r="B23" s="140" t="s">
        <v>1553</v>
      </c>
      <c r="C23" s="143" t="s">
        <v>1554</v>
      </c>
      <c r="D23" s="134" t="s">
        <v>150</v>
      </c>
      <c r="E23" s="135">
        <v>1</v>
      </c>
      <c r="F23" s="136"/>
      <c r="G23" s="87">
        <f t="shared" si="0"/>
        <v>1</v>
      </c>
      <c r="H23" s="131" t="s">
        <v>149</v>
      </c>
      <c r="I23" s="131"/>
      <c r="J23" s="146"/>
      <c r="K23" s="350"/>
      <c r="L23" s="351"/>
      <c r="M23" s="352"/>
    </row>
    <row r="24" spans="1:16" s="128" customFormat="1">
      <c r="A24" s="131">
        <f t="shared" si="1"/>
        <v>17</v>
      </c>
      <c r="B24" s="137" t="s">
        <v>1555</v>
      </c>
      <c r="C24" s="145" t="s">
        <v>1556</v>
      </c>
      <c r="D24" s="134" t="s">
        <v>150</v>
      </c>
      <c r="E24" s="135">
        <v>1</v>
      </c>
      <c r="F24" s="136"/>
      <c r="G24" s="87">
        <f t="shared" si="0"/>
        <v>1</v>
      </c>
      <c r="H24" s="131" t="s">
        <v>149</v>
      </c>
      <c r="I24" s="131"/>
      <c r="J24" s="146"/>
      <c r="K24" s="347"/>
      <c r="L24" s="348"/>
      <c r="M24" s="349"/>
    </row>
    <row r="25" spans="1:16" s="128" customFormat="1">
      <c r="A25" s="131">
        <f t="shared" si="1"/>
        <v>18</v>
      </c>
      <c r="B25" s="140" t="s">
        <v>1557</v>
      </c>
      <c r="C25" s="143" t="s">
        <v>1558</v>
      </c>
      <c r="D25" s="134" t="s">
        <v>150</v>
      </c>
      <c r="E25" s="135">
        <v>1</v>
      </c>
      <c r="F25" s="136"/>
      <c r="G25" s="87">
        <f t="shared" si="0"/>
        <v>1</v>
      </c>
      <c r="H25" s="131" t="s">
        <v>149</v>
      </c>
      <c r="I25" s="131"/>
      <c r="J25" s="146"/>
      <c r="K25" s="350"/>
      <c r="L25" s="351"/>
      <c r="M25" s="352"/>
    </row>
    <row r="26" spans="1:16" s="128" customFormat="1">
      <c r="A26" s="131">
        <f t="shared" si="1"/>
        <v>19</v>
      </c>
      <c r="B26" s="137" t="s">
        <v>1559</v>
      </c>
      <c r="C26" s="133" t="s">
        <v>1560</v>
      </c>
      <c r="D26" s="134" t="s">
        <v>150</v>
      </c>
      <c r="E26" s="135">
        <v>1</v>
      </c>
      <c r="F26" s="136"/>
      <c r="G26" s="87">
        <f t="shared" si="0"/>
        <v>1</v>
      </c>
      <c r="H26" s="131" t="s">
        <v>149</v>
      </c>
      <c r="I26" s="131"/>
      <c r="J26" s="146"/>
      <c r="K26" s="347"/>
      <c r="L26" s="348"/>
      <c r="M26" s="349"/>
    </row>
    <row r="27" spans="1:16" s="128" customFormat="1">
      <c r="A27" s="131">
        <f t="shared" si="1"/>
        <v>20</v>
      </c>
      <c r="B27" s="137" t="s">
        <v>1561</v>
      </c>
      <c r="C27" s="133" t="s">
        <v>1562</v>
      </c>
      <c r="D27" s="134" t="s">
        <v>150</v>
      </c>
      <c r="E27" s="135">
        <v>1</v>
      </c>
      <c r="F27" s="136"/>
      <c r="G27" s="87">
        <f t="shared" si="0"/>
        <v>1</v>
      </c>
      <c r="H27" s="131" t="s">
        <v>149</v>
      </c>
      <c r="I27" s="131"/>
      <c r="J27" s="146"/>
      <c r="K27" s="347"/>
      <c r="L27" s="348"/>
      <c r="M27" s="349"/>
    </row>
    <row r="28" spans="1:16">
      <c r="A28" s="131">
        <f t="shared" si="1"/>
        <v>21</v>
      </c>
      <c r="B28" s="20" t="s">
        <v>1563</v>
      </c>
      <c r="C28" s="133" t="s">
        <v>1564</v>
      </c>
      <c r="D28" s="134" t="s">
        <v>150</v>
      </c>
      <c r="E28" s="135">
        <v>1</v>
      </c>
      <c r="F28" s="136"/>
      <c r="G28" s="87">
        <f t="shared" si="0"/>
        <v>1</v>
      </c>
      <c r="H28" s="131" t="s">
        <v>149</v>
      </c>
      <c r="I28" s="131"/>
      <c r="J28" s="146"/>
      <c r="K28" s="133"/>
      <c r="L28" s="149"/>
      <c r="M28" s="150"/>
    </row>
    <row r="29" spans="1:16">
      <c r="A29" s="131">
        <f t="shared" si="1"/>
        <v>22</v>
      </c>
      <c r="B29" s="20" t="s">
        <v>1565</v>
      </c>
      <c r="C29" s="133" t="s">
        <v>1566</v>
      </c>
      <c r="D29" s="134" t="s">
        <v>150</v>
      </c>
      <c r="E29" s="135">
        <v>1</v>
      </c>
      <c r="F29" s="136"/>
      <c r="G29" s="87">
        <f t="shared" si="0"/>
        <v>1</v>
      </c>
      <c r="H29" s="131" t="s">
        <v>149</v>
      </c>
      <c r="I29" s="131"/>
      <c r="J29" s="146"/>
      <c r="K29" s="133"/>
      <c r="L29" s="149"/>
      <c r="M29" s="150"/>
    </row>
    <row r="30" spans="1:16">
      <c r="A30" s="131">
        <f t="shared" si="1"/>
        <v>23</v>
      </c>
      <c r="B30" s="141" t="s">
        <v>1567</v>
      </c>
      <c r="C30" s="133" t="s">
        <v>1568</v>
      </c>
      <c r="D30" s="134" t="s">
        <v>150</v>
      </c>
      <c r="E30" s="135">
        <v>1</v>
      </c>
      <c r="F30" s="136"/>
      <c r="G30" s="87">
        <f t="shared" si="0"/>
        <v>1</v>
      </c>
      <c r="H30" s="131" t="s">
        <v>149</v>
      </c>
      <c r="I30" s="131"/>
      <c r="J30" s="146"/>
      <c r="K30" s="133"/>
      <c r="L30" s="149"/>
      <c r="M30" s="150"/>
    </row>
    <row r="31" spans="1:16">
      <c r="A31" s="131">
        <f t="shared" si="1"/>
        <v>24</v>
      </c>
      <c r="B31" s="141" t="s">
        <v>1569</v>
      </c>
      <c r="C31" s="133" t="s">
        <v>1570</v>
      </c>
      <c r="D31" s="134" t="s">
        <v>150</v>
      </c>
      <c r="E31" s="135">
        <v>1</v>
      </c>
      <c r="F31" s="136"/>
      <c r="G31" s="87">
        <f t="shared" si="0"/>
        <v>1</v>
      </c>
      <c r="H31" s="131" t="s">
        <v>149</v>
      </c>
      <c r="I31" s="131"/>
      <c r="J31" s="146"/>
      <c r="K31" s="133"/>
      <c r="L31" s="149"/>
      <c r="M31" s="150"/>
    </row>
    <row r="32" spans="1:16">
      <c r="A32" s="131">
        <f t="shared" si="1"/>
        <v>25</v>
      </c>
      <c r="B32" s="141" t="s">
        <v>1571</v>
      </c>
      <c r="C32" s="133" t="s">
        <v>1572</v>
      </c>
      <c r="D32" s="134" t="s">
        <v>150</v>
      </c>
      <c r="E32" s="135">
        <v>1</v>
      </c>
      <c r="F32" s="136"/>
      <c r="G32" s="87">
        <f t="shared" si="0"/>
        <v>1</v>
      </c>
      <c r="H32" s="131" t="s">
        <v>149</v>
      </c>
      <c r="I32" s="131"/>
      <c r="J32" s="146"/>
      <c r="K32" s="133"/>
      <c r="L32" s="149"/>
      <c r="M32" s="150"/>
    </row>
    <row r="33" spans="1:13">
      <c r="A33" s="131">
        <f t="shared" si="1"/>
        <v>26</v>
      </c>
      <c r="B33" s="141" t="s">
        <v>1573</v>
      </c>
      <c r="C33" s="133" t="s">
        <v>1574</v>
      </c>
      <c r="D33" s="134" t="s">
        <v>150</v>
      </c>
      <c r="E33" s="135">
        <v>1</v>
      </c>
      <c r="F33" s="136"/>
      <c r="G33" s="87">
        <f t="shared" si="0"/>
        <v>1</v>
      </c>
      <c r="H33" s="131" t="s">
        <v>149</v>
      </c>
      <c r="I33" s="131"/>
      <c r="J33" s="146"/>
      <c r="K33" s="133"/>
      <c r="L33" s="149"/>
      <c r="M33" s="150"/>
    </row>
    <row r="34" spans="1:13">
      <c r="A34" s="131">
        <f t="shared" si="1"/>
        <v>27</v>
      </c>
      <c r="B34" s="141" t="s">
        <v>1575</v>
      </c>
      <c r="C34" s="133" t="s">
        <v>1576</v>
      </c>
      <c r="D34" s="134" t="s">
        <v>150</v>
      </c>
      <c r="E34" s="135">
        <v>1</v>
      </c>
      <c r="F34" s="136"/>
      <c r="G34" s="87">
        <f t="shared" si="0"/>
        <v>1</v>
      </c>
      <c r="H34" s="131" t="s">
        <v>149</v>
      </c>
      <c r="I34" s="131"/>
      <c r="J34" s="146"/>
      <c r="K34" s="133"/>
      <c r="L34" s="149"/>
      <c r="M34" s="150"/>
    </row>
    <row r="35" spans="1:13">
      <c r="A35" s="131">
        <f t="shared" si="1"/>
        <v>28</v>
      </c>
      <c r="B35" s="141" t="s">
        <v>1577</v>
      </c>
      <c r="C35" s="133" t="s">
        <v>1578</v>
      </c>
      <c r="D35" s="134" t="s">
        <v>150</v>
      </c>
      <c r="E35" s="135">
        <v>1</v>
      </c>
      <c r="F35" s="136"/>
      <c r="G35" s="87">
        <f t="shared" si="0"/>
        <v>1</v>
      </c>
      <c r="H35" s="131" t="s">
        <v>149</v>
      </c>
      <c r="I35" s="131"/>
      <c r="J35" s="146"/>
      <c r="K35" s="133"/>
      <c r="L35" s="149"/>
      <c r="M35" s="150"/>
    </row>
    <row r="36" spans="1:13">
      <c r="A36" s="131">
        <f t="shared" si="1"/>
        <v>29</v>
      </c>
      <c r="B36" s="141" t="s">
        <v>1579</v>
      </c>
      <c r="C36" s="133" t="s">
        <v>1580</v>
      </c>
      <c r="D36" s="134" t="s">
        <v>150</v>
      </c>
      <c r="E36" s="135">
        <v>1</v>
      </c>
      <c r="F36" s="136"/>
      <c r="G36" s="87">
        <f t="shared" si="0"/>
        <v>1</v>
      </c>
      <c r="H36" s="131" t="s">
        <v>149</v>
      </c>
      <c r="I36" s="131"/>
      <c r="J36" s="146"/>
      <c r="K36" s="133"/>
      <c r="L36" s="149"/>
      <c r="M36" s="150"/>
    </row>
    <row r="37" spans="1:13">
      <c r="A37" s="131">
        <f t="shared" si="1"/>
        <v>30</v>
      </c>
      <c r="B37" s="141" t="s">
        <v>232</v>
      </c>
      <c r="C37" s="133" t="s">
        <v>233</v>
      </c>
      <c r="D37" s="134" t="s">
        <v>234</v>
      </c>
      <c r="E37" s="135"/>
      <c r="F37" s="136"/>
      <c r="G37" s="87">
        <f t="shared" si="0"/>
        <v>10</v>
      </c>
      <c r="H37" s="131" t="s">
        <v>149</v>
      </c>
      <c r="I37" s="131"/>
      <c r="J37" s="146"/>
      <c r="K37" s="133"/>
      <c r="L37" s="149"/>
      <c r="M37" s="150"/>
    </row>
    <row r="38" spans="1:13">
      <c r="A38" s="131" t="str">
        <f t="shared" ref="A38:A44" si="2">IF(B38=""," ",A37+1)</f>
        <v xml:space="preserve"> </v>
      </c>
      <c r="B38" s="141"/>
      <c r="C38" s="133"/>
      <c r="D38" s="134"/>
      <c r="E38" s="135"/>
      <c r="F38" s="136"/>
      <c r="G38" s="142"/>
      <c r="H38" s="131"/>
      <c r="I38" s="131"/>
      <c r="J38" s="146"/>
      <c r="K38" s="133"/>
      <c r="L38" s="149"/>
      <c r="M38" s="150"/>
    </row>
    <row r="39" spans="1:13">
      <c r="A39" s="131" t="str">
        <f t="shared" si="2"/>
        <v xml:space="preserve"> </v>
      </c>
      <c r="B39" s="141"/>
      <c r="C39" s="133"/>
      <c r="D39" s="134"/>
      <c r="E39" s="135"/>
      <c r="F39" s="136"/>
      <c r="G39" s="142"/>
      <c r="H39" s="131"/>
      <c r="I39" s="131"/>
      <c r="J39" s="146"/>
      <c r="K39" s="133"/>
      <c r="L39" s="149"/>
      <c r="M39" s="150"/>
    </row>
    <row r="40" spans="1:13">
      <c r="A40" s="131" t="str">
        <f t="shared" si="2"/>
        <v xml:space="preserve"> </v>
      </c>
      <c r="B40" s="141"/>
      <c r="C40" s="133"/>
      <c r="D40" s="134"/>
      <c r="E40" s="135"/>
      <c r="F40" s="136"/>
      <c r="G40" s="142"/>
      <c r="H40" s="131"/>
      <c r="I40" s="131"/>
      <c r="J40" s="146"/>
      <c r="K40" s="133"/>
      <c r="L40" s="149"/>
      <c r="M40" s="150"/>
    </row>
    <row r="41" spans="1:13">
      <c r="A41" s="131" t="str">
        <f t="shared" si="2"/>
        <v xml:space="preserve"> </v>
      </c>
      <c r="B41" s="141"/>
      <c r="C41" s="133"/>
      <c r="D41" s="134"/>
      <c r="E41" s="135"/>
      <c r="F41" s="136"/>
      <c r="G41" s="142"/>
      <c r="H41" s="131"/>
      <c r="I41" s="131"/>
      <c r="J41" s="146"/>
      <c r="K41" s="133"/>
      <c r="L41" s="149"/>
      <c r="M41" s="150"/>
    </row>
    <row r="42" spans="1:13">
      <c r="A42" s="131" t="str">
        <f t="shared" si="2"/>
        <v xml:space="preserve"> </v>
      </c>
      <c r="B42" s="141"/>
      <c r="C42" s="133"/>
      <c r="D42" s="134"/>
      <c r="E42" s="135"/>
      <c r="F42" s="136"/>
      <c r="G42" s="142"/>
      <c r="H42" s="131"/>
      <c r="I42" s="131"/>
      <c r="J42" s="146"/>
      <c r="K42" s="133"/>
      <c r="L42" s="149"/>
      <c r="M42" s="150"/>
    </row>
    <row r="43" spans="1:13">
      <c r="A43" s="131" t="str">
        <f t="shared" si="2"/>
        <v xml:space="preserve"> </v>
      </c>
      <c r="B43" s="141"/>
      <c r="C43" s="133"/>
      <c r="D43" s="134"/>
      <c r="E43" s="135"/>
      <c r="F43" s="136"/>
      <c r="G43" s="142"/>
      <c r="H43" s="131"/>
      <c r="I43" s="131"/>
      <c r="J43" s="146"/>
      <c r="K43" s="133"/>
      <c r="L43" s="149"/>
      <c r="M43" s="150"/>
    </row>
    <row r="44" spans="1:13">
      <c r="A44" s="131" t="str">
        <f t="shared" si="2"/>
        <v xml:space="preserve"> </v>
      </c>
      <c r="B44" s="141"/>
      <c r="C44" s="133"/>
      <c r="D44" s="134"/>
      <c r="E44" s="135"/>
      <c r="F44" s="136"/>
      <c r="G44" s="142"/>
      <c r="H44" s="131"/>
      <c r="I44" s="131"/>
      <c r="J44" s="146"/>
      <c r="K44" s="133"/>
      <c r="L44" s="149"/>
      <c r="M44" s="150"/>
    </row>
    <row r="45" spans="1:13">
      <c r="A45" s="131" t="str">
        <f t="shared" ref="A45:A52" si="3">IF(B45=""," ",A44+1)</f>
        <v xml:space="preserve"> </v>
      </c>
      <c r="B45" s="141"/>
      <c r="C45" s="133"/>
      <c r="D45" s="134"/>
      <c r="E45" s="135"/>
      <c r="F45" s="136"/>
      <c r="G45" s="142"/>
      <c r="H45" s="131"/>
      <c r="I45" s="131"/>
      <c r="J45" s="146"/>
      <c r="K45" s="133"/>
      <c r="L45" s="149"/>
      <c r="M45" s="150"/>
    </row>
    <row r="46" spans="1:13">
      <c r="A46" s="131" t="str">
        <f t="shared" si="3"/>
        <v xml:space="preserve"> </v>
      </c>
      <c r="B46" s="141"/>
      <c r="C46" s="133"/>
      <c r="D46" s="134"/>
      <c r="E46" s="135"/>
      <c r="F46" s="136"/>
      <c r="G46" s="142"/>
      <c r="H46" s="131"/>
      <c r="I46" s="131"/>
      <c r="J46" s="146"/>
      <c r="K46" s="133"/>
      <c r="L46" s="149"/>
      <c r="M46" s="150"/>
    </row>
    <row r="47" spans="1:13">
      <c r="A47" s="131" t="str">
        <f t="shared" si="3"/>
        <v xml:space="preserve"> </v>
      </c>
      <c r="B47" s="141"/>
      <c r="C47" s="133"/>
      <c r="D47" s="134"/>
      <c r="E47" s="135"/>
      <c r="F47" s="136"/>
      <c r="G47" s="142"/>
      <c r="H47" s="131"/>
      <c r="I47" s="131"/>
      <c r="J47" s="146"/>
      <c r="K47" s="133"/>
      <c r="L47" s="149"/>
      <c r="M47" s="150"/>
    </row>
    <row r="48" spans="1:13">
      <c r="A48" s="131" t="str">
        <f t="shared" si="3"/>
        <v xml:space="preserve"> </v>
      </c>
      <c r="B48" s="141"/>
      <c r="C48" s="133"/>
      <c r="D48" s="134"/>
      <c r="E48" s="135"/>
      <c r="F48" s="136"/>
      <c r="G48" s="142"/>
      <c r="H48" s="131"/>
      <c r="I48" s="131"/>
      <c r="J48" s="146"/>
      <c r="K48" s="133"/>
      <c r="L48" s="149"/>
      <c r="M48" s="150"/>
    </row>
    <row r="49" spans="1:13">
      <c r="A49" s="131" t="str">
        <f t="shared" si="3"/>
        <v xml:space="preserve"> </v>
      </c>
      <c r="B49" s="141"/>
      <c r="C49" s="133"/>
      <c r="D49" s="134"/>
      <c r="E49" s="135"/>
      <c r="F49" s="136"/>
      <c r="G49" s="142"/>
      <c r="H49" s="131"/>
      <c r="I49" s="131"/>
      <c r="J49" s="146"/>
      <c r="K49" s="133"/>
      <c r="L49" s="149"/>
      <c r="M49" s="150"/>
    </row>
    <row r="50" spans="1:13">
      <c r="A50" s="131" t="str">
        <f t="shared" si="3"/>
        <v xml:space="preserve"> </v>
      </c>
      <c r="B50" s="141"/>
      <c r="C50" s="133"/>
      <c r="D50" s="134"/>
      <c r="E50" s="135"/>
      <c r="F50" s="136"/>
      <c r="G50" s="142"/>
      <c r="H50" s="131"/>
      <c r="I50" s="131"/>
      <c r="J50" s="146"/>
      <c r="K50" s="133"/>
      <c r="L50" s="149"/>
      <c r="M50" s="150"/>
    </row>
    <row r="51" spans="1:13">
      <c r="A51" s="131" t="str">
        <f t="shared" si="3"/>
        <v xml:space="preserve"> </v>
      </c>
      <c r="B51" s="141"/>
      <c r="C51" s="133"/>
      <c r="D51" s="134"/>
      <c r="E51" s="135"/>
      <c r="F51" s="136"/>
      <c r="G51" s="142"/>
      <c r="H51" s="131"/>
      <c r="I51" s="131"/>
      <c r="J51" s="146"/>
      <c r="K51" s="133"/>
      <c r="L51" s="149"/>
      <c r="M51" s="150"/>
    </row>
    <row r="52" spans="1:13">
      <c r="A52" s="131" t="str">
        <f t="shared" si="3"/>
        <v xml:space="preserve"> </v>
      </c>
      <c r="B52" s="141"/>
      <c r="C52" s="133"/>
      <c r="D52" s="134"/>
      <c r="E52" s="135"/>
      <c r="F52" s="136"/>
      <c r="G52" s="142"/>
      <c r="H52" s="131"/>
      <c r="I52" s="131"/>
      <c r="J52" s="146"/>
      <c r="K52" s="133"/>
      <c r="L52" s="149"/>
      <c r="M52" s="150"/>
    </row>
    <row r="53" spans="1:13">
      <c r="A53" s="131" t="str">
        <f t="shared" ref="A53:A100" si="4">IF(B53=""," ",A52+1)</f>
        <v xml:space="preserve"> </v>
      </c>
      <c r="B53" s="141"/>
      <c r="C53" s="133"/>
      <c r="D53" s="134"/>
      <c r="E53" s="135"/>
      <c r="F53" s="136"/>
      <c r="G53" s="142"/>
      <c r="H53" s="131"/>
      <c r="I53" s="131"/>
      <c r="J53" s="146"/>
      <c r="K53" s="133"/>
      <c r="L53" s="149"/>
      <c r="M53" s="150"/>
    </row>
    <row r="54" spans="1:13">
      <c r="A54" s="131" t="str">
        <f t="shared" si="4"/>
        <v xml:space="preserve"> </v>
      </c>
      <c r="B54" s="141"/>
      <c r="C54" s="133"/>
      <c r="D54" s="134"/>
      <c r="E54" s="135"/>
      <c r="F54" s="136"/>
      <c r="G54" s="142"/>
      <c r="H54" s="131"/>
      <c r="I54" s="131"/>
      <c r="J54" s="146"/>
      <c r="K54" s="133"/>
      <c r="L54" s="149"/>
      <c r="M54" s="150"/>
    </row>
    <row r="55" spans="1:13">
      <c r="A55" s="131" t="str">
        <f t="shared" si="4"/>
        <v xml:space="preserve"> </v>
      </c>
      <c r="B55" s="141"/>
      <c r="C55" s="133"/>
      <c r="D55" s="134"/>
      <c r="E55" s="135"/>
      <c r="F55" s="136"/>
      <c r="G55" s="142"/>
      <c r="H55" s="131"/>
      <c r="I55" s="131"/>
      <c r="J55" s="146"/>
      <c r="K55" s="133"/>
      <c r="L55" s="149"/>
      <c r="M55" s="150"/>
    </row>
    <row r="56" spans="1:13">
      <c r="A56" s="131" t="str">
        <f t="shared" si="4"/>
        <v xml:space="preserve"> </v>
      </c>
      <c r="B56" s="141"/>
      <c r="C56" s="133"/>
      <c r="D56" s="134"/>
      <c r="E56" s="135"/>
      <c r="F56" s="136"/>
      <c r="G56" s="142"/>
      <c r="H56" s="131"/>
      <c r="I56" s="131"/>
      <c r="J56" s="146"/>
      <c r="K56" s="133"/>
      <c r="L56" s="149"/>
      <c r="M56" s="150"/>
    </row>
    <row r="57" spans="1:13">
      <c r="A57" s="131" t="str">
        <f t="shared" si="4"/>
        <v xml:space="preserve"> </v>
      </c>
      <c r="B57" s="141"/>
      <c r="C57" s="133"/>
      <c r="D57" s="134"/>
      <c r="E57" s="135"/>
      <c r="F57" s="136"/>
      <c r="G57" s="142"/>
      <c r="H57" s="131"/>
      <c r="I57" s="131"/>
      <c r="J57" s="146"/>
      <c r="K57" s="133"/>
      <c r="L57" s="149"/>
      <c r="M57" s="150"/>
    </row>
    <row r="58" spans="1:13">
      <c r="A58" s="131" t="str">
        <f t="shared" si="4"/>
        <v xml:space="preserve"> </v>
      </c>
      <c r="B58" s="141"/>
      <c r="C58" s="133"/>
      <c r="D58" s="134"/>
      <c r="E58" s="135"/>
      <c r="F58" s="136"/>
      <c r="G58" s="142"/>
      <c r="H58" s="131"/>
      <c r="I58" s="131"/>
      <c r="J58" s="146"/>
      <c r="K58" s="133"/>
      <c r="L58" s="149"/>
      <c r="M58" s="150"/>
    </row>
    <row r="59" spans="1:13">
      <c r="A59" s="131" t="str">
        <f t="shared" si="4"/>
        <v xml:space="preserve"> </v>
      </c>
      <c r="B59" s="141"/>
      <c r="C59" s="133"/>
      <c r="D59" s="134"/>
      <c r="E59" s="135"/>
      <c r="F59" s="136"/>
      <c r="G59" s="142"/>
      <c r="H59" s="131"/>
      <c r="I59" s="131"/>
      <c r="J59" s="146"/>
      <c r="K59" s="133"/>
      <c r="L59" s="149"/>
      <c r="M59" s="150"/>
    </row>
    <row r="60" spans="1:13">
      <c r="A60" s="131" t="str">
        <f t="shared" si="4"/>
        <v xml:space="preserve"> </v>
      </c>
      <c r="B60" s="141"/>
      <c r="C60" s="133"/>
      <c r="D60" s="134"/>
      <c r="E60" s="135"/>
      <c r="F60" s="136"/>
      <c r="G60" s="142"/>
      <c r="H60" s="131"/>
      <c r="I60" s="131"/>
      <c r="J60" s="146"/>
      <c r="K60" s="133"/>
      <c r="L60" s="149"/>
      <c r="M60" s="150"/>
    </row>
    <row r="61" spans="1:13">
      <c r="A61" s="131" t="str">
        <f t="shared" si="4"/>
        <v xml:space="preserve"> </v>
      </c>
      <c r="B61" s="141"/>
      <c r="C61" s="133"/>
      <c r="D61" s="134"/>
      <c r="E61" s="135"/>
      <c r="F61" s="136"/>
      <c r="G61" s="142"/>
      <c r="H61" s="131"/>
      <c r="I61" s="131"/>
      <c r="J61" s="146"/>
      <c r="K61" s="133"/>
      <c r="L61" s="149"/>
      <c r="M61" s="150"/>
    </row>
    <row r="62" spans="1:13">
      <c r="A62" s="131" t="str">
        <f t="shared" si="4"/>
        <v xml:space="preserve"> </v>
      </c>
      <c r="B62" s="141"/>
      <c r="C62" s="133"/>
      <c r="D62" s="134"/>
      <c r="E62" s="135"/>
      <c r="F62" s="136"/>
      <c r="G62" s="142"/>
      <c r="H62" s="131"/>
      <c r="I62" s="131"/>
      <c r="J62" s="146"/>
      <c r="K62" s="133"/>
      <c r="L62" s="149"/>
      <c r="M62" s="150"/>
    </row>
    <row r="63" spans="1:13">
      <c r="A63" s="131" t="str">
        <f t="shared" si="4"/>
        <v xml:space="preserve"> </v>
      </c>
      <c r="B63" s="141"/>
      <c r="C63" s="133"/>
      <c r="D63" s="134"/>
      <c r="E63" s="135"/>
      <c r="F63" s="136"/>
      <c r="G63" s="142"/>
      <c r="H63" s="131"/>
      <c r="I63" s="131"/>
      <c r="J63" s="146"/>
      <c r="K63" s="133"/>
      <c r="L63" s="149"/>
      <c r="M63" s="150"/>
    </row>
    <row r="64" spans="1:13">
      <c r="A64" s="131" t="str">
        <f t="shared" si="4"/>
        <v xml:space="preserve"> </v>
      </c>
      <c r="B64" s="141"/>
      <c r="C64" s="133"/>
      <c r="D64" s="134"/>
      <c r="E64" s="135"/>
      <c r="F64" s="136"/>
      <c r="G64" s="142"/>
      <c r="H64" s="131"/>
      <c r="I64" s="131"/>
      <c r="J64" s="146"/>
      <c r="K64" s="133"/>
      <c r="L64" s="149"/>
      <c r="M64" s="150"/>
    </row>
    <row r="65" spans="1:13">
      <c r="A65" s="131" t="str">
        <f t="shared" si="4"/>
        <v xml:space="preserve"> </v>
      </c>
      <c r="B65" s="141"/>
      <c r="C65" s="133"/>
      <c r="D65" s="134"/>
      <c r="E65" s="135"/>
      <c r="F65" s="136"/>
      <c r="G65" s="142"/>
      <c r="H65" s="131"/>
      <c r="I65" s="131"/>
      <c r="J65" s="146"/>
      <c r="K65" s="133"/>
      <c r="L65" s="149"/>
      <c r="M65" s="150"/>
    </row>
    <row r="66" spans="1:13">
      <c r="A66" s="131" t="str">
        <f t="shared" si="4"/>
        <v xml:space="preserve"> </v>
      </c>
      <c r="B66" s="141"/>
      <c r="C66" s="133"/>
      <c r="D66" s="134"/>
      <c r="E66" s="135"/>
      <c r="F66" s="136"/>
      <c r="G66" s="142"/>
      <c r="H66" s="131"/>
      <c r="I66" s="131"/>
      <c r="J66" s="146"/>
      <c r="K66" s="133"/>
      <c r="L66" s="149"/>
      <c r="M66" s="150"/>
    </row>
    <row r="67" spans="1:13">
      <c r="A67" s="131" t="str">
        <f t="shared" si="4"/>
        <v xml:space="preserve"> </v>
      </c>
      <c r="B67" s="141"/>
      <c r="C67" s="133"/>
      <c r="D67" s="134"/>
      <c r="E67" s="135"/>
      <c r="F67" s="136"/>
      <c r="G67" s="142"/>
      <c r="H67" s="131"/>
      <c r="I67" s="131"/>
      <c r="J67" s="146"/>
      <c r="K67" s="133"/>
      <c r="L67" s="149"/>
      <c r="M67" s="150"/>
    </row>
    <row r="68" spans="1:13">
      <c r="A68" s="131" t="str">
        <f t="shared" si="4"/>
        <v xml:space="preserve"> </v>
      </c>
      <c r="B68" s="141"/>
      <c r="C68" s="133"/>
      <c r="D68" s="134"/>
      <c r="E68" s="135"/>
      <c r="F68" s="136"/>
      <c r="G68" s="142"/>
      <c r="H68" s="131"/>
      <c r="I68" s="131"/>
      <c r="J68" s="146"/>
      <c r="K68" s="133"/>
      <c r="L68" s="149"/>
      <c r="M68" s="150"/>
    </row>
    <row r="69" spans="1:13">
      <c r="A69" s="131" t="str">
        <f t="shared" si="4"/>
        <v xml:space="preserve"> </v>
      </c>
      <c r="B69" s="141"/>
      <c r="C69" s="133"/>
      <c r="D69" s="134"/>
      <c r="E69" s="135"/>
      <c r="F69" s="136"/>
      <c r="G69" s="142"/>
      <c r="H69" s="131"/>
      <c r="I69" s="131"/>
      <c r="J69" s="146"/>
      <c r="K69" s="133"/>
      <c r="L69" s="149"/>
      <c r="M69" s="150"/>
    </row>
    <row r="70" spans="1:13">
      <c r="A70" s="131" t="str">
        <f t="shared" si="4"/>
        <v xml:space="preserve"> </v>
      </c>
      <c r="B70" s="141"/>
      <c r="C70" s="133"/>
      <c r="D70" s="134"/>
      <c r="E70" s="135"/>
      <c r="F70" s="136"/>
      <c r="G70" s="142"/>
      <c r="H70" s="131"/>
      <c r="I70" s="131"/>
      <c r="J70" s="146"/>
      <c r="K70" s="133"/>
      <c r="L70" s="149"/>
      <c r="M70" s="150"/>
    </row>
    <row r="71" spans="1:13">
      <c r="A71" s="131" t="str">
        <f t="shared" si="4"/>
        <v xml:space="preserve"> </v>
      </c>
      <c r="B71" s="141"/>
      <c r="C71" s="133"/>
      <c r="D71" s="134"/>
      <c r="E71" s="135"/>
      <c r="F71" s="136"/>
      <c r="G71" s="142"/>
      <c r="H71" s="131"/>
      <c r="I71" s="131"/>
      <c r="J71" s="146"/>
      <c r="K71" s="133"/>
      <c r="L71" s="149"/>
      <c r="M71" s="150"/>
    </row>
    <row r="72" spans="1:13">
      <c r="A72" s="131" t="str">
        <f t="shared" si="4"/>
        <v xml:space="preserve"> </v>
      </c>
      <c r="B72" s="141"/>
      <c r="C72" s="133"/>
      <c r="D72" s="134"/>
      <c r="E72" s="135"/>
      <c r="F72" s="136"/>
      <c r="G72" s="142"/>
      <c r="H72" s="131"/>
      <c r="I72" s="131"/>
      <c r="J72" s="146"/>
      <c r="K72" s="133"/>
      <c r="L72" s="149"/>
      <c r="M72" s="150"/>
    </row>
    <row r="73" spans="1:13">
      <c r="A73" s="131" t="str">
        <f t="shared" si="4"/>
        <v xml:space="preserve"> </v>
      </c>
      <c r="B73" s="141"/>
      <c r="C73" s="133"/>
      <c r="D73" s="134"/>
      <c r="E73" s="135"/>
      <c r="F73" s="136"/>
      <c r="G73" s="142"/>
      <c r="H73" s="131"/>
      <c r="I73" s="131"/>
      <c r="J73" s="146"/>
      <c r="K73" s="133"/>
      <c r="L73" s="149"/>
      <c r="M73" s="150"/>
    </row>
    <row r="74" spans="1:13">
      <c r="A74" s="131" t="str">
        <f t="shared" si="4"/>
        <v xml:space="preserve"> </v>
      </c>
      <c r="B74" s="141"/>
      <c r="C74" s="133"/>
      <c r="D74" s="134"/>
      <c r="E74" s="135"/>
      <c r="F74" s="136"/>
      <c r="G74" s="142"/>
      <c r="H74" s="131"/>
      <c r="I74" s="131"/>
      <c r="J74" s="146"/>
      <c r="K74" s="133"/>
      <c r="L74" s="149"/>
      <c r="M74" s="150"/>
    </row>
    <row r="75" spans="1:13">
      <c r="A75" s="131" t="str">
        <f t="shared" si="4"/>
        <v xml:space="preserve"> </v>
      </c>
      <c r="B75" s="141"/>
      <c r="C75" s="133"/>
      <c r="D75" s="134"/>
      <c r="E75" s="135"/>
      <c r="F75" s="136"/>
      <c r="G75" s="142"/>
      <c r="H75" s="131"/>
      <c r="I75" s="131"/>
      <c r="J75" s="146"/>
      <c r="K75" s="133"/>
      <c r="L75" s="149"/>
      <c r="M75" s="150"/>
    </row>
    <row r="76" spans="1:13">
      <c r="A76" s="131" t="str">
        <f t="shared" si="4"/>
        <v xml:space="preserve"> </v>
      </c>
      <c r="B76" s="141"/>
      <c r="C76" s="133"/>
      <c r="D76" s="134"/>
      <c r="E76" s="135"/>
      <c r="F76" s="136"/>
      <c r="G76" s="142"/>
      <c r="H76" s="131"/>
      <c r="I76" s="131"/>
      <c r="J76" s="146"/>
      <c r="K76" s="133"/>
      <c r="L76" s="149"/>
      <c r="M76" s="150"/>
    </row>
    <row r="77" spans="1:13">
      <c r="A77" s="131" t="str">
        <f t="shared" si="4"/>
        <v xml:space="preserve"> </v>
      </c>
      <c r="B77" s="141"/>
      <c r="C77" s="133"/>
      <c r="D77" s="134"/>
      <c r="E77" s="135"/>
      <c r="F77" s="136"/>
      <c r="G77" s="142"/>
      <c r="H77" s="131"/>
      <c r="I77" s="131"/>
      <c r="J77" s="146"/>
      <c r="K77" s="133"/>
      <c r="L77" s="149"/>
      <c r="M77" s="150"/>
    </row>
    <row r="78" spans="1:13">
      <c r="A78" s="131" t="str">
        <f t="shared" si="4"/>
        <v xml:space="preserve"> </v>
      </c>
      <c r="B78" s="141"/>
      <c r="C78" s="133"/>
      <c r="D78" s="134"/>
      <c r="E78" s="135"/>
      <c r="F78" s="136"/>
      <c r="G78" s="142"/>
      <c r="H78" s="131"/>
      <c r="I78" s="131"/>
      <c r="J78" s="146"/>
      <c r="K78" s="133"/>
      <c r="L78" s="149"/>
      <c r="M78" s="150"/>
    </row>
    <row r="79" spans="1:13">
      <c r="A79" s="131" t="str">
        <f t="shared" si="4"/>
        <v xml:space="preserve"> </v>
      </c>
      <c r="B79" s="141"/>
      <c r="C79" s="133"/>
      <c r="D79" s="134"/>
      <c r="E79" s="135"/>
      <c r="F79" s="136"/>
      <c r="G79" s="142"/>
      <c r="H79" s="131"/>
      <c r="I79" s="131"/>
      <c r="J79" s="146"/>
      <c r="K79" s="133"/>
      <c r="L79" s="149"/>
      <c r="M79" s="150"/>
    </row>
    <row r="80" spans="1:13">
      <c r="A80" s="131" t="str">
        <f t="shared" si="4"/>
        <v xml:space="preserve"> </v>
      </c>
      <c r="B80" s="141"/>
      <c r="C80" s="133"/>
      <c r="D80" s="134"/>
      <c r="E80" s="135"/>
      <c r="F80" s="136"/>
      <c r="G80" s="142"/>
      <c r="H80" s="131"/>
      <c r="I80" s="131"/>
      <c r="J80" s="146"/>
      <c r="K80" s="133"/>
      <c r="L80" s="149"/>
      <c r="M80" s="150"/>
    </row>
    <row r="81" spans="1:13">
      <c r="A81" s="131" t="str">
        <f t="shared" si="4"/>
        <v xml:space="preserve"> </v>
      </c>
      <c r="B81" s="141"/>
      <c r="C81" s="133"/>
      <c r="D81" s="134"/>
      <c r="E81" s="135"/>
      <c r="F81" s="136"/>
      <c r="G81" s="142"/>
      <c r="H81" s="131"/>
      <c r="I81" s="131"/>
      <c r="J81" s="146"/>
      <c r="K81" s="133"/>
      <c r="L81" s="149"/>
      <c r="M81" s="150"/>
    </row>
    <row r="82" spans="1:13">
      <c r="A82" s="131" t="str">
        <f t="shared" si="4"/>
        <v xml:space="preserve"> </v>
      </c>
      <c r="B82" s="141"/>
      <c r="C82" s="133"/>
      <c r="D82" s="134"/>
      <c r="E82" s="135"/>
      <c r="F82" s="136"/>
      <c r="G82" s="142"/>
      <c r="H82" s="131"/>
      <c r="I82" s="131"/>
      <c r="J82" s="146"/>
      <c r="K82" s="133"/>
      <c r="L82" s="149"/>
      <c r="M82" s="150"/>
    </row>
    <row r="83" spans="1:13">
      <c r="A83" s="131" t="str">
        <f t="shared" si="4"/>
        <v xml:space="preserve"> </v>
      </c>
      <c r="B83" s="141"/>
      <c r="C83" s="133"/>
      <c r="D83" s="134"/>
      <c r="E83" s="135"/>
      <c r="F83" s="136"/>
      <c r="G83" s="142"/>
      <c r="H83" s="131"/>
      <c r="I83" s="131"/>
      <c r="J83" s="146"/>
      <c r="K83" s="133"/>
      <c r="L83" s="149"/>
      <c r="M83" s="150"/>
    </row>
    <row r="84" spans="1:13">
      <c r="A84" s="131" t="str">
        <f t="shared" si="4"/>
        <v xml:space="preserve"> </v>
      </c>
      <c r="B84" s="141"/>
      <c r="C84" s="133"/>
      <c r="D84" s="134"/>
      <c r="E84" s="135"/>
      <c r="F84" s="136"/>
      <c r="G84" s="142"/>
      <c r="H84" s="131"/>
      <c r="I84" s="131"/>
      <c r="J84" s="146"/>
      <c r="K84" s="133"/>
      <c r="L84" s="149"/>
      <c r="M84" s="150"/>
    </row>
    <row r="85" spans="1:13">
      <c r="A85" s="131" t="str">
        <f t="shared" si="4"/>
        <v xml:space="preserve"> </v>
      </c>
      <c r="B85" s="141"/>
      <c r="C85" s="133"/>
      <c r="D85" s="134"/>
      <c r="E85" s="135"/>
      <c r="F85" s="136"/>
      <c r="G85" s="142"/>
      <c r="H85" s="131"/>
      <c r="I85" s="131"/>
      <c r="J85" s="146"/>
      <c r="K85" s="133"/>
      <c r="L85" s="149"/>
      <c r="M85" s="150"/>
    </row>
    <row r="86" spans="1:13">
      <c r="A86" s="131" t="str">
        <f t="shared" si="4"/>
        <v xml:space="preserve"> </v>
      </c>
      <c r="B86" s="141"/>
      <c r="C86" s="133"/>
      <c r="D86" s="134"/>
      <c r="E86" s="135"/>
      <c r="F86" s="136"/>
      <c r="G86" s="142"/>
      <c r="H86" s="131"/>
      <c r="I86" s="131"/>
      <c r="J86" s="146"/>
      <c r="K86" s="133"/>
      <c r="L86" s="149"/>
      <c r="M86" s="150"/>
    </row>
    <row r="87" spans="1:13">
      <c r="A87" s="131" t="str">
        <f t="shared" si="4"/>
        <v xml:space="preserve"> </v>
      </c>
      <c r="B87" s="141"/>
      <c r="C87" s="133"/>
      <c r="D87" s="134"/>
      <c r="E87" s="135"/>
      <c r="F87" s="136"/>
      <c r="G87" s="142"/>
      <c r="H87" s="131"/>
      <c r="I87" s="131"/>
      <c r="J87" s="146"/>
      <c r="K87" s="133"/>
      <c r="L87" s="149"/>
      <c r="M87" s="150"/>
    </row>
    <row r="88" spans="1:13">
      <c r="A88" s="131" t="str">
        <f t="shared" si="4"/>
        <v xml:space="preserve"> </v>
      </c>
      <c r="B88" s="141"/>
      <c r="C88" s="133"/>
      <c r="D88" s="134"/>
      <c r="E88" s="135"/>
      <c r="F88" s="136"/>
      <c r="G88" s="142"/>
      <c r="H88" s="131"/>
      <c r="I88" s="131"/>
      <c r="J88" s="146"/>
      <c r="K88" s="133"/>
      <c r="L88" s="149"/>
      <c r="M88" s="150"/>
    </row>
    <row r="89" spans="1:13">
      <c r="A89" s="131" t="str">
        <f t="shared" si="4"/>
        <v xml:space="preserve"> </v>
      </c>
      <c r="B89" s="141"/>
      <c r="C89" s="133"/>
      <c r="D89" s="134"/>
      <c r="E89" s="135"/>
      <c r="F89" s="136"/>
      <c r="G89" s="142"/>
      <c r="H89" s="131"/>
      <c r="I89" s="131"/>
      <c r="J89" s="146"/>
      <c r="K89" s="133"/>
      <c r="L89" s="149"/>
      <c r="M89" s="150"/>
    </row>
    <row r="90" spans="1:13">
      <c r="A90" s="131" t="str">
        <f t="shared" si="4"/>
        <v xml:space="preserve"> </v>
      </c>
      <c r="B90" s="141"/>
      <c r="C90" s="133"/>
      <c r="D90" s="134"/>
      <c r="E90" s="135"/>
      <c r="F90" s="136"/>
      <c r="G90" s="142"/>
      <c r="H90" s="131"/>
      <c r="I90" s="131"/>
      <c r="J90" s="146"/>
      <c r="K90" s="133"/>
      <c r="L90" s="149"/>
      <c r="M90" s="150"/>
    </row>
    <row r="91" spans="1:13">
      <c r="A91" s="131" t="str">
        <f t="shared" si="4"/>
        <v xml:space="preserve"> </v>
      </c>
      <c r="B91" s="141"/>
      <c r="C91" s="133"/>
      <c r="D91" s="134"/>
      <c r="E91" s="135"/>
      <c r="F91" s="136"/>
      <c r="G91" s="142"/>
      <c r="H91" s="131"/>
      <c r="I91" s="131"/>
      <c r="J91" s="146"/>
      <c r="K91" s="133"/>
      <c r="L91" s="149"/>
      <c r="M91" s="150"/>
    </row>
    <row r="92" spans="1:13">
      <c r="A92" s="131" t="str">
        <f t="shared" si="4"/>
        <v xml:space="preserve"> </v>
      </c>
      <c r="B92" s="141"/>
      <c r="C92" s="133"/>
      <c r="D92" s="134"/>
      <c r="E92" s="135"/>
      <c r="F92" s="136"/>
      <c r="G92" s="142"/>
      <c r="H92" s="131"/>
      <c r="I92" s="131"/>
      <c r="J92" s="146"/>
      <c r="K92" s="133"/>
      <c r="L92" s="149"/>
      <c r="M92" s="150"/>
    </row>
    <row r="93" spans="1:13">
      <c r="A93" s="131" t="str">
        <f t="shared" si="4"/>
        <v xml:space="preserve"> </v>
      </c>
      <c r="B93" s="141"/>
      <c r="C93" s="133"/>
      <c r="D93" s="134"/>
      <c r="E93" s="135"/>
      <c r="F93" s="136"/>
      <c r="G93" s="142"/>
      <c r="H93" s="131"/>
      <c r="I93" s="131"/>
      <c r="J93" s="146"/>
      <c r="K93" s="133"/>
      <c r="L93" s="149"/>
      <c r="M93" s="150"/>
    </row>
    <row r="94" spans="1:13">
      <c r="A94" s="131" t="str">
        <f t="shared" si="4"/>
        <v xml:space="preserve"> </v>
      </c>
      <c r="B94" s="141"/>
      <c r="C94" s="133"/>
      <c r="D94" s="134"/>
      <c r="E94" s="135"/>
      <c r="F94" s="136"/>
      <c r="G94" s="142"/>
      <c r="H94" s="131"/>
      <c r="I94" s="131"/>
      <c r="J94" s="146"/>
      <c r="K94" s="133"/>
      <c r="L94" s="149"/>
      <c r="M94" s="150"/>
    </row>
    <row r="95" spans="1:13">
      <c r="A95" s="131" t="str">
        <f t="shared" si="4"/>
        <v xml:space="preserve"> </v>
      </c>
      <c r="B95" s="141"/>
      <c r="C95" s="133"/>
      <c r="D95" s="134"/>
      <c r="E95" s="135"/>
      <c r="F95" s="136"/>
      <c r="G95" s="142"/>
      <c r="H95" s="131"/>
      <c r="I95" s="131"/>
      <c r="J95" s="146"/>
      <c r="K95" s="133"/>
      <c r="L95" s="149"/>
      <c r="M95" s="150"/>
    </row>
    <row r="96" spans="1:13">
      <c r="A96" s="131" t="str">
        <f t="shared" si="4"/>
        <v xml:space="preserve"> </v>
      </c>
      <c r="B96" s="141"/>
      <c r="C96" s="133"/>
      <c r="D96" s="134"/>
      <c r="E96" s="135"/>
      <c r="F96" s="136"/>
      <c r="G96" s="142"/>
      <c r="H96" s="131"/>
      <c r="I96" s="131"/>
      <c r="J96" s="146"/>
      <c r="K96" s="133"/>
      <c r="L96" s="149"/>
      <c r="M96" s="150"/>
    </row>
    <row r="97" spans="1:13">
      <c r="A97" s="131" t="str">
        <f t="shared" si="4"/>
        <v xml:space="preserve"> </v>
      </c>
      <c r="B97" s="141"/>
      <c r="C97" s="133"/>
      <c r="D97" s="134"/>
      <c r="E97" s="135"/>
      <c r="F97" s="136"/>
      <c r="G97" s="142"/>
      <c r="H97" s="131"/>
      <c r="I97" s="131"/>
      <c r="J97" s="146"/>
      <c r="K97" s="133"/>
      <c r="L97" s="149"/>
      <c r="M97" s="150"/>
    </row>
    <row r="98" spans="1:13">
      <c r="A98" s="131" t="str">
        <f t="shared" si="4"/>
        <v xml:space="preserve"> </v>
      </c>
      <c r="B98" s="141"/>
      <c r="C98" s="133"/>
      <c r="D98" s="134"/>
      <c r="E98" s="135"/>
      <c r="F98" s="136"/>
      <c r="G98" s="142"/>
      <c r="H98" s="131"/>
      <c r="I98" s="131"/>
      <c r="J98" s="146"/>
      <c r="K98" s="133"/>
      <c r="L98" s="149"/>
      <c r="M98" s="150"/>
    </row>
    <row r="99" spans="1:13">
      <c r="A99" s="131" t="str">
        <f t="shared" si="4"/>
        <v xml:space="preserve"> </v>
      </c>
      <c r="B99" s="141"/>
      <c r="C99" s="133"/>
      <c r="D99" s="134"/>
      <c r="E99" s="135"/>
      <c r="F99" s="136"/>
      <c r="G99" s="142"/>
      <c r="H99" s="131"/>
      <c r="I99" s="131"/>
      <c r="J99" s="146"/>
      <c r="K99" s="133"/>
      <c r="L99" s="149"/>
      <c r="M99" s="150"/>
    </row>
    <row r="100" spans="1:13">
      <c r="A100" s="131" t="str">
        <f t="shared" si="4"/>
        <v xml:space="preserve"> </v>
      </c>
      <c r="B100" s="141"/>
      <c r="C100" s="133"/>
      <c r="D100" s="134"/>
      <c r="E100" s="135"/>
      <c r="F100" s="136"/>
      <c r="G100" s="142"/>
      <c r="H100" s="131"/>
      <c r="I100" s="131"/>
      <c r="J100" s="146"/>
      <c r="K100" s="133"/>
      <c r="L100" s="149"/>
      <c r="M100" s="150"/>
    </row>
    <row r="102" spans="1:13" s="75" customFormat="1">
      <c r="A102" s="76"/>
      <c r="B102" s="75" t="s">
        <v>235</v>
      </c>
    </row>
    <row r="103" spans="1:13" s="75" customFormat="1">
      <c r="A103" s="76"/>
    </row>
    <row r="104" spans="1:13" s="75" customFormat="1">
      <c r="A104" s="76"/>
      <c r="B104" s="75" t="s">
        <v>236</v>
      </c>
      <c r="C104" s="75" t="s">
        <v>588</v>
      </c>
    </row>
    <row r="105" spans="1:13" s="75" customFormat="1">
      <c r="A105" s="76"/>
    </row>
    <row r="106" spans="1:13" s="75" customFormat="1">
      <c r="A106" s="76"/>
      <c r="B106" s="75" t="s">
        <v>236</v>
      </c>
      <c r="C106" s="75" t="s">
        <v>238</v>
      </c>
    </row>
  </sheetData>
  <mergeCells count="25">
    <mergeCell ref="K27:M27"/>
    <mergeCell ref="A5:A6"/>
    <mergeCell ref="K5:M6"/>
    <mergeCell ref="K22:M22"/>
    <mergeCell ref="K23:M23"/>
    <mergeCell ref="K24:M24"/>
    <mergeCell ref="K25:M25"/>
    <mergeCell ref="K26:M26"/>
    <mergeCell ref="K7:M7"/>
    <mergeCell ref="K10:M10"/>
    <mergeCell ref="K14:M14"/>
    <mergeCell ref="K19:M19"/>
    <mergeCell ref="K20:M20"/>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pageSetUpPr fitToPage="1"/>
  </sheetPr>
  <dimension ref="A1:Q104"/>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59" t="s">
        <v>136</v>
      </c>
      <c r="B2" s="260"/>
      <c r="C2" s="259" t="s">
        <v>1</v>
      </c>
      <c r="D2" s="261"/>
      <c r="E2" s="261"/>
      <c r="F2" s="261"/>
      <c r="G2" s="260"/>
      <c r="H2" s="259"/>
      <c r="I2" s="261"/>
      <c r="J2" s="260"/>
      <c r="K2" s="89"/>
      <c r="L2" s="78" t="s">
        <v>137</v>
      </c>
      <c r="M2" s="78" t="s">
        <v>138</v>
      </c>
    </row>
    <row r="3" spans="1:16">
      <c r="A3" s="262"/>
      <c r="B3" s="263"/>
      <c r="C3" s="353" t="s">
        <v>1581</v>
      </c>
      <c r="D3" s="354"/>
      <c r="E3" s="354"/>
      <c r="F3" s="354"/>
      <c r="G3" s="355"/>
      <c r="H3" s="259" t="s">
        <v>140</v>
      </c>
      <c r="I3" s="260"/>
      <c r="J3" s="90">
        <f>COUNT(A7:A100)</f>
        <v>20</v>
      </c>
      <c r="K3" s="78" t="s">
        <v>141</v>
      </c>
      <c r="L3" s="91">
        <v>38644</v>
      </c>
      <c r="M3" s="92" t="s">
        <v>142</v>
      </c>
      <c r="O3" s="129" t="s">
        <v>143</v>
      </c>
      <c r="P3" s="129" t="s">
        <v>144</v>
      </c>
    </row>
    <row r="4" spans="1:16">
      <c r="A4" s="267" t="s">
        <v>145</v>
      </c>
      <c r="B4" s="268"/>
      <c r="C4" s="356" t="s">
        <v>70</v>
      </c>
      <c r="D4" s="357"/>
      <c r="E4" s="357"/>
      <c r="F4" s="357"/>
      <c r="G4" s="358"/>
      <c r="H4" s="259" t="s">
        <v>146</v>
      </c>
      <c r="I4" s="260"/>
      <c r="J4" s="90">
        <f>SUM(G7:G100)</f>
        <v>179</v>
      </c>
      <c r="K4" s="78" t="s">
        <v>147</v>
      </c>
      <c r="L4" s="91">
        <v>38878</v>
      </c>
      <c r="M4" s="83" t="s">
        <v>148</v>
      </c>
      <c r="O4" s="129" t="s">
        <v>149</v>
      </c>
      <c r="P4" s="129" t="s">
        <v>150</v>
      </c>
    </row>
    <row r="5" spans="1:16">
      <c r="A5" s="283" t="s">
        <v>0</v>
      </c>
      <c r="B5" s="259" t="s">
        <v>151</v>
      </c>
      <c r="C5" s="261"/>
      <c r="D5" s="270" t="s">
        <v>152</v>
      </c>
      <c r="E5" s="261"/>
      <c r="F5" s="261"/>
      <c r="G5" s="261"/>
      <c r="H5" s="261"/>
      <c r="I5" s="259" t="s">
        <v>153</v>
      </c>
      <c r="J5" s="260"/>
      <c r="K5" s="285" t="s">
        <v>4</v>
      </c>
      <c r="L5" s="286"/>
      <c r="M5" s="287"/>
      <c r="P5" s="129" t="s">
        <v>154</v>
      </c>
    </row>
    <row r="6" spans="1:16">
      <c r="A6" s="284"/>
      <c r="B6" s="78" t="s">
        <v>5</v>
      </c>
      <c r="C6" s="79" t="s">
        <v>6</v>
      </c>
      <c r="D6" s="80" t="s">
        <v>144</v>
      </c>
      <c r="E6" s="81" t="s">
        <v>155</v>
      </c>
      <c r="F6" s="82" t="s">
        <v>156</v>
      </c>
      <c r="G6" s="78" t="s">
        <v>157</v>
      </c>
      <c r="H6" s="77" t="s">
        <v>158</v>
      </c>
      <c r="I6" s="77" t="s">
        <v>159</v>
      </c>
      <c r="J6" s="77" t="s">
        <v>160</v>
      </c>
      <c r="K6" s="305"/>
      <c r="L6" s="306"/>
      <c r="M6" s="307"/>
      <c r="P6" s="129" t="s">
        <v>161</v>
      </c>
    </row>
    <row r="7" spans="1:16" s="128" customFormat="1">
      <c r="A7" s="131">
        <v>1</v>
      </c>
      <c r="B7" s="132" t="s">
        <v>812</v>
      </c>
      <c r="C7" s="133" t="s">
        <v>813</v>
      </c>
      <c r="D7" s="139" t="s">
        <v>164</v>
      </c>
      <c r="E7" s="135"/>
      <c r="F7" s="136"/>
      <c r="G7" s="87">
        <f t="shared" ref="G7:G26" si="0">IF(D7="DATE",4,IF(D7="CHAR",E7,IF(D7="SMALLINT",2,IF(D7="INTEGER",4,IF(D7="TIMESTAMP",10,IF(D7="TIME",3,0))))))</f>
        <v>4</v>
      </c>
      <c r="H7" s="131" t="s">
        <v>149</v>
      </c>
      <c r="I7" s="131" t="s">
        <v>149</v>
      </c>
      <c r="J7" s="146"/>
      <c r="K7" s="341"/>
      <c r="L7" s="342"/>
      <c r="M7" s="343"/>
      <c r="P7" s="128" t="s">
        <v>165</v>
      </c>
    </row>
    <row r="8" spans="1:16" ht="11.25" customHeight="1">
      <c r="A8" s="131">
        <f t="shared" ref="A8:A26" si="1">IF(B8=""," ",A7+1)</f>
        <v>2</v>
      </c>
      <c r="B8" s="20" t="s">
        <v>818</v>
      </c>
      <c r="C8" s="133" t="s">
        <v>819</v>
      </c>
      <c r="D8" s="134" t="s">
        <v>150</v>
      </c>
      <c r="E8" s="135">
        <v>10</v>
      </c>
      <c r="F8" s="136"/>
      <c r="G8" s="87">
        <f t="shared" si="0"/>
        <v>10</v>
      </c>
      <c r="H8" s="131" t="s">
        <v>149</v>
      </c>
      <c r="I8" s="131" t="s">
        <v>149</v>
      </c>
      <c r="J8" s="146"/>
      <c r="K8" s="154"/>
      <c r="L8" s="155"/>
      <c r="M8" s="156"/>
    </row>
    <row r="9" spans="1:16" ht="11.25" customHeight="1">
      <c r="A9" s="131">
        <f t="shared" si="1"/>
        <v>3</v>
      </c>
      <c r="B9" s="20" t="s">
        <v>957</v>
      </c>
      <c r="C9" s="133" t="s">
        <v>958</v>
      </c>
      <c r="D9" s="134" t="s">
        <v>150</v>
      </c>
      <c r="E9" s="135">
        <v>10</v>
      </c>
      <c r="F9" s="136"/>
      <c r="G9" s="87">
        <f t="shared" si="0"/>
        <v>10</v>
      </c>
      <c r="H9" s="131" t="s">
        <v>149</v>
      </c>
      <c r="I9" s="131" t="s">
        <v>149</v>
      </c>
      <c r="J9" s="146"/>
      <c r="K9" s="154"/>
      <c r="L9" s="155"/>
      <c r="M9" s="156"/>
    </row>
    <row r="10" spans="1:16" ht="11.25" customHeight="1">
      <c r="A10" s="131">
        <f t="shared" si="1"/>
        <v>4</v>
      </c>
      <c r="B10" s="20" t="s">
        <v>960</v>
      </c>
      <c r="C10" s="133" t="s">
        <v>961</v>
      </c>
      <c r="D10" s="134" t="s">
        <v>150</v>
      </c>
      <c r="E10" s="135">
        <v>5</v>
      </c>
      <c r="F10" s="136"/>
      <c r="G10" s="87">
        <f t="shared" si="0"/>
        <v>5</v>
      </c>
      <c r="H10" s="131" t="s">
        <v>149</v>
      </c>
      <c r="I10" s="131" t="s">
        <v>149</v>
      </c>
      <c r="J10" s="146"/>
      <c r="K10" s="154"/>
      <c r="L10" s="155"/>
      <c r="M10" s="156"/>
    </row>
    <row r="11" spans="1:16" ht="11.25" customHeight="1">
      <c r="A11" s="131">
        <f t="shared" si="1"/>
        <v>5</v>
      </c>
      <c r="B11" s="20" t="s">
        <v>1350</v>
      </c>
      <c r="C11" s="133" t="s">
        <v>1351</v>
      </c>
      <c r="D11" s="134" t="s">
        <v>150</v>
      </c>
      <c r="E11" s="135">
        <v>5</v>
      </c>
      <c r="F11" s="136"/>
      <c r="G11" s="87">
        <f t="shared" si="0"/>
        <v>5</v>
      </c>
      <c r="H11" s="131" t="s">
        <v>149</v>
      </c>
      <c r="I11" s="131" t="s">
        <v>149</v>
      </c>
      <c r="J11" s="146"/>
      <c r="K11" s="154"/>
      <c r="L11" s="155"/>
      <c r="M11" s="156"/>
    </row>
    <row r="12" spans="1:16" ht="11.25" customHeight="1">
      <c r="A12" s="131">
        <f t="shared" si="1"/>
        <v>6</v>
      </c>
      <c r="B12" s="20" t="s">
        <v>964</v>
      </c>
      <c r="C12" s="133" t="s">
        <v>965</v>
      </c>
      <c r="D12" s="134" t="s">
        <v>161</v>
      </c>
      <c r="E12" s="135"/>
      <c r="F12" s="136"/>
      <c r="G12" s="87">
        <f t="shared" si="0"/>
        <v>4</v>
      </c>
      <c r="H12" s="131" t="s">
        <v>149</v>
      </c>
      <c r="I12" s="131" t="s">
        <v>149</v>
      </c>
      <c r="J12" s="146"/>
      <c r="K12" s="154"/>
      <c r="L12" s="155"/>
      <c r="M12" s="156"/>
    </row>
    <row r="13" spans="1:16">
      <c r="A13" s="131">
        <f t="shared" si="1"/>
        <v>7</v>
      </c>
      <c r="B13" s="140" t="s">
        <v>821</v>
      </c>
      <c r="C13" s="145" t="s">
        <v>822</v>
      </c>
      <c r="D13" s="134" t="s">
        <v>161</v>
      </c>
      <c r="E13" s="135"/>
      <c r="F13" s="136"/>
      <c r="G13" s="87">
        <f t="shared" si="0"/>
        <v>4</v>
      </c>
      <c r="H13" s="131" t="s">
        <v>149</v>
      </c>
      <c r="I13" s="131" t="s">
        <v>149</v>
      </c>
      <c r="J13" s="146"/>
      <c r="K13" s="347"/>
      <c r="L13" s="348"/>
      <c r="M13" s="349"/>
    </row>
    <row r="14" spans="1:16" ht="11.25" customHeight="1">
      <c r="A14" s="131">
        <f t="shared" si="1"/>
        <v>8</v>
      </c>
      <c r="B14" s="132" t="s">
        <v>1582</v>
      </c>
      <c r="C14" s="133" t="s">
        <v>1583</v>
      </c>
      <c r="D14" s="134" t="s">
        <v>150</v>
      </c>
      <c r="E14" s="135">
        <v>40</v>
      </c>
      <c r="F14" s="136"/>
      <c r="G14" s="87">
        <f t="shared" si="0"/>
        <v>40</v>
      </c>
      <c r="H14" s="131" t="s">
        <v>149</v>
      </c>
      <c r="I14" s="131"/>
      <c r="J14" s="146"/>
      <c r="K14" s="344"/>
      <c r="L14" s="345"/>
      <c r="M14" s="346"/>
      <c r="N14" s="160"/>
    </row>
    <row r="15" spans="1:16" ht="11.25" customHeight="1">
      <c r="A15" s="131">
        <f t="shared" si="1"/>
        <v>9</v>
      </c>
      <c r="B15" s="20" t="s">
        <v>968</v>
      </c>
      <c r="C15" s="133" t="s">
        <v>969</v>
      </c>
      <c r="D15" s="134" t="s">
        <v>150</v>
      </c>
      <c r="E15" s="135">
        <v>2</v>
      </c>
      <c r="F15" s="136"/>
      <c r="G15" s="87">
        <f t="shared" si="0"/>
        <v>2</v>
      </c>
      <c r="H15" s="131" t="s">
        <v>149</v>
      </c>
      <c r="I15" s="131"/>
      <c r="J15" s="146"/>
      <c r="K15" s="154"/>
      <c r="L15" s="155"/>
      <c r="M15" s="156"/>
    </row>
    <row r="16" spans="1:16" s="128" customFormat="1">
      <c r="A16" s="131">
        <f t="shared" si="1"/>
        <v>10</v>
      </c>
      <c r="B16" s="132" t="s">
        <v>991</v>
      </c>
      <c r="C16" s="133" t="s">
        <v>992</v>
      </c>
      <c r="D16" s="134" t="s">
        <v>150</v>
      </c>
      <c r="E16" s="135">
        <v>30</v>
      </c>
      <c r="F16" s="136"/>
      <c r="G16" s="87">
        <f t="shared" si="0"/>
        <v>30</v>
      </c>
      <c r="H16" s="131" t="s">
        <v>149</v>
      </c>
      <c r="I16" s="131"/>
      <c r="J16" s="146"/>
      <c r="K16" s="347"/>
      <c r="L16" s="348"/>
      <c r="M16" s="349"/>
    </row>
    <row r="17" spans="1:14" s="128" customFormat="1" ht="11.25" customHeight="1">
      <c r="A17" s="131">
        <f t="shared" si="1"/>
        <v>11</v>
      </c>
      <c r="B17" s="20" t="s">
        <v>971</v>
      </c>
      <c r="C17" s="133" t="s">
        <v>972</v>
      </c>
      <c r="D17" s="134" t="s">
        <v>234</v>
      </c>
      <c r="E17" s="135"/>
      <c r="F17" s="136"/>
      <c r="G17" s="87">
        <f t="shared" si="0"/>
        <v>10</v>
      </c>
      <c r="H17" s="131" t="s">
        <v>149</v>
      </c>
      <c r="I17" s="131"/>
      <c r="J17" s="146"/>
      <c r="K17" s="344"/>
      <c r="L17" s="345"/>
      <c r="M17" s="346"/>
    </row>
    <row r="18" spans="1:14" s="128" customFormat="1">
      <c r="A18" s="131">
        <f t="shared" si="1"/>
        <v>12</v>
      </c>
      <c r="B18" s="141" t="s">
        <v>1077</v>
      </c>
      <c r="C18" s="133" t="s">
        <v>1078</v>
      </c>
      <c r="D18" s="134" t="s">
        <v>161</v>
      </c>
      <c r="E18" s="135"/>
      <c r="F18" s="136"/>
      <c r="G18" s="87">
        <f t="shared" si="0"/>
        <v>4</v>
      </c>
      <c r="H18" s="131" t="s">
        <v>149</v>
      </c>
      <c r="I18" s="131"/>
      <c r="J18" s="146"/>
      <c r="K18" s="344"/>
      <c r="L18" s="345"/>
      <c r="M18" s="346"/>
    </row>
    <row r="19" spans="1:14" s="128" customFormat="1" ht="11.25" customHeight="1">
      <c r="A19" s="131">
        <f t="shared" si="1"/>
        <v>13</v>
      </c>
      <c r="B19" s="140" t="s">
        <v>1241</v>
      </c>
      <c r="C19" s="133" t="s">
        <v>1242</v>
      </c>
      <c r="D19" s="134" t="s">
        <v>150</v>
      </c>
      <c r="E19" s="135">
        <v>8</v>
      </c>
      <c r="F19" s="136"/>
      <c r="G19" s="87">
        <f t="shared" si="0"/>
        <v>8</v>
      </c>
      <c r="H19" s="131" t="s">
        <v>149</v>
      </c>
      <c r="I19" s="131"/>
      <c r="J19" s="146"/>
      <c r="K19" s="133"/>
      <c r="L19" s="149"/>
      <c r="M19" s="150"/>
    </row>
    <row r="20" spans="1:14">
      <c r="A20" s="131">
        <f t="shared" si="1"/>
        <v>14</v>
      </c>
      <c r="B20" s="151" t="s">
        <v>1059</v>
      </c>
      <c r="C20" s="133" t="s">
        <v>1060</v>
      </c>
      <c r="D20" s="134" t="s">
        <v>150</v>
      </c>
      <c r="E20" s="135">
        <v>8</v>
      </c>
      <c r="F20" s="136"/>
      <c r="G20" s="87">
        <f t="shared" si="0"/>
        <v>8</v>
      </c>
      <c r="H20" s="131" t="s">
        <v>149</v>
      </c>
      <c r="I20" s="131"/>
      <c r="J20" s="146"/>
      <c r="K20" s="344"/>
      <c r="L20" s="345"/>
      <c r="M20" s="346"/>
      <c r="N20" s="160"/>
    </row>
    <row r="21" spans="1:14">
      <c r="A21" s="131">
        <f t="shared" si="1"/>
        <v>15</v>
      </c>
      <c r="B21" s="141" t="s">
        <v>1063</v>
      </c>
      <c r="C21" s="133" t="s">
        <v>1064</v>
      </c>
      <c r="D21" s="134" t="s">
        <v>150</v>
      </c>
      <c r="E21" s="135">
        <v>3</v>
      </c>
      <c r="F21" s="136"/>
      <c r="G21" s="87">
        <f t="shared" si="0"/>
        <v>3</v>
      </c>
      <c r="H21" s="131" t="s">
        <v>149</v>
      </c>
      <c r="I21" s="131"/>
      <c r="J21" s="146"/>
      <c r="K21" s="344"/>
      <c r="L21" s="345"/>
      <c r="M21" s="346"/>
      <c r="N21" s="160"/>
    </row>
    <row r="22" spans="1:14" ht="11.25" customHeight="1">
      <c r="A22" s="131">
        <f t="shared" si="1"/>
        <v>16</v>
      </c>
      <c r="B22" s="152" t="s">
        <v>1067</v>
      </c>
      <c r="C22" s="133" t="s">
        <v>1068</v>
      </c>
      <c r="D22" s="134" t="s">
        <v>150</v>
      </c>
      <c r="E22" s="135">
        <v>8</v>
      </c>
      <c r="F22" s="136"/>
      <c r="G22" s="87">
        <f t="shared" si="0"/>
        <v>8</v>
      </c>
      <c r="H22" s="131" t="s">
        <v>149</v>
      </c>
      <c r="I22" s="131"/>
      <c r="J22" s="146"/>
      <c r="K22" s="344"/>
      <c r="L22" s="345"/>
      <c r="M22" s="346"/>
      <c r="N22" s="160"/>
    </row>
    <row r="23" spans="1:14" ht="11.25" customHeight="1">
      <c r="A23" s="131">
        <f t="shared" si="1"/>
        <v>17</v>
      </c>
      <c r="B23" s="132" t="s">
        <v>1070</v>
      </c>
      <c r="C23" s="133" t="s">
        <v>1071</v>
      </c>
      <c r="D23" s="134" t="s">
        <v>150</v>
      </c>
      <c r="E23" s="135">
        <v>3</v>
      </c>
      <c r="F23" s="136"/>
      <c r="G23" s="87">
        <f t="shared" si="0"/>
        <v>3</v>
      </c>
      <c r="H23" s="131" t="s">
        <v>149</v>
      </c>
      <c r="I23" s="131"/>
      <c r="J23" s="146"/>
      <c r="K23" s="344"/>
      <c r="L23" s="345"/>
      <c r="M23" s="346"/>
      <c r="N23" s="160"/>
    </row>
    <row r="24" spans="1:14" ht="11.25" customHeight="1">
      <c r="A24" s="131">
        <f t="shared" si="1"/>
        <v>18</v>
      </c>
      <c r="B24" s="141" t="s">
        <v>1072</v>
      </c>
      <c r="C24" s="133" t="s">
        <v>1073</v>
      </c>
      <c r="D24" s="134" t="s">
        <v>150</v>
      </c>
      <c r="E24" s="135">
        <v>8</v>
      </c>
      <c r="F24" s="136"/>
      <c r="G24" s="87">
        <f t="shared" si="0"/>
        <v>8</v>
      </c>
      <c r="H24" s="131" t="s">
        <v>149</v>
      </c>
      <c r="I24" s="131"/>
      <c r="J24" s="146"/>
      <c r="K24" s="344"/>
      <c r="L24" s="345"/>
      <c r="M24" s="346"/>
      <c r="N24" s="160"/>
    </row>
    <row r="25" spans="1:14" ht="11.25" customHeight="1">
      <c r="A25" s="131">
        <f t="shared" si="1"/>
        <v>19</v>
      </c>
      <c r="B25" s="141" t="s">
        <v>1075</v>
      </c>
      <c r="C25" s="133" t="s">
        <v>1076</v>
      </c>
      <c r="D25" s="134" t="s">
        <v>150</v>
      </c>
      <c r="E25" s="135">
        <v>3</v>
      </c>
      <c r="F25" s="136"/>
      <c r="G25" s="87">
        <f t="shared" si="0"/>
        <v>3</v>
      </c>
      <c r="H25" s="131" t="s">
        <v>149</v>
      </c>
      <c r="I25" s="131"/>
      <c r="J25" s="146"/>
      <c r="K25" s="344"/>
      <c r="L25" s="345"/>
      <c r="M25" s="346"/>
      <c r="N25" s="160"/>
    </row>
    <row r="26" spans="1:14">
      <c r="A26" s="131">
        <f t="shared" si="1"/>
        <v>20</v>
      </c>
      <c r="B26" s="141" t="s">
        <v>232</v>
      </c>
      <c r="C26" s="133" t="s">
        <v>233</v>
      </c>
      <c r="D26" s="134" t="s">
        <v>234</v>
      </c>
      <c r="E26" s="135"/>
      <c r="F26" s="136"/>
      <c r="G26" s="87">
        <f t="shared" si="0"/>
        <v>10</v>
      </c>
      <c r="H26" s="131" t="s">
        <v>149</v>
      </c>
      <c r="I26" s="131"/>
      <c r="J26" s="146"/>
      <c r="K26" s="133"/>
      <c r="L26" s="149"/>
      <c r="M26" s="150"/>
    </row>
    <row r="27" spans="1:14" ht="11.25" customHeight="1">
      <c r="A27" s="131"/>
      <c r="B27" s="132"/>
      <c r="C27" s="133"/>
      <c r="D27" s="134"/>
      <c r="E27" s="135"/>
      <c r="F27" s="136"/>
      <c r="G27" s="142"/>
      <c r="H27" s="131"/>
      <c r="I27" s="131"/>
      <c r="J27" s="146"/>
      <c r="K27" s="344"/>
      <c r="L27" s="345"/>
      <c r="M27" s="346"/>
      <c r="N27" s="160"/>
    </row>
    <row r="28" spans="1:14" ht="11.25" customHeight="1">
      <c r="A28" s="131"/>
      <c r="B28" s="141"/>
      <c r="C28" s="133"/>
      <c r="D28" s="134"/>
      <c r="E28" s="135"/>
      <c r="F28" s="136"/>
      <c r="G28" s="142"/>
      <c r="H28" s="131"/>
      <c r="I28" s="131"/>
      <c r="J28" s="146"/>
      <c r="K28" s="344"/>
      <c r="L28" s="345"/>
      <c r="M28" s="346"/>
      <c r="N28" s="160"/>
    </row>
    <row r="29" spans="1:14" ht="11.25" customHeight="1">
      <c r="A29" s="131"/>
      <c r="B29" s="132"/>
      <c r="C29" s="133"/>
      <c r="D29" s="134"/>
      <c r="E29" s="135"/>
      <c r="F29" s="136"/>
      <c r="G29" s="142"/>
      <c r="H29" s="131"/>
      <c r="I29" s="131"/>
      <c r="J29" s="146"/>
      <c r="K29" s="344"/>
      <c r="L29" s="345"/>
      <c r="M29" s="346"/>
      <c r="N29" s="160"/>
    </row>
    <row r="30" spans="1:14">
      <c r="A30" s="131"/>
      <c r="B30" s="153"/>
      <c r="C30" s="143"/>
      <c r="D30" s="144"/>
      <c r="E30" s="135"/>
      <c r="F30" s="136"/>
      <c r="G30" s="142"/>
      <c r="H30" s="131"/>
      <c r="I30" s="131"/>
      <c r="J30" s="146"/>
      <c r="K30" s="344"/>
      <c r="L30" s="345"/>
      <c r="M30" s="346"/>
      <c r="N30" s="160"/>
    </row>
    <row r="31" spans="1:14">
      <c r="A31" s="131"/>
      <c r="B31" s="137"/>
      <c r="C31" s="145"/>
      <c r="D31" s="134"/>
      <c r="E31" s="135"/>
      <c r="F31" s="136"/>
      <c r="G31" s="142"/>
      <c r="H31" s="131"/>
      <c r="I31" s="131"/>
      <c r="J31" s="146"/>
      <c r="K31" s="344"/>
      <c r="L31" s="345"/>
      <c r="M31" s="346"/>
      <c r="N31" s="160"/>
    </row>
    <row r="32" spans="1:14">
      <c r="A32" s="131" t="str">
        <f t="shared" ref="A32:A41" si="2">IF(B32=""," ",A31+1)</f>
        <v xml:space="preserve"> </v>
      </c>
      <c r="B32" s="152"/>
      <c r="C32" s="133"/>
      <c r="D32" s="134"/>
      <c r="E32" s="135"/>
      <c r="F32" s="136"/>
      <c r="G32" s="142"/>
      <c r="H32" s="131"/>
      <c r="I32" s="131"/>
      <c r="J32" s="146"/>
      <c r="K32" s="344"/>
      <c r="L32" s="345"/>
      <c r="M32" s="346"/>
      <c r="N32" s="160"/>
    </row>
    <row r="33" spans="1:14" ht="11.25" customHeight="1">
      <c r="A33" s="131" t="str">
        <f t="shared" si="2"/>
        <v xml:space="preserve"> </v>
      </c>
      <c r="B33" s="132"/>
      <c r="C33" s="133"/>
      <c r="D33" s="134"/>
      <c r="E33" s="135"/>
      <c r="F33" s="136"/>
      <c r="G33" s="142"/>
      <c r="H33" s="131"/>
      <c r="I33" s="131"/>
      <c r="J33" s="146"/>
      <c r="K33" s="344"/>
      <c r="L33" s="345"/>
      <c r="M33" s="346"/>
      <c r="N33" s="160"/>
    </row>
    <row r="34" spans="1:14">
      <c r="A34" s="131" t="str">
        <f t="shared" si="2"/>
        <v xml:space="preserve"> </v>
      </c>
      <c r="B34" s="141"/>
      <c r="C34" s="133"/>
      <c r="D34" s="134"/>
      <c r="E34" s="135"/>
      <c r="F34" s="136"/>
      <c r="G34" s="142"/>
      <c r="H34" s="131"/>
      <c r="I34" s="131"/>
      <c r="J34" s="146"/>
      <c r="K34" s="344"/>
      <c r="L34" s="345"/>
      <c r="M34" s="346"/>
      <c r="N34" s="160"/>
    </row>
    <row r="35" spans="1:14">
      <c r="A35" s="131" t="str">
        <f t="shared" si="2"/>
        <v xml:space="preserve"> </v>
      </c>
      <c r="B35" s="132"/>
      <c r="C35" s="133"/>
      <c r="D35" s="134"/>
      <c r="E35" s="135"/>
      <c r="F35" s="136"/>
      <c r="G35" s="142"/>
      <c r="H35" s="131"/>
      <c r="I35" s="131"/>
      <c r="J35" s="146"/>
      <c r="K35" s="344"/>
      <c r="L35" s="345"/>
      <c r="M35" s="346"/>
      <c r="N35" s="160"/>
    </row>
    <row r="36" spans="1:14">
      <c r="A36" s="131" t="str">
        <f t="shared" si="2"/>
        <v xml:space="preserve"> </v>
      </c>
      <c r="B36" s="153"/>
      <c r="C36" s="143"/>
      <c r="D36" s="144"/>
      <c r="E36" s="135"/>
      <c r="F36" s="136"/>
      <c r="G36" s="142"/>
      <c r="H36" s="131"/>
      <c r="I36" s="131"/>
      <c r="J36" s="146"/>
      <c r="K36" s="344"/>
      <c r="L36" s="345"/>
      <c r="M36" s="346"/>
      <c r="N36" s="160"/>
    </row>
    <row r="37" spans="1:14">
      <c r="A37" s="131" t="str">
        <f t="shared" si="2"/>
        <v xml:space="preserve"> </v>
      </c>
      <c r="B37" s="137"/>
      <c r="C37" s="145"/>
      <c r="D37" s="134"/>
      <c r="E37" s="135"/>
      <c r="F37" s="136"/>
      <c r="G37" s="142"/>
      <c r="H37" s="131"/>
      <c r="I37" s="131"/>
      <c r="J37" s="146"/>
      <c r="K37" s="344"/>
      <c r="L37" s="345"/>
      <c r="M37" s="346"/>
      <c r="N37" s="160"/>
    </row>
    <row r="38" spans="1:14" ht="11.25" customHeight="1">
      <c r="A38" s="131" t="str">
        <f t="shared" si="2"/>
        <v xml:space="preserve"> </v>
      </c>
      <c r="B38" s="141"/>
      <c r="C38" s="133"/>
      <c r="D38" s="134"/>
      <c r="E38" s="135"/>
      <c r="F38" s="136"/>
      <c r="G38" s="142"/>
      <c r="H38" s="131"/>
      <c r="I38" s="131"/>
      <c r="J38" s="146"/>
      <c r="K38" s="344"/>
      <c r="L38" s="345"/>
      <c r="M38" s="346"/>
      <c r="N38" s="160"/>
    </row>
    <row r="39" spans="1:14" ht="11.25" customHeight="1">
      <c r="A39" s="131" t="str">
        <f t="shared" si="2"/>
        <v xml:space="preserve"> </v>
      </c>
      <c r="B39" s="137"/>
      <c r="C39" s="133"/>
      <c r="D39" s="134"/>
      <c r="E39" s="135"/>
      <c r="F39" s="136"/>
      <c r="G39" s="142"/>
      <c r="H39" s="131"/>
      <c r="I39" s="131"/>
      <c r="J39" s="146"/>
      <c r="K39" s="344"/>
      <c r="L39" s="345"/>
      <c r="M39" s="346"/>
      <c r="N39" s="160"/>
    </row>
    <row r="40" spans="1:14">
      <c r="A40" s="131" t="str">
        <f t="shared" si="2"/>
        <v xml:space="preserve"> </v>
      </c>
      <c r="B40" s="151"/>
      <c r="C40" s="133"/>
      <c r="D40" s="134"/>
      <c r="E40" s="135"/>
      <c r="F40" s="136"/>
      <c r="G40" s="142"/>
      <c r="H40" s="131"/>
      <c r="I40" s="131"/>
      <c r="J40" s="146"/>
      <c r="K40" s="362"/>
      <c r="L40" s="363"/>
      <c r="M40" s="364"/>
      <c r="N40" s="160"/>
    </row>
    <row r="41" spans="1:14" ht="11.25" customHeight="1">
      <c r="A41" s="131" t="str">
        <f t="shared" si="2"/>
        <v xml:space="preserve"> </v>
      </c>
      <c r="B41" s="151"/>
      <c r="C41" s="133"/>
      <c r="D41" s="134"/>
      <c r="E41" s="135"/>
      <c r="F41" s="136"/>
      <c r="G41" s="142"/>
      <c r="H41" s="131"/>
      <c r="I41" s="131"/>
      <c r="J41" s="146"/>
      <c r="K41" s="344"/>
      <c r="L41" s="345"/>
      <c r="M41" s="346"/>
      <c r="N41" s="160"/>
    </row>
    <row r="42" spans="1:14" ht="11.25" customHeight="1">
      <c r="A42" s="131" t="str">
        <f t="shared" ref="A42:A49" si="3">IF(B42=""," ",A41+1)</f>
        <v xml:space="preserve"> </v>
      </c>
      <c r="B42" s="141"/>
      <c r="C42" s="143"/>
      <c r="D42" s="144"/>
      <c r="E42" s="135"/>
      <c r="F42" s="136"/>
      <c r="G42" s="142"/>
      <c r="H42" s="131"/>
      <c r="I42" s="131"/>
      <c r="J42" s="146"/>
      <c r="K42" s="344"/>
      <c r="L42" s="345"/>
      <c r="M42" s="346"/>
      <c r="N42" s="160"/>
    </row>
    <row r="43" spans="1:14" ht="11.25" customHeight="1">
      <c r="A43" s="131" t="str">
        <f t="shared" si="3"/>
        <v xml:space="preserve"> </v>
      </c>
      <c r="B43" s="137"/>
      <c r="C43" s="133"/>
      <c r="D43" s="134"/>
      <c r="E43" s="135"/>
      <c r="F43" s="136"/>
      <c r="G43" s="142"/>
      <c r="H43" s="131"/>
      <c r="I43" s="131"/>
      <c r="J43" s="146"/>
      <c r="K43" s="344"/>
      <c r="L43" s="345"/>
      <c r="M43" s="346"/>
      <c r="N43" s="160"/>
    </row>
    <row r="44" spans="1:14" ht="11.25" customHeight="1">
      <c r="A44" s="131" t="str">
        <f t="shared" si="3"/>
        <v xml:space="preserve"> </v>
      </c>
      <c r="B44" s="137"/>
      <c r="C44" s="133"/>
      <c r="D44" s="134"/>
      <c r="E44" s="135"/>
      <c r="F44" s="136"/>
      <c r="G44" s="142"/>
      <c r="H44" s="131"/>
      <c r="I44" s="131"/>
      <c r="J44" s="146"/>
      <c r="K44" s="344"/>
      <c r="L44" s="345"/>
      <c r="M44" s="346"/>
      <c r="N44" s="160"/>
    </row>
    <row r="45" spans="1:14">
      <c r="A45" s="131" t="str">
        <f t="shared" si="3"/>
        <v xml:space="preserve"> </v>
      </c>
      <c r="B45" s="132"/>
      <c r="C45" s="138"/>
      <c r="D45" s="139"/>
      <c r="E45" s="135"/>
      <c r="F45" s="136"/>
      <c r="G45" s="142"/>
      <c r="H45" s="131"/>
      <c r="I45" s="131"/>
      <c r="J45" s="146"/>
      <c r="K45" s="359"/>
      <c r="L45" s="360"/>
      <c r="M45" s="361"/>
      <c r="N45" s="160" t="s">
        <v>1584</v>
      </c>
    </row>
    <row r="46" spans="1:14">
      <c r="A46" s="131" t="str">
        <f t="shared" si="3"/>
        <v xml:space="preserve"> </v>
      </c>
      <c r="B46" s="152"/>
      <c r="C46" s="138"/>
      <c r="D46" s="139"/>
      <c r="E46" s="135"/>
      <c r="F46" s="136"/>
      <c r="G46" s="142"/>
      <c r="H46" s="131"/>
      <c r="I46" s="131"/>
      <c r="J46" s="146"/>
      <c r="K46" s="359"/>
      <c r="L46" s="360"/>
      <c r="M46" s="361"/>
      <c r="N46" s="160"/>
    </row>
    <row r="47" spans="1:14">
      <c r="A47" s="131" t="str">
        <f t="shared" si="3"/>
        <v xml:space="preserve"> </v>
      </c>
      <c r="B47" s="132"/>
      <c r="C47" s="133"/>
      <c r="D47" s="134"/>
      <c r="E47" s="135"/>
      <c r="F47" s="136"/>
      <c r="G47" s="142"/>
      <c r="H47" s="131"/>
      <c r="I47" s="131"/>
      <c r="J47" s="146"/>
      <c r="K47" s="405"/>
      <c r="L47" s="406"/>
      <c r="M47" s="407"/>
      <c r="N47" s="160"/>
    </row>
    <row r="48" spans="1:14">
      <c r="A48" s="131" t="str">
        <f t="shared" si="3"/>
        <v xml:space="preserve"> </v>
      </c>
      <c r="B48" s="153"/>
      <c r="C48" s="143"/>
      <c r="D48" s="144"/>
      <c r="E48" s="135"/>
      <c r="F48" s="136"/>
      <c r="G48" s="142"/>
      <c r="H48" s="131"/>
      <c r="I48" s="131"/>
      <c r="J48" s="146"/>
      <c r="K48" s="359"/>
      <c r="L48" s="360"/>
      <c r="M48" s="361"/>
      <c r="N48" s="160"/>
    </row>
    <row r="49" spans="1:14">
      <c r="A49" s="131" t="str">
        <f t="shared" si="3"/>
        <v xml:space="preserve"> </v>
      </c>
      <c r="B49" s="132"/>
      <c r="C49" s="145"/>
      <c r="D49" s="134"/>
      <c r="E49" s="135"/>
      <c r="F49" s="136"/>
      <c r="G49" s="142"/>
      <c r="H49" s="131"/>
      <c r="I49" s="131"/>
      <c r="J49" s="146"/>
      <c r="K49" s="350"/>
      <c r="L49" s="351"/>
      <c r="M49" s="352"/>
      <c r="N49" s="160"/>
    </row>
    <row r="50" spans="1:14">
      <c r="A50" s="131"/>
      <c r="B50" s="153"/>
      <c r="C50" s="143"/>
      <c r="D50" s="144"/>
      <c r="E50" s="135"/>
      <c r="F50" s="136"/>
      <c r="G50" s="142"/>
      <c r="H50" s="131"/>
      <c r="I50" s="131"/>
      <c r="J50" s="146"/>
      <c r="K50" s="344"/>
      <c r="L50" s="345"/>
      <c r="M50" s="346"/>
      <c r="N50" s="160"/>
    </row>
    <row r="51" spans="1:14">
      <c r="A51" s="131"/>
      <c r="B51" s="137"/>
      <c r="C51" s="145"/>
      <c r="D51" s="134"/>
      <c r="E51" s="135"/>
      <c r="F51" s="136"/>
      <c r="G51" s="142"/>
      <c r="H51" s="131"/>
      <c r="I51" s="131"/>
      <c r="J51" s="146"/>
      <c r="K51" s="344"/>
      <c r="L51" s="345"/>
      <c r="M51" s="346"/>
      <c r="N51" s="160"/>
    </row>
    <row r="52" spans="1:14">
      <c r="A52" s="131" t="str">
        <f t="shared" ref="A52:A69" si="4">IF(B52=""," ",A51+1)</f>
        <v xml:space="preserve"> </v>
      </c>
      <c r="B52" s="152"/>
      <c r="C52" s="133"/>
      <c r="D52" s="134"/>
      <c r="E52" s="135"/>
      <c r="F52" s="136"/>
      <c r="G52" s="142"/>
      <c r="H52" s="131"/>
      <c r="I52" s="131"/>
      <c r="J52" s="146"/>
      <c r="K52" s="344"/>
      <c r="L52" s="345"/>
      <c r="M52" s="346"/>
      <c r="N52" s="160"/>
    </row>
    <row r="53" spans="1:14" ht="11.25" customHeight="1">
      <c r="A53" s="131" t="str">
        <f t="shared" si="4"/>
        <v xml:space="preserve"> </v>
      </c>
      <c r="B53" s="132"/>
      <c r="C53" s="133"/>
      <c r="D53" s="134"/>
      <c r="E53" s="135"/>
      <c r="F53" s="136"/>
      <c r="G53" s="142"/>
      <c r="H53" s="131"/>
      <c r="I53" s="131"/>
      <c r="J53" s="146"/>
      <c r="K53" s="344"/>
      <c r="L53" s="345"/>
      <c r="M53" s="346"/>
      <c r="N53" s="160"/>
    </row>
    <row r="54" spans="1:14">
      <c r="A54" s="131" t="str">
        <f t="shared" si="4"/>
        <v xml:space="preserve"> </v>
      </c>
      <c r="B54" s="141"/>
      <c r="C54" s="133"/>
      <c r="D54" s="134"/>
      <c r="E54" s="135"/>
      <c r="F54" s="136"/>
      <c r="G54" s="142"/>
      <c r="H54" s="131"/>
      <c r="I54" s="131"/>
      <c r="J54" s="146"/>
      <c r="K54" s="344"/>
      <c r="L54" s="345"/>
      <c r="M54" s="346"/>
      <c r="N54" s="160"/>
    </row>
    <row r="55" spans="1:14">
      <c r="A55" s="131" t="str">
        <f t="shared" si="4"/>
        <v xml:space="preserve"> </v>
      </c>
      <c r="B55" s="132"/>
      <c r="C55" s="133"/>
      <c r="D55" s="134"/>
      <c r="E55" s="135"/>
      <c r="F55" s="136"/>
      <c r="G55" s="142"/>
      <c r="H55" s="131"/>
      <c r="I55" s="131"/>
      <c r="J55" s="146"/>
      <c r="K55" s="344"/>
      <c r="L55" s="345"/>
      <c r="M55" s="346"/>
      <c r="N55" s="160"/>
    </row>
    <row r="56" spans="1:14">
      <c r="A56" s="131" t="str">
        <f t="shared" si="4"/>
        <v xml:space="preserve"> </v>
      </c>
      <c r="B56" s="153"/>
      <c r="C56" s="143"/>
      <c r="D56" s="144"/>
      <c r="E56" s="135"/>
      <c r="F56" s="136"/>
      <c r="G56" s="142"/>
      <c r="H56" s="131"/>
      <c r="I56" s="131"/>
      <c r="J56" s="146"/>
      <c r="K56" s="344"/>
      <c r="L56" s="345"/>
      <c r="M56" s="346"/>
      <c r="N56" s="160"/>
    </row>
    <row r="57" spans="1:14">
      <c r="A57" s="131" t="str">
        <f t="shared" si="4"/>
        <v xml:space="preserve"> </v>
      </c>
      <c r="B57" s="137"/>
      <c r="C57" s="145"/>
      <c r="D57" s="134"/>
      <c r="E57" s="135"/>
      <c r="F57" s="136"/>
      <c r="G57" s="142"/>
      <c r="H57" s="131"/>
      <c r="I57" s="131"/>
      <c r="J57" s="146"/>
      <c r="K57" s="344"/>
      <c r="L57" s="345"/>
      <c r="M57" s="346"/>
      <c r="N57" s="160"/>
    </row>
    <row r="58" spans="1:14" ht="11.25" customHeight="1">
      <c r="A58" s="131" t="str">
        <f t="shared" si="4"/>
        <v xml:space="preserve"> </v>
      </c>
      <c r="B58" s="141"/>
      <c r="C58" s="133"/>
      <c r="D58" s="134"/>
      <c r="E58" s="135"/>
      <c r="F58" s="136"/>
      <c r="G58" s="142"/>
      <c r="H58" s="131"/>
      <c r="I58" s="131"/>
      <c r="J58" s="146"/>
      <c r="K58" s="344"/>
      <c r="L58" s="345"/>
      <c r="M58" s="346"/>
      <c r="N58" s="160"/>
    </row>
    <row r="59" spans="1:14" ht="11.25" customHeight="1">
      <c r="A59" s="131" t="str">
        <f t="shared" si="4"/>
        <v xml:space="preserve"> </v>
      </c>
      <c r="B59" s="137"/>
      <c r="C59" s="133"/>
      <c r="D59" s="134"/>
      <c r="E59" s="135"/>
      <c r="F59" s="136"/>
      <c r="G59" s="142"/>
      <c r="H59" s="131"/>
      <c r="I59" s="131"/>
      <c r="J59" s="146"/>
      <c r="K59" s="344"/>
      <c r="L59" s="345"/>
      <c r="M59" s="346"/>
      <c r="N59" s="160"/>
    </row>
    <row r="60" spans="1:14">
      <c r="A60" s="131" t="str">
        <f t="shared" si="4"/>
        <v xml:space="preserve"> </v>
      </c>
      <c r="B60" s="151"/>
      <c r="C60" s="133"/>
      <c r="D60" s="134"/>
      <c r="E60" s="135"/>
      <c r="F60" s="136"/>
      <c r="G60" s="142"/>
      <c r="H60" s="131"/>
      <c r="I60" s="131"/>
      <c r="J60" s="146"/>
      <c r="K60" s="362"/>
      <c r="L60" s="363"/>
      <c r="M60" s="364"/>
      <c r="N60" s="160"/>
    </row>
    <row r="61" spans="1:14" ht="11.25" customHeight="1">
      <c r="A61" s="131" t="str">
        <f t="shared" si="4"/>
        <v xml:space="preserve"> </v>
      </c>
      <c r="B61" s="151"/>
      <c r="C61" s="133"/>
      <c r="D61" s="134"/>
      <c r="E61" s="135"/>
      <c r="F61" s="136"/>
      <c r="G61" s="142"/>
      <c r="H61" s="131"/>
      <c r="I61" s="131"/>
      <c r="J61" s="146"/>
      <c r="K61" s="344"/>
      <c r="L61" s="345"/>
      <c r="M61" s="346"/>
      <c r="N61" s="160"/>
    </row>
    <row r="62" spans="1:14" ht="11.25" customHeight="1">
      <c r="A62" s="131" t="str">
        <f t="shared" si="4"/>
        <v xml:space="preserve"> </v>
      </c>
      <c r="B62" s="141"/>
      <c r="C62" s="143"/>
      <c r="D62" s="144"/>
      <c r="E62" s="135"/>
      <c r="F62" s="136"/>
      <c r="G62" s="142"/>
      <c r="H62" s="131"/>
      <c r="I62" s="131"/>
      <c r="J62" s="146"/>
      <c r="K62" s="344"/>
      <c r="L62" s="345"/>
      <c r="M62" s="346"/>
      <c r="N62" s="160"/>
    </row>
    <row r="63" spans="1:14" ht="11.25" customHeight="1">
      <c r="A63" s="131" t="str">
        <f t="shared" si="4"/>
        <v xml:space="preserve"> </v>
      </c>
      <c r="B63" s="137"/>
      <c r="C63" s="133"/>
      <c r="D63" s="134"/>
      <c r="E63" s="135"/>
      <c r="F63" s="136"/>
      <c r="G63" s="142"/>
      <c r="H63" s="131"/>
      <c r="I63" s="131"/>
      <c r="J63" s="146"/>
      <c r="K63" s="344"/>
      <c r="L63" s="345"/>
      <c r="M63" s="346"/>
      <c r="N63" s="160"/>
    </row>
    <row r="64" spans="1:14" ht="11.25" customHeight="1">
      <c r="A64" s="131" t="str">
        <f t="shared" si="4"/>
        <v xml:space="preserve"> </v>
      </c>
      <c r="B64" s="137"/>
      <c r="C64" s="133"/>
      <c r="D64" s="134"/>
      <c r="E64" s="135"/>
      <c r="F64" s="136"/>
      <c r="G64" s="142"/>
      <c r="H64" s="131"/>
      <c r="I64" s="131"/>
      <c r="J64" s="146"/>
      <c r="K64" s="344"/>
      <c r="L64" s="345"/>
      <c r="M64" s="346"/>
      <c r="N64" s="160"/>
    </row>
    <row r="65" spans="1:14">
      <c r="A65" s="131" t="str">
        <f t="shared" si="4"/>
        <v xml:space="preserve"> </v>
      </c>
      <c r="B65" s="132"/>
      <c r="C65" s="138"/>
      <c r="D65" s="139"/>
      <c r="E65" s="135"/>
      <c r="F65" s="136"/>
      <c r="G65" s="142"/>
      <c r="H65" s="131"/>
      <c r="I65" s="131"/>
      <c r="J65" s="146"/>
      <c r="K65" s="359"/>
      <c r="L65" s="360"/>
      <c r="M65" s="361"/>
      <c r="N65" s="160" t="s">
        <v>1584</v>
      </c>
    </row>
    <row r="66" spans="1:14">
      <c r="A66" s="131" t="str">
        <f t="shared" si="4"/>
        <v xml:space="preserve"> </v>
      </c>
      <c r="B66" s="152"/>
      <c r="C66" s="138"/>
      <c r="D66" s="139"/>
      <c r="E66" s="135"/>
      <c r="F66" s="136"/>
      <c r="G66" s="142"/>
      <c r="H66" s="131"/>
      <c r="I66" s="131"/>
      <c r="J66" s="146"/>
      <c r="K66" s="359"/>
      <c r="L66" s="360"/>
      <c r="M66" s="361"/>
      <c r="N66" s="160"/>
    </row>
    <row r="67" spans="1:14">
      <c r="A67" s="131" t="str">
        <f t="shared" si="4"/>
        <v xml:space="preserve"> </v>
      </c>
      <c r="B67" s="132"/>
      <c r="C67" s="133"/>
      <c r="D67" s="134"/>
      <c r="E67" s="135"/>
      <c r="F67" s="136"/>
      <c r="G67" s="142"/>
      <c r="H67" s="131"/>
      <c r="I67" s="131"/>
      <c r="J67" s="146"/>
      <c r="K67" s="405"/>
      <c r="L67" s="406"/>
      <c r="M67" s="407"/>
      <c r="N67" s="160"/>
    </row>
    <row r="68" spans="1:14">
      <c r="A68" s="131" t="str">
        <f t="shared" si="4"/>
        <v xml:space="preserve"> </v>
      </c>
      <c r="B68" s="153"/>
      <c r="C68" s="143"/>
      <c r="D68" s="144"/>
      <c r="E68" s="135"/>
      <c r="F68" s="136"/>
      <c r="G68" s="142"/>
      <c r="H68" s="131"/>
      <c r="I68" s="131"/>
      <c r="J68" s="146"/>
      <c r="K68" s="359"/>
      <c r="L68" s="360"/>
      <c r="M68" s="361"/>
      <c r="N68" s="160"/>
    </row>
    <row r="69" spans="1:14">
      <c r="A69" s="131" t="str">
        <f t="shared" si="4"/>
        <v xml:space="preserve"> </v>
      </c>
      <c r="B69" s="132"/>
      <c r="C69" s="145"/>
      <c r="D69" s="134"/>
      <c r="E69" s="135"/>
      <c r="F69" s="136"/>
      <c r="G69" s="142"/>
      <c r="H69" s="131"/>
      <c r="I69" s="131"/>
      <c r="J69" s="146"/>
      <c r="K69" s="350"/>
      <c r="L69" s="351"/>
      <c r="M69" s="352"/>
      <c r="N69" s="160"/>
    </row>
    <row r="70" spans="1:14">
      <c r="A70" s="131"/>
      <c r="B70" s="153"/>
      <c r="C70" s="143"/>
      <c r="D70" s="144"/>
      <c r="E70" s="135"/>
      <c r="F70" s="136"/>
      <c r="G70" s="142"/>
      <c r="H70" s="131"/>
      <c r="I70" s="131"/>
      <c r="J70" s="146"/>
      <c r="K70" s="344"/>
      <c r="L70" s="345"/>
      <c r="M70" s="346"/>
      <c r="N70" s="160"/>
    </row>
    <row r="71" spans="1:14">
      <c r="A71" s="131"/>
      <c r="B71" s="137"/>
      <c r="C71" s="145"/>
      <c r="D71" s="134"/>
      <c r="E71" s="135"/>
      <c r="F71" s="136"/>
      <c r="G71" s="142"/>
      <c r="H71" s="131"/>
      <c r="I71" s="131"/>
      <c r="J71" s="146"/>
      <c r="K71" s="344"/>
      <c r="L71" s="345"/>
      <c r="M71" s="346"/>
      <c r="N71" s="160"/>
    </row>
    <row r="72" spans="1:14">
      <c r="A72" s="131" t="str">
        <f t="shared" ref="A72:A89" si="5">IF(B72=""," ",A71+1)</f>
        <v xml:space="preserve"> </v>
      </c>
      <c r="B72" s="152"/>
      <c r="C72" s="133"/>
      <c r="D72" s="134"/>
      <c r="E72" s="135"/>
      <c r="F72" s="136"/>
      <c r="G72" s="142"/>
      <c r="H72" s="131"/>
      <c r="I72" s="131"/>
      <c r="J72" s="146"/>
      <c r="K72" s="344"/>
      <c r="L72" s="345"/>
      <c r="M72" s="346"/>
      <c r="N72" s="160"/>
    </row>
    <row r="73" spans="1:14" ht="11.25" customHeight="1">
      <c r="A73" s="131" t="str">
        <f t="shared" si="5"/>
        <v xml:space="preserve"> </v>
      </c>
      <c r="B73" s="132"/>
      <c r="C73" s="133"/>
      <c r="D73" s="134"/>
      <c r="E73" s="135"/>
      <c r="F73" s="136"/>
      <c r="G73" s="142"/>
      <c r="H73" s="131"/>
      <c r="I73" s="131"/>
      <c r="J73" s="146"/>
      <c r="K73" s="344"/>
      <c r="L73" s="345"/>
      <c r="M73" s="346"/>
      <c r="N73" s="160"/>
    </row>
    <row r="74" spans="1:14">
      <c r="A74" s="131" t="str">
        <f t="shared" si="5"/>
        <v xml:space="preserve"> </v>
      </c>
      <c r="B74" s="141"/>
      <c r="C74" s="133"/>
      <c r="D74" s="134"/>
      <c r="E74" s="135"/>
      <c r="F74" s="136"/>
      <c r="G74" s="142"/>
      <c r="H74" s="131"/>
      <c r="I74" s="131"/>
      <c r="J74" s="146"/>
      <c r="K74" s="344"/>
      <c r="L74" s="345"/>
      <c r="M74" s="346"/>
      <c r="N74" s="160"/>
    </row>
    <row r="75" spans="1:14">
      <c r="A75" s="131" t="str">
        <f t="shared" si="5"/>
        <v xml:space="preserve"> </v>
      </c>
      <c r="B75" s="132"/>
      <c r="C75" s="133"/>
      <c r="D75" s="134"/>
      <c r="E75" s="135"/>
      <c r="F75" s="136"/>
      <c r="G75" s="142"/>
      <c r="H75" s="131"/>
      <c r="I75" s="131"/>
      <c r="J75" s="146"/>
      <c r="K75" s="344"/>
      <c r="L75" s="345"/>
      <c r="M75" s="346"/>
      <c r="N75" s="160"/>
    </row>
    <row r="76" spans="1:14">
      <c r="A76" s="131" t="str">
        <f t="shared" si="5"/>
        <v xml:space="preserve"> </v>
      </c>
      <c r="B76" s="153"/>
      <c r="C76" s="143"/>
      <c r="D76" s="144"/>
      <c r="E76" s="135"/>
      <c r="F76" s="136"/>
      <c r="G76" s="142"/>
      <c r="H76" s="131"/>
      <c r="I76" s="131"/>
      <c r="J76" s="146"/>
      <c r="K76" s="344"/>
      <c r="L76" s="345"/>
      <c r="M76" s="346"/>
      <c r="N76" s="160"/>
    </row>
    <row r="77" spans="1:14">
      <c r="A77" s="131" t="str">
        <f t="shared" si="5"/>
        <v xml:space="preserve"> </v>
      </c>
      <c r="B77" s="137"/>
      <c r="C77" s="145"/>
      <c r="D77" s="134"/>
      <c r="E77" s="135"/>
      <c r="F77" s="136"/>
      <c r="G77" s="142"/>
      <c r="H77" s="131"/>
      <c r="I77" s="131"/>
      <c r="J77" s="146"/>
      <c r="K77" s="344"/>
      <c r="L77" s="345"/>
      <c r="M77" s="346"/>
      <c r="N77" s="160"/>
    </row>
    <row r="78" spans="1:14" ht="11.25" customHeight="1">
      <c r="A78" s="131" t="str">
        <f t="shared" si="5"/>
        <v xml:space="preserve"> </v>
      </c>
      <c r="B78" s="141"/>
      <c r="C78" s="133"/>
      <c r="D78" s="134"/>
      <c r="E78" s="135"/>
      <c r="F78" s="136"/>
      <c r="G78" s="142"/>
      <c r="H78" s="131"/>
      <c r="I78" s="131"/>
      <c r="J78" s="146"/>
      <c r="K78" s="344"/>
      <c r="L78" s="345"/>
      <c r="M78" s="346"/>
      <c r="N78" s="160"/>
    </row>
    <row r="79" spans="1:14" ht="11.25" customHeight="1">
      <c r="A79" s="131" t="str">
        <f t="shared" si="5"/>
        <v xml:space="preserve"> </v>
      </c>
      <c r="B79" s="137"/>
      <c r="C79" s="133"/>
      <c r="D79" s="134"/>
      <c r="E79" s="135"/>
      <c r="F79" s="136"/>
      <c r="G79" s="142"/>
      <c r="H79" s="131"/>
      <c r="I79" s="131"/>
      <c r="J79" s="146"/>
      <c r="K79" s="344"/>
      <c r="L79" s="345"/>
      <c r="M79" s="346"/>
      <c r="N79" s="160"/>
    </row>
    <row r="80" spans="1:14">
      <c r="A80" s="131" t="str">
        <f t="shared" si="5"/>
        <v xml:space="preserve"> </v>
      </c>
      <c r="B80" s="151"/>
      <c r="C80" s="133"/>
      <c r="D80" s="134"/>
      <c r="E80" s="135"/>
      <c r="F80" s="136"/>
      <c r="G80" s="142"/>
      <c r="H80" s="131"/>
      <c r="I80" s="131"/>
      <c r="J80" s="146"/>
      <c r="K80" s="362"/>
      <c r="L80" s="363"/>
      <c r="M80" s="364"/>
      <c r="N80" s="160"/>
    </row>
    <row r="81" spans="1:14" ht="11.25" customHeight="1">
      <c r="A81" s="131" t="str">
        <f t="shared" si="5"/>
        <v xml:space="preserve"> </v>
      </c>
      <c r="B81" s="151"/>
      <c r="C81" s="133"/>
      <c r="D81" s="134"/>
      <c r="E81" s="135"/>
      <c r="F81" s="136"/>
      <c r="G81" s="142"/>
      <c r="H81" s="131"/>
      <c r="I81" s="131"/>
      <c r="J81" s="146"/>
      <c r="K81" s="344"/>
      <c r="L81" s="345"/>
      <c r="M81" s="346"/>
      <c r="N81" s="160"/>
    </row>
    <row r="82" spans="1:14" ht="11.25" customHeight="1">
      <c r="A82" s="131" t="str">
        <f t="shared" si="5"/>
        <v xml:space="preserve"> </v>
      </c>
      <c r="B82" s="141"/>
      <c r="C82" s="143"/>
      <c r="D82" s="144"/>
      <c r="E82" s="135"/>
      <c r="F82" s="136"/>
      <c r="G82" s="142"/>
      <c r="H82" s="131"/>
      <c r="I82" s="131"/>
      <c r="J82" s="146"/>
      <c r="K82" s="344"/>
      <c r="L82" s="345"/>
      <c r="M82" s="346"/>
      <c r="N82" s="160"/>
    </row>
    <row r="83" spans="1:14" ht="11.25" customHeight="1">
      <c r="A83" s="131" t="str">
        <f t="shared" si="5"/>
        <v xml:space="preserve"> </v>
      </c>
      <c r="B83" s="137"/>
      <c r="C83" s="133"/>
      <c r="D83" s="134"/>
      <c r="E83" s="135"/>
      <c r="F83" s="136"/>
      <c r="G83" s="142"/>
      <c r="H83" s="131"/>
      <c r="I83" s="131"/>
      <c r="J83" s="146"/>
      <c r="K83" s="344"/>
      <c r="L83" s="345"/>
      <c r="M83" s="346"/>
      <c r="N83" s="160"/>
    </row>
    <row r="84" spans="1:14" ht="11.25" customHeight="1">
      <c r="A84" s="131" t="str">
        <f t="shared" si="5"/>
        <v xml:space="preserve"> </v>
      </c>
      <c r="B84" s="137"/>
      <c r="C84" s="133"/>
      <c r="D84" s="134"/>
      <c r="E84" s="135"/>
      <c r="F84" s="136"/>
      <c r="G84" s="142"/>
      <c r="H84" s="131"/>
      <c r="I84" s="131"/>
      <c r="J84" s="146"/>
      <c r="K84" s="344"/>
      <c r="L84" s="345"/>
      <c r="M84" s="346"/>
      <c r="N84" s="160"/>
    </row>
    <row r="85" spans="1:14">
      <c r="A85" s="131" t="str">
        <f t="shared" si="5"/>
        <v xml:space="preserve"> </v>
      </c>
      <c r="B85" s="132"/>
      <c r="C85" s="138"/>
      <c r="D85" s="139"/>
      <c r="E85" s="135"/>
      <c r="F85" s="136"/>
      <c r="G85" s="142"/>
      <c r="H85" s="131"/>
      <c r="I85" s="131"/>
      <c r="J85" s="146"/>
      <c r="K85" s="359"/>
      <c r="L85" s="360"/>
      <c r="M85" s="361"/>
      <c r="N85" s="160" t="s">
        <v>1584</v>
      </c>
    </row>
    <row r="86" spans="1:14">
      <c r="A86" s="131" t="str">
        <f t="shared" si="5"/>
        <v xml:space="preserve"> </v>
      </c>
      <c r="B86" s="152"/>
      <c r="C86" s="138"/>
      <c r="D86" s="139"/>
      <c r="E86" s="135"/>
      <c r="F86" s="136"/>
      <c r="G86" s="142"/>
      <c r="H86" s="131"/>
      <c r="I86" s="131"/>
      <c r="J86" s="146"/>
      <c r="K86" s="359"/>
      <c r="L86" s="360"/>
      <c r="M86" s="361"/>
      <c r="N86" s="160"/>
    </row>
    <row r="87" spans="1:14">
      <c r="A87" s="131" t="str">
        <f t="shared" si="5"/>
        <v xml:space="preserve"> </v>
      </c>
      <c r="B87" s="132"/>
      <c r="C87" s="133"/>
      <c r="D87" s="134"/>
      <c r="E87" s="135"/>
      <c r="F87" s="136"/>
      <c r="G87" s="142"/>
      <c r="H87" s="131"/>
      <c r="I87" s="131"/>
      <c r="J87" s="146"/>
      <c r="K87" s="405"/>
      <c r="L87" s="406"/>
      <c r="M87" s="407"/>
      <c r="N87" s="160"/>
    </row>
    <row r="88" spans="1:14">
      <c r="A88" s="131" t="str">
        <f t="shared" si="5"/>
        <v xml:space="preserve"> </v>
      </c>
      <c r="B88" s="153"/>
      <c r="C88" s="143"/>
      <c r="D88" s="144"/>
      <c r="E88" s="135"/>
      <c r="F88" s="136"/>
      <c r="G88" s="142"/>
      <c r="H88" s="131"/>
      <c r="I88" s="131"/>
      <c r="J88" s="146"/>
      <c r="K88" s="359"/>
      <c r="L88" s="360"/>
      <c r="M88" s="361"/>
      <c r="N88" s="160"/>
    </row>
    <row r="89" spans="1:14">
      <c r="A89" s="131" t="str">
        <f t="shared" si="5"/>
        <v xml:space="preserve"> </v>
      </c>
      <c r="B89" s="132"/>
      <c r="C89" s="145"/>
      <c r="D89" s="134"/>
      <c r="E89" s="135"/>
      <c r="F89" s="136"/>
      <c r="G89" s="142"/>
      <c r="H89" s="131"/>
      <c r="I89" s="131"/>
      <c r="J89" s="146"/>
      <c r="K89" s="350"/>
      <c r="L89" s="351"/>
      <c r="M89" s="352"/>
      <c r="N89" s="160"/>
    </row>
    <row r="90" spans="1:14">
      <c r="A90" s="131"/>
      <c r="B90" s="153"/>
      <c r="C90" s="143"/>
      <c r="D90" s="144"/>
      <c r="E90" s="135"/>
      <c r="F90" s="136"/>
      <c r="G90" s="142"/>
      <c r="H90" s="131"/>
      <c r="I90" s="131"/>
      <c r="J90" s="146"/>
      <c r="K90" s="344"/>
      <c r="L90" s="345"/>
      <c r="M90" s="346"/>
      <c r="N90" s="160"/>
    </row>
    <row r="91" spans="1:14">
      <c r="A91" s="131"/>
      <c r="B91" s="137"/>
      <c r="C91" s="145"/>
      <c r="D91" s="134"/>
      <c r="E91" s="135"/>
      <c r="F91" s="136"/>
      <c r="G91" s="142"/>
      <c r="H91" s="131"/>
      <c r="I91" s="131"/>
      <c r="J91" s="146"/>
      <c r="K91" s="344"/>
      <c r="L91" s="345"/>
      <c r="M91" s="346"/>
      <c r="N91" s="160"/>
    </row>
    <row r="92" spans="1:14">
      <c r="A92" s="131" t="str">
        <f t="shared" ref="A92:A100" si="6">IF(B92=""," ",A91+1)</f>
        <v xml:space="preserve"> </v>
      </c>
      <c r="B92" s="152"/>
      <c r="C92" s="133"/>
      <c r="D92" s="134"/>
      <c r="E92" s="135"/>
      <c r="F92" s="136"/>
      <c r="G92" s="142"/>
      <c r="H92" s="131"/>
      <c r="I92" s="131"/>
      <c r="J92" s="146"/>
      <c r="K92" s="344"/>
      <c r="L92" s="345"/>
      <c r="M92" s="346"/>
      <c r="N92" s="160"/>
    </row>
    <row r="93" spans="1:14" ht="11.25" customHeight="1">
      <c r="A93" s="131" t="str">
        <f t="shared" si="6"/>
        <v xml:space="preserve"> </v>
      </c>
      <c r="B93" s="132"/>
      <c r="C93" s="133"/>
      <c r="D93" s="134"/>
      <c r="E93" s="135"/>
      <c r="F93" s="136"/>
      <c r="G93" s="142"/>
      <c r="H93" s="131"/>
      <c r="I93" s="131"/>
      <c r="J93" s="146"/>
      <c r="K93" s="344"/>
      <c r="L93" s="345"/>
      <c r="M93" s="346"/>
      <c r="N93" s="160"/>
    </row>
    <row r="94" spans="1:14">
      <c r="A94" s="131" t="str">
        <f t="shared" si="6"/>
        <v xml:space="preserve"> </v>
      </c>
      <c r="B94" s="141"/>
      <c r="C94" s="133"/>
      <c r="D94" s="134"/>
      <c r="E94" s="135"/>
      <c r="F94" s="136"/>
      <c r="G94" s="142"/>
      <c r="H94" s="131"/>
      <c r="I94" s="131"/>
      <c r="J94" s="146"/>
      <c r="K94" s="344"/>
      <c r="L94" s="345"/>
      <c r="M94" s="346"/>
      <c r="N94" s="160"/>
    </row>
    <row r="95" spans="1:14">
      <c r="A95" s="131" t="str">
        <f t="shared" si="6"/>
        <v xml:space="preserve"> </v>
      </c>
      <c r="B95" s="132"/>
      <c r="C95" s="133"/>
      <c r="D95" s="134"/>
      <c r="E95" s="135"/>
      <c r="F95" s="136"/>
      <c r="G95" s="142"/>
      <c r="H95" s="131"/>
      <c r="I95" s="131"/>
      <c r="J95" s="146"/>
      <c r="K95" s="344"/>
      <c r="L95" s="345"/>
      <c r="M95" s="346"/>
      <c r="N95" s="160"/>
    </row>
    <row r="96" spans="1:14">
      <c r="A96" s="131" t="str">
        <f t="shared" si="6"/>
        <v xml:space="preserve"> </v>
      </c>
      <c r="B96" s="153"/>
      <c r="C96" s="143"/>
      <c r="D96" s="144"/>
      <c r="E96" s="135"/>
      <c r="F96" s="136"/>
      <c r="G96" s="142"/>
      <c r="H96" s="131"/>
      <c r="I96" s="131"/>
      <c r="J96" s="146"/>
      <c r="K96" s="344"/>
      <c r="L96" s="345"/>
      <c r="M96" s="346"/>
      <c r="N96" s="160"/>
    </row>
    <row r="97" spans="1:14">
      <c r="A97" s="131" t="str">
        <f t="shared" si="6"/>
        <v xml:space="preserve"> </v>
      </c>
      <c r="B97" s="137"/>
      <c r="C97" s="145"/>
      <c r="D97" s="134"/>
      <c r="E97" s="135"/>
      <c r="F97" s="136"/>
      <c r="G97" s="142"/>
      <c r="H97" s="131"/>
      <c r="I97" s="131"/>
      <c r="J97" s="146"/>
      <c r="K97" s="344"/>
      <c r="L97" s="345"/>
      <c r="M97" s="346"/>
      <c r="N97" s="160"/>
    </row>
    <row r="98" spans="1:14" ht="11.25" customHeight="1">
      <c r="A98" s="131" t="str">
        <f t="shared" si="6"/>
        <v xml:space="preserve"> </v>
      </c>
      <c r="B98" s="141"/>
      <c r="C98" s="133"/>
      <c r="D98" s="134"/>
      <c r="E98" s="135"/>
      <c r="F98" s="136"/>
      <c r="G98" s="142"/>
      <c r="H98" s="131"/>
      <c r="I98" s="131"/>
      <c r="J98" s="146"/>
      <c r="K98" s="344"/>
      <c r="L98" s="345"/>
      <c r="M98" s="346"/>
      <c r="N98" s="160"/>
    </row>
    <row r="99" spans="1:14" ht="11.25" customHeight="1">
      <c r="A99" s="131" t="str">
        <f t="shared" si="6"/>
        <v xml:space="preserve"> </v>
      </c>
      <c r="B99" s="137"/>
      <c r="C99" s="133"/>
      <c r="D99" s="134"/>
      <c r="E99" s="135"/>
      <c r="F99" s="136"/>
      <c r="G99" s="142"/>
      <c r="H99" s="131"/>
      <c r="I99" s="131"/>
      <c r="J99" s="146"/>
      <c r="K99" s="344"/>
      <c r="L99" s="345"/>
      <c r="M99" s="346"/>
      <c r="N99" s="160"/>
    </row>
    <row r="100" spans="1:14">
      <c r="A100" s="131" t="str">
        <f t="shared" si="6"/>
        <v xml:space="preserve"> </v>
      </c>
      <c r="B100" s="151"/>
      <c r="C100" s="133"/>
      <c r="D100" s="134"/>
      <c r="E100" s="135"/>
      <c r="F100" s="136"/>
      <c r="G100" s="142"/>
      <c r="H100" s="131"/>
      <c r="I100" s="131"/>
      <c r="J100" s="146"/>
      <c r="K100" s="362"/>
      <c r="L100" s="363"/>
      <c r="M100" s="364"/>
      <c r="N100" s="160"/>
    </row>
    <row r="102" spans="1:14" s="75" customFormat="1">
      <c r="A102" s="76"/>
      <c r="B102" s="75" t="s">
        <v>235</v>
      </c>
    </row>
    <row r="103" spans="1:14" s="75" customFormat="1">
      <c r="A103" s="76"/>
    </row>
    <row r="104" spans="1:14" s="75" customFormat="1">
      <c r="A104" s="76"/>
      <c r="B104" s="75" t="s">
        <v>236</v>
      </c>
      <c r="C104" s="75" t="s">
        <v>238</v>
      </c>
    </row>
  </sheetData>
  <mergeCells count="100">
    <mergeCell ref="K100:M100"/>
    <mergeCell ref="A5:A6"/>
    <mergeCell ref="K5:M6"/>
    <mergeCell ref="K95:M95"/>
    <mergeCell ref="K96:M96"/>
    <mergeCell ref="K97:M97"/>
    <mergeCell ref="K98:M98"/>
    <mergeCell ref="K99:M99"/>
    <mergeCell ref="K90:M90"/>
    <mergeCell ref="K91:M91"/>
    <mergeCell ref="K92:M92"/>
    <mergeCell ref="K93:M93"/>
    <mergeCell ref="K94:M94"/>
    <mergeCell ref="K85:M85"/>
    <mergeCell ref="K86:M86"/>
    <mergeCell ref="K87:M87"/>
    <mergeCell ref="K88:M88"/>
    <mergeCell ref="K89:M89"/>
    <mergeCell ref="K80:M80"/>
    <mergeCell ref="K81:M81"/>
    <mergeCell ref="K82:M82"/>
    <mergeCell ref="K83:M83"/>
    <mergeCell ref="K84:M84"/>
    <mergeCell ref="K75:M75"/>
    <mergeCell ref="K76:M76"/>
    <mergeCell ref="K77:M77"/>
    <mergeCell ref="K78:M78"/>
    <mergeCell ref="K79:M79"/>
    <mergeCell ref="K70:M70"/>
    <mergeCell ref="K71:M71"/>
    <mergeCell ref="K72:M72"/>
    <mergeCell ref="K73:M73"/>
    <mergeCell ref="K74:M74"/>
    <mergeCell ref="K65:M65"/>
    <mergeCell ref="K66:M66"/>
    <mergeCell ref="K67:M67"/>
    <mergeCell ref="K68:M68"/>
    <mergeCell ref="K69:M69"/>
    <mergeCell ref="K60:M60"/>
    <mergeCell ref="K61:M61"/>
    <mergeCell ref="K62:M62"/>
    <mergeCell ref="K63:M63"/>
    <mergeCell ref="K64:M64"/>
    <mergeCell ref="K55:M55"/>
    <mergeCell ref="K56:M56"/>
    <mergeCell ref="K57:M57"/>
    <mergeCell ref="K58:M58"/>
    <mergeCell ref="K59:M59"/>
    <mergeCell ref="K50:M50"/>
    <mergeCell ref="K51:M51"/>
    <mergeCell ref="K52:M52"/>
    <mergeCell ref="K53:M53"/>
    <mergeCell ref="K54:M54"/>
    <mergeCell ref="K45:M45"/>
    <mergeCell ref="K46:M46"/>
    <mergeCell ref="K47:M47"/>
    <mergeCell ref="K48:M48"/>
    <mergeCell ref="K49:M49"/>
    <mergeCell ref="K40:M40"/>
    <mergeCell ref="K41:M41"/>
    <mergeCell ref="K42:M42"/>
    <mergeCell ref="K43:M43"/>
    <mergeCell ref="K44:M44"/>
    <mergeCell ref="K35:M35"/>
    <mergeCell ref="K36:M36"/>
    <mergeCell ref="K37:M37"/>
    <mergeCell ref="K38:M38"/>
    <mergeCell ref="K39:M39"/>
    <mergeCell ref="K30:M30"/>
    <mergeCell ref="K31:M31"/>
    <mergeCell ref="K32:M32"/>
    <mergeCell ref="K33:M33"/>
    <mergeCell ref="K34:M34"/>
    <mergeCell ref="K24:M24"/>
    <mergeCell ref="K25:M25"/>
    <mergeCell ref="K27:M27"/>
    <mergeCell ref="K28:M28"/>
    <mergeCell ref="K29:M29"/>
    <mergeCell ref="K18:M18"/>
    <mergeCell ref="K20:M20"/>
    <mergeCell ref="K21:M21"/>
    <mergeCell ref="K22:M22"/>
    <mergeCell ref="K23:M23"/>
    <mergeCell ref="K7:M7"/>
    <mergeCell ref="K13:M13"/>
    <mergeCell ref="K14:M14"/>
    <mergeCell ref="K16:M16"/>
    <mergeCell ref="K17:M17"/>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pageSetUpPr fitToPage="1"/>
  </sheetPr>
  <dimension ref="A1:Q100"/>
  <sheetViews>
    <sheetView showGridLines="0" workbookViewId="0">
      <pane ySplit="6" topLeftCell="A7" activePane="bottomLeft" state="frozen"/>
      <selection pane="bottomLeft" activeCell="G38" sqref="G38"/>
    </sheetView>
  </sheetViews>
  <sheetFormatPr defaultColWidth="9" defaultRowHeight="12"/>
  <cols>
    <col min="1" max="1" width="4.5" style="130" customWidth="1"/>
    <col min="2" max="2" width="28.625" style="129" customWidth="1"/>
    <col min="3" max="3" width="13.375" style="129" customWidth="1"/>
    <col min="4" max="4" width="9.375" style="129" customWidth="1"/>
    <col min="5" max="5" width="4.875" style="129" customWidth="1"/>
    <col min="6" max="6" width="4.75" style="129" customWidth="1"/>
    <col min="7" max="7" width="6.125" style="129" customWidth="1"/>
    <col min="8" max="9" width="4.75" style="129" customWidth="1"/>
    <col min="10" max="11" width="9.625" style="129" customWidth="1"/>
    <col min="12" max="13" width="10.25" style="129" customWidth="1"/>
    <col min="14" max="17" width="9" style="129" hidden="1" customWidth="1"/>
    <col min="18" max="16384" width="9" style="129"/>
  </cols>
  <sheetData>
    <row r="1" spans="1:16">
      <c r="B1" s="3"/>
    </row>
    <row r="2" spans="1:16">
      <c r="A2" s="259" t="s">
        <v>136</v>
      </c>
      <c r="B2" s="260"/>
      <c r="C2" s="259" t="s">
        <v>1</v>
      </c>
      <c r="D2" s="261"/>
      <c r="E2" s="261"/>
      <c r="F2" s="261"/>
      <c r="G2" s="260"/>
      <c r="H2" s="259"/>
      <c r="I2" s="261"/>
      <c r="J2" s="260"/>
      <c r="K2" s="89"/>
      <c r="L2" s="78" t="s">
        <v>137</v>
      </c>
      <c r="M2" s="78" t="s">
        <v>138</v>
      </c>
    </row>
    <row r="3" spans="1:16">
      <c r="A3" s="262"/>
      <c r="B3" s="263"/>
      <c r="C3" s="353" t="s">
        <v>1585</v>
      </c>
      <c r="D3" s="354"/>
      <c r="E3" s="354"/>
      <c r="F3" s="354"/>
      <c r="G3" s="355"/>
      <c r="H3" s="259" t="s">
        <v>140</v>
      </c>
      <c r="I3" s="260"/>
      <c r="J3" s="90">
        <f>COUNT(A7:A100)</f>
        <v>8</v>
      </c>
      <c r="K3" s="78" t="s">
        <v>141</v>
      </c>
      <c r="L3" s="91">
        <v>38644</v>
      </c>
      <c r="M3" s="92" t="s">
        <v>142</v>
      </c>
      <c r="O3" s="129" t="s">
        <v>143</v>
      </c>
      <c r="P3" s="129" t="s">
        <v>144</v>
      </c>
    </row>
    <row r="4" spans="1:16">
      <c r="A4" s="267" t="s">
        <v>145</v>
      </c>
      <c r="B4" s="268"/>
      <c r="C4" s="356" t="s">
        <v>71</v>
      </c>
      <c r="D4" s="357"/>
      <c r="E4" s="357"/>
      <c r="F4" s="357"/>
      <c r="G4" s="358"/>
      <c r="H4" s="259" t="s">
        <v>146</v>
      </c>
      <c r="I4" s="260"/>
      <c r="J4" s="90">
        <f>SUM(G7:G100)</f>
        <v>40</v>
      </c>
      <c r="K4" s="78" t="s">
        <v>147</v>
      </c>
      <c r="L4" s="91">
        <v>38878</v>
      </c>
      <c r="M4" s="83" t="s">
        <v>142</v>
      </c>
      <c r="O4" s="129" t="s">
        <v>149</v>
      </c>
      <c r="P4" s="129" t="s">
        <v>150</v>
      </c>
    </row>
    <row r="5" spans="1:16">
      <c r="A5" s="283" t="s">
        <v>0</v>
      </c>
      <c r="B5" s="259" t="s">
        <v>151</v>
      </c>
      <c r="C5" s="261"/>
      <c r="D5" s="270" t="s">
        <v>152</v>
      </c>
      <c r="E5" s="261"/>
      <c r="F5" s="261"/>
      <c r="G5" s="261"/>
      <c r="H5" s="261"/>
      <c r="I5" s="259" t="s">
        <v>153</v>
      </c>
      <c r="J5" s="260"/>
      <c r="K5" s="285" t="s">
        <v>4</v>
      </c>
      <c r="L5" s="286"/>
      <c r="M5" s="287"/>
      <c r="P5" s="129" t="s">
        <v>154</v>
      </c>
    </row>
    <row r="6" spans="1:16">
      <c r="A6" s="284"/>
      <c r="B6" s="78" t="s">
        <v>5</v>
      </c>
      <c r="C6" s="79" t="s">
        <v>6</v>
      </c>
      <c r="D6" s="80" t="s">
        <v>144</v>
      </c>
      <c r="E6" s="81" t="s">
        <v>155</v>
      </c>
      <c r="F6" s="82" t="s">
        <v>156</v>
      </c>
      <c r="G6" s="78" t="s">
        <v>157</v>
      </c>
      <c r="H6" s="77" t="s">
        <v>158</v>
      </c>
      <c r="I6" s="77" t="s">
        <v>159</v>
      </c>
      <c r="J6" s="77" t="s">
        <v>160</v>
      </c>
      <c r="K6" s="305"/>
      <c r="L6" s="306"/>
      <c r="M6" s="307"/>
      <c r="P6" s="129" t="s">
        <v>161</v>
      </c>
    </row>
    <row r="7" spans="1:16" s="128" customFormat="1">
      <c r="A7" s="131">
        <v>1</v>
      </c>
      <c r="B7" s="132" t="s">
        <v>812</v>
      </c>
      <c r="C7" s="133" t="s">
        <v>813</v>
      </c>
      <c r="D7" s="134" t="s">
        <v>164</v>
      </c>
      <c r="E7" s="135"/>
      <c r="F7" s="136"/>
      <c r="G7" s="87">
        <f t="shared" ref="G7:G14" si="0">IF(D7="DATE",4,IF(D7="CHAR",E7,IF(D7="SMALLINT",2,IF(D7="INTEGER",4,IF(D7="TIMESTAMP",10,IF(D7="TIME",3,0))))))</f>
        <v>4</v>
      </c>
      <c r="H7" s="131" t="s">
        <v>149</v>
      </c>
      <c r="I7" s="131" t="s">
        <v>149</v>
      </c>
      <c r="J7" s="146"/>
      <c r="K7" s="341"/>
      <c r="L7" s="342"/>
      <c r="M7" s="343"/>
      <c r="P7" s="128" t="s">
        <v>165</v>
      </c>
    </row>
    <row r="8" spans="1:16" s="128" customFormat="1">
      <c r="A8" s="131">
        <f t="shared" ref="A8:A14" si="1">IF(B8=""," ",A7+1)</f>
        <v>2</v>
      </c>
      <c r="B8" s="137" t="s">
        <v>770</v>
      </c>
      <c r="C8" s="138" t="s">
        <v>1586</v>
      </c>
      <c r="D8" s="139" t="s">
        <v>150</v>
      </c>
      <c r="E8" s="135">
        <v>10</v>
      </c>
      <c r="F8" s="136"/>
      <c r="G8" s="87">
        <f t="shared" si="0"/>
        <v>10</v>
      </c>
      <c r="H8" s="131"/>
      <c r="I8" s="131"/>
      <c r="J8" s="146"/>
      <c r="K8" s="138"/>
      <c r="L8" s="147"/>
      <c r="M8" s="148"/>
      <c r="P8" s="128" t="s">
        <v>174</v>
      </c>
    </row>
    <row r="9" spans="1:16">
      <c r="A9" s="131">
        <f t="shared" si="1"/>
        <v>3</v>
      </c>
      <c r="B9" s="140" t="s">
        <v>772</v>
      </c>
      <c r="C9" s="138" t="s">
        <v>1587</v>
      </c>
      <c r="D9" s="139" t="s">
        <v>174</v>
      </c>
      <c r="E9" s="135"/>
      <c r="F9" s="136"/>
      <c r="G9" s="87">
        <f t="shared" si="0"/>
        <v>2</v>
      </c>
      <c r="H9" s="131"/>
      <c r="I9" s="131"/>
      <c r="J9" s="146"/>
      <c r="K9" s="138"/>
      <c r="L9" s="147"/>
      <c r="M9" s="148"/>
    </row>
    <row r="10" spans="1:16" s="128" customFormat="1">
      <c r="A10" s="131">
        <f t="shared" si="1"/>
        <v>4</v>
      </c>
      <c r="B10" s="141" t="s">
        <v>774</v>
      </c>
      <c r="C10" s="138" t="s">
        <v>775</v>
      </c>
      <c r="D10" s="139" t="s">
        <v>150</v>
      </c>
      <c r="E10" s="135">
        <v>10</v>
      </c>
      <c r="F10" s="136"/>
      <c r="G10" s="87">
        <f t="shared" si="0"/>
        <v>10</v>
      </c>
      <c r="H10" s="131"/>
      <c r="I10" s="131"/>
      <c r="J10" s="146"/>
      <c r="K10" s="341"/>
      <c r="L10" s="342"/>
      <c r="M10" s="343"/>
      <c r="P10" s="128" t="s">
        <v>195</v>
      </c>
    </row>
    <row r="11" spans="1:16" s="128" customFormat="1" ht="11.25" customHeight="1">
      <c r="A11" s="131">
        <f t="shared" si="1"/>
        <v>5</v>
      </c>
      <c r="B11" s="141" t="s">
        <v>776</v>
      </c>
      <c r="C11" s="133" t="s">
        <v>777</v>
      </c>
      <c r="D11" s="134" t="s">
        <v>174</v>
      </c>
      <c r="E11" s="135"/>
      <c r="F11" s="136"/>
      <c r="G11" s="87">
        <f t="shared" si="0"/>
        <v>2</v>
      </c>
      <c r="H11" s="131"/>
      <c r="I11" s="131"/>
      <c r="J11" s="146"/>
      <c r="K11" s="347"/>
      <c r="L11" s="348"/>
      <c r="M11" s="349"/>
    </row>
    <row r="12" spans="1:16" s="128" customFormat="1">
      <c r="A12" s="131">
        <f t="shared" si="1"/>
        <v>6</v>
      </c>
      <c r="B12" s="132" t="s">
        <v>1588</v>
      </c>
      <c r="C12" s="138" t="s">
        <v>1589</v>
      </c>
      <c r="D12" s="139" t="s">
        <v>150</v>
      </c>
      <c r="E12" s="135">
        <v>1</v>
      </c>
      <c r="F12" s="136"/>
      <c r="G12" s="87">
        <f t="shared" si="0"/>
        <v>1</v>
      </c>
      <c r="H12" s="131"/>
      <c r="I12" s="131"/>
      <c r="J12" s="146"/>
      <c r="K12" s="341" t="s">
        <v>1590</v>
      </c>
      <c r="L12" s="342"/>
      <c r="M12" s="343"/>
    </row>
    <row r="13" spans="1:16" s="128" customFormat="1">
      <c r="A13" s="131">
        <f t="shared" si="1"/>
        <v>7</v>
      </c>
      <c r="B13" s="20" t="s">
        <v>1591</v>
      </c>
      <c r="C13" s="133" t="s">
        <v>1592</v>
      </c>
      <c r="D13" s="134" t="s">
        <v>150</v>
      </c>
      <c r="E13" s="135">
        <v>1</v>
      </c>
      <c r="F13" s="136"/>
      <c r="G13" s="87">
        <f t="shared" si="0"/>
        <v>1</v>
      </c>
      <c r="H13" s="131"/>
      <c r="I13" s="131"/>
      <c r="J13" s="146"/>
      <c r="K13" s="347" t="s">
        <v>1593</v>
      </c>
      <c r="L13" s="348"/>
      <c r="M13" s="349"/>
    </row>
    <row r="14" spans="1:16">
      <c r="A14" s="131">
        <f t="shared" si="1"/>
        <v>8</v>
      </c>
      <c r="B14" s="141" t="s">
        <v>232</v>
      </c>
      <c r="C14" s="133" t="s">
        <v>233</v>
      </c>
      <c r="D14" s="134" t="s">
        <v>234</v>
      </c>
      <c r="E14" s="135"/>
      <c r="F14" s="136"/>
      <c r="G14" s="87">
        <f t="shared" si="0"/>
        <v>10</v>
      </c>
      <c r="H14" s="131"/>
      <c r="I14" s="131"/>
      <c r="J14" s="146"/>
      <c r="K14" s="133"/>
      <c r="L14" s="149"/>
      <c r="M14" s="150"/>
    </row>
    <row r="15" spans="1:16">
      <c r="A15" s="131" t="str">
        <f t="shared" ref="A15:A38" si="2">IF(B15=""," ",A14+1)</f>
        <v xml:space="preserve"> </v>
      </c>
      <c r="B15" s="132"/>
      <c r="C15" s="133"/>
      <c r="D15" s="134"/>
      <c r="E15" s="135"/>
      <c r="F15" s="136"/>
      <c r="G15" s="142"/>
      <c r="H15" s="131"/>
      <c r="I15" s="131"/>
      <c r="J15" s="146"/>
      <c r="K15" s="133"/>
      <c r="L15" s="149"/>
      <c r="M15" s="150"/>
    </row>
    <row r="16" spans="1:16" s="128" customFormat="1">
      <c r="A16" s="131" t="str">
        <f t="shared" si="2"/>
        <v xml:space="preserve"> </v>
      </c>
      <c r="B16" s="132"/>
      <c r="C16" s="143"/>
      <c r="D16" s="144"/>
      <c r="E16" s="135"/>
      <c r="F16" s="136"/>
      <c r="G16" s="142"/>
      <c r="H16" s="131"/>
      <c r="I16" s="131"/>
      <c r="J16" s="146"/>
      <c r="K16" s="350"/>
      <c r="L16" s="351"/>
      <c r="M16" s="352"/>
      <c r="P16" s="128" t="s">
        <v>195</v>
      </c>
    </row>
    <row r="17" spans="1:13" s="128" customFormat="1">
      <c r="A17" s="131" t="str">
        <f t="shared" si="2"/>
        <v xml:space="preserve"> </v>
      </c>
      <c r="B17" s="137"/>
      <c r="C17" s="143"/>
      <c r="D17" s="144"/>
      <c r="E17" s="135"/>
      <c r="F17" s="136"/>
      <c r="G17" s="142"/>
      <c r="H17" s="131"/>
      <c r="I17" s="131"/>
      <c r="J17" s="146"/>
      <c r="K17" s="350"/>
      <c r="L17" s="351"/>
      <c r="M17" s="352"/>
    </row>
    <row r="18" spans="1:13" s="128" customFormat="1">
      <c r="A18" s="131" t="str">
        <f t="shared" si="2"/>
        <v xml:space="preserve"> </v>
      </c>
      <c r="B18" s="140"/>
      <c r="C18" s="145"/>
      <c r="D18" s="134"/>
      <c r="E18" s="135"/>
      <c r="F18" s="136"/>
      <c r="G18" s="142"/>
      <c r="H18" s="131"/>
      <c r="I18" s="131"/>
      <c r="J18" s="146"/>
      <c r="K18" s="347"/>
      <c r="L18" s="348"/>
      <c r="M18" s="349"/>
    </row>
    <row r="19" spans="1:13" s="128" customFormat="1">
      <c r="A19" s="131" t="str">
        <f t="shared" si="2"/>
        <v xml:space="preserve"> </v>
      </c>
      <c r="B19" s="20"/>
      <c r="C19" s="143"/>
      <c r="D19" s="144"/>
      <c r="E19" s="135"/>
      <c r="F19" s="136"/>
      <c r="G19" s="142"/>
      <c r="H19" s="131"/>
      <c r="I19" s="131"/>
      <c r="J19" s="146"/>
      <c r="K19" s="350"/>
      <c r="L19" s="351"/>
      <c r="M19" s="352"/>
    </row>
    <row r="20" spans="1:13" s="128" customFormat="1">
      <c r="A20" s="131" t="str">
        <f t="shared" si="2"/>
        <v xml:space="preserve"> </v>
      </c>
      <c r="B20" s="140"/>
      <c r="C20" s="133"/>
      <c r="D20" s="134"/>
      <c r="E20" s="135"/>
      <c r="F20" s="136"/>
      <c r="G20" s="142"/>
      <c r="H20" s="131"/>
      <c r="I20" s="131"/>
      <c r="J20" s="146"/>
      <c r="K20" s="347"/>
      <c r="L20" s="348"/>
      <c r="M20" s="349"/>
    </row>
    <row r="21" spans="1:13" s="128" customFormat="1">
      <c r="A21" s="131" t="str">
        <f t="shared" si="2"/>
        <v xml:space="preserve"> </v>
      </c>
      <c r="B21" s="140"/>
      <c r="C21" s="133"/>
      <c r="D21" s="134"/>
      <c r="E21" s="135"/>
      <c r="F21" s="136"/>
      <c r="G21" s="142"/>
      <c r="H21" s="131"/>
      <c r="I21" s="131"/>
      <c r="J21" s="146"/>
      <c r="K21" s="347"/>
      <c r="L21" s="348"/>
      <c r="M21" s="349"/>
    </row>
    <row r="22" spans="1:13">
      <c r="A22" s="131" t="str">
        <f t="shared" si="2"/>
        <v xml:space="preserve"> </v>
      </c>
      <c r="B22" s="137"/>
      <c r="C22" s="133"/>
      <c r="D22" s="134"/>
      <c r="E22" s="135"/>
      <c r="F22" s="136"/>
      <c r="G22" s="142"/>
      <c r="H22" s="131"/>
      <c r="I22" s="131"/>
      <c r="J22" s="146"/>
      <c r="K22" s="133"/>
      <c r="L22" s="149"/>
      <c r="M22" s="150"/>
    </row>
    <row r="23" spans="1:13">
      <c r="A23" s="131" t="str">
        <f t="shared" si="2"/>
        <v xml:space="preserve"> </v>
      </c>
      <c r="B23" s="132"/>
      <c r="C23" s="133"/>
      <c r="D23" s="134"/>
      <c r="E23" s="135"/>
      <c r="F23" s="136"/>
      <c r="G23" s="142"/>
      <c r="H23" s="131"/>
      <c r="I23" s="131"/>
      <c r="J23" s="146"/>
      <c r="K23" s="133"/>
      <c r="L23" s="149"/>
      <c r="M23" s="150"/>
    </row>
    <row r="24" spans="1:13">
      <c r="A24" s="131" t="str">
        <f t="shared" si="2"/>
        <v xml:space="preserve"> </v>
      </c>
      <c r="B24" s="132"/>
      <c r="C24" s="133"/>
      <c r="D24" s="134"/>
      <c r="E24" s="135"/>
      <c r="F24" s="136"/>
      <c r="G24" s="142"/>
      <c r="H24" s="131"/>
      <c r="I24" s="131"/>
      <c r="J24" s="146"/>
      <c r="K24" s="133"/>
      <c r="L24" s="149"/>
      <c r="M24" s="150"/>
    </row>
    <row r="25" spans="1:13">
      <c r="A25" s="131" t="str">
        <f t="shared" si="2"/>
        <v xml:space="preserve"> </v>
      </c>
      <c r="B25" s="132"/>
      <c r="C25" s="133"/>
      <c r="D25" s="134"/>
      <c r="E25" s="135"/>
      <c r="F25" s="136"/>
      <c r="G25" s="142"/>
      <c r="H25" s="131"/>
      <c r="I25" s="131"/>
      <c r="J25" s="146"/>
      <c r="K25" s="133"/>
      <c r="L25" s="149"/>
      <c r="M25" s="150"/>
    </row>
    <row r="26" spans="1:13">
      <c r="A26" s="131" t="str">
        <f t="shared" si="2"/>
        <v xml:space="preserve"> </v>
      </c>
      <c r="B26" s="137"/>
      <c r="C26" s="133"/>
      <c r="D26" s="134"/>
      <c r="E26" s="135"/>
      <c r="F26" s="136"/>
      <c r="G26" s="142"/>
      <c r="H26" s="131"/>
      <c r="I26" s="131"/>
      <c r="J26" s="146"/>
      <c r="K26" s="133"/>
      <c r="L26" s="149"/>
      <c r="M26" s="150"/>
    </row>
    <row r="27" spans="1:13">
      <c r="A27" s="131" t="str">
        <f t="shared" si="2"/>
        <v xml:space="preserve"> </v>
      </c>
      <c r="B27" s="140"/>
      <c r="C27" s="133"/>
      <c r="D27" s="134"/>
      <c r="E27" s="135"/>
      <c r="F27" s="136"/>
      <c r="G27" s="142"/>
      <c r="H27" s="131"/>
      <c r="I27" s="131"/>
      <c r="J27" s="146"/>
      <c r="K27" s="133"/>
      <c r="L27" s="149"/>
      <c r="M27" s="150"/>
    </row>
    <row r="28" spans="1:13">
      <c r="A28" s="131" t="str">
        <f t="shared" si="2"/>
        <v xml:space="preserve"> </v>
      </c>
      <c r="B28" s="20"/>
      <c r="C28" s="133"/>
      <c r="D28" s="134"/>
      <c r="E28" s="135"/>
      <c r="F28" s="136"/>
      <c r="G28" s="142"/>
      <c r="H28" s="131"/>
      <c r="I28" s="131"/>
      <c r="J28" s="146"/>
      <c r="K28" s="133"/>
      <c r="L28" s="149"/>
      <c r="M28" s="150"/>
    </row>
    <row r="29" spans="1:13">
      <c r="A29" s="131" t="str">
        <f t="shared" si="2"/>
        <v xml:space="preserve"> </v>
      </c>
      <c r="B29" s="140"/>
      <c r="C29" s="133"/>
      <c r="D29" s="134"/>
      <c r="E29" s="135"/>
      <c r="F29" s="136"/>
      <c r="G29" s="142"/>
      <c r="H29" s="131"/>
      <c r="I29" s="131"/>
      <c r="J29" s="146"/>
      <c r="K29" s="133"/>
      <c r="L29" s="149"/>
      <c r="M29" s="150"/>
    </row>
    <row r="30" spans="1:13">
      <c r="A30" s="131" t="str">
        <f t="shared" si="2"/>
        <v xml:space="preserve"> </v>
      </c>
      <c r="B30" s="140"/>
      <c r="C30" s="133"/>
      <c r="D30" s="134"/>
      <c r="E30" s="135"/>
      <c r="F30" s="136"/>
      <c r="G30" s="142"/>
      <c r="H30" s="131"/>
      <c r="I30" s="131"/>
      <c r="J30" s="146"/>
      <c r="K30" s="133"/>
      <c r="L30" s="149"/>
      <c r="M30" s="150"/>
    </row>
    <row r="31" spans="1:13">
      <c r="A31" s="131" t="str">
        <f t="shared" si="2"/>
        <v xml:space="preserve"> </v>
      </c>
      <c r="B31" s="137"/>
      <c r="C31" s="133"/>
      <c r="D31" s="134"/>
      <c r="E31" s="135"/>
      <c r="F31" s="136"/>
      <c r="G31" s="142"/>
      <c r="H31" s="131"/>
      <c r="I31" s="131"/>
      <c r="J31" s="146"/>
      <c r="K31" s="133"/>
      <c r="L31" s="149"/>
      <c r="M31" s="150"/>
    </row>
    <row r="32" spans="1:13">
      <c r="A32" s="131" t="str">
        <f t="shared" si="2"/>
        <v xml:space="preserve"> </v>
      </c>
      <c r="B32" s="141"/>
      <c r="C32" s="133"/>
      <c r="D32" s="134"/>
      <c r="E32" s="135"/>
      <c r="F32" s="136"/>
      <c r="G32" s="142"/>
      <c r="H32" s="131"/>
      <c r="I32" s="131"/>
      <c r="J32" s="146"/>
      <c r="K32" s="133"/>
      <c r="L32" s="149"/>
      <c r="M32" s="150"/>
    </row>
    <row r="33" spans="1:13">
      <c r="A33" s="131" t="str">
        <f t="shared" si="2"/>
        <v xml:space="preserve"> </v>
      </c>
      <c r="B33" s="141"/>
      <c r="C33" s="133"/>
      <c r="D33" s="134"/>
      <c r="E33" s="135"/>
      <c r="F33" s="136"/>
      <c r="G33" s="142"/>
      <c r="H33" s="131"/>
      <c r="I33" s="131"/>
      <c r="J33" s="146"/>
      <c r="K33" s="133"/>
      <c r="L33" s="149"/>
      <c r="M33" s="150"/>
    </row>
    <row r="34" spans="1:13">
      <c r="A34" s="131" t="str">
        <f t="shared" si="2"/>
        <v xml:space="preserve"> </v>
      </c>
      <c r="B34" s="141"/>
      <c r="C34" s="133"/>
      <c r="D34" s="134"/>
      <c r="E34" s="135"/>
      <c r="F34" s="136"/>
      <c r="G34" s="142"/>
      <c r="H34" s="131"/>
      <c r="I34" s="131"/>
      <c r="J34" s="146"/>
      <c r="K34" s="133"/>
      <c r="L34" s="149"/>
      <c r="M34" s="150"/>
    </row>
    <row r="35" spans="1:13">
      <c r="A35" s="131" t="str">
        <f t="shared" si="2"/>
        <v xml:space="preserve"> </v>
      </c>
      <c r="B35" s="141"/>
      <c r="C35" s="133"/>
      <c r="D35" s="134"/>
      <c r="E35" s="135"/>
      <c r="F35" s="136"/>
      <c r="G35" s="142"/>
      <c r="H35" s="131"/>
      <c r="I35" s="131"/>
      <c r="J35" s="146"/>
      <c r="K35" s="133"/>
      <c r="L35" s="149"/>
      <c r="M35" s="150"/>
    </row>
    <row r="36" spans="1:13">
      <c r="A36" s="131" t="str">
        <f t="shared" si="2"/>
        <v xml:space="preserve"> </v>
      </c>
      <c r="B36" s="141"/>
      <c r="C36" s="133"/>
      <c r="D36" s="134"/>
      <c r="E36" s="135"/>
      <c r="F36" s="136"/>
      <c r="G36" s="142"/>
      <c r="H36" s="131"/>
      <c r="I36" s="131"/>
      <c r="J36" s="146"/>
      <c r="K36" s="133"/>
      <c r="L36" s="149"/>
      <c r="M36" s="150"/>
    </row>
    <row r="37" spans="1:13">
      <c r="A37" s="131" t="str">
        <f t="shared" si="2"/>
        <v xml:space="preserve"> </v>
      </c>
      <c r="B37" s="141"/>
      <c r="C37" s="133"/>
      <c r="D37" s="134"/>
      <c r="E37" s="135"/>
      <c r="F37" s="136"/>
      <c r="G37" s="142"/>
      <c r="H37" s="131"/>
      <c r="I37" s="131"/>
      <c r="J37" s="146"/>
      <c r="K37" s="133"/>
      <c r="L37" s="149"/>
      <c r="M37" s="150"/>
    </row>
    <row r="38" spans="1:13">
      <c r="A38" s="131" t="str">
        <f t="shared" si="2"/>
        <v xml:space="preserve"> </v>
      </c>
      <c r="B38" s="141"/>
      <c r="C38" s="133"/>
      <c r="D38" s="134"/>
      <c r="E38" s="135"/>
      <c r="F38" s="136"/>
      <c r="G38" s="142"/>
      <c r="H38" s="131"/>
      <c r="I38" s="131"/>
      <c r="J38" s="146"/>
      <c r="K38" s="133"/>
      <c r="L38" s="149"/>
      <c r="M38" s="150"/>
    </row>
    <row r="39" spans="1:13">
      <c r="A39" s="131" t="str">
        <f t="shared" ref="A39:A74" si="3">IF(B39=""," ",A38+1)</f>
        <v xml:space="preserve"> </v>
      </c>
      <c r="B39" s="141"/>
      <c r="C39" s="133"/>
      <c r="D39" s="134"/>
      <c r="E39" s="135"/>
      <c r="F39" s="136"/>
      <c r="G39" s="142"/>
      <c r="H39" s="131"/>
      <c r="I39" s="131"/>
      <c r="J39" s="146"/>
      <c r="K39" s="133"/>
      <c r="L39" s="149"/>
      <c r="M39" s="150"/>
    </row>
    <row r="40" spans="1:13">
      <c r="A40" s="131" t="str">
        <f t="shared" si="3"/>
        <v xml:space="preserve"> </v>
      </c>
      <c r="B40" s="141"/>
      <c r="C40" s="133"/>
      <c r="D40" s="134"/>
      <c r="E40" s="135"/>
      <c r="F40" s="136"/>
      <c r="G40" s="142"/>
      <c r="H40" s="131"/>
      <c r="I40" s="131"/>
      <c r="J40" s="146"/>
      <c r="K40" s="133"/>
      <c r="L40" s="149"/>
      <c r="M40" s="150"/>
    </row>
    <row r="41" spans="1:13">
      <c r="A41" s="131" t="str">
        <f t="shared" si="3"/>
        <v xml:space="preserve"> </v>
      </c>
      <c r="B41" s="141"/>
      <c r="C41" s="133"/>
      <c r="D41" s="134"/>
      <c r="E41" s="135"/>
      <c r="F41" s="136"/>
      <c r="G41" s="142"/>
      <c r="H41" s="131"/>
      <c r="I41" s="131"/>
      <c r="J41" s="146"/>
      <c r="K41" s="133"/>
      <c r="L41" s="149"/>
      <c r="M41" s="150"/>
    </row>
    <row r="42" spans="1:13">
      <c r="A42" s="131" t="str">
        <f t="shared" si="3"/>
        <v xml:space="preserve"> </v>
      </c>
      <c r="B42" s="141"/>
      <c r="C42" s="133"/>
      <c r="D42" s="134"/>
      <c r="E42" s="135"/>
      <c r="F42" s="136"/>
      <c r="G42" s="142"/>
      <c r="H42" s="131"/>
      <c r="I42" s="131"/>
      <c r="J42" s="146"/>
      <c r="K42" s="133"/>
      <c r="L42" s="149"/>
      <c r="M42" s="150"/>
    </row>
    <row r="43" spans="1:13">
      <c r="A43" s="131" t="str">
        <f t="shared" si="3"/>
        <v xml:space="preserve"> </v>
      </c>
      <c r="B43" s="141"/>
      <c r="C43" s="133"/>
      <c r="D43" s="134"/>
      <c r="E43" s="135"/>
      <c r="F43" s="136"/>
      <c r="G43" s="142"/>
      <c r="H43" s="131"/>
      <c r="I43" s="131"/>
      <c r="J43" s="146"/>
      <c r="K43" s="133"/>
      <c r="L43" s="149"/>
      <c r="M43" s="150"/>
    </row>
    <row r="44" spans="1:13">
      <c r="A44" s="131" t="str">
        <f t="shared" si="3"/>
        <v xml:space="preserve"> </v>
      </c>
      <c r="B44" s="141"/>
      <c r="C44" s="133"/>
      <c r="D44" s="134"/>
      <c r="E44" s="135"/>
      <c r="F44" s="136"/>
      <c r="G44" s="142"/>
      <c r="H44" s="131"/>
      <c r="I44" s="131"/>
      <c r="J44" s="146"/>
      <c r="K44" s="133"/>
      <c r="L44" s="149"/>
      <c r="M44" s="150"/>
    </row>
    <row r="45" spans="1:13">
      <c r="A45" s="131" t="str">
        <f t="shared" si="3"/>
        <v xml:space="preserve"> </v>
      </c>
      <c r="B45" s="141"/>
      <c r="C45" s="133"/>
      <c r="D45" s="134"/>
      <c r="E45" s="135"/>
      <c r="F45" s="136"/>
      <c r="G45" s="142"/>
      <c r="H45" s="131"/>
      <c r="I45" s="131"/>
      <c r="J45" s="146"/>
      <c r="K45" s="133"/>
      <c r="L45" s="149"/>
      <c r="M45" s="150"/>
    </row>
    <row r="46" spans="1:13">
      <c r="A46" s="131" t="str">
        <f t="shared" si="3"/>
        <v xml:space="preserve"> </v>
      </c>
      <c r="B46" s="141"/>
      <c r="C46" s="133"/>
      <c r="D46" s="134"/>
      <c r="E46" s="135"/>
      <c r="F46" s="136"/>
      <c r="G46" s="142"/>
      <c r="H46" s="131"/>
      <c r="I46" s="131"/>
      <c r="J46" s="146"/>
      <c r="K46" s="133"/>
      <c r="L46" s="149"/>
      <c r="M46" s="150"/>
    </row>
    <row r="47" spans="1:13">
      <c r="A47" s="131" t="str">
        <f t="shared" si="3"/>
        <v xml:space="preserve"> </v>
      </c>
      <c r="B47" s="141"/>
      <c r="C47" s="133"/>
      <c r="D47" s="134"/>
      <c r="E47" s="135"/>
      <c r="F47" s="136"/>
      <c r="G47" s="142"/>
      <c r="H47" s="131"/>
      <c r="I47" s="131"/>
      <c r="J47" s="146"/>
      <c r="K47" s="133"/>
      <c r="L47" s="149"/>
      <c r="M47" s="150"/>
    </row>
    <row r="48" spans="1:13">
      <c r="A48" s="131" t="str">
        <f t="shared" si="3"/>
        <v xml:space="preserve"> </v>
      </c>
      <c r="B48" s="141"/>
      <c r="C48" s="133"/>
      <c r="D48" s="134"/>
      <c r="E48" s="135"/>
      <c r="F48" s="136"/>
      <c r="G48" s="142"/>
      <c r="H48" s="131"/>
      <c r="I48" s="131"/>
      <c r="J48" s="146"/>
      <c r="K48" s="133"/>
      <c r="L48" s="149"/>
      <c r="M48" s="150"/>
    </row>
    <row r="49" spans="1:16">
      <c r="A49" s="131" t="str">
        <f t="shared" si="3"/>
        <v xml:space="preserve"> </v>
      </c>
      <c r="B49" s="141"/>
      <c r="C49" s="133"/>
      <c r="D49" s="134"/>
      <c r="E49" s="135"/>
      <c r="F49" s="136"/>
      <c r="G49" s="142"/>
      <c r="H49" s="131"/>
      <c r="I49" s="131"/>
      <c r="J49" s="146"/>
      <c r="K49" s="133"/>
      <c r="L49" s="149"/>
      <c r="M49" s="150"/>
    </row>
    <row r="50" spans="1:16">
      <c r="A50" s="131" t="str">
        <f t="shared" si="3"/>
        <v xml:space="preserve"> </v>
      </c>
      <c r="B50" s="141"/>
      <c r="C50" s="133"/>
      <c r="D50" s="134"/>
      <c r="E50" s="135"/>
      <c r="F50" s="136"/>
      <c r="G50" s="142"/>
      <c r="H50" s="131"/>
      <c r="I50" s="131"/>
      <c r="J50" s="146"/>
      <c r="K50" s="133"/>
      <c r="L50" s="149"/>
      <c r="M50" s="150"/>
    </row>
    <row r="51" spans="1:16">
      <c r="A51" s="131" t="str">
        <f t="shared" si="3"/>
        <v xml:space="preserve"> </v>
      </c>
      <c r="B51" s="132"/>
      <c r="C51" s="133"/>
      <c r="D51" s="134"/>
      <c r="E51" s="135"/>
      <c r="F51" s="136"/>
      <c r="G51" s="142"/>
      <c r="H51" s="131"/>
      <c r="I51" s="131"/>
      <c r="J51" s="146"/>
      <c r="K51" s="133"/>
      <c r="L51" s="149"/>
      <c r="M51" s="150"/>
    </row>
    <row r="52" spans="1:16" s="128" customFormat="1">
      <c r="A52" s="131" t="str">
        <f t="shared" si="3"/>
        <v xml:space="preserve"> </v>
      </c>
      <c r="B52" s="132"/>
      <c r="C52" s="143"/>
      <c r="D52" s="144"/>
      <c r="E52" s="135"/>
      <c r="F52" s="136"/>
      <c r="G52" s="142"/>
      <c r="H52" s="131"/>
      <c r="I52" s="131"/>
      <c r="J52" s="146"/>
      <c r="K52" s="350"/>
      <c r="L52" s="351"/>
      <c r="M52" s="352"/>
      <c r="P52" s="128" t="s">
        <v>195</v>
      </c>
    </row>
    <row r="53" spans="1:16" s="128" customFormat="1">
      <c r="A53" s="131" t="str">
        <f t="shared" si="3"/>
        <v xml:space="preserve"> </v>
      </c>
      <c r="B53" s="137"/>
      <c r="C53" s="143"/>
      <c r="D53" s="144"/>
      <c r="E53" s="135"/>
      <c r="F53" s="136"/>
      <c r="G53" s="142"/>
      <c r="H53" s="131"/>
      <c r="I53" s="131"/>
      <c r="J53" s="146"/>
      <c r="K53" s="350"/>
      <c r="L53" s="351"/>
      <c r="M53" s="352"/>
    </row>
    <row r="54" spans="1:16" s="128" customFormat="1">
      <c r="A54" s="131" t="str">
        <f t="shared" si="3"/>
        <v xml:space="preserve"> </v>
      </c>
      <c r="B54" s="140"/>
      <c r="C54" s="145"/>
      <c r="D54" s="134"/>
      <c r="E54" s="135"/>
      <c r="F54" s="136"/>
      <c r="G54" s="142"/>
      <c r="H54" s="131"/>
      <c r="I54" s="131"/>
      <c r="J54" s="146"/>
      <c r="K54" s="347"/>
      <c r="L54" s="348"/>
      <c r="M54" s="349"/>
    </row>
    <row r="55" spans="1:16" s="128" customFormat="1">
      <c r="A55" s="131" t="str">
        <f t="shared" si="3"/>
        <v xml:space="preserve"> </v>
      </c>
      <c r="B55" s="20"/>
      <c r="C55" s="143"/>
      <c r="D55" s="144"/>
      <c r="E55" s="135"/>
      <c r="F55" s="136"/>
      <c r="G55" s="142"/>
      <c r="H55" s="131"/>
      <c r="I55" s="131"/>
      <c r="J55" s="146"/>
      <c r="K55" s="350"/>
      <c r="L55" s="351"/>
      <c r="M55" s="352"/>
    </row>
    <row r="56" spans="1:16" s="128" customFormat="1">
      <c r="A56" s="131" t="str">
        <f t="shared" si="3"/>
        <v xml:space="preserve"> </v>
      </c>
      <c r="B56" s="140"/>
      <c r="C56" s="133"/>
      <c r="D56" s="134"/>
      <c r="E56" s="135"/>
      <c r="F56" s="136"/>
      <c r="G56" s="142"/>
      <c r="H56" s="131"/>
      <c r="I56" s="131"/>
      <c r="J56" s="146"/>
      <c r="K56" s="347"/>
      <c r="L56" s="348"/>
      <c r="M56" s="349"/>
    </row>
    <row r="57" spans="1:16" s="128" customFormat="1">
      <c r="A57" s="131" t="str">
        <f t="shared" si="3"/>
        <v xml:space="preserve"> </v>
      </c>
      <c r="B57" s="140"/>
      <c r="C57" s="133"/>
      <c r="D57" s="134"/>
      <c r="E57" s="135"/>
      <c r="F57" s="136"/>
      <c r="G57" s="142"/>
      <c r="H57" s="131"/>
      <c r="I57" s="131"/>
      <c r="J57" s="146"/>
      <c r="K57" s="347"/>
      <c r="L57" s="348"/>
      <c r="M57" s="349"/>
    </row>
    <row r="58" spans="1:16">
      <c r="A58" s="131" t="str">
        <f t="shared" si="3"/>
        <v xml:space="preserve"> </v>
      </c>
      <c r="B58" s="137"/>
      <c r="C58" s="133"/>
      <c r="D58" s="134"/>
      <c r="E58" s="135"/>
      <c r="F58" s="136"/>
      <c r="G58" s="142"/>
      <c r="H58" s="131"/>
      <c r="I58" s="131"/>
      <c r="J58" s="146"/>
      <c r="K58" s="133"/>
      <c r="L58" s="149"/>
      <c r="M58" s="150"/>
    </row>
    <row r="59" spans="1:16">
      <c r="A59" s="131" t="str">
        <f t="shared" si="3"/>
        <v xml:space="preserve"> </v>
      </c>
      <c r="B59" s="132"/>
      <c r="C59" s="133"/>
      <c r="D59" s="134"/>
      <c r="E59" s="135"/>
      <c r="F59" s="136"/>
      <c r="G59" s="142"/>
      <c r="H59" s="131"/>
      <c r="I59" s="131"/>
      <c r="J59" s="146"/>
      <c r="K59" s="133"/>
      <c r="L59" s="149"/>
      <c r="M59" s="150"/>
    </row>
    <row r="60" spans="1:16">
      <c r="A60" s="131" t="str">
        <f t="shared" si="3"/>
        <v xml:space="preserve"> </v>
      </c>
      <c r="B60" s="132"/>
      <c r="C60" s="133"/>
      <c r="D60" s="134"/>
      <c r="E60" s="135"/>
      <c r="F60" s="136"/>
      <c r="G60" s="142"/>
      <c r="H60" s="131"/>
      <c r="I60" s="131"/>
      <c r="J60" s="146"/>
      <c r="K60" s="133"/>
      <c r="L60" s="149"/>
      <c r="M60" s="150"/>
    </row>
    <row r="61" spans="1:16">
      <c r="A61" s="131" t="str">
        <f t="shared" si="3"/>
        <v xml:space="preserve"> </v>
      </c>
      <c r="B61" s="132"/>
      <c r="C61" s="133"/>
      <c r="D61" s="134"/>
      <c r="E61" s="135"/>
      <c r="F61" s="136"/>
      <c r="G61" s="142"/>
      <c r="H61" s="131"/>
      <c r="I61" s="131"/>
      <c r="J61" s="146"/>
      <c r="K61" s="133"/>
      <c r="L61" s="149"/>
      <c r="M61" s="150"/>
    </row>
    <row r="62" spans="1:16">
      <c r="A62" s="131" t="str">
        <f t="shared" si="3"/>
        <v xml:space="preserve"> </v>
      </c>
      <c r="B62" s="137"/>
      <c r="C62" s="133"/>
      <c r="D62" s="134"/>
      <c r="E62" s="135"/>
      <c r="F62" s="136"/>
      <c r="G62" s="142"/>
      <c r="H62" s="131"/>
      <c r="I62" s="131"/>
      <c r="J62" s="146"/>
      <c r="K62" s="133"/>
      <c r="L62" s="149"/>
      <c r="M62" s="150"/>
    </row>
    <row r="63" spans="1:16">
      <c r="A63" s="131" t="str">
        <f t="shared" si="3"/>
        <v xml:space="preserve"> </v>
      </c>
      <c r="B63" s="140"/>
      <c r="C63" s="133"/>
      <c r="D63" s="134"/>
      <c r="E63" s="135"/>
      <c r="F63" s="136"/>
      <c r="G63" s="142"/>
      <c r="H63" s="131"/>
      <c r="I63" s="131"/>
      <c r="J63" s="146"/>
      <c r="K63" s="133"/>
      <c r="L63" s="149"/>
      <c r="M63" s="150"/>
    </row>
    <row r="64" spans="1:16">
      <c r="A64" s="131" t="str">
        <f t="shared" si="3"/>
        <v xml:space="preserve"> </v>
      </c>
      <c r="B64" s="20"/>
      <c r="C64" s="133"/>
      <c r="D64" s="134"/>
      <c r="E64" s="135"/>
      <c r="F64" s="136"/>
      <c r="G64" s="142"/>
      <c r="H64" s="131"/>
      <c r="I64" s="131"/>
      <c r="J64" s="146"/>
      <c r="K64" s="133"/>
      <c r="L64" s="149"/>
      <c r="M64" s="150"/>
    </row>
    <row r="65" spans="1:13">
      <c r="A65" s="131" t="str">
        <f t="shared" si="3"/>
        <v xml:space="preserve"> </v>
      </c>
      <c r="B65" s="140"/>
      <c r="C65" s="133"/>
      <c r="D65" s="134"/>
      <c r="E65" s="135"/>
      <c r="F65" s="136"/>
      <c r="G65" s="142"/>
      <c r="H65" s="131"/>
      <c r="I65" s="131"/>
      <c r="J65" s="146"/>
      <c r="K65" s="133"/>
      <c r="L65" s="149"/>
      <c r="M65" s="150"/>
    </row>
    <row r="66" spans="1:13">
      <c r="A66" s="131" t="str">
        <f t="shared" si="3"/>
        <v xml:space="preserve"> </v>
      </c>
      <c r="B66" s="140"/>
      <c r="C66" s="133"/>
      <c r="D66" s="134"/>
      <c r="E66" s="135"/>
      <c r="F66" s="136"/>
      <c r="G66" s="142"/>
      <c r="H66" s="131"/>
      <c r="I66" s="131"/>
      <c r="J66" s="146"/>
      <c r="K66" s="133"/>
      <c r="L66" s="149"/>
      <c r="M66" s="150"/>
    </row>
    <row r="67" spans="1:13">
      <c r="A67" s="131" t="str">
        <f t="shared" si="3"/>
        <v xml:space="preserve"> </v>
      </c>
      <c r="B67" s="137"/>
      <c r="C67" s="133"/>
      <c r="D67" s="134"/>
      <c r="E67" s="135"/>
      <c r="F67" s="136"/>
      <c r="G67" s="142"/>
      <c r="H67" s="131"/>
      <c r="I67" s="131"/>
      <c r="J67" s="146"/>
      <c r="K67" s="133"/>
      <c r="L67" s="149"/>
      <c r="M67" s="150"/>
    </row>
    <row r="68" spans="1:13">
      <c r="A68" s="131" t="str">
        <f t="shared" si="3"/>
        <v xml:space="preserve"> </v>
      </c>
      <c r="B68" s="141"/>
      <c r="C68" s="133"/>
      <c r="D68" s="134"/>
      <c r="E68" s="135"/>
      <c r="F68" s="136"/>
      <c r="G68" s="142"/>
      <c r="H68" s="131"/>
      <c r="I68" s="131"/>
      <c r="J68" s="146"/>
      <c r="K68" s="133"/>
      <c r="L68" s="149"/>
      <c r="M68" s="150"/>
    </row>
    <row r="69" spans="1:13">
      <c r="A69" s="131" t="str">
        <f t="shared" si="3"/>
        <v xml:space="preserve"> </v>
      </c>
      <c r="B69" s="141"/>
      <c r="C69" s="133"/>
      <c r="D69" s="134"/>
      <c r="E69" s="135"/>
      <c r="F69" s="136"/>
      <c r="G69" s="142"/>
      <c r="H69" s="131"/>
      <c r="I69" s="131"/>
      <c r="J69" s="146"/>
      <c r="K69" s="133"/>
      <c r="L69" s="149"/>
      <c r="M69" s="150"/>
    </row>
    <row r="70" spans="1:13">
      <c r="A70" s="131" t="str">
        <f t="shared" si="3"/>
        <v xml:space="preserve"> </v>
      </c>
      <c r="B70" s="141"/>
      <c r="C70" s="133"/>
      <c r="D70" s="134"/>
      <c r="E70" s="135"/>
      <c r="F70" s="136"/>
      <c r="G70" s="142"/>
      <c r="H70" s="131"/>
      <c r="I70" s="131"/>
      <c r="J70" s="146"/>
      <c r="K70" s="133"/>
      <c r="L70" s="149"/>
      <c r="M70" s="150"/>
    </row>
    <row r="71" spans="1:13">
      <c r="A71" s="131" t="str">
        <f t="shared" si="3"/>
        <v xml:space="preserve"> </v>
      </c>
      <c r="B71" s="141"/>
      <c r="C71" s="133"/>
      <c r="D71" s="134"/>
      <c r="E71" s="135"/>
      <c r="F71" s="136"/>
      <c r="G71" s="142"/>
      <c r="H71" s="131"/>
      <c r="I71" s="131"/>
      <c r="J71" s="146"/>
      <c r="K71" s="133"/>
      <c r="L71" s="149"/>
      <c r="M71" s="150"/>
    </row>
    <row r="72" spans="1:13">
      <c r="A72" s="131" t="str">
        <f t="shared" si="3"/>
        <v xml:space="preserve"> </v>
      </c>
      <c r="B72" s="141"/>
      <c r="C72" s="133"/>
      <c r="D72" s="134"/>
      <c r="E72" s="135"/>
      <c r="F72" s="136"/>
      <c r="G72" s="142"/>
      <c r="H72" s="131"/>
      <c r="I72" s="131"/>
      <c r="J72" s="146"/>
      <c r="K72" s="133"/>
      <c r="L72" s="149"/>
      <c r="M72" s="150"/>
    </row>
    <row r="73" spans="1:13">
      <c r="A73" s="131" t="str">
        <f t="shared" si="3"/>
        <v xml:space="preserve"> </v>
      </c>
      <c r="B73" s="141"/>
      <c r="C73" s="133"/>
      <c r="D73" s="134"/>
      <c r="E73" s="135"/>
      <c r="F73" s="136"/>
      <c r="G73" s="142"/>
      <c r="H73" s="131"/>
      <c r="I73" s="131"/>
      <c r="J73" s="146"/>
      <c r="K73" s="133"/>
      <c r="L73" s="149"/>
      <c r="M73" s="150"/>
    </row>
    <row r="74" spans="1:13">
      <c r="A74" s="131" t="str">
        <f t="shared" si="3"/>
        <v xml:space="preserve"> </v>
      </c>
      <c r="B74" s="141"/>
      <c r="C74" s="133"/>
      <c r="D74" s="134"/>
      <c r="E74" s="135"/>
      <c r="F74" s="136"/>
      <c r="G74" s="142"/>
      <c r="H74" s="131"/>
      <c r="I74" s="131"/>
      <c r="J74" s="146"/>
      <c r="K74" s="133"/>
      <c r="L74" s="149"/>
      <c r="M74" s="150"/>
    </row>
    <row r="75" spans="1:13">
      <c r="A75" s="131" t="str">
        <f t="shared" ref="A75:A100" si="4">IF(B75=""," ",A74+1)</f>
        <v xml:space="preserve"> </v>
      </c>
      <c r="B75" s="141"/>
      <c r="C75" s="133"/>
      <c r="D75" s="134"/>
      <c r="E75" s="135"/>
      <c r="F75" s="136"/>
      <c r="G75" s="142"/>
      <c r="H75" s="131"/>
      <c r="I75" s="131"/>
      <c r="J75" s="146"/>
      <c r="K75" s="133"/>
      <c r="L75" s="149"/>
      <c r="M75" s="150"/>
    </row>
    <row r="76" spans="1:13">
      <c r="A76" s="131" t="str">
        <f t="shared" si="4"/>
        <v xml:space="preserve"> </v>
      </c>
      <c r="B76" s="141"/>
      <c r="C76" s="133"/>
      <c r="D76" s="134"/>
      <c r="E76" s="135"/>
      <c r="F76" s="136"/>
      <c r="G76" s="142"/>
      <c r="H76" s="131"/>
      <c r="I76" s="131"/>
      <c r="J76" s="146"/>
      <c r="K76" s="133"/>
      <c r="L76" s="149"/>
      <c r="M76" s="150"/>
    </row>
    <row r="77" spans="1:13">
      <c r="A77" s="131" t="str">
        <f t="shared" si="4"/>
        <v xml:space="preserve"> </v>
      </c>
      <c r="B77" s="141"/>
      <c r="C77" s="133"/>
      <c r="D77" s="134"/>
      <c r="E77" s="135"/>
      <c r="F77" s="136"/>
      <c r="G77" s="142"/>
      <c r="H77" s="131"/>
      <c r="I77" s="131"/>
      <c r="J77" s="146"/>
      <c r="K77" s="133"/>
      <c r="L77" s="149"/>
      <c r="M77" s="150"/>
    </row>
    <row r="78" spans="1:13">
      <c r="A78" s="131" t="str">
        <f t="shared" si="4"/>
        <v xml:space="preserve"> </v>
      </c>
      <c r="B78" s="141"/>
      <c r="C78" s="133"/>
      <c r="D78" s="134"/>
      <c r="E78" s="135"/>
      <c r="F78" s="136"/>
      <c r="G78" s="142"/>
      <c r="H78" s="131"/>
      <c r="I78" s="131"/>
      <c r="J78" s="146"/>
      <c r="K78" s="133"/>
      <c r="L78" s="149"/>
      <c r="M78" s="150"/>
    </row>
    <row r="79" spans="1:13">
      <c r="A79" s="131" t="str">
        <f t="shared" si="4"/>
        <v xml:space="preserve"> </v>
      </c>
      <c r="B79" s="141"/>
      <c r="C79" s="133"/>
      <c r="D79" s="134"/>
      <c r="E79" s="135"/>
      <c r="F79" s="136"/>
      <c r="G79" s="142"/>
      <c r="H79" s="131"/>
      <c r="I79" s="131"/>
      <c r="J79" s="146"/>
      <c r="K79" s="133"/>
      <c r="L79" s="149"/>
      <c r="M79" s="150"/>
    </row>
    <row r="80" spans="1:13">
      <c r="A80" s="131" t="str">
        <f t="shared" si="4"/>
        <v xml:space="preserve"> </v>
      </c>
      <c r="B80" s="141"/>
      <c r="C80" s="133"/>
      <c r="D80" s="134"/>
      <c r="E80" s="135"/>
      <c r="F80" s="136"/>
      <c r="G80" s="142"/>
      <c r="H80" s="131"/>
      <c r="I80" s="131"/>
      <c r="J80" s="146"/>
      <c r="K80" s="133"/>
      <c r="L80" s="149"/>
      <c r="M80" s="150"/>
    </row>
    <row r="81" spans="1:16">
      <c r="A81" s="131" t="str">
        <f t="shared" si="4"/>
        <v xml:space="preserve"> </v>
      </c>
      <c r="B81" s="141"/>
      <c r="C81" s="133"/>
      <c r="D81" s="134"/>
      <c r="E81" s="135"/>
      <c r="F81" s="136"/>
      <c r="G81" s="142"/>
      <c r="H81" s="131"/>
      <c r="I81" s="131"/>
      <c r="J81" s="146"/>
      <c r="K81" s="133"/>
      <c r="L81" s="149"/>
      <c r="M81" s="150"/>
    </row>
    <row r="82" spans="1:16">
      <c r="A82" s="131" t="str">
        <f t="shared" si="4"/>
        <v xml:space="preserve"> </v>
      </c>
      <c r="B82" s="141"/>
      <c r="C82" s="133"/>
      <c r="D82" s="134"/>
      <c r="E82" s="135"/>
      <c r="F82" s="136"/>
      <c r="G82" s="142"/>
      <c r="H82" s="131"/>
      <c r="I82" s="131"/>
      <c r="J82" s="146"/>
      <c r="K82" s="133"/>
      <c r="L82" s="149"/>
      <c r="M82" s="150"/>
    </row>
    <row r="83" spans="1:16">
      <c r="A83" s="131" t="str">
        <f t="shared" si="4"/>
        <v xml:space="preserve"> </v>
      </c>
      <c r="B83" s="141"/>
      <c r="C83" s="133"/>
      <c r="D83" s="134"/>
      <c r="E83" s="135"/>
      <c r="F83" s="136"/>
      <c r="G83" s="142"/>
      <c r="H83" s="131"/>
      <c r="I83" s="131"/>
      <c r="J83" s="146"/>
      <c r="K83" s="133"/>
      <c r="L83" s="149"/>
      <c r="M83" s="150"/>
    </row>
    <row r="84" spans="1:16">
      <c r="A84" s="131" t="str">
        <f t="shared" si="4"/>
        <v xml:space="preserve"> </v>
      </c>
      <c r="B84" s="141"/>
      <c r="C84" s="133"/>
      <c r="D84" s="134"/>
      <c r="E84" s="135"/>
      <c r="F84" s="136"/>
      <c r="G84" s="142"/>
      <c r="H84" s="131"/>
      <c r="I84" s="131"/>
      <c r="J84" s="146"/>
      <c r="K84" s="133"/>
      <c r="L84" s="149"/>
      <c r="M84" s="150"/>
    </row>
    <row r="85" spans="1:16">
      <c r="A85" s="131" t="str">
        <f t="shared" si="4"/>
        <v xml:space="preserve"> </v>
      </c>
      <c r="B85" s="141"/>
      <c r="C85" s="133"/>
      <c r="D85" s="134"/>
      <c r="E85" s="135"/>
      <c r="F85" s="136"/>
      <c r="G85" s="142"/>
      <c r="H85" s="131"/>
      <c r="I85" s="131"/>
      <c r="J85" s="146"/>
      <c r="K85" s="133"/>
      <c r="L85" s="149"/>
      <c r="M85" s="150"/>
    </row>
    <row r="86" spans="1:16">
      <c r="A86" s="131" t="str">
        <f t="shared" si="4"/>
        <v xml:space="preserve"> </v>
      </c>
      <c r="B86" s="141"/>
      <c r="C86" s="133"/>
      <c r="D86" s="134"/>
      <c r="E86" s="135"/>
      <c r="F86" s="136"/>
      <c r="G86" s="142"/>
      <c r="H86" s="131"/>
      <c r="I86" s="131"/>
      <c r="J86" s="146"/>
      <c r="K86" s="133"/>
      <c r="L86" s="149"/>
      <c r="M86" s="150"/>
    </row>
    <row r="87" spans="1:16">
      <c r="A87" s="131" t="str">
        <f t="shared" si="4"/>
        <v xml:space="preserve"> </v>
      </c>
      <c r="B87" s="132"/>
      <c r="C87" s="133"/>
      <c r="D87" s="134"/>
      <c r="E87" s="135"/>
      <c r="F87" s="136"/>
      <c r="G87" s="142"/>
      <c r="H87" s="131"/>
      <c r="I87" s="131"/>
      <c r="J87" s="146"/>
      <c r="K87" s="133"/>
      <c r="L87" s="149"/>
      <c r="M87" s="150"/>
    </row>
    <row r="88" spans="1:16" s="128" customFormat="1">
      <c r="A88" s="131" t="str">
        <f t="shared" si="4"/>
        <v xml:space="preserve"> </v>
      </c>
      <c r="B88" s="132"/>
      <c r="C88" s="143"/>
      <c r="D88" s="144"/>
      <c r="E88" s="135"/>
      <c r="F88" s="136"/>
      <c r="G88" s="142"/>
      <c r="H88" s="131"/>
      <c r="I88" s="131"/>
      <c r="J88" s="146"/>
      <c r="K88" s="350"/>
      <c r="L88" s="351"/>
      <c r="M88" s="352"/>
      <c r="P88" s="128" t="s">
        <v>195</v>
      </c>
    </row>
    <row r="89" spans="1:16" s="128" customFormat="1">
      <c r="A89" s="131" t="str">
        <f t="shared" si="4"/>
        <v xml:space="preserve"> </v>
      </c>
      <c r="B89" s="137"/>
      <c r="C89" s="143"/>
      <c r="D89" s="144"/>
      <c r="E89" s="135"/>
      <c r="F89" s="136"/>
      <c r="G89" s="142"/>
      <c r="H89" s="131"/>
      <c r="I89" s="131"/>
      <c r="J89" s="146"/>
      <c r="K89" s="350"/>
      <c r="L89" s="351"/>
      <c r="M89" s="352"/>
    </row>
    <row r="90" spans="1:16" s="128" customFormat="1">
      <c r="A90" s="131" t="str">
        <f t="shared" si="4"/>
        <v xml:space="preserve"> </v>
      </c>
      <c r="B90" s="140"/>
      <c r="C90" s="145"/>
      <c r="D90" s="134"/>
      <c r="E90" s="135"/>
      <c r="F90" s="136"/>
      <c r="G90" s="142"/>
      <c r="H90" s="131"/>
      <c r="I90" s="131"/>
      <c r="J90" s="146"/>
      <c r="K90" s="347"/>
      <c r="L90" s="348"/>
      <c r="M90" s="349"/>
    </row>
    <row r="91" spans="1:16" s="128" customFormat="1">
      <c r="A91" s="131" t="str">
        <f t="shared" si="4"/>
        <v xml:space="preserve"> </v>
      </c>
      <c r="B91" s="20"/>
      <c r="C91" s="143"/>
      <c r="D91" s="144"/>
      <c r="E91" s="135"/>
      <c r="F91" s="136"/>
      <c r="G91" s="142"/>
      <c r="H91" s="131"/>
      <c r="I91" s="131"/>
      <c r="J91" s="146"/>
      <c r="K91" s="350"/>
      <c r="L91" s="351"/>
      <c r="M91" s="352"/>
    </row>
    <row r="92" spans="1:16" s="128" customFormat="1">
      <c r="A92" s="131" t="str">
        <f t="shared" si="4"/>
        <v xml:space="preserve"> </v>
      </c>
      <c r="B92" s="140"/>
      <c r="C92" s="133"/>
      <c r="D92" s="134"/>
      <c r="E92" s="135"/>
      <c r="F92" s="136"/>
      <c r="G92" s="142"/>
      <c r="H92" s="131"/>
      <c r="I92" s="131"/>
      <c r="J92" s="146"/>
      <c r="K92" s="347"/>
      <c r="L92" s="348"/>
      <c r="M92" s="349"/>
    </row>
    <row r="93" spans="1:16" s="128" customFormat="1">
      <c r="A93" s="131" t="str">
        <f t="shared" si="4"/>
        <v xml:space="preserve"> </v>
      </c>
      <c r="B93" s="140"/>
      <c r="C93" s="133"/>
      <c r="D93" s="134"/>
      <c r="E93" s="135"/>
      <c r="F93" s="136"/>
      <c r="G93" s="142"/>
      <c r="H93" s="131"/>
      <c r="I93" s="131"/>
      <c r="J93" s="146"/>
      <c r="K93" s="347"/>
      <c r="L93" s="348"/>
      <c r="M93" s="349"/>
    </row>
    <row r="94" spans="1:16">
      <c r="A94" s="131" t="str">
        <f t="shared" si="4"/>
        <v xml:space="preserve"> </v>
      </c>
      <c r="B94" s="137"/>
      <c r="C94" s="133"/>
      <c r="D94" s="134"/>
      <c r="E94" s="135"/>
      <c r="F94" s="136"/>
      <c r="G94" s="142"/>
      <c r="H94" s="131"/>
      <c r="I94" s="131"/>
      <c r="J94" s="146"/>
      <c r="K94" s="133"/>
      <c r="L94" s="149"/>
      <c r="M94" s="150"/>
    </row>
    <row r="95" spans="1:16">
      <c r="A95" s="131" t="str">
        <f t="shared" si="4"/>
        <v xml:space="preserve"> </v>
      </c>
      <c r="B95" s="132"/>
      <c r="C95" s="133"/>
      <c r="D95" s="134"/>
      <c r="E95" s="135"/>
      <c r="F95" s="136"/>
      <c r="G95" s="142"/>
      <c r="H95" s="131"/>
      <c r="I95" s="131"/>
      <c r="J95" s="146"/>
      <c r="K95" s="133"/>
      <c r="L95" s="149"/>
      <c r="M95" s="150"/>
    </row>
    <row r="96" spans="1:16">
      <c r="A96" s="131" t="str">
        <f t="shared" si="4"/>
        <v xml:space="preserve"> </v>
      </c>
      <c r="B96" s="132"/>
      <c r="C96" s="133"/>
      <c r="D96" s="134"/>
      <c r="E96" s="135"/>
      <c r="F96" s="136"/>
      <c r="G96" s="142"/>
      <c r="H96" s="131"/>
      <c r="I96" s="131"/>
      <c r="J96" s="146"/>
      <c r="K96" s="133"/>
      <c r="L96" s="149"/>
      <c r="M96" s="150"/>
    </row>
    <row r="97" spans="1:13">
      <c r="A97" s="131" t="str">
        <f t="shared" si="4"/>
        <v xml:space="preserve"> </v>
      </c>
      <c r="B97" s="132"/>
      <c r="C97" s="133"/>
      <c r="D97" s="134"/>
      <c r="E97" s="135"/>
      <c r="F97" s="136"/>
      <c r="G97" s="142"/>
      <c r="H97" s="131"/>
      <c r="I97" s="131"/>
      <c r="J97" s="146"/>
      <c r="K97" s="133"/>
      <c r="L97" s="149"/>
      <c r="M97" s="150"/>
    </row>
    <row r="98" spans="1:13">
      <c r="A98" s="131" t="str">
        <f t="shared" si="4"/>
        <v xml:space="preserve"> </v>
      </c>
      <c r="B98" s="137"/>
      <c r="C98" s="133"/>
      <c r="D98" s="134"/>
      <c r="E98" s="135"/>
      <c r="F98" s="136"/>
      <c r="G98" s="142"/>
      <c r="H98" s="131"/>
      <c r="I98" s="131"/>
      <c r="J98" s="146"/>
      <c r="K98" s="133"/>
      <c r="L98" s="149"/>
      <c r="M98" s="150"/>
    </row>
    <row r="99" spans="1:13">
      <c r="A99" s="131" t="str">
        <f t="shared" si="4"/>
        <v xml:space="preserve"> </v>
      </c>
      <c r="B99" s="140"/>
      <c r="C99" s="133"/>
      <c r="D99" s="134"/>
      <c r="E99" s="135"/>
      <c r="F99" s="136"/>
      <c r="G99" s="142"/>
      <c r="H99" s="131"/>
      <c r="I99" s="131"/>
      <c r="J99" s="146"/>
      <c r="K99" s="133"/>
      <c r="L99" s="149"/>
      <c r="M99" s="150"/>
    </row>
    <row r="100" spans="1:13">
      <c r="A100" s="131" t="str">
        <f t="shared" si="4"/>
        <v xml:space="preserve"> </v>
      </c>
      <c r="B100" s="20"/>
      <c r="C100" s="133"/>
      <c r="D100" s="134"/>
      <c r="E100" s="135"/>
      <c r="F100" s="136"/>
      <c r="G100" s="142"/>
      <c r="H100" s="131"/>
      <c r="I100" s="131"/>
      <c r="J100" s="146"/>
      <c r="K100" s="133"/>
      <c r="L100" s="149"/>
      <c r="M100" s="150"/>
    </row>
  </sheetData>
  <mergeCells count="37">
    <mergeCell ref="K91:M91"/>
    <mergeCell ref="K92:M92"/>
    <mergeCell ref="K93:M93"/>
    <mergeCell ref="A5:A6"/>
    <mergeCell ref="K5:M6"/>
    <mergeCell ref="K56:M56"/>
    <mergeCell ref="K57:M57"/>
    <mergeCell ref="K88:M88"/>
    <mergeCell ref="K89:M89"/>
    <mergeCell ref="K90:M90"/>
    <mergeCell ref="K21:M21"/>
    <mergeCell ref="K52:M52"/>
    <mergeCell ref="K53:M53"/>
    <mergeCell ref="K54:M54"/>
    <mergeCell ref="K55:M55"/>
    <mergeCell ref="K16:M16"/>
    <mergeCell ref="K17:M17"/>
    <mergeCell ref="K18:M18"/>
    <mergeCell ref="K19:M19"/>
    <mergeCell ref="K20:M20"/>
    <mergeCell ref="K7:M7"/>
    <mergeCell ref="K10:M10"/>
    <mergeCell ref="K11:M11"/>
    <mergeCell ref="K12:M12"/>
    <mergeCell ref="K13:M13"/>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pageSetUpPr fitToPage="1"/>
  </sheetPr>
  <dimension ref="A1:Q112"/>
  <sheetViews>
    <sheetView showGridLines="0" workbookViewId="0">
      <pane ySplit="6" topLeftCell="A7" activePane="bottomLeft" state="frozen"/>
      <selection pane="bottomLeft" activeCell="B7" sqref="B7:B19"/>
    </sheetView>
  </sheetViews>
  <sheetFormatPr defaultColWidth="9" defaultRowHeight="12"/>
  <cols>
    <col min="1" max="1" width="4.5" style="76" customWidth="1"/>
    <col min="2" max="2" width="28.625" style="75" customWidth="1"/>
    <col min="3" max="3" width="13.375" style="75" customWidth="1"/>
    <col min="4" max="4" width="9.375" style="75" customWidth="1"/>
    <col min="5" max="5" width="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1594</v>
      </c>
      <c r="D3" s="265"/>
      <c r="E3" s="265"/>
      <c r="F3" s="265"/>
      <c r="G3" s="266"/>
      <c r="H3" s="259" t="s">
        <v>140</v>
      </c>
      <c r="I3" s="260"/>
      <c r="J3" s="90">
        <f>COUNT(A7:A100)</f>
        <v>13</v>
      </c>
      <c r="K3" s="78" t="s">
        <v>141</v>
      </c>
      <c r="L3" s="91">
        <v>38729</v>
      </c>
      <c r="M3" s="92" t="s">
        <v>142</v>
      </c>
      <c r="O3" s="75" t="s">
        <v>143</v>
      </c>
      <c r="P3" s="75" t="s">
        <v>144</v>
      </c>
    </row>
    <row r="4" spans="1:16" ht="12" customHeight="1">
      <c r="A4" s="267" t="s">
        <v>145</v>
      </c>
      <c r="B4" s="268"/>
      <c r="C4" s="267" t="s">
        <v>72</v>
      </c>
      <c r="D4" s="269"/>
      <c r="E4" s="269"/>
      <c r="F4" s="269"/>
      <c r="G4" s="268"/>
      <c r="H4" s="259" t="s">
        <v>146</v>
      </c>
      <c r="I4" s="260"/>
      <c r="J4" s="90">
        <f>SUM(G7:G100)</f>
        <v>1186</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1595</v>
      </c>
      <c r="C7" s="84" t="s">
        <v>1596</v>
      </c>
      <c r="D7" s="124" t="s">
        <v>164</v>
      </c>
      <c r="E7" s="85"/>
      <c r="F7" s="86"/>
      <c r="G7" s="87">
        <f t="shared" ref="G7:G18" si="0">IF(D7="DATE",4,IF(D7="CHAR",E7,IF(D7="SMALLINT",2,IF(D7="INTEGER",4,IF(D7="TIMESTAMP",10,IF(D7="TIME",3,0))))))</f>
        <v>4</v>
      </c>
      <c r="H7" s="83" t="s">
        <v>149</v>
      </c>
      <c r="I7" s="83"/>
      <c r="J7" s="83" t="s">
        <v>149</v>
      </c>
      <c r="K7" s="308" t="s">
        <v>1597</v>
      </c>
      <c r="L7" s="278"/>
      <c r="M7" s="279"/>
      <c r="P7" s="75" t="s">
        <v>165</v>
      </c>
    </row>
    <row r="8" spans="1:16" ht="12" customHeight="1">
      <c r="A8" s="83">
        <f t="shared" ref="A8:A20" si="1">IF(B8=""," ",A7+1)</f>
        <v>2</v>
      </c>
      <c r="B8" s="20" t="s">
        <v>1598</v>
      </c>
      <c r="C8" s="84" t="s">
        <v>1599</v>
      </c>
      <c r="D8" s="88" t="s">
        <v>195</v>
      </c>
      <c r="E8" s="85"/>
      <c r="F8" s="86"/>
      <c r="G8" s="87">
        <f t="shared" si="0"/>
        <v>3</v>
      </c>
      <c r="H8" s="83" t="s">
        <v>149</v>
      </c>
      <c r="I8" s="83"/>
      <c r="J8" s="83" t="s">
        <v>149</v>
      </c>
      <c r="K8" s="280" t="s">
        <v>1600</v>
      </c>
      <c r="L8" s="291"/>
      <c r="M8" s="292"/>
    </row>
    <row r="9" spans="1:16" ht="97.5" customHeight="1">
      <c r="A9" s="83">
        <f t="shared" si="1"/>
        <v>3</v>
      </c>
      <c r="B9" s="20" t="s">
        <v>1601</v>
      </c>
      <c r="C9" s="84" t="s">
        <v>1602</v>
      </c>
      <c r="D9" s="88" t="s">
        <v>150</v>
      </c>
      <c r="E9" s="85">
        <v>1</v>
      </c>
      <c r="F9" s="86"/>
      <c r="G9" s="87">
        <f t="shared" si="0"/>
        <v>1</v>
      </c>
      <c r="H9" s="83" t="s">
        <v>149</v>
      </c>
      <c r="I9" s="83"/>
      <c r="J9" s="83" t="s">
        <v>149</v>
      </c>
      <c r="K9" s="280" t="s">
        <v>1603</v>
      </c>
      <c r="L9" s="291"/>
      <c r="M9" s="292"/>
    </row>
    <row r="10" spans="1:16" ht="12" customHeight="1">
      <c r="A10" s="83">
        <f t="shared" si="1"/>
        <v>4</v>
      </c>
      <c r="B10" s="20" t="s">
        <v>1604</v>
      </c>
      <c r="C10" s="84" t="s">
        <v>1605</v>
      </c>
      <c r="D10" s="88" t="s">
        <v>150</v>
      </c>
      <c r="E10" s="85">
        <v>32</v>
      </c>
      <c r="F10" s="86"/>
      <c r="G10" s="87">
        <f t="shared" si="0"/>
        <v>32</v>
      </c>
      <c r="H10" s="83" t="s">
        <v>149</v>
      </c>
      <c r="I10" s="83"/>
      <c r="J10" s="83" t="s">
        <v>149</v>
      </c>
      <c r="K10" s="365"/>
      <c r="L10" s="366"/>
      <c r="M10" s="367"/>
    </row>
    <row r="11" spans="1:16" ht="12" customHeight="1">
      <c r="A11" s="83">
        <f t="shared" si="1"/>
        <v>5</v>
      </c>
      <c r="B11" s="20" t="s">
        <v>1606</v>
      </c>
      <c r="C11" s="84" t="s">
        <v>1607</v>
      </c>
      <c r="D11" s="88" t="s">
        <v>161</v>
      </c>
      <c r="E11" s="85"/>
      <c r="F11" s="86"/>
      <c r="G11" s="87">
        <f t="shared" si="0"/>
        <v>4</v>
      </c>
      <c r="H11" s="83" t="s">
        <v>149</v>
      </c>
      <c r="I11" s="83"/>
      <c r="J11" s="83" t="s">
        <v>149</v>
      </c>
      <c r="K11" s="365"/>
      <c r="L11" s="366"/>
      <c r="M11" s="367"/>
    </row>
    <row r="12" spans="1:16" ht="12" customHeight="1">
      <c r="A12" s="83">
        <f t="shared" si="1"/>
        <v>6</v>
      </c>
      <c r="B12" s="11" t="s">
        <v>1608</v>
      </c>
      <c r="C12" s="84" t="s">
        <v>1609</v>
      </c>
      <c r="D12" s="88" t="s">
        <v>150</v>
      </c>
      <c r="E12" s="85">
        <v>8</v>
      </c>
      <c r="F12" s="86"/>
      <c r="G12" s="87">
        <f t="shared" si="0"/>
        <v>8</v>
      </c>
      <c r="H12" s="83" t="s">
        <v>149</v>
      </c>
      <c r="I12" s="83"/>
      <c r="J12" s="93"/>
      <c r="K12" s="308"/>
      <c r="L12" s="278"/>
      <c r="M12" s="279"/>
    </row>
    <row r="13" spans="1:16" ht="12" customHeight="1">
      <c r="A13" s="83">
        <f t="shared" si="1"/>
        <v>7</v>
      </c>
      <c r="B13" s="73" t="s">
        <v>1610</v>
      </c>
      <c r="C13" s="84" t="s">
        <v>1611</v>
      </c>
      <c r="D13" s="88" t="s">
        <v>150</v>
      </c>
      <c r="E13" s="85">
        <v>32</v>
      </c>
      <c r="F13" s="86"/>
      <c r="G13" s="87">
        <f t="shared" si="0"/>
        <v>32</v>
      </c>
      <c r="H13" s="83" t="s">
        <v>149</v>
      </c>
      <c r="I13" s="83"/>
      <c r="J13" s="93"/>
      <c r="K13" s="280"/>
      <c r="L13" s="291"/>
      <c r="M13" s="292"/>
    </row>
    <row r="14" spans="1:16" ht="12" customHeight="1">
      <c r="A14" s="83">
        <f t="shared" si="1"/>
        <v>8</v>
      </c>
      <c r="B14" s="73" t="s">
        <v>1612</v>
      </c>
      <c r="C14" s="22" t="s">
        <v>1613</v>
      </c>
      <c r="D14" s="88" t="s">
        <v>150</v>
      </c>
      <c r="E14" s="85">
        <v>32</v>
      </c>
      <c r="F14" s="86"/>
      <c r="G14" s="87">
        <f t="shared" si="0"/>
        <v>32</v>
      </c>
      <c r="H14" s="83" t="s">
        <v>149</v>
      </c>
      <c r="I14" s="83"/>
      <c r="J14" s="93"/>
      <c r="K14" s="274"/>
      <c r="L14" s="275"/>
      <c r="M14" s="276"/>
    </row>
    <row r="15" spans="1:16" ht="12" customHeight="1">
      <c r="A15" s="83">
        <f t="shared" si="1"/>
        <v>9</v>
      </c>
      <c r="B15" s="11" t="s">
        <v>1614</v>
      </c>
      <c r="C15" s="22" t="s">
        <v>1615</v>
      </c>
      <c r="D15" s="88" t="s">
        <v>150</v>
      </c>
      <c r="E15" s="85">
        <v>32</v>
      </c>
      <c r="F15" s="86"/>
      <c r="G15" s="87">
        <f t="shared" si="0"/>
        <v>32</v>
      </c>
      <c r="H15" s="83" t="s">
        <v>149</v>
      </c>
      <c r="I15" s="83"/>
      <c r="J15" s="93"/>
      <c r="K15" s="271"/>
      <c r="L15" s="272"/>
      <c r="M15" s="273"/>
    </row>
    <row r="16" spans="1:16" ht="12" customHeight="1">
      <c r="A16" s="83">
        <f t="shared" si="1"/>
        <v>10</v>
      </c>
      <c r="B16" s="74" t="s">
        <v>1616</v>
      </c>
      <c r="C16" s="84" t="s">
        <v>1617</v>
      </c>
      <c r="D16" s="88" t="s">
        <v>161</v>
      </c>
      <c r="E16" s="85"/>
      <c r="F16" s="86"/>
      <c r="G16" s="87">
        <f t="shared" si="0"/>
        <v>4</v>
      </c>
      <c r="H16" s="83" t="s">
        <v>149</v>
      </c>
      <c r="I16" s="83"/>
      <c r="J16" s="93"/>
      <c r="K16" s="274"/>
      <c r="L16" s="275"/>
      <c r="M16" s="276"/>
    </row>
    <row r="17" spans="1:16" ht="12" customHeight="1">
      <c r="A17" s="83">
        <f t="shared" si="1"/>
        <v>11</v>
      </c>
      <c r="B17" s="74" t="s">
        <v>1618</v>
      </c>
      <c r="C17" s="84" t="s">
        <v>1619</v>
      </c>
      <c r="D17" s="88" t="s">
        <v>150</v>
      </c>
      <c r="E17" s="85">
        <v>2</v>
      </c>
      <c r="F17" s="86"/>
      <c r="G17" s="87">
        <f t="shared" si="0"/>
        <v>2</v>
      </c>
      <c r="H17" s="83" t="s">
        <v>149</v>
      </c>
      <c r="I17" s="83"/>
      <c r="J17" s="93"/>
      <c r="K17" s="308"/>
      <c r="L17" s="278"/>
      <c r="M17" s="279"/>
    </row>
    <row r="18" spans="1:16" ht="12" customHeight="1">
      <c r="A18" s="83">
        <f t="shared" si="1"/>
        <v>12</v>
      </c>
      <c r="B18" s="11" t="s">
        <v>1510</v>
      </c>
      <c r="C18" s="21" t="s">
        <v>1620</v>
      </c>
      <c r="D18" s="88" t="s">
        <v>150</v>
      </c>
      <c r="E18" s="85">
        <v>8</v>
      </c>
      <c r="F18" s="86"/>
      <c r="G18" s="87">
        <f t="shared" si="0"/>
        <v>8</v>
      </c>
      <c r="H18" s="83" t="s">
        <v>149</v>
      </c>
      <c r="I18" s="83"/>
      <c r="J18" s="93"/>
      <c r="K18" s="308"/>
      <c r="L18" s="278"/>
      <c r="M18" s="279"/>
    </row>
    <row r="19" spans="1:16" ht="12" customHeight="1">
      <c r="A19" s="83">
        <f t="shared" si="1"/>
        <v>13</v>
      </c>
      <c r="B19" s="11" t="s">
        <v>1621</v>
      </c>
      <c r="C19" s="22" t="s">
        <v>1622</v>
      </c>
      <c r="D19" s="88" t="s">
        <v>154</v>
      </c>
      <c r="E19" s="85">
        <v>1024</v>
      </c>
      <c r="F19" s="86"/>
      <c r="G19" s="87">
        <v>1024</v>
      </c>
      <c r="H19" s="83" t="s">
        <v>149</v>
      </c>
      <c r="I19" s="83"/>
      <c r="J19" s="93"/>
      <c r="K19" s="271" t="s">
        <v>1623</v>
      </c>
      <c r="L19" s="272"/>
      <c r="M19" s="273"/>
      <c r="P19" s="75" t="s">
        <v>174</v>
      </c>
    </row>
    <row r="20" spans="1:16" ht="12" customHeight="1">
      <c r="A20" s="83" t="str">
        <f t="shared" si="1"/>
        <v xml:space="preserve"> </v>
      </c>
      <c r="B20" s="20"/>
      <c r="C20" s="84"/>
      <c r="D20" s="88"/>
      <c r="E20" s="85"/>
      <c r="F20" s="86"/>
      <c r="G20" s="87"/>
      <c r="H20" s="83"/>
      <c r="I20" s="83"/>
      <c r="J20" s="93"/>
      <c r="K20" s="84"/>
      <c r="L20" s="94"/>
      <c r="M20" s="95"/>
    </row>
    <row r="21" spans="1:16">
      <c r="A21" s="83" t="str">
        <f t="shared" ref="A21:A51" si="2">IF(B21=""," ",A20+1)</f>
        <v xml:space="preserve"> </v>
      </c>
      <c r="B21" s="11"/>
      <c r="C21" s="22"/>
      <c r="D21" s="30"/>
      <c r="E21" s="85"/>
      <c r="F21" s="86"/>
      <c r="G21" s="87"/>
      <c r="H21" s="83"/>
      <c r="I21" s="83"/>
      <c r="J21" s="93"/>
      <c r="K21" s="271"/>
      <c r="L21" s="272"/>
      <c r="M21" s="273"/>
      <c r="P21" s="75" t="s">
        <v>195</v>
      </c>
    </row>
    <row r="22" spans="1:16">
      <c r="A22" s="83" t="str">
        <f t="shared" si="2"/>
        <v xml:space="preserve"> </v>
      </c>
      <c r="B22" s="11"/>
      <c r="C22" s="22"/>
      <c r="D22" s="30"/>
      <c r="E22" s="85"/>
      <c r="F22" s="86"/>
      <c r="G22" s="87"/>
      <c r="H22" s="83"/>
      <c r="I22" s="83"/>
      <c r="J22" s="93"/>
      <c r="K22" s="271"/>
      <c r="L22" s="272"/>
      <c r="M22" s="273"/>
    </row>
    <row r="23" spans="1:16">
      <c r="A23" s="83" t="str">
        <f t="shared" si="2"/>
        <v xml:space="preserve"> </v>
      </c>
      <c r="B23" s="20"/>
      <c r="C23" s="110"/>
      <c r="D23" s="88"/>
      <c r="E23" s="85"/>
      <c r="F23" s="86"/>
      <c r="G23" s="87"/>
      <c r="H23" s="83"/>
      <c r="I23" s="83"/>
      <c r="J23" s="93"/>
      <c r="K23" s="274"/>
      <c r="L23" s="275"/>
      <c r="M23" s="276"/>
    </row>
    <row r="24" spans="1:16">
      <c r="A24" s="83" t="str">
        <f t="shared" si="2"/>
        <v xml:space="preserve"> </v>
      </c>
      <c r="B24" s="11"/>
      <c r="C24" s="22"/>
      <c r="D24" s="30"/>
      <c r="E24" s="85"/>
      <c r="F24" s="86"/>
      <c r="G24" s="87"/>
      <c r="H24" s="83"/>
      <c r="I24" s="83"/>
      <c r="J24" s="93"/>
      <c r="K24" s="271"/>
      <c r="L24" s="272"/>
      <c r="M24" s="273"/>
    </row>
    <row r="25" spans="1:16">
      <c r="A25" s="83" t="str">
        <f t="shared" si="2"/>
        <v xml:space="preserve"> </v>
      </c>
      <c r="B25" s="20"/>
      <c r="C25" s="84"/>
      <c r="D25" s="88"/>
      <c r="E25" s="85"/>
      <c r="F25" s="86"/>
      <c r="G25" s="87"/>
      <c r="H25" s="83"/>
      <c r="I25" s="83"/>
      <c r="J25" s="93"/>
      <c r="K25" s="274"/>
      <c r="L25" s="275"/>
      <c r="M25" s="276"/>
    </row>
    <row r="26" spans="1:16">
      <c r="A26" s="83" t="str">
        <f t="shared" si="2"/>
        <v xml:space="preserve"> </v>
      </c>
      <c r="B26" s="20"/>
      <c r="C26" s="84"/>
      <c r="D26" s="88"/>
      <c r="E26" s="85"/>
      <c r="F26" s="86"/>
      <c r="G26" s="87"/>
      <c r="H26" s="83"/>
      <c r="I26" s="83"/>
      <c r="J26" s="93"/>
      <c r="K26" s="274"/>
      <c r="L26" s="275"/>
      <c r="M26" s="276"/>
    </row>
    <row r="27" spans="1:16">
      <c r="A27" s="83" t="str">
        <f t="shared" si="2"/>
        <v xml:space="preserve"> </v>
      </c>
      <c r="B27" s="20"/>
      <c r="C27" s="84"/>
      <c r="D27" s="88"/>
      <c r="E27" s="85"/>
      <c r="F27" s="86"/>
      <c r="G27" s="87"/>
      <c r="H27" s="83"/>
      <c r="I27" s="83"/>
      <c r="J27" s="93"/>
      <c r="K27" s="84"/>
      <c r="L27" s="94"/>
      <c r="M27" s="95"/>
    </row>
    <row r="28" spans="1:16">
      <c r="A28" s="83" t="str">
        <f t="shared" si="2"/>
        <v xml:space="preserve"> </v>
      </c>
      <c r="B28" s="20"/>
      <c r="C28" s="84"/>
      <c r="D28" s="88"/>
      <c r="E28" s="85"/>
      <c r="F28" s="86"/>
      <c r="G28" s="87"/>
      <c r="H28" s="83"/>
      <c r="I28" s="83"/>
      <c r="J28" s="93"/>
      <c r="K28" s="84"/>
      <c r="L28" s="94"/>
      <c r="M28" s="95"/>
    </row>
    <row r="29" spans="1:16">
      <c r="A29" s="83" t="str">
        <f t="shared" si="2"/>
        <v xml:space="preserve"> </v>
      </c>
      <c r="B29" s="74"/>
      <c r="C29" s="84"/>
      <c r="D29" s="88"/>
      <c r="E29" s="85"/>
      <c r="F29" s="86"/>
      <c r="G29" s="87"/>
      <c r="H29" s="83"/>
      <c r="I29" s="83"/>
      <c r="J29" s="93"/>
      <c r="K29" s="84"/>
      <c r="L29" s="94"/>
      <c r="M29" s="95"/>
    </row>
    <row r="30" spans="1:16">
      <c r="A30" s="83" t="str">
        <f t="shared" si="2"/>
        <v xml:space="preserve"> </v>
      </c>
      <c r="B30" s="74"/>
      <c r="C30" s="84"/>
      <c r="D30" s="88"/>
      <c r="E30" s="85"/>
      <c r="F30" s="86"/>
      <c r="G30" s="87"/>
      <c r="H30" s="83"/>
      <c r="I30" s="83"/>
      <c r="J30" s="93"/>
      <c r="K30" s="84"/>
      <c r="L30" s="94"/>
      <c r="M30" s="95"/>
    </row>
    <row r="31" spans="1:16">
      <c r="A31" s="83" t="str">
        <f t="shared" si="2"/>
        <v xml:space="preserve"> </v>
      </c>
      <c r="B31" s="74"/>
      <c r="C31" s="84"/>
      <c r="D31" s="88"/>
      <c r="E31" s="85"/>
      <c r="F31" s="86"/>
      <c r="G31" s="87"/>
      <c r="H31" s="83"/>
      <c r="I31" s="83"/>
      <c r="J31" s="93"/>
      <c r="K31" s="84"/>
      <c r="L31" s="94"/>
      <c r="M31" s="95"/>
    </row>
    <row r="32" spans="1:16">
      <c r="A32" s="83" t="str">
        <f t="shared" si="2"/>
        <v xml:space="preserve"> </v>
      </c>
      <c r="B32" s="74"/>
      <c r="C32" s="84"/>
      <c r="D32" s="88"/>
      <c r="E32" s="85"/>
      <c r="F32" s="86"/>
      <c r="G32" s="87"/>
      <c r="H32" s="83"/>
      <c r="I32" s="83"/>
      <c r="J32" s="93"/>
      <c r="K32" s="84"/>
      <c r="L32" s="94"/>
      <c r="M32" s="95"/>
    </row>
    <row r="33" spans="1:13">
      <c r="A33" s="83" t="str">
        <f t="shared" si="2"/>
        <v xml:space="preserve"> </v>
      </c>
      <c r="B33" s="74"/>
      <c r="C33" s="84"/>
      <c r="D33" s="88"/>
      <c r="E33" s="85"/>
      <c r="F33" s="86"/>
      <c r="G33" s="87"/>
      <c r="H33" s="83"/>
      <c r="I33" s="83"/>
      <c r="J33" s="93"/>
      <c r="K33" s="84"/>
      <c r="L33" s="94"/>
      <c r="M33" s="95"/>
    </row>
    <row r="34" spans="1:13">
      <c r="A34" s="83" t="str">
        <f t="shared" si="2"/>
        <v xml:space="preserve"> </v>
      </c>
      <c r="B34" s="74"/>
      <c r="C34" s="84"/>
      <c r="D34" s="88"/>
      <c r="E34" s="85"/>
      <c r="F34" s="86"/>
      <c r="G34" s="87"/>
      <c r="H34" s="83"/>
      <c r="I34" s="83"/>
      <c r="J34" s="93"/>
      <c r="K34" s="84"/>
      <c r="L34" s="94"/>
      <c r="M34" s="95"/>
    </row>
    <row r="35" spans="1:13">
      <c r="A35" s="83" t="str">
        <f t="shared" si="2"/>
        <v xml:space="preserve"> </v>
      </c>
      <c r="B35" s="74"/>
      <c r="C35" s="84"/>
      <c r="D35" s="88"/>
      <c r="E35" s="85"/>
      <c r="F35" s="86"/>
      <c r="G35" s="87"/>
      <c r="H35" s="83"/>
      <c r="I35" s="83"/>
      <c r="J35" s="93"/>
      <c r="K35" s="84"/>
      <c r="L35" s="94"/>
      <c r="M35" s="95"/>
    </row>
    <row r="36" spans="1:13">
      <c r="A36" s="83" t="str">
        <f t="shared" si="2"/>
        <v xml:space="preserve"> </v>
      </c>
      <c r="B36" s="74"/>
      <c r="C36" s="84"/>
      <c r="D36" s="88"/>
      <c r="E36" s="85"/>
      <c r="F36" s="86"/>
      <c r="G36" s="87"/>
      <c r="H36" s="83"/>
      <c r="I36" s="83"/>
      <c r="J36" s="93"/>
      <c r="K36" s="84"/>
      <c r="L36" s="94"/>
      <c r="M36" s="95"/>
    </row>
    <row r="37" spans="1:13">
      <c r="A37" s="83" t="str">
        <f t="shared" si="2"/>
        <v xml:space="preserve"> </v>
      </c>
      <c r="B37" s="74"/>
      <c r="C37" s="84"/>
      <c r="D37" s="88"/>
      <c r="E37" s="85"/>
      <c r="F37" s="86"/>
      <c r="G37" s="87"/>
      <c r="H37" s="83"/>
      <c r="I37" s="83"/>
      <c r="J37" s="93"/>
      <c r="K37" s="84"/>
      <c r="L37" s="94"/>
      <c r="M37" s="95"/>
    </row>
    <row r="38" spans="1:13">
      <c r="A38" s="83" t="str">
        <f t="shared" si="2"/>
        <v xml:space="preserve"> </v>
      </c>
      <c r="B38" s="74"/>
      <c r="C38" s="84"/>
      <c r="D38" s="88"/>
      <c r="E38" s="85"/>
      <c r="F38" s="86"/>
      <c r="G38" s="87"/>
      <c r="H38" s="83"/>
      <c r="I38" s="83"/>
      <c r="J38" s="93"/>
      <c r="K38" s="84"/>
      <c r="L38" s="94"/>
      <c r="M38" s="95"/>
    </row>
    <row r="39" spans="1:13">
      <c r="A39" s="83" t="str">
        <f t="shared" si="2"/>
        <v xml:space="preserve"> </v>
      </c>
      <c r="B39" s="74"/>
      <c r="C39" s="84"/>
      <c r="D39" s="88"/>
      <c r="E39" s="85"/>
      <c r="F39" s="86"/>
      <c r="G39" s="87"/>
      <c r="H39" s="83"/>
      <c r="I39" s="83"/>
      <c r="J39" s="93"/>
      <c r="K39" s="84"/>
      <c r="L39" s="94"/>
      <c r="M39" s="95"/>
    </row>
    <row r="40" spans="1:13">
      <c r="A40" s="83" t="str">
        <f t="shared" si="2"/>
        <v xml:space="preserve"> </v>
      </c>
      <c r="B40" s="74"/>
      <c r="C40" s="84"/>
      <c r="D40" s="88"/>
      <c r="E40" s="85"/>
      <c r="F40" s="86"/>
      <c r="G40" s="87"/>
      <c r="H40" s="83"/>
      <c r="I40" s="83"/>
      <c r="J40" s="93"/>
      <c r="K40" s="84"/>
      <c r="L40" s="94"/>
      <c r="M40" s="95"/>
    </row>
    <row r="41" spans="1:13">
      <c r="A41" s="83" t="str">
        <f t="shared" si="2"/>
        <v xml:space="preserve"> </v>
      </c>
      <c r="B41" s="74"/>
      <c r="C41" s="84"/>
      <c r="D41" s="88"/>
      <c r="E41" s="85"/>
      <c r="F41" s="86"/>
      <c r="G41" s="87"/>
      <c r="H41" s="83"/>
      <c r="I41" s="83"/>
      <c r="J41" s="93"/>
      <c r="K41" s="84"/>
      <c r="L41" s="94"/>
      <c r="M41" s="95"/>
    </row>
    <row r="42" spans="1:13">
      <c r="A42" s="83" t="str">
        <f t="shared" si="2"/>
        <v xml:space="preserve"> </v>
      </c>
      <c r="B42" s="74"/>
      <c r="C42" s="84"/>
      <c r="D42" s="88"/>
      <c r="E42" s="85"/>
      <c r="F42" s="86"/>
      <c r="G42" s="87"/>
      <c r="H42" s="83"/>
      <c r="I42" s="83"/>
      <c r="J42" s="93"/>
      <c r="K42" s="84"/>
      <c r="L42" s="94"/>
      <c r="M42" s="95"/>
    </row>
    <row r="43" spans="1:13">
      <c r="A43" s="83" t="str">
        <f t="shared" si="2"/>
        <v xml:space="preserve"> </v>
      </c>
      <c r="B43" s="74"/>
      <c r="C43" s="84"/>
      <c r="D43" s="88"/>
      <c r="E43" s="85"/>
      <c r="F43" s="86"/>
      <c r="G43" s="87"/>
      <c r="H43" s="83"/>
      <c r="I43" s="83"/>
      <c r="J43" s="93"/>
      <c r="K43" s="84"/>
      <c r="L43" s="94"/>
      <c r="M43" s="95"/>
    </row>
    <row r="44" spans="1:13">
      <c r="A44" s="83" t="str">
        <f t="shared" si="2"/>
        <v xml:space="preserve"> </v>
      </c>
      <c r="B44" s="74"/>
      <c r="C44" s="84"/>
      <c r="D44" s="88"/>
      <c r="E44" s="85"/>
      <c r="F44" s="86"/>
      <c r="G44" s="87"/>
      <c r="H44" s="83"/>
      <c r="I44" s="83"/>
      <c r="J44" s="93"/>
      <c r="K44" s="84"/>
      <c r="L44" s="94"/>
      <c r="M44" s="95"/>
    </row>
    <row r="45" spans="1:13">
      <c r="A45" s="83" t="str">
        <f t="shared" si="2"/>
        <v xml:space="preserve"> </v>
      </c>
      <c r="B45" s="74"/>
      <c r="C45" s="84"/>
      <c r="D45" s="88"/>
      <c r="E45" s="85"/>
      <c r="F45" s="86"/>
      <c r="G45" s="87"/>
      <c r="H45" s="83"/>
      <c r="I45" s="83"/>
      <c r="J45" s="93"/>
      <c r="K45" s="84"/>
      <c r="L45" s="94"/>
      <c r="M45" s="95"/>
    </row>
    <row r="46" spans="1:13">
      <c r="A46" s="83" t="str">
        <f t="shared" si="2"/>
        <v xml:space="preserve"> </v>
      </c>
      <c r="B46" s="74"/>
      <c r="C46" s="84"/>
      <c r="D46" s="88"/>
      <c r="E46" s="85"/>
      <c r="F46" s="86"/>
      <c r="G46" s="87"/>
      <c r="H46" s="83"/>
      <c r="I46" s="83"/>
      <c r="J46" s="93"/>
      <c r="K46" s="84"/>
      <c r="L46" s="94"/>
      <c r="M46" s="95"/>
    </row>
    <row r="47" spans="1:13">
      <c r="A47" s="83" t="str">
        <f t="shared" si="2"/>
        <v xml:space="preserve"> </v>
      </c>
      <c r="B47" s="74"/>
      <c r="C47" s="84"/>
      <c r="D47" s="88"/>
      <c r="E47" s="85"/>
      <c r="F47" s="86"/>
      <c r="G47" s="87"/>
      <c r="H47" s="83"/>
      <c r="I47" s="83"/>
      <c r="J47" s="93"/>
      <c r="K47" s="84"/>
      <c r="L47" s="94"/>
      <c r="M47" s="95"/>
    </row>
    <row r="48" spans="1:13">
      <c r="A48" s="83" t="str">
        <f t="shared" si="2"/>
        <v xml:space="preserve"> </v>
      </c>
      <c r="B48" s="74"/>
      <c r="C48" s="84"/>
      <c r="D48" s="88"/>
      <c r="E48" s="85"/>
      <c r="F48" s="86"/>
      <c r="G48" s="87"/>
      <c r="H48" s="83"/>
      <c r="I48" s="83"/>
      <c r="J48" s="93"/>
      <c r="K48" s="84"/>
      <c r="L48" s="94"/>
      <c r="M48" s="95"/>
    </row>
    <row r="49" spans="1:16">
      <c r="A49" s="83" t="str">
        <f t="shared" si="2"/>
        <v xml:space="preserve"> </v>
      </c>
      <c r="B49" s="74"/>
      <c r="C49" s="84"/>
      <c r="D49" s="88"/>
      <c r="E49" s="85"/>
      <c r="F49" s="86"/>
      <c r="G49" s="87"/>
      <c r="H49" s="83"/>
      <c r="I49" s="83"/>
      <c r="J49" s="93"/>
      <c r="K49" s="84"/>
      <c r="L49" s="94"/>
      <c r="M49" s="95"/>
    </row>
    <row r="50" spans="1:16">
      <c r="A50" s="83" t="str">
        <f t="shared" si="2"/>
        <v xml:space="preserve"> </v>
      </c>
      <c r="B50" s="74"/>
      <c r="C50" s="84"/>
      <c r="D50" s="88"/>
      <c r="E50" s="85"/>
      <c r="F50" s="86"/>
      <c r="G50" s="87"/>
      <c r="H50" s="83"/>
      <c r="I50" s="83"/>
      <c r="J50" s="93"/>
      <c r="K50" s="84"/>
      <c r="L50" s="94"/>
      <c r="M50" s="95"/>
    </row>
    <row r="51" spans="1:16" ht="12" customHeight="1">
      <c r="A51" s="83" t="str">
        <f t="shared" si="2"/>
        <v xml:space="preserve"> </v>
      </c>
      <c r="B51" s="20"/>
      <c r="C51" s="84"/>
      <c r="D51" s="88"/>
      <c r="E51" s="85"/>
      <c r="F51" s="86"/>
      <c r="G51" s="87"/>
      <c r="H51" s="83"/>
      <c r="I51" s="83"/>
      <c r="J51" s="93"/>
      <c r="K51" s="84"/>
      <c r="L51" s="94"/>
      <c r="M51" s="95"/>
    </row>
    <row r="52" spans="1:16">
      <c r="A52" s="83" t="str">
        <f t="shared" ref="A52:A100" si="3">IF(B52=""," ",A51+1)</f>
        <v xml:space="preserve"> </v>
      </c>
      <c r="B52" s="11"/>
      <c r="C52" s="22"/>
      <c r="D52" s="30"/>
      <c r="E52" s="85"/>
      <c r="F52" s="86"/>
      <c r="G52" s="87"/>
      <c r="H52" s="83"/>
      <c r="I52" s="83"/>
      <c r="J52" s="93"/>
      <c r="K52" s="271"/>
      <c r="L52" s="272"/>
      <c r="M52" s="273"/>
      <c r="P52" s="75" t="s">
        <v>195</v>
      </c>
    </row>
    <row r="53" spans="1:16">
      <c r="A53" s="83" t="str">
        <f t="shared" si="3"/>
        <v xml:space="preserve"> </v>
      </c>
      <c r="B53" s="11"/>
      <c r="C53" s="22"/>
      <c r="D53" s="30"/>
      <c r="E53" s="85"/>
      <c r="F53" s="86"/>
      <c r="G53" s="87"/>
      <c r="H53" s="83"/>
      <c r="I53" s="83"/>
      <c r="J53" s="93"/>
      <c r="K53" s="271"/>
      <c r="L53" s="272"/>
      <c r="M53" s="273"/>
    </row>
    <row r="54" spans="1:16">
      <c r="A54" s="83" t="str">
        <f t="shared" si="3"/>
        <v xml:space="preserve"> </v>
      </c>
      <c r="B54" s="20"/>
      <c r="C54" s="110"/>
      <c r="D54" s="88"/>
      <c r="E54" s="85"/>
      <c r="F54" s="86"/>
      <c r="G54" s="87"/>
      <c r="H54" s="83"/>
      <c r="I54" s="83"/>
      <c r="J54" s="93"/>
      <c r="K54" s="274"/>
      <c r="L54" s="275"/>
      <c r="M54" s="276"/>
    </row>
    <row r="55" spans="1:16">
      <c r="A55" s="83" t="str">
        <f t="shared" si="3"/>
        <v xml:space="preserve"> </v>
      </c>
      <c r="B55" s="11"/>
      <c r="C55" s="22"/>
      <c r="D55" s="30"/>
      <c r="E55" s="85"/>
      <c r="F55" s="86"/>
      <c r="G55" s="87"/>
      <c r="H55" s="83"/>
      <c r="I55" s="83"/>
      <c r="J55" s="93"/>
      <c r="K55" s="271"/>
      <c r="L55" s="272"/>
      <c r="M55" s="273"/>
    </row>
    <row r="56" spans="1:16">
      <c r="A56" s="83" t="str">
        <f t="shared" si="3"/>
        <v xml:space="preserve"> </v>
      </c>
      <c r="B56" s="20"/>
      <c r="C56" s="84"/>
      <c r="D56" s="88"/>
      <c r="E56" s="85"/>
      <c r="F56" s="86"/>
      <c r="G56" s="87"/>
      <c r="H56" s="83"/>
      <c r="I56" s="83"/>
      <c r="J56" s="93"/>
      <c r="K56" s="274"/>
      <c r="L56" s="275"/>
      <c r="M56" s="276"/>
    </row>
    <row r="57" spans="1:16">
      <c r="A57" s="83" t="str">
        <f t="shared" si="3"/>
        <v xml:space="preserve"> </v>
      </c>
      <c r="B57" s="20"/>
      <c r="C57" s="84"/>
      <c r="D57" s="88"/>
      <c r="E57" s="85"/>
      <c r="F57" s="86"/>
      <c r="G57" s="87"/>
      <c r="H57" s="83"/>
      <c r="I57" s="83"/>
      <c r="J57" s="93"/>
      <c r="K57" s="274"/>
      <c r="L57" s="275"/>
      <c r="M57" s="276"/>
    </row>
    <row r="58" spans="1:16">
      <c r="A58" s="83" t="str">
        <f t="shared" si="3"/>
        <v xml:space="preserve"> </v>
      </c>
      <c r="B58" s="20"/>
      <c r="C58" s="84"/>
      <c r="D58" s="88"/>
      <c r="E58" s="85"/>
      <c r="F58" s="86"/>
      <c r="G58" s="87"/>
      <c r="H58" s="83"/>
      <c r="I58" s="83"/>
      <c r="J58" s="93"/>
      <c r="K58" s="84"/>
      <c r="L58" s="94"/>
      <c r="M58" s="95"/>
    </row>
    <row r="59" spans="1:16">
      <c r="A59" s="83" t="str">
        <f t="shared" si="3"/>
        <v xml:space="preserve"> </v>
      </c>
      <c r="B59" s="20"/>
      <c r="C59" s="84"/>
      <c r="D59" s="88"/>
      <c r="E59" s="85"/>
      <c r="F59" s="86"/>
      <c r="G59" s="87"/>
      <c r="H59" s="83"/>
      <c r="I59" s="83"/>
      <c r="J59" s="93"/>
      <c r="K59" s="84"/>
      <c r="L59" s="94"/>
      <c r="M59" s="95"/>
    </row>
    <row r="60" spans="1:16">
      <c r="A60" s="83" t="str">
        <f t="shared" si="3"/>
        <v xml:space="preserve"> </v>
      </c>
      <c r="B60" s="74"/>
      <c r="C60" s="84"/>
      <c r="D60" s="88"/>
      <c r="E60" s="85"/>
      <c r="F60" s="86"/>
      <c r="G60" s="87"/>
      <c r="H60" s="83"/>
      <c r="I60" s="83"/>
      <c r="J60" s="93"/>
      <c r="K60" s="84"/>
      <c r="L60" s="94"/>
      <c r="M60" s="95"/>
    </row>
    <row r="61" spans="1:16">
      <c r="A61" s="83" t="str">
        <f t="shared" si="3"/>
        <v xml:space="preserve"> </v>
      </c>
      <c r="B61" s="74"/>
      <c r="C61" s="84"/>
      <c r="D61" s="88"/>
      <c r="E61" s="85"/>
      <c r="F61" s="86"/>
      <c r="G61" s="87"/>
      <c r="H61" s="83"/>
      <c r="I61" s="83"/>
      <c r="J61" s="93"/>
      <c r="K61" s="84"/>
      <c r="L61" s="94"/>
      <c r="M61" s="95"/>
    </row>
    <row r="62" spans="1:16">
      <c r="A62" s="83" t="str">
        <f t="shared" si="3"/>
        <v xml:space="preserve"> </v>
      </c>
      <c r="B62" s="74"/>
      <c r="C62" s="84"/>
      <c r="D62" s="88"/>
      <c r="E62" s="85"/>
      <c r="F62" s="86"/>
      <c r="G62" s="87"/>
      <c r="H62" s="83"/>
      <c r="I62" s="83"/>
      <c r="J62" s="93"/>
      <c r="K62" s="84"/>
      <c r="L62" s="94"/>
      <c r="M62" s="95"/>
    </row>
    <row r="63" spans="1:16">
      <c r="A63" s="83" t="str">
        <f t="shared" si="3"/>
        <v xml:space="preserve"> </v>
      </c>
      <c r="B63" s="74"/>
      <c r="C63" s="84"/>
      <c r="D63" s="88"/>
      <c r="E63" s="85"/>
      <c r="F63" s="86"/>
      <c r="G63" s="87"/>
      <c r="H63" s="83"/>
      <c r="I63" s="83"/>
      <c r="J63" s="93"/>
      <c r="K63" s="84"/>
      <c r="L63" s="94"/>
      <c r="M63" s="95"/>
    </row>
    <row r="64" spans="1:16">
      <c r="A64" s="83" t="str">
        <f t="shared" si="3"/>
        <v xml:space="preserve"> </v>
      </c>
      <c r="B64" s="74"/>
      <c r="C64" s="84"/>
      <c r="D64" s="88"/>
      <c r="E64" s="85"/>
      <c r="F64" s="86"/>
      <c r="G64" s="87"/>
      <c r="H64" s="83"/>
      <c r="I64" s="83"/>
      <c r="J64" s="93"/>
      <c r="K64" s="84"/>
      <c r="L64" s="94"/>
      <c r="M64" s="95"/>
    </row>
    <row r="65" spans="1:13">
      <c r="A65" s="83" t="str">
        <f t="shared" si="3"/>
        <v xml:space="preserve"> </v>
      </c>
      <c r="B65" s="74"/>
      <c r="C65" s="84"/>
      <c r="D65" s="88"/>
      <c r="E65" s="85"/>
      <c r="F65" s="86"/>
      <c r="G65" s="87"/>
      <c r="H65" s="83"/>
      <c r="I65" s="83"/>
      <c r="J65" s="93"/>
      <c r="K65" s="84"/>
      <c r="L65" s="94"/>
      <c r="M65" s="95"/>
    </row>
    <row r="66" spans="1:13">
      <c r="A66" s="83" t="str">
        <f t="shared" si="3"/>
        <v xml:space="preserve"> </v>
      </c>
      <c r="B66" s="74"/>
      <c r="C66" s="84"/>
      <c r="D66" s="88"/>
      <c r="E66" s="85"/>
      <c r="F66" s="86"/>
      <c r="G66" s="87"/>
      <c r="H66" s="83"/>
      <c r="I66" s="83"/>
      <c r="J66" s="93"/>
      <c r="K66" s="84"/>
      <c r="L66" s="94"/>
      <c r="M66" s="95"/>
    </row>
    <row r="67" spans="1:13">
      <c r="A67" s="83" t="str">
        <f t="shared" si="3"/>
        <v xml:space="preserve"> </v>
      </c>
      <c r="B67" s="74"/>
      <c r="C67" s="84"/>
      <c r="D67" s="88"/>
      <c r="E67" s="85"/>
      <c r="F67" s="86"/>
      <c r="G67" s="87"/>
      <c r="H67" s="83"/>
      <c r="I67" s="83"/>
      <c r="J67" s="93"/>
      <c r="K67" s="84"/>
      <c r="L67" s="94"/>
      <c r="M67" s="95"/>
    </row>
    <row r="68" spans="1:13">
      <c r="A68" s="83" t="str">
        <f t="shared" si="3"/>
        <v xml:space="preserve"> </v>
      </c>
      <c r="B68" s="74"/>
      <c r="C68" s="84"/>
      <c r="D68" s="88"/>
      <c r="E68" s="85"/>
      <c r="F68" s="86"/>
      <c r="G68" s="87"/>
      <c r="H68" s="83"/>
      <c r="I68" s="83"/>
      <c r="J68" s="93"/>
      <c r="K68" s="84"/>
      <c r="L68" s="94"/>
      <c r="M68" s="95"/>
    </row>
    <row r="69" spans="1:13">
      <c r="A69" s="83" t="str">
        <f t="shared" si="3"/>
        <v xml:space="preserve"> </v>
      </c>
      <c r="B69" s="74"/>
      <c r="C69" s="84"/>
      <c r="D69" s="88"/>
      <c r="E69" s="85"/>
      <c r="F69" s="86"/>
      <c r="G69" s="87"/>
      <c r="H69" s="83"/>
      <c r="I69" s="83"/>
      <c r="J69" s="93"/>
      <c r="K69" s="84"/>
      <c r="L69" s="94"/>
      <c r="M69" s="95"/>
    </row>
    <row r="70" spans="1:13">
      <c r="A70" s="83" t="str">
        <f t="shared" si="3"/>
        <v xml:space="preserve"> </v>
      </c>
      <c r="B70" s="74"/>
      <c r="C70" s="84"/>
      <c r="D70" s="88"/>
      <c r="E70" s="85"/>
      <c r="F70" s="86"/>
      <c r="G70" s="87"/>
      <c r="H70" s="83"/>
      <c r="I70" s="83"/>
      <c r="J70" s="93"/>
      <c r="K70" s="84"/>
      <c r="L70" s="94"/>
      <c r="M70" s="95"/>
    </row>
    <row r="71" spans="1:13">
      <c r="A71" s="83" t="str">
        <f t="shared" si="3"/>
        <v xml:space="preserve"> </v>
      </c>
      <c r="B71" s="74"/>
      <c r="C71" s="84"/>
      <c r="D71" s="88"/>
      <c r="E71" s="85"/>
      <c r="F71" s="86"/>
      <c r="G71" s="87"/>
      <c r="H71" s="83"/>
      <c r="I71" s="83"/>
      <c r="J71" s="93"/>
      <c r="K71" s="84"/>
      <c r="L71" s="94"/>
      <c r="M71" s="95"/>
    </row>
    <row r="72" spans="1:13">
      <c r="A72" s="83" t="str">
        <f t="shared" si="3"/>
        <v xml:space="preserve"> </v>
      </c>
      <c r="B72" s="74"/>
      <c r="C72" s="84"/>
      <c r="D72" s="88"/>
      <c r="E72" s="85"/>
      <c r="F72" s="86"/>
      <c r="G72" s="87"/>
      <c r="H72" s="83"/>
      <c r="I72" s="83"/>
      <c r="J72" s="93"/>
      <c r="K72" s="84"/>
      <c r="L72" s="94"/>
      <c r="M72" s="95"/>
    </row>
    <row r="73" spans="1:13">
      <c r="A73" s="83" t="str">
        <f t="shared" si="3"/>
        <v xml:space="preserve"> </v>
      </c>
      <c r="B73" s="74"/>
      <c r="C73" s="84"/>
      <c r="D73" s="88"/>
      <c r="E73" s="85"/>
      <c r="F73" s="86"/>
      <c r="G73" s="87"/>
      <c r="H73" s="83"/>
      <c r="I73" s="83"/>
      <c r="J73" s="93"/>
      <c r="K73" s="84"/>
      <c r="L73" s="94"/>
      <c r="M73" s="95"/>
    </row>
    <row r="74" spans="1:13">
      <c r="A74" s="83" t="str">
        <f t="shared" si="3"/>
        <v xml:space="preserve"> </v>
      </c>
      <c r="B74" s="74"/>
      <c r="C74" s="84"/>
      <c r="D74" s="88"/>
      <c r="E74" s="85"/>
      <c r="F74" s="86"/>
      <c r="G74" s="87"/>
      <c r="H74" s="83"/>
      <c r="I74" s="83"/>
      <c r="J74" s="93"/>
      <c r="K74" s="84"/>
      <c r="L74" s="94"/>
      <c r="M74" s="95"/>
    </row>
    <row r="75" spans="1:13">
      <c r="A75" s="83" t="str">
        <f t="shared" si="3"/>
        <v xml:space="preserve"> </v>
      </c>
      <c r="B75" s="74"/>
      <c r="C75" s="84"/>
      <c r="D75" s="88"/>
      <c r="E75" s="85"/>
      <c r="F75" s="86"/>
      <c r="G75" s="87"/>
      <c r="H75" s="83"/>
      <c r="I75" s="83"/>
      <c r="J75" s="93"/>
      <c r="K75" s="84"/>
      <c r="L75" s="94"/>
      <c r="M75" s="95"/>
    </row>
    <row r="76" spans="1:13">
      <c r="A76" s="83" t="str">
        <f t="shared" si="3"/>
        <v xml:space="preserve"> </v>
      </c>
      <c r="B76" s="74"/>
      <c r="C76" s="84"/>
      <c r="D76" s="88"/>
      <c r="E76" s="85"/>
      <c r="F76" s="86"/>
      <c r="G76" s="87"/>
      <c r="H76" s="83"/>
      <c r="I76" s="83"/>
      <c r="J76" s="93"/>
      <c r="K76" s="84"/>
      <c r="L76" s="94"/>
      <c r="M76" s="95"/>
    </row>
    <row r="77" spans="1:13">
      <c r="A77" s="83" t="str">
        <f t="shared" si="3"/>
        <v xml:space="preserve"> </v>
      </c>
      <c r="B77" s="74"/>
      <c r="C77" s="84"/>
      <c r="D77" s="88"/>
      <c r="E77" s="85"/>
      <c r="F77" s="86"/>
      <c r="G77" s="87"/>
      <c r="H77" s="83"/>
      <c r="I77" s="83"/>
      <c r="J77" s="93"/>
      <c r="K77" s="84"/>
      <c r="L77" s="94"/>
      <c r="M77" s="95"/>
    </row>
    <row r="78" spans="1:13">
      <c r="A78" s="83" t="str">
        <f t="shared" si="3"/>
        <v xml:space="preserve"> </v>
      </c>
      <c r="B78" s="74"/>
      <c r="C78" s="84"/>
      <c r="D78" s="88"/>
      <c r="E78" s="85"/>
      <c r="F78" s="86"/>
      <c r="G78" s="87"/>
      <c r="H78" s="83"/>
      <c r="I78" s="83"/>
      <c r="J78" s="93"/>
      <c r="K78" s="84"/>
      <c r="L78" s="94"/>
      <c r="M78" s="95"/>
    </row>
    <row r="79" spans="1:13">
      <c r="A79" s="83" t="str">
        <f t="shared" si="3"/>
        <v xml:space="preserve"> </v>
      </c>
      <c r="B79" s="74"/>
      <c r="C79" s="84"/>
      <c r="D79" s="88"/>
      <c r="E79" s="85"/>
      <c r="F79" s="86"/>
      <c r="G79" s="87"/>
      <c r="H79" s="83"/>
      <c r="I79" s="83"/>
      <c r="J79" s="93"/>
      <c r="K79" s="84"/>
      <c r="L79" s="94"/>
      <c r="M79" s="95"/>
    </row>
    <row r="80" spans="1:13">
      <c r="A80" s="83" t="str">
        <f t="shared" si="3"/>
        <v xml:space="preserve"> </v>
      </c>
      <c r="B80" s="74"/>
      <c r="C80" s="84"/>
      <c r="D80" s="88"/>
      <c r="E80" s="85"/>
      <c r="F80" s="86"/>
      <c r="G80" s="87"/>
      <c r="H80" s="83"/>
      <c r="I80" s="83"/>
      <c r="J80" s="93"/>
      <c r="K80" s="84"/>
      <c r="L80" s="94"/>
      <c r="M80" s="95"/>
    </row>
    <row r="81" spans="1:16">
      <c r="A81" s="83" t="str">
        <f t="shared" si="3"/>
        <v xml:space="preserve"> </v>
      </c>
      <c r="B81" s="74"/>
      <c r="C81" s="84"/>
      <c r="D81" s="88"/>
      <c r="E81" s="85"/>
      <c r="F81" s="86"/>
      <c r="G81" s="87"/>
      <c r="H81" s="83"/>
      <c r="I81" s="83"/>
      <c r="J81" s="93"/>
      <c r="K81" s="84"/>
      <c r="L81" s="94"/>
      <c r="M81" s="95"/>
    </row>
    <row r="82" spans="1:16" ht="12" customHeight="1">
      <c r="A82" s="83" t="str">
        <f t="shared" si="3"/>
        <v xml:space="preserve"> </v>
      </c>
      <c r="B82" s="20"/>
      <c r="C82" s="84"/>
      <c r="D82" s="88"/>
      <c r="E82" s="85"/>
      <c r="F82" s="86"/>
      <c r="G82" s="87"/>
      <c r="H82" s="83"/>
      <c r="I82" s="83"/>
      <c r="J82" s="93"/>
      <c r="K82" s="84"/>
      <c r="L82" s="94"/>
      <c r="M82" s="95"/>
    </row>
    <row r="83" spans="1:16">
      <c r="A83" s="83" t="str">
        <f t="shared" si="3"/>
        <v xml:space="preserve"> </v>
      </c>
      <c r="B83" s="11"/>
      <c r="C83" s="22"/>
      <c r="D83" s="30"/>
      <c r="E83" s="85"/>
      <c r="F83" s="86"/>
      <c r="G83" s="87"/>
      <c r="H83" s="83"/>
      <c r="I83" s="83"/>
      <c r="J83" s="93"/>
      <c r="K83" s="271"/>
      <c r="L83" s="272"/>
      <c r="M83" s="273"/>
      <c r="P83" s="75" t="s">
        <v>195</v>
      </c>
    </row>
    <row r="84" spans="1:16">
      <c r="A84" s="83" t="str">
        <f t="shared" si="3"/>
        <v xml:space="preserve"> </v>
      </c>
      <c r="B84" s="11"/>
      <c r="C84" s="22"/>
      <c r="D84" s="30"/>
      <c r="E84" s="85"/>
      <c r="F84" s="86"/>
      <c r="G84" s="87"/>
      <c r="H84" s="83"/>
      <c r="I84" s="83"/>
      <c r="J84" s="93"/>
      <c r="K84" s="271"/>
      <c r="L84" s="272"/>
      <c r="M84" s="273"/>
    </row>
    <row r="85" spans="1:16">
      <c r="A85" s="83" t="str">
        <f t="shared" si="3"/>
        <v xml:space="preserve"> </v>
      </c>
      <c r="B85" s="20"/>
      <c r="C85" s="110"/>
      <c r="D85" s="88"/>
      <c r="E85" s="85"/>
      <c r="F85" s="86"/>
      <c r="G85" s="87"/>
      <c r="H85" s="83"/>
      <c r="I85" s="83"/>
      <c r="J85" s="93"/>
      <c r="K85" s="274"/>
      <c r="L85" s="275"/>
      <c r="M85" s="276"/>
    </row>
    <row r="86" spans="1:16">
      <c r="A86" s="83" t="str">
        <f t="shared" si="3"/>
        <v xml:space="preserve"> </v>
      </c>
      <c r="B86" s="11"/>
      <c r="C86" s="22"/>
      <c r="D86" s="30"/>
      <c r="E86" s="85"/>
      <c r="F86" s="86"/>
      <c r="G86" s="87"/>
      <c r="H86" s="83"/>
      <c r="I86" s="83"/>
      <c r="J86" s="93"/>
      <c r="K86" s="271"/>
      <c r="L86" s="272"/>
      <c r="M86" s="273"/>
    </row>
    <row r="87" spans="1:16">
      <c r="A87" s="83" t="str">
        <f t="shared" si="3"/>
        <v xml:space="preserve"> </v>
      </c>
      <c r="B87" s="20"/>
      <c r="C87" s="84"/>
      <c r="D87" s="88"/>
      <c r="E87" s="85"/>
      <c r="F87" s="86"/>
      <c r="G87" s="87"/>
      <c r="H87" s="83"/>
      <c r="I87" s="83"/>
      <c r="J87" s="93"/>
      <c r="K87" s="274"/>
      <c r="L87" s="275"/>
      <c r="M87" s="276"/>
    </row>
    <row r="88" spans="1:16">
      <c r="A88" s="83" t="str">
        <f t="shared" si="3"/>
        <v xml:space="preserve"> </v>
      </c>
      <c r="B88" s="20"/>
      <c r="C88" s="84"/>
      <c r="D88" s="88"/>
      <c r="E88" s="85"/>
      <c r="F88" s="86"/>
      <c r="G88" s="87"/>
      <c r="H88" s="83"/>
      <c r="I88" s="83"/>
      <c r="J88" s="93"/>
      <c r="K88" s="274"/>
      <c r="L88" s="275"/>
      <c r="M88" s="276"/>
    </row>
    <row r="89" spans="1:16">
      <c r="A89" s="83" t="str">
        <f t="shared" si="3"/>
        <v xml:space="preserve"> </v>
      </c>
      <c r="B89" s="20"/>
      <c r="C89" s="84"/>
      <c r="D89" s="88"/>
      <c r="E89" s="85"/>
      <c r="F89" s="86"/>
      <c r="G89" s="87"/>
      <c r="H89" s="83"/>
      <c r="I89" s="83"/>
      <c r="J89" s="93"/>
      <c r="K89" s="84"/>
      <c r="L89" s="94"/>
      <c r="M89" s="95"/>
    </row>
    <row r="90" spans="1:16">
      <c r="A90" s="83" t="str">
        <f t="shared" si="3"/>
        <v xml:space="preserve"> </v>
      </c>
      <c r="B90" s="20"/>
      <c r="C90" s="84"/>
      <c r="D90" s="88"/>
      <c r="E90" s="85"/>
      <c r="F90" s="86"/>
      <c r="G90" s="87"/>
      <c r="H90" s="83"/>
      <c r="I90" s="83"/>
      <c r="J90" s="93"/>
      <c r="K90" s="84"/>
      <c r="L90" s="94"/>
      <c r="M90" s="95"/>
    </row>
    <row r="91" spans="1:16">
      <c r="A91" s="83" t="str">
        <f t="shared" si="3"/>
        <v xml:space="preserve"> </v>
      </c>
      <c r="B91" s="74"/>
      <c r="C91" s="84"/>
      <c r="D91" s="88"/>
      <c r="E91" s="85"/>
      <c r="F91" s="86"/>
      <c r="G91" s="87"/>
      <c r="H91" s="83"/>
      <c r="I91" s="83"/>
      <c r="J91" s="93"/>
      <c r="K91" s="84"/>
      <c r="L91" s="94"/>
      <c r="M91" s="95"/>
    </row>
    <row r="92" spans="1:16">
      <c r="A92" s="83" t="str">
        <f t="shared" si="3"/>
        <v xml:space="preserve"> </v>
      </c>
      <c r="B92" s="74"/>
      <c r="C92" s="84"/>
      <c r="D92" s="88"/>
      <c r="E92" s="85"/>
      <c r="F92" s="86"/>
      <c r="G92" s="87"/>
      <c r="H92" s="83"/>
      <c r="I92" s="83"/>
      <c r="J92" s="93"/>
      <c r="K92" s="84"/>
      <c r="L92" s="94"/>
      <c r="M92" s="95"/>
    </row>
    <row r="93" spans="1:16">
      <c r="A93" s="83" t="str">
        <f t="shared" si="3"/>
        <v xml:space="preserve"> </v>
      </c>
      <c r="B93" s="74"/>
      <c r="C93" s="84"/>
      <c r="D93" s="88"/>
      <c r="E93" s="85"/>
      <c r="F93" s="86"/>
      <c r="G93" s="87"/>
      <c r="H93" s="83"/>
      <c r="I93" s="83"/>
      <c r="J93" s="93"/>
      <c r="K93" s="84"/>
      <c r="L93" s="94"/>
      <c r="M93" s="95"/>
    </row>
    <row r="94" spans="1:16">
      <c r="A94" s="83" t="str">
        <f t="shared" si="3"/>
        <v xml:space="preserve"> </v>
      </c>
      <c r="B94" s="74"/>
      <c r="C94" s="84"/>
      <c r="D94" s="88"/>
      <c r="E94" s="85"/>
      <c r="F94" s="86"/>
      <c r="G94" s="87"/>
      <c r="H94" s="83"/>
      <c r="I94" s="83"/>
      <c r="J94" s="93"/>
      <c r="K94" s="84"/>
      <c r="L94" s="94"/>
      <c r="M94" s="95"/>
    </row>
    <row r="95" spans="1:16">
      <c r="A95" s="83" t="str">
        <f t="shared" si="3"/>
        <v xml:space="preserve"> </v>
      </c>
      <c r="B95" s="74"/>
      <c r="C95" s="84"/>
      <c r="D95" s="88"/>
      <c r="E95" s="85"/>
      <c r="F95" s="86"/>
      <c r="G95" s="87"/>
      <c r="H95" s="83"/>
      <c r="I95" s="83"/>
      <c r="J95" s="93"/>
      <c r="K95" s="84"/>
      <c r="L95" s="94"/>
      <c r="M95" s="95"/>
    </row>
    <row r="96" spans="1:16">
      <c r="A96" s="83" t="str">
        <f t="shared" si="3"/>
        <v xml:space="preserve"> </v>
      </c>
      <c r="B96" s="74"/>
      <c r="C96" s="84"/>
      <c r="D96" s="88"/>
      <c r="E96" s="85"/>
      <c r="F96" s="86"/>
      <c r="G96" s="87"/>
      <c r="H96" s="83"/>
      <c r="I96" s="83"/>
      <c r="J96" s="93"/>
      <c r="K96" s="84"/>
      <c r="L96" s="94"/>
      <c r="M96" s="95"/>
    </row>
    <row r="97" spans="1:13">
      <c r="A97" s="83" t="str">
        <f t="shared" si="3"/>
        <v xml:space="preserve"> </v>
      </c>
      <c r="B97" s="74"/>
      <c r="C97" s="84"/>
      <c r="D97" s="88"/>
      <c r="E97" s="85"/>
      <c r="F97" s="86"/>
      <c r="G97" s="87"/>
      <c r="H97" s="83"/>
      <c r="I97" s="83"/>
      <c r="J97" s="93"/>
      <c r="K97" s="84"/>
      <c r="L97" s="94"/>
      <c r="M97" s="95"/>
    </row>
    <row r="98" spans="1:13">
      <c r="A98" s="83" t="str">
        <f t="shared" si="3"/>
        <v xml:space="preserve"> </v>
      </c>
      <c r="B98" s="74"/>
      <c r="C98" s="84"/>
      <c r="D98" s="88"/>
      <c r="E98" s="85"/>
      <c r="F98" s="86"/>
      <c r="G98" s="87"/>
      <c r="H98" s="83"/>
      <c r="I98" s="83"/>
      <c r="J98" s="93"/>
      <c r="K98" s="84"/>
      <c r="L98" s="94"/>
      <c r="M98" s="95"/>
    </row>
    <row r="99" spans="1:13">
      <c r="A99" s="83" t="str">
        <f t="shared" si="3"/>
        <v xml:space="preserve"> </v>
      </c>
      <c r="B99" s="74"/>
      <c r="C99" s="84"/>
      <c r="D99" s="88"/>
      <c r="E99" s="85"/>
      <c r="F99" s="86"/>
      <c r="G99" s="87"/>
      <c r="H99" s="83"/>
      <c r="I99" s="83"/>
      <c r="J99" s="93"/>
      <c r="K99" s="84"/>
      <c r="L99" s="94"/>
      <c r="M99" s="95"/>
    </row>
    <row r="100" spans="1:13">
      <c r="A100" s="83" t="str">
        <f t="shared" si="3"/>
        <v xml:space="preserve"> </v>
      </c>
      <c r="B100" s="74"/>
      <c r="C100" s="84"/>
      <c r="D100" s="88"/>
      <c r="E100" s="85"/>
      <c r="F100" s="86"/>
      <c r="G100" s="87"/>
      <c r="H100" s="83"/>
      <c r="I100" s="83"/>
      <c r="J100" s="93"/>
      <c r="K100" s="84"/>
      <c r="L100" s="94"/>
      <c r="M100" s="95"/>
    </row>
    <row r="102" spans="1:13">
      <c r="B102" s="75" t="s">
        <v>235</v>
      </c>
    </row>
    <row r="104" spans="1:13">
      <c r="B104" s="75" t="s">
        <v>236</v>
      </c>
      <c r="C104" s="75" t="s">
        <v>1624</v>
      </c>
    </row>
    <row r="106" spans="1:13">
      <c r="B106" s="75" t="s">
        <v>236</v>
      </c>
      <c r="C106" s="75" t="s">
        <v>238</v>
      </c>
    </row>
    <row r="108" spans="1:13">
      <c r="B108" s="75" t="s">
        <v>1625</v>
      </c>
      <c r="C108" s="75" t="s">
        <v>1626</v>
      </c>
    </row>
    <row r="110" spans="1:13">
      <c r="B110" s="75" t="s">
        <v>239</v>
      </c>
      <c r="C110" s="75" t="s">
        <v>1627</v>
      </c>
    </row>
    <row r="112" spans="1:13">
      <c r="B112" s="75" t="s">
        <v>1628</v>
      </c>
      <c r="C112" s="75" t="s">
        <v>1629</v>
      </c>
    </row>
  </sheetData>
  <mergeCells count="45">
    <mergeCell ref="K88:M88"/>
    <mergeCell ref="A5:A6"/>
    <mergeCell ref="K5:M6"/>
    <mergeCell ref="K83:M83"/>
    <mergeCell ref="K84:M84"/>
    <mergeCell ref="K85:M85"/>
    <mergeCell ref="K86:M86"/>
    <mergeCell ref="K87:M87"/>
    <mergeCell ref="K53:M53"/>
    <mergeCell ref="K54:M54"/>
    <mergeCell ref="K55:M55"/>
    <mergeCell ref="K56:M56"/>
    <mergeCell ref="K57:M57"/>
    <mergeCell ref="K23:M23"/>
    <mergeCell ref="K24:M24"/>
    <mergeCell ref="K25:M25"/>
    <mergeCell ref="K26:M26"/>
    <mergeCell ref="K52:M52"/>
    <mergeCell ref="K17:M17"/>
    <mergeCell ref="K18:M18"/>
    <mergeCell ref="K19:M19"/>
    <mergeCell ref="K21:M21"/>
    <mergeCell ref="K22:M22"/>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pageSetUpPr fitToPage="1"/>
  </sheetPr>
  <dimension ref="A1:Q114"/>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1630</v>
      </c>
      <c r="D3" s="265"/>
      <c r="E3" s="265"/>
      <c r="F3" s="265"/>
      <c r="G3" s="266"/>
      <c r="H3" s="259" t="s">
        <v>140</v>
      </c>
      <c r="I3" s="260"/>
      <c r="J3" s="90">
        <f>COUNT(A7:A100)</f>
        <v>29</v>
      </c>
      <c r="K3" s="78" t="s">
        <v>141</v>
      </c>
      <c r="L3" s="91">
        <v>38741</v>
      </c>
      <c r="M3" s="92" t="s">
        <v>1287</v>
      </c>
      <c r="O3" s="75" t="s">
        <v>143</v>
      </c>
      <c r="P3" s="75" t="s">
        <v>144</v>
      </c>
    </row>
    <row r="4" spans="1:16" ht="12" customHeight="1">
      <c r="A4" s="267" t="s">
        <v>145</v>
      </c>
      <c r="B4" s="268"/>
      <c r="C4" s="267" t="s">
        <v>74</v>
      </c>
      <c r="D4" s="269"/>
      <c r="E4" s="269"/>
      <c r="F4" s="269"/>
      <c r="G4" s="268"/>
      <c r="H4" s="259" t="s">
        <v>146</v>
      </c>
      <c r="I4" s="260"/>
      <c r="J4" s="90">
        <f>SUM(G7:G100)</f>
        <v>400</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8" t="s">
        <v>162</v>
      </c>
      <c r="C7" s="119" t="s">
        <v>163</v>
      </c>
      <c r="D7" s="120" t="s">
        <v>164</v>
      </c>
      <c r="E7" s="85"/>
      <c r="F7" s="86"/>
      <c r="G7" s="87">
        <f t="shared" ref="G7:G35" si="0">IF(D7="DATE",4,IF(D7="CHAR",E7,IF(D7="SMALLINT",2,IF(D7="INTEGER",4,IF(D7="TIMESTAMP",10,IF(D7="TIME",3,0))))))</f>
        <v>4</v>
      </c>
      <c r="H7" s="83" t="s">
        <v>149</v>
      </c>
      <c r="I7" s="83" t="s">
        <v>149</v>
      </c>
      <c r="J7" s="93"/>
      <c r="K7" s="408"/>
      <c r="L7" s="409"/>
      <c r="M7" s="410"/>
      <c r="P7" s="75" t="s">
        <v>165</v>
      </c>
    </row>
    <row r="8" spans="1:16" ht="12" customHeight="1">
      <c r="A8" s="83">
        <f t="shared" ref="A8:A35" si="1">IF(B8=""," ",A7+1)</f>
        <v>2</v>
      </c>
      <c r="B8" s="118" t="s">
        <v>166</v>
      </c>
      <c r="C8" s="119" t="s">
        <v>167</v>
      </c>
      <c r="D8" s="120" t="s">
        <v>150</v>
      </c>
      <c r="E8" s="85">
        <v>11</v>
      </c>
      <c r="F8" s="86"/>
      <c r="G8" s="87">
        <f t="shared" si="0"/>
        <v>11</v>
      </c>
      <c r="H8" s="83" t="s">
        <v>149</v>
      </c>
      <c r="I8" s="83" t="s">
        <v>149</v>
      </c>
      <c r="J8" s="93"/>
      <c r="K8" s="408"/>
      <c r="L8" s="409"/>
      <c r="M8" s="410"/>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74" t="s">
        <v>1631</v>
      </c>
      <c r="C10" s="84" t="s">
        <v>1632</v>
      </c>
      <c r="D10" s="88" t="s">
        <v>174</v>
      </c>
      <c r="E10" s="85"/>
      <c r="F10" s="86"/>
      <c r="G10" s="87">
        <f t="shared" si="0"/>
        <v>2</v>
      </c>
      <c r="H10" s="83" t="s">
        <v>149</v>
      </c>
      <c r="I10" s="83" t="s">
        <v>149</v>
      </c>
      <c r="J10" s="93"/>
      <c r="K10" s="280"/>
      <c r="L10" s="291"/>
      <c r="M10" s="292"/>
    </row>
    <row r="11" spans="1:16" ht="12" customHeight="1">
      <c r="A11" s="83">
        <f t="shared" si="1"/>
        <v>5</v>
      </c>
      <c r="B11" s="118" t="s">
        <v>380</v>
      </c>
      <c r="C11" s="84" t="s">
        <v>381</v>
      </c>
      <c r="D11" s="88" t="s">
        <v>150</v>
      </c>
      <c r="E11" s="85">
        <v>3</v>
      </c>
      <c r="F11" s="86"/>
      <c r="G11" s="87">
        <f t="shared" si="0"/>
        <v>3</v>
      </c>
      <c r="H11" s="83" t="s">
        <v>149</v>
      </c>
      <c r="I11" s="83"/>
      <c r="J11" s="93"/>
      <c r="K11" s="408"/>
      <c r="L11" s="409"/>
      <c r="M11" s="410"/>
      <c r="P11" s="75" t="s">
        <v>165</v>
      </c>
    </row>
    <row r="12" spans="1:16" ht="12" customHeight="1">
      <c r="A12" s="83">
        <f t="shared" si="1"/>
        <v>6</v>
      </c>
      <c r="B12" s="118" t="s">
        <v>243</v>
      </c>
      <c r="C12" s="84" t="s">
        <v>244</v>
      </c>
      <c r="D12" s="88" t="s">
        <v>150</v>
      </c>
      <c r="E12" s="85">
        <v>7</v>
      </c>
      <c r="F12" s="86"/>
      <c r="G12" s="87">
        <f t="shared" si="0"/>
        <v>7</v>
      </c>
      <c r="H12" s="83" t="s">
        <v>149</v>
      </c>
      <c r="I12" s="83"/>
      <c r="J12" s="93"/>
      <c r="K12" s="408"/>
      <c r="L12" s="409"/>
      <c r="M12" s="410"/>
    </row>
    <row r="13" spans="1:16" ht="12" customHeight="1">
      <c r="A13" s="83">
        <f t="shared" si="1"/>
        <v>7</v>
      </c>
      <c r="B13" s="118" t="s">
        <v>257</v>
      </c>
      <c r="C13" s="84" t="s">
        <v>258</v>
      </c>
      <c r="D13" s="88" t="s">
        <v>150</v>
      </c>
      <c r="E13" s="85">
        <v>30</v>
      </c>
      <c r="F13" s="86"/>
      <c r="G13" s="87">
        <f t="shared" si="0"/>
        <v>30</v>
      </c>
      <c r="H13" s="83" t="s">
        <v>149</v>
      </c>
      <c r="I13" s="83"/>
      <c r="J13" s="93"/>
      <c r="K13" s="280"/>
      <c r="L13" s="291"/>
      <c r="M13" s="292"/>
    </row>
    <row r="14" spans="1:16" ht="12" customHeight="1">
      <c r="A14" s="83">
        <f t="shared" si="1"/>
        <v>8</v>
      </c>
      <c r="B14" s="118" t="s">
        <v>275</v>
      </c>
      <c r="C14" s="84" t="s">
        <v>276</v>
      </c>
      <c r="D14" s="88" t="s">
        <v>150</v>
      </c>
      <c r="E14" s="85">
        <v>60</v>
      </c>
      <c r="F14" s="86"/>
      <c r="G14" s="87">
        <f t="shared" si="0"/>
        <v>60</v>
      </c>
      <c r="H14" s="83" t="s">
        <v>149</v>
      </c>
      <c r="I14" s="83"/>
      <c r="J14" s="93"/>
      <c r="K14" s="411"/>
      <c r="L14" s="412"/>
      <c r="M14" s="413"/>
    </row>
    <row r="15" spans="1:16" ht="12" customHeight="1">
      <c r="A15" s="83">
        <f t="shared" si="1"/>
        <v>9</v>
      </c>
      <c r="B15" s="121" t="s">
        <v>323</v>
      </c>
      <c r="C15" s="84" t="s">
        <v>324</v>
      </c>
      <c r="D15" s="88" t="s">
        <v>150</v>
      </c>
      <c r="E15" s="85">
        <v>1</v>
      </c>
      <c r="F15" s="86"/>
      <c r="G15" s="87">
        <f t="shared" si="0"/>
        <v>1</v>
      </c>
      <c r="H15" s="83" t="s">
        <v>149</v>
      </c>
      <c r="I15" s="83"/>
      <c r="J15" s="93"/>
      <c r="K15" s="280"/>
      <c r="L15" s="291"/>
      <c r="M15" s="292"/>
    </row>
    <row r="16" spans="1:16" ht="12" customHeight="1">
      <c r="A16" s="83">
        <f t="shared" si="1"/>
        <v>10</v>
      </c>
      <c r="B16" s="118" t="s">
        <v>271</v>
      </c>
      <c r="C16" s="84" t="s">
        <v>272</v>
      </c>
      <c r="D16" s="88" t="s">
        <v>150</v>
      </c>
      <c r="E16" s="85">
        <v>40</v>
      </c>
      <c r="F16" s="86"/>
      <c r="G16" s="87">
        <f t="shared" si="0"/>
        <v>40</v>
      </c>
      <c r="H16" s="83" t="s">
        <v>149</v>
      </c>
      <c r="I16" s="83"/>
      <c r="J16" s="93"/>
      <c r="K16" s="274"/>
      <c r="L16" s="275"/>
      <c r="M16" s="276"/>
    </row>
    <row r="17" spans="1:16" ht="12" customHeight="1">
      <c r="A17" s="83">
        <f t="shared" si="1"/>
        <v>11</v>
      </c>
      <c r="B17" s="11" t="s">
        <v>273</v>
      </c>
      <c r="C17" s="84" t="s">
        <v>274</v>
      </c>
      <c r="D17" s="88" t="s">
        <v>150</v>
      </c>
      <c r="E17" s="85">
        <v>15</v>
      </c>
      <c r="F17" s="86"/>
      <c r="G17" s="87">
        <f t="shared" si="0"/>
        <v>15</v>
      </c>
      <c r="H17" s="83" t="s">
        <v>149</v>
      </c>
      <c r="I17" s="83"/>
      <c r="J17" s="93"/>
      <c r="K17" s="274"/>
      <c r="L17" s="275"/>
      <c r="M17" s="276"/>
    </row>
    <row r="18" spans="1:16" ht="12" customHeight="1">
      <c r="A18" s="83">
        <f t="shared" si="1"/>
        <v>12</v>
      </c>
      <c r="B18" s="118" t="s">
        <v>308</v>
      </c>
      <c r="C18" s="84" t="s">
        <v>309</v>
      </c>
      <c r="D18" s="88" t="s">
        <v>150</v>
      </c>
      <c r="E18" s="85">
        <v>30</v>
      </c>
      <c r="F18" s="86"/>
      <c r="G18" s="87">
        <f t="shared" si="0"/>
        <v>30</v>
      </c>
      <c r="H18" s="83" t="s">
        <v>149</v>
      </c>
      <c r="I18" s="83"/>
      <c r="J18" s="93"/>
      <c r="K18" s="274"/>
      <c r="L18" s="275"/>
      <c r="M18" s="276"/>
    </row>
    <row r="19" spans="1:16" ht="12" customHeight="1">
      <c r="A19" s="83">
        <f t="shared" si="1"/>
        <v>13</v>
      </c>
      <c r="B19" s="118" t="s">
        <v>281</v>
      </c>
      <c r="C19" s="84" t="s">
        <v>282</v>
      </c>
      <c r="D19" s="88" t="s">
        <v>150</v>
      </c>
      <c r="E19" s="85">
        <v>60</v>
      </c>
      <c r="F19" s="86"/>
      <c r="G19" s="87">
        <f t="shared" si="0"/>
        <v>60</v>
      </c>
      <c r="H19" s="83" t="s">
        <v>149</v>
      </c>
      <c r="I19" s="83"/>
      <c r="J19" s="93"/>
      <c r="K19" s="408"/>
      <c r="L19" s="409"/>
      <c r="M19" s="410"/>
    </row>
    <row r="20" spans="1:16" ht="12" customHeight="1">
      <c r="A20" s="83">
        <f t="shared" si="1"/>
        <v>14</v>
      </c>
      <c r="B20" s="118" t="s">
        <v>261</v>
      </c>
      <c r="C20" s="84" t="s">
        <v>262</v>
      </c>
      <c r="D20" s="88" t="s">
        <v>150</v>
      </c>
      <c r="E20" s="85">
        <v>40</v>
      </c>
      <c r="F20" s="86"/>
      <c r="G20" s="87">
        <f t="shared" si="0"/>
        <v>40</v>
      </c>
      <c r="H20" s="83" t="s">
        <v>149</v>
      </c>
      <c r="I20" s="83"/>
      <c r="J20" s="93"/>
      <c r="K20" s="274"/>
      <c r="L20" s="275"/>
      <c r="M20" s="276"/>
    </row>
    <row r="21" spans="1:16" ht="12" customHeight="1">
      <c r="A21" s="83">
        <f t="shared" si="1"/>
        <v>15</v>
      </c>
      <c r="B21" s="73" t="s">
        <v>291</v>
      </c>
      <c r="C21" s="84" t="s">
        <v>292</v>
      </c>
      <c r="D21" s="88" t="s">
        <v>150</v>
      </c>
      <c r="E21" s="85">
        <v>1</v>
      </c>
      <c r="F21" s="86"/>
      <c r="G21" s="87">
        <f t="shared" si="0"/>
        <v>1</v>
      </c>
      <c r="H21" s="83" t="s">
        <v>149</v>
      </c>
      <c r="I21" s="83"/>
      <c r="J21" s="93"/>
      <c r="K21" s="280" t="s">
        <v>293</v>
      </c>
      <c r="L21" s="291"/>
      <c r="M21" s="292"/>
      <c r="N21" s="122"/>
      <c r="O21" s="99"/>
      <c r="P21" s="99"/>
    </row>
    <row r="22" spans="1:16" ht="27.75" customHeight="1">
      <c r="A22" s="83">
        <f t="shared" si="1"/>
        <v>16</v>
      </c>
      <c r="B22" s="11" t="s">
        <v>294</v>
      </c>
      <c r="C22" s="84" t="s">
        <v>295</v>
      </c>
      <c r="D22" s="88" t="s">
        <v>150</v>
      </c>
      <c r="E22" s="85">
        <v>8</v>
      </c>
      <c r="F22" s="86"/>
      <c r="G22" s="87">
        <f t="shared" si="0"/>
        <v>8</v>
      </c>
      <c r="H22" s="83" t="s">
        <v>149</v>
      </c>
      <c r="I22" s="83"/>
      <c r="J22" s="93"/>
      <c r="K22" s="280" t="s">
        <v>296</v>
      </c>
      <c r="L22" s="275"/>
      <c r="M22" s="276"/>
      <c r="N22" s="123"/>
    </row>
    <row r="23" spans="1:16" ht="27.75" customHeight="1">
      <c r="A23" s="83">
        <f t="shared" si="1"/>
        <v>17</v>
      </c>
      <c r="B23" s="11" t="s">
        <v>297</v>
      </c>
      <c r="C23" s="84" t="s">
        <v>298</v>
      </c>
      <c r="D23" s="88" t="s">
        <v>150</v>
      </c>
      <c r="E23" s="85">
        <v>1</v>
      </c>
      <c r="F23" s="86"/>
      <c r="G23" s="87">
        <f t="shared" si="0"/>
        <v>1</v>
      </c>
      <c r="H23" s="83" t="s">
        <v>149</v>
      </c>
      <c r="I23" s="83"/>
      <c r="J23" s="93"/>
      <c r="K23" s="299" t="s">
        <v>299</v>
      </c>
      <c r="L23" s="300"/>
      <c r="M23" s="301"/>
    </row>
    <row r="24" spans="1:16" ht="27.75" customHeight="1">
      <c r="A24" s="83">
        <f t="shared" si="1"/>
        <v>18</v>
      </c>
      <c r="B24" s="11" t="s">
        <v>300</v>
      </c>
      <c r="C24" s="84" t="s">
        <v>301</v>
      </c>
      <c r="D24" s="88" t="s">
        <v>150</v>
      </c>
      <c r="E24" s="85">
        <v>3</v>
      </c>
      <c r="F24" s="86"/>
      <c r="G24" s="87">
        <f t="shared" si="0"/>
        <v>3</v>
      </c>
      <c r="H24" s="83" t="s">
        <v>149</v>
      </c>
      <c r="I24" s="83"/>
      <c r="J24" s="93"/>
      <c r="K24" s="299" t="s">
        <v>302</v>
      </c>
      <c r="L24" s="300"/>
      <c r="M24" s="301"/>
    </row>
    <row r="25" spans="1:16" ht="27.75" customHeight="1">
      <c r="A25" s="83">
        <f t="shared" si="1"/>
        <v>19</v>
      </c>
      <c r="B25" s="73" t="s">
        <v>303</v>
      </c>
      <c r="C25" s="84" t="s">
        <v>304</v>
      </c>
      <c r="D25" s="88" t="s">
        <v>150</v>
      </c>
      <c r="E25" s="85">
        <v>1</v>
      </c>
      <c r="F25" s="86"/>
      <c r="G25" s="87">
        <f t="shared" si="0"/>
        <v>1</v>
      </c>
      <c r="H25" s="83" t="s">
        <v>149</v>
      </c>
      <c r="I25" s="83"/>
      <c r="J25" s="93"/>
      <c r="K25" s="280" t="s">
        <v>305</v>
      </c>
      <c r="L25" s="291"/>
      <c r="M25" s="292"/>
    </row>
    <row r="26" spans="1:16" ht="12" customHeight="1">
      <c r="A26" s="83">
        <f t="shared" si="1"/>
        <v>20</v>
      </c>
      <c r="B26" s="11" t="s">
        <v>535</v>
      </c>
      <c r="C26" s="84" t="s">
        <v>536</v>
      </c>
      <c r="D26" s="88" t="s">
        <v>150</v>
      </c>
      <c r="E26" s="85">
        <v>4</v>
      </c>
      <c r="F26" s="86"/>
      <c r="G26" s="87">
        <f t="shared" si="0"/>
        <v>4</v>
      </c>
      <c r="H26" s="83" t="s">
        <v>149</v>
      </c>
      <c r="I26" s="83"/>
      <c r="J26" s="93"/>
      <c r="K26" s="308"/>
      <c r="L26" s="278"/>
      <c r="M26" s="279"/>
    </row>
    <row r="27" spans="1:16" ht="12" customHeight="1">
      <c r="A27" s="83">
        <f t="shared" si="1"/>
        <v>21</v>
      </c>
      <c r="B27" s="11" t="s">
        <v>537</v>
      </c>
      <c r="C27" s="84" t="s">
        <v>538</v>
      </c>
      <c r="D27" s="88" t="s">
        <v>195</v>
      </c>
      <c r="E27" s="85"/>
      <c r="F27" s="86"/>
      <c r="G27" s="87">
        <f t="shared" si="0"/>
        <v>3</v>
      </c>
      <c r="H27" s="83" t="s">
        <v>149</v>
      </c>
      <c r="I27" s="83"/>
      <c r="J27" s="93"/>
      <c r="K27" s="274"/>
      <c r="L27" s="275"/>
      <c r="M27" s="276"/>
    </row>
    <row r="28" spans="1:16" ht="12" customHeight="1">
      <c r="A28" s="83">
        <f t="shared" si="1"/>
        <v>22</v>
      </c>
      <c r="B28" s="11" t="s">
        <v>539</v>
      </c>
      <c r="C28" s="84" t="s">
        <v>540</v>
      </c>
      <c r="D28" s="88" t="s">
        <v>164</v>
      </c>
      <c r="E28" s="85"/>
      <c r="F28" s="86"/>
      <c r="G28" s="87">
        <f t="shared" si="0"/>
        <v>4</v>
      </c>
      <c r="H28" s="83" t="s">
        <v>149</v>
      </c>
      <c r="I28" s="83"/>
      <c r="J28" s="93"/>
      <c r="K28" s="274"/>
      <c r="L28" s="275"/>
      <c r="M28" s="276"/>
    </row>
    <row r="29" spans="1:16" ht="12" customHeight="1">
      <c r="A29" s="83">
        <f t="shared" si="1"/>
        <v>23</v>
      </c>
      <c r="B29" s="11" t="s">
        <v>541</v>
      </c>
      <c r="C29" s="84" t="s">
        <v>542</v>
      </c>
      <c r="D29" s="88" t="s">
        <v>150</v>
      </c>
      <c r="E29" s="85">
        <v>4</v>
      </c>
      <c r="F29" s="86"/>
      <c r="G29" s="87">
        <f t="shared" si="0"/>
        <v>4</v>
      </c>
      <c r="H29" s="83" t="s">
        <v>149</v>
      </c>
      <c r="I29" s="83"/>
      <c r="J29" s="93"/>
      <c r="K29" s="274"/>
      <c r="L29" s="275"/>
      <c r="M29" s="276"/>
    </row>
    <row r="30" spans="1:16" ht="12" customHeight="1">
      <c r="A30" s="83">
        <f t="shared" si="1"/>
        <v>24</v>
      </c>
      <c r="B30" s="11" t="s">
        <v>543</v>
      </c>
      <c r="C30" s="84" t="s">
        <v>544</v>
      </c>
      <c r="D30" s="88" t="s">
        <v>150</v>
      </c>
      <c r="E30" s="85">
        <v>1</v>
      </c>
      <c r="F30" s="86"/>
      <c r="G30" s="87">
        <f t="shared" si="0"/>
        <v>1</v>
      </c>
      <c r="H30" s="83" t="s">
        <v>149</v>
      </c>
      <c r="I30" s="83"/>
      <c r="J30" s="93"/>
      <c r="K30" s="274" t="s">
        <v>545</v>
      </c>
      <c r="L30" s="275"/>
      <c r="M30" s="276"/>
    </row>
    <row r="31" spans="1:16" ht="12" customHeight="1">
      <c r="A31" s="83">
        <f t="shared" si="1"/>
        <v>25</v>
      </c>
      <c r="B31" s="11" t="s">
        <v>546</v>
      </c>
      <c r="C31" s="84" t="s">
        <v>547</v>
      </c>
      <c r="D31" s="88" t="s">
        <v>150</v>
      </c>
      <c r="E31" s="85">
        <v>5</v>
      </c>
      <c r="F31" s="86"/>
      <c r="G31" s="87">
        <f t="shared" si="0"/>
        <v>5</v>
      </c>
      <c r="H31" s="83" t="s">
        <v>149</v>
      </c>
      <c r="I31" s="83"/>
      <c r="J31" s="93"/>
      <c r="K31" s="274"/>
      <c r="L31" s="275"/>
      <c r="M31" s="276"/>
    </row>
    <row r="32" spans="1:16" ht="12" customHeight="1">
      <c r="A32" s="83">
        <f t="shared" si="1"/>
        <v>26</v>
      </c>
      <c r="B32" s="11" t="s">
        <v>548</v>
      </c>
      <c r="C32" s="84" t="s">
        <v>549</v>
      </c>
      <c r="D32" s="88" t="s">
        <v>150</v>
      </c>
      <c r="E32" s="85">
        <v>1</v>
      </c>
      <c r="F32" s="86"/>
      <c r="G32" s="87">
        <f t="shared" si="0"/>
        <v>1</v>
      </c>
      <c r="H32" s="83" t="s">
        <v>149</v>
      </c>
      <c r="I32" s="83"/>
      <c r="J32" s="93"/>
      <c r="K32" s="274" t="s">
        <v>550</v>
      </c>
      <c r="L32" s="275"/>
      <c r="M32" s="276"/>
    </row>
    <row r="33" spans="1:13" ht="51.75" customHeight="1">
      <c r="A33" s="83">
        <f t="shared" si="1"/>
        <v>27</v>
      </c>
      <c r="B33" s="11" t="s">
        <v>384</v>
      </c>
      <c r="C33" s="84" t="s">
        <v>385</v>
      </c>
      <c r="D33" s="88" t="s">
        <v>150</v>
      </c>
      <c r="E33" s="85">
        <v>40</v>
      </c>
      <c r="F33" s="86"/>
      <c r="G33" s="87">
        <f t="shared" si="0"/>
        <v>40</v>
      </c>
      <c r="H33" s="83" t="s">
        <v>149</v>
      </c>
      <c r="I33" s="83"/>
      <c r="J33" s="93"/>
      <c r="K33" s="280" t="s">
        <v>386</v>
      </c>
      <c r="L33" s="275"/>
      <c r="M33" s="276"/>
    </row>
    <row r="34" spans="1:13" ht="12" customHeight="1">
      <c r="A34" s="83">
        <f t="shared" si="1"/>
        <v>28</v>
      </c>
      <c r="B34" s="74" t="s">
        <v>1633</v>
      </c>
      <c r="C34" s="84" t="s">
        <v>1634</v>
      </c>
      <c r="D34" s="88" t="s">
        <v>234</v>
      </c>
      <c r="E34" s="85"/>
      <c r="F34" s="86"/>
      <c r="G34" s="87">
        <f t="shared" si="0"/>
        <v>10</v>
      </c>
      <c r="H34" s="83" t="s">
        <v>149</v>
      </c>
      <c r="I34" s="83"/>
      <c r="J34" s="93"/>
      <c r="K34" s="274"/>
      <c r="L34" s="275"/>
      <c r="M34" s="276"/>
    </row>
    <row r="35" spans="1:13" ht="12" customHeight="1">
      <c r="A35" s="83">
        <f t="shared" si="1"/>
        <v>29</v>
      </c>
      <c r="B35" s="74" t="s">
        <v>232</v>
      </c>
      <c r="C35" s="84" t="s">
        <v>233</v>
      </c>
      <c r="D35" s="88" t="s">
        <v>234</v>
      </c>
      <c r="E35" s="85"/>
      <c r="F35" s="86"/>
      <c r="G35" s="87">
        <f t="shared" si="0"/>
        <v>10</v>
      </c>
      <c r="H35" s="83" t="s">
        <v>149</v>
      </c>
      <c r="I35" s="83"/>
      <c r="J35" s="93"/>
      <c r="K35" s="274"/>
      <c r="L35" s="275"/>
      <c r="M35" s="276"/>
    </row>
    <row r="36" spans="1:13" ht="12" customHeight="1">
      <c r="A36" s="83"/>
      <c r="B36" s="11"/>
      <c r="C36" s="84"/>
      <c r="D36" s="88"/>
      <c r="E36" s="85"/>
      <c r="F36" s="86"/>
      <c r="G36" s="87"/>
      <c r="H36" s="83"/>
      <c r="I36" s="83"/>
      <c r="J36" s="93"/>
      <c r="K36" s="274"/>
      <c r="L36" s="275"/>
      <c r="M36" s="276"/>
    </row>
    <row r="37" spans="1:13" ht="12" customHeight="1">
      <c r="A37" s="83"/>
      <c r="B37" s="11"/>
      <c r="C37" s="84"/>
      <c r="D37" s="88"/>
      <c r="E37" s="85"/>
      <c r="F37" s="86"/>
      <c r="G37" s="87"/>
      <c r="H37" s="83"/>
      <c r="I37" s="83"/>
      <c r="J37" s="93"/>
      <c r="K37" s="84"/>
      <c r="L37" s="94"/>
      <c r="M37" s="95"/>
    </row>
    <row r="38" spans="1:13" ht="12" customHeight="1">
      <c r="A38" s="83"/>
      <c r="B38" s="11"/>
      <c r="C38" s="84"/>
      <c r="D38" s="88"/>
      <c r="E38" s="85"/>
      <c r="F38" s="86"/>
      <c r="G38" s="87"/>
      <c r="H38" s="83"/>
      <c r="I38" s="83"/>
      <c r="J38" s="93"/>
      <c r="K38" s="84"/>
      <c r="L38" s="94"/>
      <c r="M38" s="95"/>
    </row>
    <row r="39" spans="1:13" ht="12" customHeight="1">
      <c r="A39" s="83"/>
      <c r="B39" s="11"/>
      <c r="C39" s="84"/>
      <c r="D39" s="88"/>
      <c r="E39" s="85"/>
      <c r="F39" s="86"/>
      <c r="G39" s="87"/>
      <c r="H39" s="83"/>
      <c r="I39" s="83"/>
      <c r="J39" s="93"/>
      <c r="K39" s="84"/>
      <c r="L39" s="94"/>
      <c r="M39" s="95"/>
    </row>
    <row r="40" spans="1:13" ht="12" customHeight="1">
      <c r="A40" s="83"/>
      <c r="B40" s="11"/>
      <c r="C40" s="84"/>
      <c r="D40" s="88"/>
      <c r="E40" s="85"/>
      <c r="F40" s="86"/>
      <c r="G40" s="87"/>
      <c r="H40" s="83"/>
      <c r="I40" s="83"/>
      <c r="J40" s="93"/>
      <c r="K40" s="84"/>
      <c r="L40" s="94"/>
      <c r="M40" s="95"/>
    </row>
    <row r="41" spans="1:13" ht="12" customHeight="1">
      <c r="A41" s="83"/>
      <c r="B41" s="11"/>
      <c r="C41" s="84"/>
      <c r="D41" s="88"/>
      <c r="E41" s="85"/>
      <c r="F41" s="86"/>
      <c r="G41" s="87"/>
      <c r="H41" s="83"/>
      <c r="I41" s="83"/>
      <c r="J41" s="93"/>
      <c r="K41" s="84"/>
      <c r="L41" s="94"/>
      <c r="M41" s="95"/>
    </row>
    <row r="42" spans="1:13" ht="12" customHeight="1">
      <c r="A42" s="83"/>
      <c r="B42" s="74"/>
      <c r="C42" s="84"/>
      <c r="D42" s="88"/>
      <c r="E42" s="85"/>
      <c r="F42" s="86"/>
      <c r="G42" s="87"/>
      <c r="H42" s="83"/>
      <c r="I42" s="83"/>
      <c r="J42" s="93"/>
      <c r="K42" s="84"/>
      <c r="L42" s="94"/>
      <c r="M42" s="95"/>
    </row>
    <row r="43" spans="1:13" ht="12" customHeight="1">
      <c r="A43" s="83"/>
      <c r="B43" s="74"/>
      <c r="C43" s="84"/>
      <c r="D43" s="88"/>
      <c r="E43" s="85"/>
      <c r="F43" s="86"/>
      <c r="G43" s="87"/>
      <c r="H43" s="83"/>
      <c r="I43" s="83"/>
      <c r="J43" s="93"/>
      <c r="K43" s="84"/>
      <c r="L43" s="94"/>
      <c r="M43" s="95"/>
    </row>
    <row r="44" spans="1:13" ht="12" customHeight="1">
      <c r="A44" s="83"/>
      <c r="B44" s="74"/>
      <c r="C44" s="84"/>
      <c r="D44" s="88"/>
      <c r="E44" s="85"/>
      <c r="F44" s="86"/>
      <c r="G44" s="87"/>
      <c r="H44" s="83"/>
      <c r="I44" s="83"/>
      <c r="J44" s="93"/>
      <c r="K44" s="84"/>
      <c r="L44" s="94"/>
      <c r="M44" s="95"/>
    </row>
    <row r="45" spans="1:13" ht="12" customHeight="1">
      <c r="A45" s="83" t="str">
        <f t="shared" ref="A45:A69" si="2">IF(B45=""," ",A44+1)</f>
        <v xml:space="preserve"> </v>
      </c>
      <c r="B45" s="74"/>
      <c r="C45" s="84"/>
      <c r="D45" s="88"/>
      <c r="E45" s="85"/>
      <c r="F45" s="86"/>
      <c r="G45" s="87"/>
      <c r="H45" s="83"/>
      <c r="I45" s="83"/>
      <c r="J45" s="93"/>
      <c r="K45" s="84"/>
      <c r="L45" s="94"/>
      <c r="M45" s="95"/>
    </row>
    <row r="46" spans="1:13" ht="12" customHeight="1">
      <c r="A46" s="83" t="str">
        <f t="shared" si="2"/>
        <v xml:space="preserve"> </v>
      </c>
      <c r="B46" s="74"/>
      <c r="C46" s="84"/>
      <c r="D46" s="88"/>
      <c r="E46" s="85"/>
      <c r="F46" s="86"/>
      <c r="G46" s="87"/>
      <c r="H46" s="83"/>
      <c r="I46" s="83"/>
      <c r="J46" s="93"/>
      <c r="K46" s="84"/>
      <c r="L46" s="94"/>
      <c r="M46" s="95"/>
    </row>
    <row r="47" spans="1:13" ht="12" customHeight="1">
      <c r="A47" s="83" t="str">
        <f t="shared" si="2"/>
        <v xml:space="preserve"> </v>
      </c>
      <c r="B47" s="74"/>
      <c r="C47" s="84"/>
      <c r="D47" s="88"/>
      <c r="E47" s="85"/>
      <c r="F47" s="86"/>
      <c r="G47" s="87"/>
      <c r="H47" s="83"/>
      <c r="I47" s="83"/>
      <c r="J47" s="93"/>
      <c r="K47" s="84"/>
      <c r="L47" s="94"/>
      <c r="M47" s="95"/>
    </row>
    <row r="48" spans="1:13" ht="12" customHeight="1">
      <c r="A48" s="83" t="str">
        <f t="shared" si="2"/>
        <v xml:space="preserve"> </v>
      </c>
      <c r="B48" s="74"/>
      <c r="C48" s="84"/>
      <c r="D48" s="88"/>
      <c r="E48" s="85"/>
      <c r="F48" s="86"/>
      <c r="G48" s="87"/>
      <c r="H48" s="83"/>
      <c r="I48" s="83"/>
      <c r="J48" s="93"/>
      <c r="K48" s="84"/>
      <c r="L48" s="94"/>
      <c r="M48" s="95"/>
    </row>
    <row r="49" spans="1:13" ht="12" customHeight="1">
      <c r="A49" s="83" t="str">
        <f t="shared" si="2"/>
        <v xml:space="preserve"> </v>
      </c>
      <c r="B49" s="74"/>
      <c r="C49" s="84"/>
      <c r="D49" s="88"/>
      <c r="E49" s="85"/>
      <c r="F49" s="86"/>
      <c r="G49" s="87"/>
      <c r="H49" s="83"/>
      <c r="I49" s="83"/>
      <c r="J49" s="93"/>
      <c r="K49" s="84"/>
      <c r="L49" s="94"/>
      <c r="M49" s="95"/>
    </row>
    <row r="50" spans="1:13" ht="12" customHeight="1">
      <c r="A50" s="83" t="str">
        <f t="shared" si="2"/>
        <v xml:space="preserve"> </v>
      </c>
      <c r="B50" s="74"/>
      <c r="C50" s="84"/>
      <c r="D50" s="88"/>
      <c r="E50" s="85"/>
      <c r="F50" s="86"/>
      <c r="G50" s="87"/>
      <c r="H50" s="83"/>
      <c r="I50" s="83"/>
      <c r="J50" s="93"/>
      <c r="K50" s="84"/>
      <c r="L50" s="94"/>
      <c r="M50" s="95"/>
    </row>
    <row r="51" spans="1:13" ht="12" customHeight="1">
      <c r="A51" s="83" t="str">
        <f t="shared" si="2"/>
        <v xml:space="preserve"> </v>
      </c>
      <c r="B51" s="74"/>
      <c r="C51" s="84"/>
      <c r="D51" s="88"/>
      <c r="E51" s="85"/>
      <c r="F51" s="86"/>
      <c r="G51" s="87"/>
      <c r="H51" s="83"/>
      <c r="I51" s="83"/>
      <c r="J51" s="93"/>
      <c r="K51" s="84"/>
      <c r="L51" s="94"/>
      <c r="M51" s="95"/>
    </row>
    <row r="52" spans="1:13" ht="12" customHeight="1">
      <c r="A52" s="83" t="str">
        <f t="shared" si="2"/>
        <v xml:space="preserve"> </v>
      </c>
      <c r="B52" s="74"/>
      <c r="C52" s="84"/>
      <c r="D52" s="88"/>
      <c r="E52" s="85"/>
      <c r="F52" s="86"/>
      <c r="G52" s="87"/>
      <c r="H52" s="83"/>
      <c r="I52" s="83"/>
      <c r="J52" s="93"/>
      <c r="K52" s="84"/>
      <c r="L52" s="94"/>
      <c r="M52" s="95"/>
    </row>
    <row r="53" spans="1:13" ht="12" customHeight="1">
      <c r="A53" s="83" t="str">
        <f t="shared" si="2"/>
        <v xml:space="preserve"> </v>
      </c>
      <c r="B53" s="74"/>
      <c r="C53" s="84"/>
      <c r="D53" s="88"/>
      <c r="E53" s="85"/>
      <c r="F53" s="86"/>
      <c r="G53" s="87"/>
      <c r="H53" s="83"/>
      <c r="I53" s="83"/>
      <c r="J53" s="93"/>
      <c r="K53" s="84"/>
      <c r="L53" s="94"/>
      <c r="M53" s="95"/>
    </row>
    <row r="54" spans="1:13" ht="12" customHeight="1">
      <c r="A54" s="83" t="str">
        <f t="shared" si="2"/>
        <v xml:space="preserve"> </v>
      </c>
      <c r="B54" s="74"/>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si="2"/>
        <v xml:space="preserve"> </v>
      </c>
      <c r="B65" s="74"/>
      <c r="C65" s="84"/>
      <c r="D65" s="88"/>
      <c r="E65" s="85"/>
      <c r="F65" s="86"/>
      <c r="G65" s="87"/>
      <c r="H65" s="83"/>
      <c r="I65" s="83"/>
      <c r="J65" s="93"/>
      <c r="K65" s="84"/>
      <c r="L65" s="94"/>
      <c r="M65" s="95"/>
    </row>
    <row r="66" spans="1:13" ht="12" customHeight="1">
      <c r="A66" s="83" t="str">
        <f t="shared" si="2"/>
        <v xml:space="preserve"> </v>
      </c>
      <c r="B66" s="74"/>
      <c r="C66" s="84"/>
      <c r="D66" s="88"/>
      <c r="E66" s="85"/>
      <c r="F66" s="86"/>
      <c r="G66" s="87"/>
      <c r="H66" s="83"/>
      <c r="I66" s="83"/>
      <c r="J66" s="93"/>
      <c r="K66" s="84"/>
      <c r="L66" s="94"/>
      <c r="M66" s="95"/>
    </row>
    <row r="67" spans="1:13" ht="12" customHeight="1">
      <c r="A67" s="83" t="str">
        <f t="shared" si="2"/>
        <v xml:space="preserve"> </v>
      </c>
      <c r="B67" s="74"/>
      <c r="C67" s="84"/>
      <c r="D67" s="88"/>
      <c r="E67" s="85"/>
      <c r="F67" s="86"/>
      <c r="G67" s="87"/>
      <c r="H67" s="83"/>
      <c r="I67" s="83"/>
      <c r="J67" s="93"/>
      <c r="K67" s="84"/>
      <c r="L67" s="94"/>
      <c r="M67" s="95"/>
    </row>
    <row r="68" spans="1:13" ht="12" customHeight="1">
      <c r="A68" s="83" t="str">
        <f t="shared" si="2"/>
        <v xml:space="preserve"> </v>
      </c>
      <c r="B68" s="74"/>
      <c r="C68" s="84"/>
      <c r="D68" s="88"/>
      <c r="E68" s="85"/>
      <c r="F68" s="86"/>
      <c r="G68" s="87"/>
      <c r="H68" s="83"/>
      <c r="I68" s="83"/>
      <c r="J68" s="93"/>
      <c r="K68" s="84"/>
      <c r="L68" s="94"/>
      <c r="M68" s="95"/>
    </row>
    <row r="69" spans="1:13" ht="12" customHeight="1">
      <c r="A69" s="83" t="str">
        <f t="shared" si="2"/>
        <v xml:space="preserve"> </v>
      </c>
      <c r="B69" s="74"/>
      <c r="C69" s="84"/>
      <c r="D69" s="88"/>
      <c r="E69" s="85"/>
      <c r="F69" s="86"/>
      <c r="G69" s="87"/>
      <c r="H69" s="83"/>
      <c r="I69" s="83"/>
      <c r="J69" s="93"/>
      <c r="K69" s="84"/>
      <c r="L69" s="94"/>
      <c r="M69" s="95"/>
    </row>
    <row r="70" spans="1:13" ht="12" customHeight="1">
      <c r="A70" s="83"/>
      <c r="B70" s="11"/>
      <c r="C70" s="84"/>
      <c r="D70" s="88"/>
      <c r="E70" s="85"/>
      <c r="F70" s="86"/>
      <c r="G70" s="87"/>
      <c r="H70" s="83"/>
      <c r="I70" s="83"/>
      <c r="J70" s="93"/>
      <c r="K70" s="274"/>
      <c r="L70" s="275"/>
      <c r="M70" s="276"/>
    </row>
    <row r="71" spans="1:13" ht="12" customHeight="1">
      <c r="A71" s="83"/>
      <c r="B71" s="11"/>
      <c r="C71" s="84"/>
      <c r="D71" s="88"/>
      <c r="E71" s="85"/>
      <c r="F71" s="86"/>
      <c r="G71" s="87"/>
      <c r="H71" s="83"/>
      <c r="I71" s="83"/>
      <c r="J71" s="93"/>
      <c r="K71" s="84"/>
      <c r="L71" s="94"/>
      <c r="M71" s="95"/>
    </row>
    <row r="72" spans="1:13" ht="12" customHeight="1">
      <c r="A72" s="83"/>
      <c r="B72" s="11"/>
      <c r="C72" s="84"/>
      <c r="D72" s="88"/>
      <c r="E72" s="85"/>
      <c r="F72" s="86"/>
      <c r="G72" s="87"/>
      <c r="H72" s="83"/>
      <c r="I72" s="83"/>
      <c r="J72" s="93"/>
      <c r="K72" s="84"/>
      <c r="L72" s="94"/>
      <c r="M72" s="95"/>
    </row>
    <row r="73" spans="1:13" ht="12" customHeight="1">
      <c r="A73" s="83"/>
      <c r="B73" s="11"/>
      <c r="C73" s="84"/>
      <c r="D73" s="88"/>
      <c r="E73" s="85"/>
      <c r="F73" s="86"/>
      <c r="G73" s="87"/>
      <c r="H73" s="83"/>
      <c r="I73" s="83"/>
      <c r="J73" s="93"/>
      <c r="K73" s="84"/>
      <c r="L73" s="94"/>
      <c r="M73" s="95"/>
    </row>
    <row r="74" spans="1:13" ht="12" customHeight="1">
      <c r="A74" s="83"/>
      <c r="B74" s="11"/>
      <c r="C74" s="84"/>
      <c r="D74" s="88"/>
      <c r="E74" s="85"/>
      <c r="F74" s="86"/>
      <c r="G74" s="87"/>
      <c r="H74" s="83"/>
      <c r="I74" s="83"/>
      <c r="J74" s="93"/>
      <c r="K74" s="84"/>
      <c r="L74" s="94"/>
      <c r="M74" s="95"/>
    </row>
    <row r="75" spans="1:13" ht="12" customHeight="1">
      <c r="A75" s="83"/>
      <c r="B75" s="11"/>
      <c r="C75" s="84"/>
      <c r="D75" s="88"/>
      <c r="E75" s="85"/>
      <c r="F75" s="86"/>
      <c r="G75" s="87"/>
      <c r="H75" s="83"/>
      <c r="I75" s="83"/>
      <c r="J75" s="93"/>
      <c r="K75" s="84"/>
      <c r="L75" s="94"/>
      <c r="M75" s="95"/>
    </row>
    <row r="76" spans="1:13" ht="12" customHeight="1">
      <c r="A76" s="83"/>
      <c r="B76" s="74"/>
      <c r="C76" s="84"/>
      <c r="D76" s="88"/>
      <c r="E76" s="85"/>
      <c r="F76" s="86"/>
      <c r="G76" s="87"/>
      <c r="H76" s="83"/>
      <c r="I76" s="83"/>
      <c r="J76" s="93"/>
      <c r="K76" s="84"/>
      <c r="L76" s="94"/>
      <c r="M76" s="95"/>
    </row>
    <row r="77" spans="1:13" ht="12" customHeight="1">
      <c r="A77" s="83"/>
      <c r="B77" s="74"/>
      <c r="C77" s="84"/>
      <c r="D77" s="88"/>
      <c r="E77" s="85"/>
      <c r="F77" s="86"/>
      <c r="G77" s="87"/>
      <c r="H77" s="83"/>
      <c r="I77" s="83"/>
      <c r="J77" s="93"/>
      <c r="K77" s="84"/>
      <c r="L77" s="94"/>
      <c r="M77" s="95"/>
    </row>
    <row r="78" spans="1:13" ht="12" customHeight="1">
      <c r="A78" s="83"/>
      <c r="B78" s="74"/>
      <c r="C78" s="84"/>
      <c r="D78" s="88"/>
      <c r="E78" s="85"/>
      <c r="F78" s="86"/>
      <c r="G78" s="87"/>
      <c r="H78" s="83"/>
      <c r="I78" s="83"/>
      <c r="J78" s="93"/>
      <c r="K78" s="84"/>
      <c r="L78" s="94"/>
      <c r="M78" s="95"/>
    </row>
    <row r="79" spans="1:13" ht="12" customHeight="1">
      <c r="A79" s="83" t="str">
        <f t="shared" ref="A79:A100" si="3">IF(B79=""," ",A78+1)</f>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si="3"/>
        <v xml:space="preserve"> </v>
      </c>
      <c r="B91" s="74"/>
      <c r="C91" s="84"/>
      <c r="D91" s="88"/>
      <c r="E91" s="85"/>
      <c r="F91" s="86"/>
      <c r="G91" s="87"/>
      <c r="H91" s="83"/>
      <c r="I91" s="83"/>
      <c r="J91" s="93"/>
      <c r="K91" s="84"/>
      <c r="L91" s="94"/>
      <c r="M91" s="95"/>
    </row>
    <row r="92" spans="1:13" ht="12" customHeight="1">
      <c r="A92" s="83" t="str">
        <f t="shared" si="3"/>
        <v xml:space="preserve"> </v>
      </c>
      <c r="B92" s="74"/>
      <c r="C92" s="84"/>
      <c r="D92" s="88"/>
      <c r="E92" s="85"/>
      <c r="F92" s="86"/>
      <c r="G92" s="87"/>
      <c r="H92" s="83"/>
      <c r="I92" s="83"/>
      <c r="J92" s="93"/>
      <c r="K92" s="84"/>
      <c r="L92" s="94"/>
      <c r="M92" s="95"/>
    </row>
    <row r="93" spans="1:13" ht="12" customHeight="1">
      <c r="A93" s="83" t="str">
        <f t="shared" si="3"/>
        <v xml:space="preserve"> </v>
      </c>
      <c r="B93" s="74"/>
      <c r="C93" s="84"/>
      <c r="D93" s="88"/>
      <c r="E93" s="85"/>
      <c r="F93" s="86"/>
      <c r="G93" s="87"/>
      <c r="H93" s="83"/>
      <c r="I93" s="83"/>
      <c r="J93" s="93"/>
      <c r="K93" s="84"/>
      <c r="L93" s="94"/>
      <c r="M93" s="95"/>
    </row>
    <row r="94" spans="1:13" ht="12" customHeight="1">
      <c r="A94" s="83" t="str">
        <f t="shared" si="3"/>
        <v xml:space="preserve"> </v>
      </c>
      <c r="B94" s="74"/>
      <c r="C94" s="84"/>
      <c r="D94" s="88"/>
      <c r="E94" s="85"/>
      <c r="F94" s="86"/>
      <c r="G94" s="87"/>
      <c r="H94" s="83"/>
      <c r="I94" s="83"/>
      <c r="J94" s="93"/>
      <c r="K94" s="84"/>
      <c r="L94" s="94"/>
      <c r="M94" s="95"/>
    </row>
    <row r="95" spans="1:13" ht="12" customHeight="1">
      <c r="A95" s="83" t="str">
        <f t="shared" si="3"/>
        <v xml:space="preserve"> </v>
      </c>
      <c r="B95" s="74"/>
      <c r="C95" s="84"/>
      <c r="D95" s="88"/>
      <c r="E95" s="85"/>
      <c r="F95" s="86"/>
      <c r="G95" s="87"/>
      <c r="H95" s="83"/>
      <c r="I95" s="83"/>
      <c r="J95" s="93"/>
      <c r="K95" s="84"/>
      <c r="L95" s="94"/>
      <c r="M95" s="95"/>
    </row>
    <row r="96" spans="1:13" ht="12" customHeight="1">
      <c r="A96" s="83" t="str">
        <f t="shared" si="3"/>
        <v xml:space="preserve"> </v>
      </c>
      <c r="B96" s="74"/>
      <c r="C96" s="84"/>
      <c r="D96" s="88"/>
      <c r="E96" s="85"/>
      <c r="F96" s="86"/>
      <c r="G96" s="87"/>
      <c r="H96" s="83"/>
      <c r="I96" s="83"/>
      <c r="J96" s="93"/>
      <c r="K96" s="84"/>
      <c r="L96" s="94"/>
      <c r="M96" s="95"/>
    </row>
    <row r="97" spans="1:13" ht="12" customHeight="1">
      <c r="A97" s="83" t="str">
        <f t="shared" si="3"/>
        <v xml:space="preserve"> </v>
      </c>
      <c r="B97" s="74"/>
      <c r="C97" s="84"/>
      <c r="D97" s="88"/>
      <c r="E97" s="85"/>
      <c r="F97" s="86"/>
      <c r="G97" s="87"/>
      <c r="H97" s="83"/>
      <c r="I97" s="83"/>
      <c r="J97" s="93"/>
      <c r="K97" s="84"/>
      <c r="L97" s="94"/>
      <c r="M97" s="95"/>
    </row>
    <row r="98" spans="1:13" ht="12" customHeight="1">
      <c r="A98" s="83" t="str">
        <f t="shared" si="3"/>
        <v xml:space="preserve"> </v>
      </c>
      <c r="B98" s="74"/>
      <c r="C98" s="84"/>
      <c r="D98" s="88"/>
      <c r="E98" s="85"/>
      <c r="F98" s="86"/>
      <c r="G98" s="87"/>
      <c r="H98" s="83"/>
      <c r="I98" s="83"/>
      <c r="J98" s="93"/>
      <c r="K98" s="84"/>
      <c r="L98" s="94"/>
      <c r="M98" s="95"/>
    </row>
    <row r="99" spans="1:13" ht="12" customHeight="1">
      <c r="A99" s="83" t="str">
        <f t="shared" si="3"/>
        <v xml:space="preserve"> </v>
      </c>
      <c r="B99" s="74"/>
      <c r="C99" s="84"/>
      <c r="D99" s="88"/>
      <c r="E99" s="85"/>
      <c r="F99" s="86"/>
      <c r="G99" s="87"/>
      <c r="H99" s="83"/>
      <c r="I99" s="83"/>
      <c r="J99" s="93"/>
      <c r="K99" s="84"/>
      <c r="L99" s="94"/>
      <c r="M99" s="95"/>
    </row>
    <row r="100" spans="1:13" ht="12" customHeight="1">
      <c r="A100" s="83" t="str">
        <f t="shared" si="3"/>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238</v>
      </c>
    </row>
    <row r="108" spans="1:13">
      <c r="B108" s="75" t="s">
        <v>450</v>
      </c>
      <c r="C108" s="75" t="s">
        <v>451</v>
      </c>
    </row>
    <row r="110" spans="1:13">
      <c r="B110" s="75" t="s">
        <v>450</v>
      </c>
      <c r="C110" s="75" t="s">
        <v>1635</v>
      </c>
    </row>
    <row r="112" spans="1:13">
      <c r="B112" s="75" t="s">
        <v>591</v>
      </c>
      <c r="C112" s="3" t="s">
        <v>837</v>
      </c>
    </row>
    <row r="114" spans="2:3">
      <c r="B114" s="75" t="s">
        <v>454</v>
      </c>
      <c r="C114" s="75" t="s">
        <v>1636</v>
      </c>
    </row>
  </sheetData>
  <mergeCells count="45">
    <mergeCell ref="K70:M70"/>
    <mergeCell ref="A5:A6"/>
    <mergeCell ref="K5:M6"/>
    <mergeCell ref="K32:M32"/>
    <mergeCell ref="K33:M33"/>
    <mergeCell ref="K34:M34"/>
    <mergeCell ref="K35:M35"/>
    <mergeCell ref="K36:M36"/>
    <mergeCell ref="K27:M27"/>
    <mergeCell ref="K28:M28"/>
    <mergeCell ref="K29:M29"/>
    <mergeCell ref="K30:M30"/>
    <mergeCell ref="K31:M31"/>
    <mergeCell ref="K22:M22"/>
    <mergeCell ref="K23:M23"/>
    <mergeCell ref="K24:M24"/>
    <mergeCell ref="K25:M25"/>
    <mergeCell ref="K26:M26"/>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pageSetUpPr fitToPage="1"/>
  </sheetPr>
  <dimension ref="A1:Q108"/>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1637</v>
      </c>
      <c r="D3" s="265"/>
      <c r="E3" s="265"/>
      <c r="F3" s="265"/>
      <c r="G3" s="266"/>
      <c r="H3" s="259" t="s">
        <v>140</v>
      </c>
      <c r="I3" s="260"/>
      <c r="J3" s="90">
        <f>COUNT(A7:A100)</f>
        <v>7</v>
      </c>
      <c r="K3" s="78" t="s">
        <v>141</v>
      </c>
      <c r="L3" s="91">
        <v>38741</v>
      </c>
      <c r="M3" s="92" t="s">
        <v>1287</v>
      </c>
      <c r="O3" s="75" t="s">
        <v>143</v>
      </c>
      <c r="P3" s="75" t="s">
        <v>144</v>
      </c>
    </row>
    <row r="4" spans="1:16" ht="12" customHeight="1">
      <c r="A4" s="267" t="s">
        <v>145</v>
      </c>
      <c r="B4" s="268"/>
      <c r="C4" s="267" t="s">
        <v>75</v>
      </c>
      <c r="D4" s="269"/>
      <c r="E4" s="269"/>
      <c r="F4" s="269"/>
      <c r="G4" s="268"/>
      <c r="H4" s="259" t="s">
        <v>146</v>
      </c>
      <c r="I4" s="260"/>
      <c r="J4" s="90">
        <f>SUM(G7:G100)</f>
        <v>158</v>
      </c>
      <c r="K4" s="78" t="s">
        <v>147</v>
      </c>
      <c r="L4" s="91">
        <v>38878</v>
      </c>
      <c r="M4" s="83" t="s">
        <v>148</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8" t="s">
        <v>162</v>
      </c>
      <c r="C7" s="119" t="s">
        <v>163</v>
      </c>
      <c r="D7" s="120" t="s">
        <v>164</v>
      </c>
      <c r="E7" s="85"/>
      <c r="F7" s="86"/>
      <c r="G7" s="87">
        <f t="shared" ref="G7:G13" si="0">IF(D7="DATE",4,IF(D7="CHAR",E7,IF(D7="SMALLINT",2,IF(D7="INTEGER",4,IF(D7="TIMESTAMP",10,IF(D7="TIME",3,0))))))</f>
        <v>4</v>
      </c>
      <c r="H7" s="83" t="s">
        <v>149</v>
      </c>
      <c r="I7" s="83" t="s">
        <v>149</v>
      </c>
      <c r="J7" s="93"/>
      <c r="K7" s="408"/>
      <c r="L7" s="409"/>
      <c r="M7" s="410"/>
      <c r="P7" s="75" t="s">
        <v>165</v>
      </c>
    </row>
    <row r="8" spans="1:16" ht="12" customHeight="1">
      <c r="A8" s="83">
        <f t="shared" ref="A8:A13" si="1">IF(B8=""," ",A7+1)</f>
        <v>2</v>
      </c>
      <c r="B8" s="118" t="s">
        <v>166</v>
      </c>
      <c r="C8" s="119" t="s">
        <v>167</v>
      </c>
      <c r="D8" s="120" t="s">
        <v>150</v>
      </c>
      <c r="E8" s="85">
        <v>11</v>
      </c>
      <c r="F8" s="86"/>
      <c r="G8" s="87">
        <f t="shared" si="0"/>
        <v>11</v>
      </c>
      <c r="H8" s="83" t="s">
        <v>149</v>
      </c>
      <c r="I8" s="83" t="s">
        <v>149</v>
      </c>
      <c r="J8" s="93"/>
      <c r="K8" s="408"/>
      <c r="L8" s="409"/>
      <c r="M8" s="410"/>
    </row>
    <row r="9" spans="1:16" ht="27" customHeight="1">
      <c r="A9" s="83">
        <f t="shared" si="1"/>
        <v>3</v>
      </c>
      <c r="B9" s="11" t="s">
        <v>169</v>
      </c>
      <c r="C9" s="19" t="s">
        <v>170</v>
      </c>
      <c r="D9" s="88" t="s">
        <v>150</v>
      </c>
      <c r="E9" s="85">
        <v>1</v>
      </c>
      <c r="F9" s="86"/>
      <c r="G9" s="87">
        <f t="shared" si="0"/>
        <v>1</v>
      </c>
      <c r="H9" s="83" t="s">
        <v>149</v>
      </c>
      <c r="I9" s="83"/>
      <c r="J9" s="93"/>
      <c r="K9" s="271" t="s">
        <v>171</v>
      </c>
      <c r="L9" s="272"/>
      <c r="M9" s="273"/>
    </row>
    <row r="10" spans="1:16" ht="12" customHeight="1">
      <c r="A10" s="83">
        <f t="shared" si="1"/>
        <v>4</v>
      </c>
      <c r="B10" s="74" t="s">
        <v>1631</v>
      </c>
      <c r="C10" s="84" t="s">
        <v>1632</v>
      </c>
      <c r="D10" s="88" t="s">
        <v>174</v>
      </c>
      <c r="E10" s="85"/>
      <c r="F10" s="86"/>
      <c r="G10" s="87">
        <f t="shared" si="0"/>
        <v>2</v>
      </c>
      <c r="H10" s="83" t="s">
        <v>149</v>
      </c>
      <c r="I10" s="83" t="s">
        <v>149</v>
      </c>
      <c r="J10" s="93"/>
      <c r="K10" s="280"/>
      <c r="L10" s="291"/>
      <c r="M10" s="292"/>
    </row>
    <row r="11" spans="1:16" ht="13.5">
      <c r="A11" s="83">
        <f t="shared" si="1"/>
        <v>5</v>
      </c>
      <c r="B11" s="115" t="s">
        <v>1638</v>
      </c>
      <c r="C11" s="84" t="s">
        <v>1639</v>
      </c>
      <c r="D11" s="88" t="s">
        <v>174</v>
      </c>
      <c r="E11" s="85"/>
      <c r="F11" s="86"/>
      <c r="G11" s="87">
        <f t="shared" si="0"/>
        <v>2</v>
      </c>
      <c r="H11" s="83" t="s">
        <v>149</v>
      </c>
      <c r="I11" s="83" t="s">
        <v>149</v>
      </c>
      <c r="J11" s="93"/>
      <c r="K11" s="411"/>
      <c r="L11" s="414"/>
      <c r="M11" s="415"/>
    </row>
    <row r="12" spans="1:16" ht="12" customHeight="1">
      <c r="A12" s="83">
        <f t="shared" si="1"/>
        <v>6</v>
      </c>
      <c r="B12" s="113" t="s">
        <v>1640</v>
      </c>
      <c r="C12" s="84" t="s">
        <v>1641</v>
      </c>
      <c r="D12" s="88" t="s">
        <v>150</v>
      </c>
      <c r="E12" s="85">
        <v>128</v>
      </c>
      <c r="F12" s="86"/>
      <c r="G12" s="87">
        <f t="shared" si="0"/>
        <v>128</v>
      </c>
      <c r="H12" s="83" t="s">
        <v>149</v>
      </c>
      <c r="I12" s="83"/>
      <c r="J12" s="93"/>
      <c r="K12" s="274"/>
      <c r="L12" s="275"/>
      <c r="M12" s="276"/>
    </row>
    <row r="13" spans="1:16" ht="12" customHeight="1">
      <c r="A13" s="83">
        <f t="shared" si="1"/>
        <v>7</v>
      </c>
      <c r="B13" s="74" t="s">
        <v>232</v>
      </c>
      <c r="C13" s="84" t="s">
        <v>233</v>
      </c>
      <c r="D13" s="88" t="s">
        <v>234</v>
      </c>
      <c r="E13" s="85"/>
      <c r="F13" s="86"/>
      <c r="G13" s="87">
        <f t="shared" si="0"/>
        <v>10</v>
      </c>
      <c r="H13" s="83" t="s">
        <v>149</v>
      </c>
      <c r="I13" s="83"/>
      <c r="J13" s="93"/>
      <c r="K13" s="84"/>
      <c r="L13" s="94"/>
      <c r="M13" s="95"/>
    </row>
    <row r="14" spans="1:16" ht="12" customHeight="1">
      <c r="A14" s="83"/>
      <c r="B14" s="115"/>
      <c r="C14" s="84"/>
      <c r="D14" s="88"/>
      <c r="E14" s="85"/>
      <c r="F14" s="86"/>
      <c r="G14" s="87"/>
      <c r="H14" s="83"/>
      <c r="I14" s="83"/>
      <c r="J14" s="93"/>
      <c r="K14" s="115"/>
      <c r="L14" s="116"/>
      <c r="M14" s="117"/>
    </row>
    <row r="15" spans="1:16" ht="12" customHeight="1">
      <c r="A15" s="83"/>
      <c r="B15" s="74"/>
      <c r="C15" s="84"/>
      <c r="D15" s="88"/>
      <c r="E15" s="85"/>
      <c r="F15" s="86"/>
      <c r="G15" s="87"/>
      <c r="H15" s="83"/>
      <c r="I15" s="83"/>
      <c r="J15" s="93"/>
      <c r="K15" s="84"/>
      <c r="L15" s="94"/>
      <c r="M15" s="95"/>
    </row>
    <row r="16" spans="1:16" ht="12" customHeight="1">
      <c r="A16" s="83"/>
      <c r="B16" s="74"/>
      <c r="C16" s="84"/>
      <c r="D16" s="88"/>
      <c r="E16" s="85"/>
      <c r="F16" s="86"/>
      <c r="G16" s="87"/>
      <c r="H16" s="83"/>
      <c r="I16" s="83"/>
      <c r="J16" s="93"/>
      <c r="K16" s="84"/>
      <c r="L16" s="94"/>
      <c r="M16" s="95"/>
    </row>
    <row r="17" spans="1:13" ht="12" customHeight="1">
      <c r="A17" s="83" t="str">
        <f t="shared" ref="A17:A63" si="2">IF(B17=""," ",A16+1)</f>
        <v xml:space="preserve"> </v>
      </c>
      <c r="B17" s="74"/>
      <c r="C17" s="84"/>
      <c r="D17" s="88"/>
      <c r="E17" s="85"/>
      <c r="F17" s="86"/>
      <c r="G17" s="87"/>
      <c r="H17" s="83"/>
      <c r="I17" s="83"/>
      <c r="J17" s="93"/>
      <c r="K17" s="274"/>
      <c r="L17" s="275"/>
      <c r="M17" s="276"/>
    </row>
    <row r="18" spans="1:13" ht="12" customHeight="1">
      <c r="A18" s="83" t="str">
        <f t="shared" si="2"/>
        <v xml:space="preserve"> </v>
      </c>
      <c r="B18" s="74"/>
      <c r="C18" s="84"/>
      <c r="D18" s="88"/>
      <c r="E18" s="85"/>
      <c r="F18" s="86"/>
      <c r="G18" s="87"/>
      <c r="H18" s="83"/>
      <c r="I18" s="83"/>
      <c r="J18" s="93"/>
      <c r="K18" s="274"/>
      <c r="L18" s="275"/>
      <c r="M18" s="276"/>
    </row>
    <row r="19" spans="1:13" ht="12" customHeight="1">
      <c r="A19" s="83" t="str">
        <f t="shared" si="2"/>
        <v xml:space="preserve"> </v>
      </c>
      <c r="B19" s="74"/>
      <c r="C19" s="84"/>
      <c r="D19" s="88"/>
      <c r="E19" s="85"/>
      <c r="F19" s="86"/>
      <c r="G19" s="87"/>
      <c r="H19" s="83"/>
      <c r="I19" s="83"/>
      <c r="J19" s="93"/>
      <c r="K19" s="274"/>
      <c r="L19" s="275"/>
      <c r="M19" s="276"/>
    </row>
    <row r="20" spans="1:13" ht="12" customHeight="1">
      <c r="A20" s="83" t="str">
        <f t="shared" si="2"/>
        <v xml:space="preserve"> </v>
      </c>
      <c r="B20" s="74"/>
      <c r="C20" s="84"/>
      <c r="D20" s="88"/>
      <c r="E20" s="85"/>
      <c r="F20" s="86"/>
      <c r="G20" s="87"/>
      <c r="H20" s="83"/>
      <c r="I20" s="83"/>
      <c r="J20" s="93"/>
      <c r="K20" s="84"/>
      <c r="L20" s="94"/>
      <c r="M20" s="95"/>
    </row>
    <row r="21" spans="1:13" ht="12" customHeight="1">
      <c r="A21" s="83" t="str">
        <f t="shared" si="2"/>
        <v xml:space="preserve"> </v>
      </c>
      <c r="B21" s="74"/>
      <c r="C21" s="84"/>
      <c r="D21" s="88"/>
      <c r="E21" s="85"/>
      <c r="F21" s="86"/>
      <c r="G21" s="87"/>
      <c r="H21" s="83"/>
      <c r="I21" s="83"/>
      <c r="J21" s="93"/>
      <c r="K21" s="84"/>
      <c r="L21" s="94"/>
      <c r="M21" s="95"/>
    </row>
    <row r="22" spans="1:13" ht="12" customHeight="1">
      <c r="A22" s="83" t="str">
        <f t="shared" si="2"/>
        <v xml:space="preserve"> </v>
      </c>
      <c r="B22" s="74"/>
      <c r="C22" s="84"/>
      <c r="D22" s="88"/>
      <c r="E22" s="85"/>
      <c r="F22" s="86"/>
      <c r="G22" s="87"/>
      <c r="H22" s="83"/>
      <c r="I22" s="83"/>
      <c r="J22" s="93"/>
      <c r="K22" s="84"/>
      <c r="L22" s="94"/>
      <c r="M22" s="95"/>
    </row>
    <row r="23" spans="1:13" ht="12" customHeight="1">
      <c r="A23" s="83" t="str">
        <f t="shared" si="2"/>
        <v xml:space="preserve"> </v>
      </c>
      <c r="B23" s="74"/>
      <c r="C23" s="84"/>
      <c r="D23" s="88"/>
      <c r="E23" s="85"/>
      <c r="F23" s="86"/>
      <c r="G23" s="87"/>
      <c r="H23" s="83"/>
      <c r="I23" s="83"/>
      <c r="J23" s="93"/>
      <c r="K23" s="84"/>
      <c r="L23" s="94"/>
      <c r="M23" s="95"/>
    </row>
    <row r="24" spans="1:13" ht="12" customHeight="1">
      <c r="A24" s="83" t="str">
        <f t="shared" si="2"/>
        <v xml:space="preserve"> </v>
      </c>
      <c r="B24" s="74"/>
      <c r="C24" s="84"/>
      <c r="D24" s="88"/>
      <c r="E24" s="85"/>
      <c r="F24" s="86"/>
      <c r="G24" s="87"/>
      <c r="H24" s="83"/>
      <c r="I24" s="83"/>
      <c r="J24" s="93"/>
      <c r="K24" s="84"/>
      <c r="L24" s="94"/>
      <c r="M24" s="95"/>
    </row>
    <row r="25" spans="1:13" ht="12" customHeight="1">
      <c r="A25" s="83" t="str">
        <f t="shared" si="2"/>
        <v xml:space="preserve"> </v>
      </c>
      <c r="B25" s="74"/>
      <c r="C25" s="84"/>
      <c r="D25" s="88"/>
      <c r="E25" s="85"/>
      <c r="F25" s="86"/>
      <c r="G25" s="87"/>
      <c r="H25" s="83"/>
      <c r="I25" s="83"/>
      <c r="J25" s="93"/>
      <c r="K25" s="84"/>
      <c r="L25" s="94"/>
      <c r="M25" s="95"/>
    </row>
    <row r="26" spans="1:13" ht="12" customHeight="1">
      <c r="A26" s="83" t="str">
        <f t="shared" si="2"/>
        <v xml:space="preserve"> </v>
      </c>
      <c r="B26" s="74"/>
      <c r="C26" s="84"/>
      <c r="D26" s="88"/>
      <c r="E26" s="85"/>
      <c r="F26" s="86"/>
      <c r="G26" s="87"/>
      <c r="H26" s="83"/>
      <c r="I26" s="83"/>
      <c r="J26" s="93"/>
      <c r="K26" s="84"/>
      <c r="L26" s="94"/>
      <c r="M26" s="95"/>
    </row>
    <row r="27" spans="1:13" ht="12" customHeight="1">
      <c r="A27" s="83" t="str">
        <f t="shared" si="2"/>
        <v xml:space="preserve"> </v>
      </c>
      <c r="B27" s="74"/>
      <c r="C27" s="84"/>
      <c r="D27" s="88"/>
      <c r="E27" s="85"/>
      <c r="F27" s="86"/>
      <c r="G27" s="87"/>
      <c r="H27" s="83"/>
      <c r="I27" s="83"/>
      <c r="J27" s="93"/>
      <c r="K27" s="84"/>
      <c r="L27" s="94"/>
      <c r="M27" s="95"/>
    </row>
    <row r="28" spans="1:13" ht="12" customHeight="1">
      <c r="A28" s="83" t="str">
        <f t="shared" si="2"/>
        <v xml:space="preserve"> </v>
      </c>
      <c r="B28" s="74"/>
      <c r="C28" s="84"/>
      <c r="D28" s="88"/>
      <c r="E28" s="85"/>
      <c r="F28" s="86"/>
      <c r="G28" s="87"/>
      <c r="H28" s="83"/>
      <c r="I28" s="83"/>
      <c r="J28" s="93"/>
      <c r="K28" s="84"/>
      <c r="L28" s="94"/>
      <c r="M28" s="95"/>
    </row>
    <row r="29" spans="1:13" ht="12" customHeight="1">
      <c r="A29" s="83" t="str">
        <f t="shared" si="2"/>
        <v xml:space="preserve"> </v>
      </c>
      <c r="B29" s="74"/>
      <c r="C29" s="84"/>
      <c r="D29" s="88"/>
      <c r="E29" s="85"/>
      <c r="F29" s="86"/>
      <c r="G29" s="87"/>
      <c r="H29" s="83"/>
      <c r="I29" s="83"/>
      <c r="J29" s="93"/>
      <c r="K29" s="84"/>
      <c r="L29" s="94"/>
      <c r="M29" s="95"/>
    </row>
    <row r="30" spans="1:13" ht="12" customHeight="1">
      <c r="A30" s="83" t="str">
        <f t="shared" si="2"/>
        <v xml:space="preserve"> </v>
      </c>
      <c r="B30" s="74"/>
      <c r="C30" s="84"/>
      <c r="D30" s="88"/>
      <c r="E30" s="85"/>
      <c r="F30" s="86"/>
      <c r="G30" s="87"/>
      <c r="H30" s="83"/>
      <c r="I30" s="83"/>
      <c r="J30" s="93"/>
      <c r="K30" s="84"/>
      <c r="L30" s="94"/>
      <c r="M30" s="95"/>
    </row>
    <row r="31" spans="1:13" ht="12" customHeight="1">
      <c r="A31" s="83" t="str">
        <f t="shared" si="2"/>
        <v xml:space="preserve"> </v>
      </c>
      <c r="B31" s="74"/>
      <c r="C31" s="84"/>
      <c r="D31" s="88"/>
      <c r="E31" s="85"/>
      <c r="F31" s="86"/>
      <c r="G31" s="87"/>
      <c r="H31" s="83"/>
      <c r="I31" s="83"/>
      <c r="J31" s="93"/>
      <c r="K31" s="84"/>
      <c r="L31" s="94"/>
      <c r="M31" s="95"/>
    </row>
    <row r="32" spans="1:13" ht="12" customHeight="1">
      <c r="A32" s="83" t="str">
        <f t="shared" si="2"/>
        <v xml:space="preserve"> </v>
      </c>
      <c r="B32" s="74"/>
      <c r="C32" s="84"/>
      <c r="D32" s="88"/>
      <c r="E32" s="85"/>
      <c r="F32" s="86"/>
      <c r="G32" s="87"/>
      <c r="H32" s="83"/>
      <c r="I32" s="83"/>
      <c r="J32" s="93"/>
      <c r="K32" s="84"/>
      <c r="L32" s="94"/>
      <c r="M32" s="95"/>
    </row>
    <row r="33" spans="1:13" ht="12" customHeight="1">
      <c r="A33" s="83" t="str">
        <f t="shared" si="2"/>
        <v xml:space="preserve"> </v>
      </c>
      <c r="B33" s="74"/>
      <c r="C33" s="84"/>
      <c r="D33" s="88"/>
      <c r="E33" s="85"/>
      <c r="F33" s="86"/>
      <c r="G33" s="87"/>
      <c r="H33" s="83"/>
      <c r="I33" s="83"/>
      <c r="J33" s="93"/>
      <c r="K33" s="84"/>
      <c r="L33" s="94"/>
      <c r="M33" s="95"/>
    </row>
    <row r="34" spans="1:13" ht="12" customHeight="1">
      <c r="A34" s="83" t="str">
        <f t="shared" si="2"/>
        <v xml:space="preserve"> </v>
      </c>
      <c r="B34" s="74"/>
      <c r="C34" s="84"/>
      <c r="D34" s="88"/>
      <c r="E34" s="85"/>
      <c r="F34" s="86"/>
      <c r="G34" s="87"/>
      <c r="H34" s="83"/>
      <c r="I34" s="83"/>
      <c r="J34" s="93"/>
      <c r="K34" s="84"/>
      <c r="L34" s="94"/>
      <c r="M34" s="95"/>
    </row>
    <row r="35" spans="1:13" ht="12" customHeight="1">
      <c r="A35" s="83" t="str">
        <f t="shared" si="2"/>
        <v xml:space="preserve"> </v>
      </c>
      <c r="B35" s="74"/>
      <c r="C35" s="84"/>
      <c r="D35" s="88"/>
      <c r="E35" s="85"/>
      <c r="F35" s="86"/>
      <c r="G35" s="87"/>
      <c r="H35" s="83"/>
      <c r="I35" s="83"/>
      <c r="J35" s="93"/>
      <c r="K35" s="84"/>
      <c r="L35" s="94"/>
      <c r="M35" s="95"/>
    </row>
    <row r="36" spans="1:13" ht="12" customHeight="1">
      <c r="A36" s="83" t="str">
        <f t="shared" si="2"/>
        <v xml:space="preserve"> </v>
      </c>
      <c r="B36" s="74"/>
      <c r="C36" s="84"/>
      <c r="D36" s="88"/>
      <c r="E36" s="85"/>
      <c r="F36" s="86"/>
      <c r="G36" s="87"/>
      <c r="H36" s="83"/>
      <c r="I36" s="83"/>
      <c r="J36" s="93"/>
      <c r="K36" s="84"/>
      <c r="L36" s="94"/>
      <c r="M36" s="95"/>
    </row>
    <row r="37" spans="1:13" ht="12" customHeight="1">
      <c r="A37" s="83" t="str">
        <f t="shared" si="2"/>
        <v xml:space="preserve"> </v>
      </c>
      <c r="B37" s="74"/>
      <c r="C37" s="84"/>
      <c r="D37" s="88"/>
      <c r="E37" s="85"/>
      <c r="F37" s="86"/>
      <c r="G37" s="87"/>
      <c r="H37" s="83"/>
      <c r="I37" s="83"/>
      <c r="J37" s="93"/>
      <c r="K37" s="84"/>
      <c r="L37" s="94"/>
      <c r="M37" s="95"/>
    </row>
    <row r="38" spans="1:13" ht="12" customHeight="1">
      <c r="A38" s="83" t="str">
        <f t="shared" si="2"/>
        <v xml:space="preserve"> </v>
      </c>
      <c r="B38" s="74"/>
      <c r="C38" s="84"/>
      <c r="D38" s="88"/>
      <c r="E38" s="85"/>
      <c r="F38" s="86"/>
      <c r="G38" s="87"/>
      <c r="H38" s="83"/>
      <c r="I38" s="83"/>
      <c r="J38" s="93"/>
      <c r="K38" s="84"/>
      <c r="L38" s="94"/>
      <c r="M38" s="95"/>
    </row>
    <row r="39" spans="1:13" ht="12" customHeight="1">
      <c r="A39" s="83" t="str">
        <f t="shared" si="2"/>
        <v xml:space="preserve"> </v>
      </c>
      <c r="B39" s="74"/>
      <c r="C39" s="84"/>
      <c r="D39" s="88"/>
      <c r="E39" s="85"/>
      <c r="F39" s="86"/>
      <c r="G39" s="87"/>
      <c r="H39" s="83"/>
      <c r="I39" s="83"/>
      <c r="J39" s="93"/>
      <c r="K39" s="84"/>
      <c r="L39" s="94"/>
      <c r="M39" s="95"/>
    </row>
    <row r="40" spans="1:13" ht="12" customHeight="1">
      <c r="A40" s="83" t="str">
        <f t="shared" si="2"/>
        <v xml:space="preserve"> </v>
      </c>
      <c r="B40" s="74"/>
      <c r="C40" s="84"/>
      <c r="D40" s="88"/>
      <c r="E40" s="85"/>
      <c r="F40" s="86"/>
      <c r="G40" s="87"/>
      <c r="H40" s="83"/>
      <c r="I40" s="83"/>
      <c r="J40" s="93"/>
      <c r="K40" s="84"/>
      <c r="L40" s="94"/>
      <c r="M40" s="95"/>
    </row>
    <row r="41" spans="1:13" ht="12" customHeight="1">
      <c r="A41" s="83" t="str">
        <f t="shared" si="2"/>
        <v xml:space="preserve"> </v>
      </c>
      <c r="B41" s="74"/>
      <c r="C41" s="84"/>
      <c r="D41" s="88"/>
      <c r="E41" s="85"/>
      <c r="F41" s="86"/>
      <c r="G41" s="87"/>
      <c r="H41" s="83"/>
      <c r="I41" s="83"/>
      <c r="J41" s="93"/>
      <c r="K41" s="84"/>
      <c r="L41" s="94"/>
      <c r="M41" s="95"/>
    </row>
    <row r="42" spans="1:13" ht="12" customHeight="1">
      <c r="A42" s="83" t="str">
        <f t="shared" si="2"/>
        <v xml:space="preserve"> </v>
      </c>
      <c r="B42" s="74"/>
      <c r="C42" s="84"/>
      <c r="D42" s="88"/>
      <c r="E42" s="85"/>
      <c r="F42" s="86"/>
      <c r="G42" s="87"/>
      <c r="H42" s="83"/>
      <c r="I42" s="83"/>
      <c r="J42" s="93"/>
      <c r="K42" s="84"/>
      <c r="L42" s="94"/>
      <c r="M42" s="95"/>
    </row>
    <row r="43" spans="1:13" ht="12" customHeight="1">
      <c r="A43" s="83" t="str">
        <f t="shared" si="2"/>
        <v xml:space="preserve"> </v>
      </c>
      <c r="B43" s="74"/>
      <c r="C43" s="84"/>
      <c r="D43" s="88"/>
      <c r="E43" s="85"/>
      <c r="F43" s="86"/>
      <c r="G43" s="87"/>
      <c r="H43" s="83"/>
      <c r="I43" s="83"/>
      <c r="J43" s="93"/>
      <c r="K43" s="84"/>
      <c r="L43" s="94"/>
      <c r="M43" s="95"/>
    </row>
    <row r="44" spans="1:13" ht="12" customHeight="1">
      <c r="A44" s="83" t="str">
        <f t="shared" si="2"/>
        <v xml:space="preserve"> </v>
      </c>
      <c r="B44" s="74"/>
      <c r="C44" s="84"/>
      <c r="D44" s="88"/>
      <c r="E44" s="85"/>
      <c r="F44" s="86"/>
      <c r="G44" s="87"/>
      <c r="H44" s="83"/>
      <c r="I44" s="83"/>
      <c r="J44" s="93"/>
      <c r="K44" s="84"/>
      <c r="L44" s="94"/>
      <c r="M44" s="95"/>
    </row>
    <row r="45" spans="1:13" ht="12" customHeight="1">
      <c r="A45" s="83" t="str">
        <f t="shared" si="2"/>
        <v xml:space="preserve"> </v>
      </c>
      <c r="B45" s="74"/>
      <c r="C45" s="84"/>
      <c r="D45" s="88"/>
      <c r="E45" s="85"/>
      <c r="F45" s="86"/>
      <c r="G45" s="87"/>
      <c r="H45" s="83"/>
      <c r="I45" s="83"/>
      <c r="J45" s="93"/>
      <c r="K45" s="84"/>
      <c r="L45" s="94"/>
      <c r="M45" s="95"/>
    </row>
    <row r="46" spans="1:13" ht="12" customHeight="1">
      <c r="A46" s="83" t="str">
        <f t="shared" si="2"/>
        <v xml:space="preserve"> </v>
      </c>
      <c r="B46" s="74"/>
      <c r="C46" s="84"/>
      <c r="D46" s="88"/>
      <c r="E46" s="85"/>
      <c r="F46" s="86"/>
      <c r="G46" s="87"/>
      <c r="H46" s="83"/>
      <c r="I46" s="83"/>
      <c r="J46" s="93"/>
      <c r="K46" s="84"/>
      <c r="L46" s="94"/>
      <c r="M46" s="95"/>
    </row>
    <row r="47" spans="1:13" ht="12" customHeight="1">
      <c r="A47" s="83" t="str">
        <f t="shared" si="2"/>
        <v xml:space="preserve"> </v>
      </c>
      <c r="B47" s="74"/>
      <c r="C47" s="84"/>
      <c r="D47" s="88"/>
      <c r="E47" s="85"/>
      <c r="F47" s="86"/>
      <c r="G47" s="87"/>
      <c r="H47" s="83"/>
      <c r="I47" s="83"/>
      <c r="J47" s="93"/>
      <c r="K47" s="84"/>
      <c r="L47" s="94"/>
      <c r="M47" s="95"/>
    </row>
    <row r="48" spans="1:13" ht="12" customHeight="1">
      <c r="A48" s="83" t="str">
        <f t="shared" si="2"/>
        <v xml:space="preserve"> </v>
      </c>
      <c r="B48" s="74"/>
      <c r="C48" s="84"/>
      <c r="D48" s="88"/>
      <c r="E48" s="85"/>
      <c r="F48" s="86"/>
      <c r="G48" s="87"/>
      <c r="H48" s="83"/>
      <c r="I48" s="83"/>
      <c r="J48" s="93"/>
      <c r="K48" s="84"/>
      <c r="L48" s="94"/>
      <c r="M48" s="95"/>
    </row>
    <row r="49" spans="1:13" ht="12" customHeight="1">
      <c r="A49" s="83" t="str">
        <f t="shared" si="2"/>
        <v xml:space="preserve"> </v>
      </c>
      <c r="B49" s="74"/>
      <c r="C49" s="84"/>
      <c r="D49" s="88"/>
      <c r="E49" s="85"/>
      <c r="F49" s="86"/>
      <c r="G49" s="87"/>
      <c r="H49" s="83"/>
      <c r="I49" s="83"/>
      <c r="J49" s="93"/>
      <c r="K49" s="84"/>
      <c r="L49" s="94"/>
      <c r="M49" s="95"/>
    </row>
    <row r="50" spans="1:13" ht="12" customHeight="1">
      <c r="A50" s="83" t="str">
        <f t="shared" si="2"/>
        <v xml:space="preserve"> </v>
      </c>
      <c r="B50" s="74"/>
      <c r="C50" s="84"/>
      <c r="D50" s="88"/>
      <c r="E50" s="85"/>
      <c r="F50" s="86"/>
      <c r="G50" s="87"/>
      <c r="H50" s="83"/>
      <c r="I50" s="83"/>
      <c r="J50" s="93"/>
      <c r="K50" s="84"/>
      <c r="L50" s="94"/>
      <c r="M50" s="95"/>
    </row>
    <row r="51" spans="1:13" ht="12" customHeight="1">
      <c r="A51" s="83" t="str">
        <f t="shared" si="2"/>
        <v xml:space="preserve"> </v>
      </c>
      <c r="B51" s="74"/>
      <c r="C51" s="84"/>
      <c r="D51" s="88"/>
      <c r="E51" s="85"/>
      <c r="F51" s="86"/>
      <c r="G51" s="87"/>
      <c r="H51" s="83"/>
      <c r="I51" s="83"/>
      <c r="J51" s="93"/>
      <c r="K51" s="84"/>
      <c r="L51" s="94"/>
      <c r="M51" s="95"/>
    </row>
    <row r="52" spans="1:13" ht="12" customHeight="1">
      <c r="A52" s="83" t="str">
        <f t="shared" si="2"/>
        <v xml:space="preserve"> </v>
      </c>
      <c r="B52" s="74"/>
      <c r="C52" s="84"/>
      <c r="D52" s="88"/>
      <c r="E52" s="85"/>
      <c r="F52" s="86"/>
      <c r="G52" s="87"/>
      <c r="H52" s="83"/>
      <c r="I52" s="83"/>
      <c r="J52" s="93"/>
      <c r="K52" s="84"/>
      <c r="L52" s="94"/>
      <c r="M52" s="95"/>
    </row>
    <row r="53" spans="1:13" ht="12" customHeight="1">
      <c r="A53" s="83" t="str">
        <f t="shared" si="2"/>
        <v xml:space="preserve"> </v>
      </c>
      <c r="B53" s="74"/>
      <c r="C53" s="84"/>
      <c r="D53" s="88"/>
      <c r="E53" s="85"/>
      <c r="F53" s="86"/>
      <c r="G53" s="87"/>
      <c r="H53" s="83"/>
      <c r="I53" s="83"/>
      <c r="J53" s="93"/>
      <c r="K53" s="84"/>
      <c r="L53" s="94"/>
      <c r="M53" s="95"/>
    </row>
    <row r="54" spans="1:13" ht="12" customHeight="1">
      <c r="A54" s="83" t="str">
        <f t="shared" si="2"/>
        <v xml:space="preserve"> </v>
      </c>
      <c r="B54" s="74"/>
      <c r="C54" s="84"/>
      <c r="D54" s="88"/>
      <c r="E54" s="85"/>
      <c r="F54" s="86"/>
      <c r="G54" s="87"/>
      <c r="H54" s="83"/>
      <c r="I54" s="83"/>
      <c r="J54" s="93"/>
      <c r="K54" s="84"/>
      <c r="L54" s="94"/>
      <c r="M54" s="95"/>
    </row>
    <row r="55" spans="1:13" ht="12" customHeight="1">
      <c r="A55" s="83" t="str">
        <f t="shared" si="2"/>
        <v xml:space="preserve"> </v>
      </c>
      <c r="B55" s="74"/>
      <c r="C55" s="84"/>
      <c r="D55" s="88"/>
      <c r="E55" s="85"/>
      <c r="F55" s="86"/>
      <c r="G55" s="87"/>
      <c r="H55" s="83"/>
      <c r="I55" s="83"/>
      <c r="J55" s="93"/>
      <c r="K55" s="84"/>
      <c r="L55" s="94"/>
      <c r="M55" s="95"/>
    </row>
    <row r="56" spans="1:13" ht="12" customHeight="1">
      <c r="A56" s="83" t="str">
        <f t="shared" si="2"/>
        <v xml:space="preserve"> </v>
      </c>
      <c r="B56" s="74"/>
      <c r="C56" s="84"/>
      <c r="D56" s="88"/>
      <c r="E56" s="85"/>
      <c r="F56" s="86"/>
      <c r="G56" s="87"/>
      <c r="H56" s="83"/>
      <c r="I56" s="83"/>
      <c r="J56" s="93"/>
      <c r="K56" s="84"/>
      <c r="L56" s="94"/>
      <c r="M56" s="95"/>
    </row>
    <row r="57" spans="1:13" ht="12" customHeight="1">
      <c r="A57" s="83" t="str">
        <f t="shared" si="2"/>
        <v xml:space="preserve"> </v>
      </c>
      <c r="B57" s="74"/>
      <c r="C57" s="84"/>
      <c r="D57" s="88"/>
      <c r="E57" s="85"/>
      <c r="F57" s="86"/>
      <c r="G57" s="87"/>
      <c r="H57" s="83"/>
      <c r="I57" s="83"/>
      <c r="J57" s="93"/>
      <c r="K57" s="84"/>
      <c r="L57" s="94"/>
      <c r="M57" s="95"/>
    </row>
    <row r="58" spans="1:13" ht="12" customHeight="1">
      <c r="A58" s="83" t="str">
        <f t="shared" si="2"/>
        <v xml:space="preserve"> </v>
      </c>
      <c r="B58" s="74"/>
      <c r="C58" s="84"/>
      <c r="D58" s="88"/>
      <c r="E58" s="85"/>
      <c r="F58" s="86"/>
      <c r="G58" s="87"/>
      <c r="H58" s="83"/>
      <c r="I58" s="83"/>
      <c r="J58" s="93"/>
      <c r="K58" s="84"/>
      <c r="L58" s="94"/>
      <c r="M58" s="95"/>
    </row>
    <row r="59" spans="1:13" ht="12" customHeight="1">
      <c r="A59" s="83" t="str">
        <f t="shared" si="2"/>
        <v xml:space="preserve"> </v>
      </c>
      <c r="B59" s="74"/>
      <c r="C59" s="84"/>
      <c r="D59" s="88"/>
      <c r="E59" s="85"/>
      <c r="F59" s="86"/>
      <c r="G59" s="87"/>
      <c r="H59" s="83"/>
      <c r="I59" s="83"/>
      <c r="J59" s="93"/>
      <c r="K59" s="84"/>
      <c r="L59" s="94"/>
      <c r="M59" s="95"/>
    </row>
    <row r="60" spans="1:13" ht="12" customHeight="1">
      <c r="A60" s="83" t="str">
        <f t="shared" si="2"/>
        <v xml:space="preserve"> </v>
      </c>
      <c r="B60" s="74"/>
      <c r="C60" s="84"/>
      <c r="D60" s="88"/>
      <c r="E60" s="85"/>
      <c r="F60" s="86"/>
      <c r="G60" s="87"/>
      <c r="H60" s="83"/>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ref="A64:A100" si="3">IF(B64=""," ",A63+1)</f>
        <v xml:space="preserve"> </v>
      </c>
      <c r="B64" s="74"/>
      <c r="C64" s="84"/>
      <c r="D64" s="88"/>
      <c r="E64" s="85"/>
      <c r="F64" s="86"/>
      <c r="G64" s="87"/>
      <c r="H64" s="83"/>
      <c r="I64" s="83"/>
      <c r="J64" s="93"/>
      <c r="K64" s="84"/>
      <c r="L64" s="94"/>
      <c r="M64" s="95"/>
    </row>
    <row r="65" spans="1:13" ht="12" customHeight="1">
      <c r="A65" s="83" t="str">
        <f t="shared" si="3"/>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si="3"/>
        <v xml:space="preserve"> </v>
      </c>
      <c r="B72" s="74"/>
      <c r="C72" s="84"/>
      <c r="D72" s="88"/>
      <c r="E72" s="85"/>
      <c r="F72" s="86"/>
      <c r="G72" s="87"/>
      <c r="H72" s="83"/>
      <c r="I72" s="83"/>
      <c r="J72" s="93"/>
      <c r="K72" s="84"/>
      <c r="L72" s="94"/>
      <c r="M72" s="95"/>
    </row>
    <row r="73" spans="1:13" ht="12" customHeight="1">
      <c r="A73" s="83" t="str">
        <f t="shared" si="3"/>
        <v xml:space="preserve"> </v>
      </c>
      <c r="B73" s="74"/>
      <c r="C73" s="84"/>
      <c r="D73" s="88"/>
      <c r="E73" s="85"/>
      <c r="F73" s="86"/>
      <c r="G73" s="87"/>
      <c r="H73" s="83"/>
      <c r="I73" s="83"/>
      <c r="J73" s="93"/>
      <c r="K73" s="84"/>
      <c r="L73" s="94"/>
      <c r="M73" s="95"/>
    </row>
    <row r="74" spans="1:13" ht="12" customHeight="1">
      <c r="A74" s="83" t="str">
        <f t="shared" si="3"/>
        <v xml:space="preserve"> </v>
      </c>
      <c r="B74" s="74"/>
      <c r="C74" s="84"/>
      <c r="D74" s="88"/>
      <c r="E74" s="85"/>
      <c r="F74" s="86"/>
      <c r="G74" s="87"/>
      <c r="H74" s="83"/>
      <c r="I74" s="83"/>
      <c r="J74" s="93"/>
      <c r="K74" s="84"/>
      <c r="L74" s="94"/>
      <c r="M74" s="95"/>
    </row>
    <row r="75" spans="1:13" ht="12" customHeight="1">
      <c r="A75" s="83" t="str">
        <f t="shared" si="3"/>
        <v xml:space="preserve"> </v>
      </c>
      <c r="B75" s="74"/>
      <c r="C75" s="84"/>
      <c r="D75" s="88"/>
      <c r="E75" s="85"/>
      <c r="F75" s="86"/>
      <c r="G75" s="87"/>
      <c r="H75" s="83"/>
      <c r="I75" s="83"/>
      <c r="J75" s="93"/>
      <c r="K75" s="84"/>
      <c r="L75" s="94"/>
      <c r="M75" s="95"/>
    </row>
    <row r="76" spans="1:13" ht="12" customHeight="1">
      <c r="A76" s="83" t="str">
        <f t="shared" si="3"/>
        <v xml:space="preserve"> </v>
      </c>
      <c r="B76" s="74"/>
      <c r="C76" s="84"/>
      <c r="D76" s="88"/>
      <c r="E76" s="85"/>
      <c r="F76" s="86"/>
      <c r="G76" s="87"/>
      <c r="H76" s="83"/>
      <c r="I76" s="83"/>
      <c r="J76" s="93"/>
      <c r="K76" s="84"/>
      <c r="L76" s="94"/>
      <c r="M76" s="95"/>
    </row>
    <row r="77" spans="1:13" ht="12" customHeight="1">
      <c r="A77" s="83" t="str">
        <f t="shared" si="3"/>
        <v xml:space="preserve"> </v>
      </c>
      <c r="B77" s="74"/>
      <c r="C77" s="84"/>
      <c r="D77" s="88"/>
      <c r="E77" s="85"/>
      <c r="F77" s="86"/>
      <c r="G77" s="87"/>
      <c r="H77" s="83"/>
      <c r="I77" s="83"/>
      <c r="J77" s="93"/>
      <c r="K77" s="84"/>
      <c r="L77" s="94"/>
      <c r="M77" s="95"/>
    </row>
    <row r="78" spans="1:13" ht="12" customHeight="1">
      <c r="A78" s="83" t="str">
        <f t="shared" si="3"/>
        <v xml:space="preserve"> </v>
      </c>
      <c r="B78" s="74"/>
      <c r="C78" s="84"/>
      <c r="D78" s="88"/>
      <c r="E78" s="85"/>
      <c r="F78" s="86"/>
      <c r="G78" s="87"/>
      <c r="H78" s="83"/>
      <c r="I78" s="83"/>
      <c r="J78" s="93"/>
      <c r="K78" s="84"/>
      <c r="L78" s="94"/>
      <c r="M78" s="95"/>
    </row>
    <row r="79" spans="1:13" ht="12" customHeight="1">
      <c r="A79" s="83" t="str">
        <f t="shared" si="3"/>
        <v xml:space="preserve"> </v>
      </c>
      <c r="B79" s="74"/>
      <c r="C79" s="84"/>
      <c r="D79" s="88"/>
      <c r="E79" s="85"/>
      <c r="F79" s="86"/>
      <c r="G79" s="87"/>
      <c r="H79" s="83"/>
      <c r="I79" s="83"/>
      <c r="J79" s="93"/>
      <c r="K79" s="84"/>
      <c r="L79" s="94"/>
      <c r="M79" s="95"/>
    </row>
    <row r="80" spans="1:13" ht="12" customHeight="1">
      <c r="A80" s="83" t="str">
        <f t="shared" si="3"/>
        <v xml:space="preserve"> </v>
      </c>
      <c r="B80" s="74"/>
      <c r="C80" s="84"/>
      <c r="D80" s="88"/>
      <c r="E80" s="85"/>
      <c r="F80" s="86"/>
      <c r="G80" s="87"/>
      <c r="H80" s="83"/>
      <c r="I80" s="83"/>
      <c r="J80" s="93"/>
      <c r="K80" s="84"/>
      <c r="L80" s="94"/>
      <c r="M80" s="95"/>
    </row>
    <row r="81" spans="1:13" ht="12" customHeight="1">
      <c r="A81" s="83" t="str">
        <f t="shared" si="3"/>
        <v xml:space="preserve"> </v>
      </c>
      <c r="B81" s="74"/>
      <c r="C81" s="84"/>
      <c r="D81" s="88"/>
      <c r="E81" s="85"/>
      <c r="F81" s="86"/>
      <c r="G81" s="87"/>
      <c r="H81" s="83"/>
      <c r="I81" s="83"/>
      <c r="J81" s="93"/>
      <c r="K81" s="84"/>
      <c r="L81" s="94"/>
      <c r="M81" s="95"/>
    </row>
    <row r="82" spans="1:13" ht="12" customHeight="1">
      <c r="A82" s="83" t="str">
        <f t="shared" si="3"/>
        <v xml:space="preserve"> </v>
      </c>
      <c r="B82" s="74"/>
      <c r="C82" s="84"/>
      <c r="D82" s="88"/>
      <c r="E82" s="85"/>
      <c r="F82" s="86"/>
      <c r="G82" s="87"/>
      <c r="H82" s="83"/>
      <c r="I82" s="83"/>
      <c r="J82" s="93"/>
      <c r="K82" s="84"/>
      <c r="L82" s="94"/>
      <c r="M82" s="95"/>
    </row>
    <row r="83" spans="1:13" ht="12" customHeight="1">
      <c r="A83" s="83" t="str">
        <f t="shared" si="3"/>
        <v xml:space="preserve"> </v>
      </c>
      <c r="B83" s="74"/>
      <c r="C83" s="84"/>
      <c r="D83" s="88"/>
      <c r="E83" s="85"/>
      <c r="F83" s="86"/>
      <c r="G83" s="87"/>
      <c r="H83" s="83"/>
      <c r="I83" s="83"/>
      <c r="J83" s="93"/>
      <c r="K83" s="84"/>
      <c r="L83" s="94"/>
      <c r="M83" s="95"/>
    </row>
    <row r="84" spans="1:13" ht="12" customHeight="1">
      <c r="A84" s="83" t="str">
        <f t="shared" si="3"/>
        <v xml:space="preserve"> </v>
      </c>
      <c r="B84" s="74"/>
      <c r="C84" s="84"/>
      <c r="D84" s="88"/>
      <c r="E84" s="85"/>
      <c r="F84" s="86"/>
      <c r="G84" s="87"/>
      <c r="H84" s="83"/>
      <c r="I84" s="83"/>
      <c r="J84" s="93"/>
      <c r="K84" s="84"/>
      <c r="L84" s="94"/>
      <c r="M84" s="95"/>
    </row>
    <row r="85" spans="1:13" ht="12" customHeight="1">
      <c r="A85" s="83" t="str">
        <f t="shared" si="3"/>
        <v xml:space="preserve"> </v>
      </c>
      <c r="B85" s="74"/>
      <c r="C85" s="84"/>
      <c r="D85" s="88"/>
      <c r="E85" s="85"/>
      <c r="F85" s="86"/>
      <c r="G85" s="87"/>
      <c r="H85" s="83"/>
      <c r="I85" s="83"/>
      <c r="J85" s="93"/>
      <c r="K85" s="84"/>
      <c r="L85" s="94"/>
      <c r="M85" s="95"/>
    </row>
    <row r="86" spans="1:13" ht="12" customHeight="1">
      <c r="A86" s="83" t="str">
        <f t="shared" si="3"/>
        <v xml:space="preserve"> </v>
      </c>
      <c r="B86" s="74"/>
      <c r="C86" s="84"/>
      <c r="D86" s="88"/>
      <c r="E86" s="85"/>
      <c r="F86" s="86"/>
      <c r="G86" s="87"/>
      <c r="H86" s="83"/>
      <c r="I86" s="83"/>
      <c r="J86" s="93"/>
      <c r="K86" s="84"/>
      <c r="L86" s="94"/>
      <c r="M86" s="95"/>
    </row>
    <row r="87" spans="1:13" ht="12" customHeight="1">
      <c r="A87" s="83" t="str">
        <f t="shared" si="3"/>
        <v xml:space="preserve"> </v>
      </c>
      <c r="B87" s="74"/>
      <c r="C87" s="84"/>
      <c r="D87" s="88"/>
      <c r="E87" s="85"/>
      <c r="F87" s="86"/>
      <c r="G87" s="87"/>
      <c r="H87" s="83"/>
      <c r="I87" s="83"/>
      <c r="J87" s="93"/>
      <c r="K87" s="84"/>
      <c r="L87" s="94"/>
      <c r="M87" s="95"/>
    </row>
    <row r="88" spans="1:13" ht="12" customHeight="1">
      <c r="A88" s="83" t="str">
        <f t="shared" si="3"/>
        <v xml:space="preserve"> </v>
      </c>
      <c r="B88" s="74"/>
      <c r="C88" s="84"/>
      <c r="D88" s="88"/>
      <c r="E88" s="85"/>
      <c r="F88" s="86"/>
      <c r="G88" s="87"/>
      <c r="H88" s="83"/>
      <c r="I88" s="83"/>
      <c r="J88" s="93"/>
      <c r="K88" s="84"/>
      <c r="L88" s="94"/>
      <c r="M88" s="95"/>
    </row>
    <row r="89" spans="1:13" ht="12" customHeight="1">
      <c r="A89" s="83" t="str">
        <f t="shared" si="3"/>
        <v xml:space="preserve"> </v>
      </c>
      <c r="B89" s="74"/>
      <c r="C89" s="84"/>
      <c r="D89" s="88"/>
      <c r="E89" s="85"/>
      <c r="F89" s="86"/>
      <c r="G89" s="87"/>
      <c r="H89" s="83"/>
      <c r="I89" s="83"/>
      <c r="J89" s="93"/>
      <c r="K89" s="84"/>
      <c r="L89" s="94"/>
      <c r="M89" s="95"/>
    </row>
    <row r="90" spans="1:13" ht="12" customHeight="1">
      <c r="A90" s="83" t="str">
        <f t="shared" si="3"/>
        <v xml:space="preserve"> </v>
      </c>
      <c r="B90" s="74"/>
      <c r="C90" s="84"/>
      <c r="D90" s="88"/>
      <c r="E90" s="85"/>
      <c r="F90" s="86"/>
      <c r="G90" s="87"/>
      <c r="H90" s="83"/>
      <c r="I90" s="83"/>
      <c r="J90" s="93"/>
      <c r="K90" s="84"/>
      <c r="L90" s="94"/>
      <c r="M90" s="95"/>
    </row>
    <row r="91" spans="1:13" ht="12" customHeight="1">
      <c r="A91" s="83" t="str">
        <f t="shared" si="3"/>
        <v xml:space="preserve"> </v>
      </c>
      <c r="B91" s="74"/>
      <c r="C91" s="84"/>
      <c r="D91" s="88"/>
      <c r="E91" s="85"/>
      <c r="F91" s="86"/>
      <c r="G91" s="87"/>
      <c r="H91" s="83"/>
      <c r="I91" s="83"/>
      <c r="J91" s="93"/>
      <c r="K91" s="84"/>
      <c r="L91" s="94"/>
      <c r="M91" s="95"/>
    </row>
    <row r="92" spans="1:13" ht="12" customHeight="1">
      <c r="A92" s="83" t="str">
        <f t="shared" si="3"/>
        <v xml:space="preserve"> </v>
      </c>
      <c r="B92" s="74"/>
      <c r="C92" s="84"/>
      <c r="D92" s="88"/>
      <c r="E92" s="85"/>
      <c r="F92" s="86"/>
      <c r="G92" s="87"/>
      <c r="H92" s="83"/>
      <c r="I92" s="83"/>
      <c r="J92" s="93"/>
      <c r="K92" s="84"/>
      <c r="L92" s="94"/>
      <c r="M92" s="95"/>
    </row>
    <row r="93" spans="1:13" ht="12" customHeight="1">
      <c r="A93" s="83" t="str">
        <f t="shared" si="3"/>
        <v xml:space="preserve"> </v>
      </c>
      <c r="B93" s="74"/>
      <c r="C93" s="84"/>
      <c r="D93" s="88"/>
      <c r="E93" s="85"/>
      <c r="F93" s="86"/>
      <c r="G93" s="87"/>
      <c r="H93" s="83"/>
      <c r="I93" s="83"/>
      <c r="J93" s="93"/>
      <c r="K93" s="84"/>
      <c r="L93" s="94"/>
      <c r="M93" s="95"/>
    </row>
    <row r="94" spans="1:13" ht="12" customHeight="1">
      <c r="A94" s="83" t="str">
        <f t="shared" si="3"/>
        <v xml:space="preserve"> </v>
      </c>
      <c r="B94" s="74"/>
      <c r="C94" s="84"/>
      <c r="D94" s="88"/>
      <c r="E94" s="85"/>
      <c r="F94" s="86"/>
      <c r="G94" s="87"/>
      <c r="H94" s="83"/>
      <c r="I94" s="83"/>
      <c r="J94" s="93"/>
      <c r="K94" s="84"/>
      <c r="L94" s="94"/>
      <c r="M94" s="95"/>
    </row>
    <row r="95" spans="1:13" ht="12" customHeight="1">
      <c r="A95" s="83" t="str">
        <f t="shared" si="3"/>
        <v xml:space="preserve"> </v>
      </c>
      <c r="B95" s="74"/>
      <c r="C95" s="84"/>
      <c r="D95" s="88"/>
      <c r="E95" s="85"/>
      <c r="F95" s="86"/>
      <c r="G95" s="87"/>
      <c r="H95" s="83"/>
      <c r="I95" s="83"/>
      <c r="J95" s="93"/>
      <c r="K95" s="84"/>
      <c r="L95" s="94"/>
      <c r="M95" s="95"/>
    </row>
    <row r="96" spans="1:13" ht="12" customHeight="1">
      <c r="A96" s="83" t="str">
        <f t="shared" si="3"/>
        <v xml:space="preserve"> </v>
      </c>
      <c r="B96" s="74"/>
      <c r="C96" s="84"/>
      <c r="D96" s="88"/>
      <c r="E96" s="85"/>
      <c r="F96" s="86"/>
      <c r="G96" s="87"/>
      <c r="H96" s="83"/>
      <c r="I96" s="83"/>
      <c r="J96" s="93"/>
      <c r="K96" s="84"/>
      <c r="L96" s="94"/>
      <c r="M96" s="95"/>
    </row>
    <row r="97" spans="1:13" ht="12" customHeight="1">
      <c r="A97" s="83" t="str">
        <f t="shared" si="3"/>
        <v xml:space="preserve"> </v>
      </c>
      <c r="B97" s="74"/>
      <c r="C97" s="84"/>
      <c r="D97" s="88"/>
      <c r="E97" s="85"/>
      <c r="F97" s="86"/>
      <c r="G97" s="87"/>
      <c r="H97" s="83"/>
      <c r="I97" s="83"/>
      <c r="J97" s="93"/>
      <c r="K97" s="84"/>
      <c r="L97" s="94"/>
      <c r="M97" s="95"/>
    </row>
    <row r="98" spans="1:13" ht="12" customHeight="1">
      <c r="A98" s="83" t="str">
        <f t="shared" si="3"/>
        <v xml:space="preserve"> </v>
      </c>
      <c r="B98" s="74"/>
      <c r="C98" s="84"/>
      <c r="D98" s="88"/>
      <c r="E98" s="85"/>
      <c r="F98" s="86"/>
      <c r="G98" s="87"/>
      <c r="H98" s="83"/>
      <c r="I98" s="83"/>
      <c r="J98" s="93"/>
      <c r="K98" s="84"/>
      <c r="L98" s="94"/>
      <c r="M98" s="95"/>
    </row>
    <row r="99" spans="1:13" ht="12" customHeight="1">
      <c r="A99" s="83" t="str">
        <f t="shared" si="3"/>
        <v xml:space="preserve"> </v>
      </c>
      <c r="B99" s="74"/>
      <c r="C99" s="84"/>
      <c r="D99" s="88"/>
      <c r="E99" s="85"/>
      <c r="F99" s="86"/>
      <c r="G99" s="87"/>
      <c r="H99" s="83"/>
      <c r="I99" s="83"/>
      <c r="J99" s="93"/>
      <c r="K99" s="84"/>
      <c r="L99" s="94"/>
      <c r="M99" s="95"/>
    </row>
    <row r="100" spans="1:13" ht="12" customHeight="1">
      <c r="A100" s="83" t="str">
        <f t="shared" si="3"/>
        <v xml:space="preserve"> </v>
      </c>
      <c r="B100" s="74"/>
      <c r="C100" s="84"/>
      <c r="D100" s="88"/>
      <c r="E100" s="85"/>
      <c r="F100" s="86"/>
      <c r="G100" s="87"/>
      <c r="H100" s="83"/>
      <c r="I100" s="83"/>
      <c r="J100" s="93"/>
      <c r="K100" s="84"/>
      <c r="L100" s="94"/>
      <c r="M100" s="95"/>
    </row>
    <row r="102" spans="1:13">
      <c r="B102" s="75" t="s">
        <v>235</v>
      </c>
    </row>
    <row r="104" spans="1:13">
      <c r="B104" s="75" t="s">
        <v>236</v>
      </c>
      <c r="C104" s="75" t="s">
        <v>237</v>
      </c>
    </row>
    <row r="106" spans="1:13">
      <c r="B106" s="75" t="s">
        <v>236</v>
      </c>
      <c r="C106" s="75" t="s">
        <v>238</v>
      </c>
    </row>
    <row r="108" spans="1:13">
      <c r="B108" s="75" t="s">
        <v>239</v>
      </c>
      <c r="C108" s="75" t="s">
        <v>1642</v>
      </c>
    </row>
  </sheetData>
  <mergeCells count="23">
    <mergeCell ref="K12:M12"/>
    <mergeCell ref="K17:M17"/>
    <mergeCell ref="K18:M18"/>
    <mergeCell ref="K19:M19"/>
    <mergeCell ref="A5:A6"/>
    <mergeCell ref="K5:M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pageSetUpPr fitToPage="1"/>
  </sheetPr>
  <dimension ref="A1:Q112"/>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1643</v>
      </c>
      <c r="D3" s="265"/>
      <c r="E3" s="265"/>
      <c r="F3" s="265"/>
      <c r="G3" s="266"/>
      <c r="H3" s="259" t="s">
        <v>140</v>
      </c>
      <c r="I3" s="260"/>
      <c r="J3" s="90">
        <f>COUNT(A7:A100)</f>
        <v>54</v>
      </c>
      <c r="K3" s="78" t="s">
        <v>141</v>
      </c>
      <c r="L3" s="91">
        <v>38741</v>
      </c>
      <c r="M3" s="92" t="s">
        <v>142</v>
      </c>
      <c r="O3" s="75" t="s">
        <v>143</v>
      </c>
      <c r="P3" s="75" t="s">
        <v>144</v>
      </c>
    </row>
    <row r="4" spans="1:16" ht="12" customHeight="1">
      <c r="A4" s="267" t="s">
        <v>145</v>
      </c>
      <c r="B4" s="268"/>
      <c r="C4" s="267" t="s">
        <v>76</v>
      </c>
      <c r="D4" s="269"/>
      <c r="E4" s="269"/>
      <c r="F4" s="269"/>
      <c r="G4" s="268"/>
      <c r="H4" s="259" t="s">
        <v>146</v>
      </c>
      <c r="I4" s="260"/>
      <c r="J4" s="90">
        <f>SUM(G7:G100)</f>
        <v>2551</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8" t="s">
        <v>1644</v>
      </c>
      <c r="C7" s="119" t="s">
        <v>1645</v>
      </c>
      <c r="D7" s="120" t="s">
        <v>150</v>
      </c>
      <c r="E7" s="85">
        <v>1</v>
      </c>
      <c r="F7" s="86"/>
      <c r="G7" s="87">
        <f>IF(D7="DATE",4,IF(D7="CHAR",E7,IF(D7="SMALLINT",2,IF(D7="INTEGER",4,IF(D7="TIMESTAMP",10,IF(D7="TIME",3,0))))))</f>
        <v>1</v>
      </c>
      <c r="H7" s="83" t="s">
        <v>149</v>
      </c>
      <c r="I7" s="83" t="s">
        <v>149</v>
      </c>
      <c r="J7" s="93"/>
      <c r="K7" s="411" t="s">
        <v>1646</v>
      </c>
      <c r="L7" s="412"/>
      <c r="M7" s="413"/>
      <c r="P7" s="75" t="s">
        <v>165</v>
      </c>
    </row>
    <row r="8" spans="1:16" ht="24.75" customHeight="1">
      <c r="A8" s="83">
        <f t="shared" ref="A8:A50" si="0">IF(B8=""," ",A7+1)</f>
        <v>2</v>
      </c>
      <c r="B8" s="73" t="s">
        <v>1610</v>
      </c>
      <c r="C8" s="84" t="s">
        <v>1611</v>
      </c>
      <c r="D8" s="88" t="s">
        <v>150</v>
      </c>
      <c r="E8" s="85">
        <v>32</v>
      </c>
      <c r="F8" s="86"/>
      <c r="G8" s="87">
        <f>IF(D8="DATE",4,IF(D8="CHAR",E8,IF(D8="SMALLINT",2,IF(D8="INTEGER",4,IF(D8="TIMESTAMP",10,IF(D8="TIME",3,0))))))</f>
        <v>32</v>
      </c>
      <c r="H8" s="83" t="s">
        <v>149</v>
      </c>
      <c r="I8" s="83" t="s">
        <v>149</v>
      </c>
      <c r="J8" s="93"/>
      <c r="K8" s="411"/>
      <c r="L8" s="412"/>
      <c r="M8" s="413"/>
    </row>
    <row r="9" spans="1:16" ht="27" customHeight="1">
      <c r="A9" s="83">
        <f t="shared" si="0"/>
        <v>3</v>
      </c>
      <c r="B9" s="11" t="s">
        <v>1608</v>
      </c>
      <c r="C9" s="84" t="s">
        <v>1609</v>
      </c>
      <c r="D9" s="88" t="s">
        <v>150</v>
      </c>
      <c r="E9" s="85">
        <v>8</v>
      </c>
      <c r="F9" s="86"/>
      <c r="G9" s="87">
        <f t="shared" ref="G9:G60" si="1">IF(D9="DATE",4,IF(D9="CHAR",E9,IF(D9="SMALLINT",2,IF(D9="INTEGER",4,IF(D9="TIMESTAMP",10,IF(D9="TIME",3,0))))))</f>
        <v>8</v>
      </c>
      <c r="H9" s="83" t="s">
        <v>149</v>
      </c>
      <c r="I9" s="83" t="s">
        <v>149</v>
      </c>
      <c r="J9" s="93"/>
      <c r="K9" s="411" t="s">
        <v>1647</v>
      </c>
      <c r="L9" s="412"/>
      <c r="M9" s="413"/>
    </row>
    <row r="10" spans="1:16" ht="13.5" customHeight="1">
      <c r="A10" s="83">
        <f t="shared" si="0"/>
        <v>4</v>
      </c>
      <c r="B10" s="11" t="s">
        <v>1648</v>
      </c>
      <c r="C10" s="84" t="s">
        <v>1649</v>
      </c>
      <c r="D10" s="88" t="s">
        <v>150</v>
      </c>
      <c r="E10" s="85">
        <v>50</v>
      </c>
      <c r="F10" s="86"/>
      <c r="G10" s="87">
        <f t="shared" si="1"/>
        <v>50</v>
      </c>
      <c r="H10" s="83" t="s">
        <v>149</v>
      </c>
      <c r="I10" s="83"/>
      <c r="J10" s="93"/>
      <c r="K10" s="416" t="s">
        <v>1650</v>
      </c>
      <c r="L10" s="417"/>
      <c r="M10" s="418"/>
    </row>
    <row r="11" spans="1:16" ht="12" customHeight="1">
      <c r="A11" s="83">
        <f t="shared" si="0"/>
        <v>5</v>
      </c>
      <c r="B11" s="11" t="s">
        <v>1651</v>
      </c>
      <c r="C11" s="84" t="s">
        <v>1652</v>
      </c>
      <c r="D11" s="88" t="s">
        <v>150</v>
      </c>
      <c r="E11" s="85">
        <v>50</v>
      </c>
      <c r="F11" s="86"/>
      <c r="G11" s="87">
        <f t="shared" si="1"/>
        <v>50</v>
      </c>
      <c r="H11" s="83" t="s">
        <v>149</v>
      </c>
      <c r="I11" s="83"/>
      <c r="J11" s="93"/>
      <c r="K11" s="419"/>
      <c r="L11" s="420"/>
      <c r="M11" s="421"/>
    </row>
    <row r="12" spans="1:16">
      <c r="A12" s="83">
        <f t="shared" si="0"/>
        <v>6</v>
      </c>
      <c r="B12" s="11" t="s">
        <v>1653</v>
      </c>
      <c r="C12" s="84" t="s">
        <v>1654</v>
      </c>
      <c r="D12" s="88" t="s">
        <v>150</v>
      </c>
      <c r="E12" s="85">
        <v>50</v>
      </c>
      <c r="F12" s="86"/>
      <c r="G12" s="87">
        <f t="shared" si="1"/>
        <v>50</v>
      </c>
      <c r="H12" s="83" t="s">
        <v>149</v>
      </c>
      <c r="I12" s="83"/>
      <c r="J12" s="93"/>
      <c r="K12" s="419"/>
      <c r="L12" s="420"/>
      <c r="M12" s="421"/>
    </row>
    <row r="13" spans="1:16" ht="12" customHeight="1">
      <c r="A13" s="83">
        <f t="shared" si="0"/>
        <v>7</v>
      </c>
      <c r="B13" s="11" t="s">
        <v>1655</v>
      </c>
      <c r="C13" s="84" t="s">
        <v>1656</v>
      </c>
      <c r="D13" s="88" t="s">
        <v>150</v>
      </c>
      <c r="E13" s="85">
        <v>50</v>
      </c>
      <c r="F13" s="86"/>
      <c r="G13" s="87">
        <f t="shared" si="1"/>
        <v>50</v>
      </c>
      <c r="H13" s="83" t="s">
        <v>149</v>
      </c>
      <c r="I13" s="83"/>
      <c r="J13" s="93"/>
      <c r="K13" s="419"/>
      <c r="L13" s="420"/>
      <c r="M13" s="421"/>
    </row>
    <row r="14" spans="1:16" ht="12" customHeight="1">
      <c r="A14" s="83">
        <f t="shared" si="0"/>
        <v>8</v>
      </c>
      <c r="B14" s="11" t="s">
        <v>1657</v>
      </c>
      <c r="C14" s="84" t="s">
        <v>1658</v>
      </c>
      <c r="D14" s="88" t="s">
        <v>150</v>
      </c>
      <c r="E14" s="85">
        <v>50</v>
      </c>
      <c r="F14" s="86"/>
      <c r="G14" s="87">
        <f t="shared" si="1"/>
        <v>50</v>
      </c>
      <c r="H14" s="83" t="s">
        <v>149</v>
      </c>
      <c r="I14" s="83"/>
      <c r="J14" s="93"/>
      <c r="K14" s="419"/>
      <c r="L14" s="420"/>
      <c r="M14" s="421"/>
    </row>
    <row r="15" spans="1:16" ht="12" customHeight="1">
      <c r="A15" s="83">
        <f t="shared" si="0"/>
        <v>9</v>
      </c>
      <c r="B15" s="11" t="s">
        <v>1659</v>
      </c>
      <c r="C15" s="84" t="s">
        <v>1660</v>
      </c>
      <c r="D15" s="88" t="s">
        <v>150</v>
      </c>
      <c r="E15" s="85">
        <v>50</v>
      </c>
      <c r="F15" s="86"/>
      <c r="G15" s="87">
        <f t="shared" si="1"/>
        <v>50</v>
      </c>
      <c r="H15" s="83" t="s">
        <v>149</v>
      </c>
      <c r="I15" s="83"/>
      <c r="J15" s="93"/>
      <c r="K15" s="419"/>
      <c r="L15" s="420"/>
      <c r="M15" s="421"/>
    </row>
    <row r="16" spans="1:16" ht="12" customHeight="1">
      <c r="A16" s="83">
        <f t="shared" si="0"/>
        <v>10</v>
      </c>
      <c r="B16" s="11" t="s">
        <v>1661</v>
      </c>
      <c r="C16" s="84" t="s">
        <v>1662</v>
      </c>
      <c r="D16" s="88" t="s">
        <v>150</v>
      </c>
      <c r="E16" s="85">
        <v>50</v>
      </c>
      <c r="F16" s="86"/>
      <c r="G16" s="87">
        <f t="shared" si="1"/>
        <v>50</v>
      </c>
      <c r="H16" s="83" t="s">
        <v>149</v>
      </c>
      <c r="I16" s="83"/>
      <c r="J16" s="93"/>
      <c r="K16" s="419"/>
      <c r="L16" s="420"/>
      <c r="M16" s="421"/>
    </row>
    <row r="17" spans="1:13" ht="12" customHeight="1">
      <c r="A17" s="83">
        <f t="shared" si="0"/>
        <v>11</v>
      </c>
      <c r="B17" s="11" t="s">
        <v>1663</v>
      </c>
      <c r="C17" s="84" t="s">
        <v>1664</v>
      </c>
      <c r="D17" s="88" t="s">
        <v>150</v>
      </c>
      <c r="E17" s="85">
        <v>50</v>
      </c>
      <c r="F17" s="86"/>
      <c r="G17" s="87">
        <f t="shared" si="1"/>
        <v>50</v>
      </c>
      <c r="H17" s="83" t="s">
        <v>149</v>
      </c>
      <c r="I17" s="83"/>
      <c r="J17" s="93"/>
      <c r="K17" s="419"/>
      <c r="L17" s="420"/>
      <c r="M17" s="421"/>
    </row>
    <row r="18" spans="1:13" ht="12" customHeight="1">
      <c r="A18" s="83">
        <f t="shared" si="0"/>
        <v>12</v>
      </c>
      <c r="B18" s="11" t="s">
        <v>1665</v>
      </c>
      <c r="C18" s="84" t="s">
        <v>1666</v>
      </c>
      <c r="D18" s="88" t="s">
        <v>150</v>
      </c>
      <c r="E18" s="85">
        <v>50</v>
      </c>
      <c r="F18" s="86"/>
      <c r="G18" s="87">
        <f t="shared" si="1"/>
        <v>50</v>
      </c>
      <c r="H18" s="83" t="s">
        <v>149</v>
      </c>
      <c r="I18" s="83"/>
      <c r="J18" s="93"/>
      <c r="K18" s="419"/>
      <c r="L18" s="420"/>
      <c r="M18" s="421"/>
    </row>
    <row r="19" spans="1:13" ht="12" customHeight="1">
      <c r="A19" s="83">
        <f t="shared" si="0"/>
        <v>13</v>
      </c>
      <c r="B19" s="11" t="s">
        <v>1667</v>
      </c>
      <c r="C19" s="84" t="s">
        <v>1668</v>
      </c>
      <c r="D19" s="88" t="s">
        <v>150</v>
      </c>
      <c r="E19" s="85">
        <v>50</v>
      </c>
      <c r="F19" s="86"/>
      <c r="G19" s="87">
        <f t="shared" si="1"/>
        <v>50</v>
      </c>
      <c r="H19" s="83" t="s">
        <v>149</v>
      </c>
      <c r="I19" s="83"/>
      <c r="J19" s="93"/>
      <c r="K19" s="419"/>
      <c r="L19" s="420"/>
      <c r="M19" s="421"/>
    </row>
    <row r="20" spans="1:13" ht="12" customHeight="1">
      <c r="A20" s="83">
        <f t="shared" si="0"/>
        <v>14</v>
      </c>
      <c r="B20" s="11" t="s">
        <v>1669</v>
      </c>
      <c r="C20" s="84" t="s">
        <v>1670</v>
      </c>
      <c r="D20" s="88" t="s">
        <v>150</v>
      </c>
      <c r="E20" s="85">
        <v>50</v>
      </c>
      <c r="F20" s="86"/>
      <c r="G20" s="87">
        <f t="shared" si="1"/>
        <v>50</v>
      </c>
      <c r="H20" s="83" t="s">
        <v>149</v>
      </c>
      <c r="I20" s="83"/>
      <c r="J20" s="93"/>
      <c r="K20" s="419"/>
      <c r="L20" s="420"/>
      <c r="M20" s="421"/>
    </row>
    <row r="21" spans="1:13" ht="12" customHeight="1">
      <c r="A21" s="83">
        <f t="shared" si="0"/>
        <v>15</v>
      </c>
      <c r="B21" s="11" t="s">
        <v>1671</v>
      </c>
      <c r="C21" s="84" t="s">
        <v>1672</v>
      </c>
      <c r="D21" s="88" t="s">
        <v>150</v>
      </c>
      <c r="E21" s="85">
        <v>50</v>
      </c>
      <c r="F21" s="86"/>
      <c r="G21" s="87">
        <f t="shared" si="1"/>
        <v>50</v>
      </c>
      <c r="H21" s="83" t="s">
        <v>149</v>
      </c>
      <c r="I21" s="83"/>
      <c r="J21" s="93"/>
      <c r="K21" s="419"/>
      <c r="L21" s="420"/>
      <c r="M21" s="421"/>
    </row>
    <row r="22" spans="1:13" ht="12" customHeight="1">
      <c r="A22" s="83">
        <f t="shared" si="0"/>
        <v>16</v>
      </c>
      <c r="B22" s="11" t="s">
        <v>1673</v>
      </c>
      <c r="C22" s="84" t="s">
        <v>1674</v>
      </c>
      <c r="D22" s="88" t="s">
        <v>150</v>
      </c>
      <c r="E22" s="85">
        <v>50</v>
      </c>
      <c r="F22" s="86"/>
      <c r="G22" s="87">
        <f t="shared" si="1"/>
        <v>50</v>
      </c>
      <c r="H22" s="83" t="s">
        <v>149</v>
      </c>
      <c r="I22" s="83"/>
      <c r="J22" s="93"/>
      <c r="K22" s="419"/>
      <c r="L22" s="420"/>
      <c r="M22" s="421"/>
    </row>
    <row r="23" spans="1:13" ht="12" customHeight="1">
      <c r="A23" s="83">
        <f t="shared" si="0"/>
        <v>17</v>
      </c>
      <c r="B23" s="11" t="s">
        <v>1675</v>
      </c>
      <c r="C23" s="84" t="s">
        <v>1676</v>
      </c>
      <c r="D23" s="88" t="s">
        <v>150</v>
      </c>
      <c r="E23" s="85">
        <v>50</v>
      </c>
      <c r="F23" s="86"/>
      <c r="G23" s="87">
        <f t="shared" si="1"/>
        <v>50</v>
      </c>
      <c r="H23" s="83" t="s">
        <v>149</v>
      </c>
      <c r="I23" s="83"/>
      <c r="J23" s="93"/>
      <c r="K23" s="419"/>
      <c r="L23" s="420"/>
      <c r="M23" s="421"/>
    </row>
    <row r="24" spans="1:13" ht="12" customHeight="1">
      <c r="A24" s="83">
        <f t="shared" si="0"/>
        <v>18</v>
      </c>
      <c r="B24" s="11" t="s">
        <v>1677</v>
      </c>
      <c r="C24" s="84" t="s">
        <v>1678</v>
      </c>
      <c r="D24" s="88" t="s">
        <v>150</v>
      </c>
      <c r="E24" s="85">
        <v>50</v>
      </c>
      <c r="F24" s="86"/>
      <c r="G24" s="87">
        <f t="shared" si="1"/>
        <v>50</v>
      </c>
      <c r="H24" s="83" t="s">
        <v>149</v>
      </c>
      <c r="I24" s="83"/>
      <c r="J24" s="93"/>
      <c r="K24" s="419"/>
      <c r="L24" s="420"/>
      <c r="M24" s="421"/>
    </row>
    <row r="25" spans="1:13" ht="12" customHeight="1">
      <c r="A25" s="83">
        <f t="shared" si="0"/>
        <v>19</v>
      </c>
      <c r="B25" s="11" t="s">
        <v>1679</v>
      </c>
      <c r="C25" s="84" t="s">
        <v>1680</v>
      </c>
      <c r="D25" s="88" t="s">
        <v>150</v>
      </c>
      <c r="E25" s="85">
        <v>50</v>
      </c>
      <c r="F25" s="86"/>
      <c r="G25" s="87">
        <f t="shared" si="1"/>
        <v>50</v>
      </c>
      <c r="H25" s="83" t="s">
        <v>149</v>
      </c>
      <c r="I25" s="83"/>
      <c r="J25" s="93"/>
      <c r="K25" s="419"/>
      <c r="L25" s="420"/>
      <c r="M25" s="421"/>
    </row>
    <row r="26" spans="1:13" ht="12" customHeight="1">
      <c r="A26" s="83">
        <f t="shared" si="0"/>
        <v>20</v>
      </c>
      <c r="B26" s="11" t="s">
        <v>1681</v>
      </c>
      <c r="C26" s="84" t="s">
        <v>1682</v>
      </c>
      <c r="D26" s="88" t="s">
        <v>150</v>
      </c>
      <c r="E26" s="85">
        <v>50</v>
      </c>
      <c r="F26" s="86"/>
      <c r="G26" s="87">
        <f t="shared" si="1"/>
        <v>50</v>
      </c>
      <c r="H26" s="83" t="s">
        <v>149</v>
      </c>
      <c r="I26" s="83"/>
      <c r="J26" s="93"/>
      <c r="K26" s="419"/>
      <c r="L26" s="420"/>
      <c r="M26" s="421"/>
    </row>
    <row r="27" spans="1:13" ht="12" customHeight="1">
      <c r="A27" s="83">
        <f t="shared" si="0"/>
        <v>21</v>
      </c>
      <c r="B27" s="11" t="s">
        <v>1683</v>
      </c>
      <c r="C27" s="84" t="s">
        <v>1684</v>
      </c>
      <c r="D27" s="88" t="s">
        <v>150</v>
      </c>
      <c r="E27" s="85">
        <v>50</v>
      </c>
      <c r="F27" s="86"/>
      <c r="G27" s="87">
        <f t="shared" si="1"/>
        <v>50</v>
      </c>
      <c r="H27" s="83" t="s">
        <v>149</v>
      </c>
      <c r="I27" s="83"/>
      <c r="J27" s="93"/>
      <c r="K27" s="419"/>
      <c r="L27" s="420"/>
      <c r="M27" s="421"/>
    </row>
    <row r="28" spans="1:13" ht="12" customHeight="1">
      <c r="A28" s="83">
        <f t="shared" si="0"/>
        <v>22</v>
      </c>
      <c r="B28" s="11" t="s">
        <v>1685</v>
      </c>
      <c r="C28" s="84" t="s">
        <v>1686</v>
      </c>
      <c r="D28" s="88" t="s">
        <v>150</v>
      </c>
      <c r="E28" s="85">
        <v>50</v>
      </c>
      <c r="F28" s="86"/>
      <c r="G28" s="87">
        <f t="shared" si="1"/>
        <v>50</v>
      </c>
      <c r="H28" s="83" t="s">
        <v>149</v>
      </c>
      <c r="I28" s="83"/>
      <c r="J28" s="93"/>
      <c r="K28" s="419"/>
      <c r="L28" s="420"/>
      <c r="M28" s="421"/>
    </row>
    <row r="29" spans="1:13" ht="12" customHeight="1">
      <c r="A29" s="83">
        <f t="shared" si="0"/>
        <v>23</v>
      </c>
      <c r="B29" s="11" t="s">
        <v>1687</v>
      </c>
      <c r="C29" s="84" t="s">
        <v>1688</v>
      </c>
      <c r="D29" s="88" t="s">
        <v>150</v>
      </c>
      <c r="E29" s="85">
        <v>50</v>
      </c>
      <c r="F29" s="86"/>
      <c r="G29" s="87">
        <f t="shared" si="1"/>
        <v>50</v>
      </c>
      <c r="H29" s="83" t="s">
        <v>149</v>
      </c>
      <c r="I29" s="83"/>
      <c r="J29" s="93"/>
      <c r="K29" s="422"/>
      <c r="L29" s="423"/>
      <c r="M29" s="424"/>
    </row>
    <row r="30" spans="1:13" ht="12" customHeight="1">
      <c r="A30" s="83">
        <f t="shared" si="0"/>
        <v>24</v>
      </c>
      <c r="B30" s="11" t="s">
        <v>1689</v>
      </c>
      <c r="C30" s="84" t="s">
        <v>1690</v>
      </c>
      <c r="D30" s="88" t="s">
        <v>150</v>
      </c>
      <c r="E30" s="85">
        <v>50</v>
      </c>
      <c r="F30" s="86"/>
      <c r="G30" s="87">
        <f t="shared" si="1"/>
        <v>50</v>
      </c>
      <c r="H30" s="83" t="s">
        <v>149</v>
      </c>
      <c r="I30" s="83"/>
      <c r="J30" s="93"/>
      <c r="K30" s="422"/>
      <c r="L30" s="423"/>
      <c r="M30" s="424"/>
    </row>
    <row r="31" spans="1:13" ht="12" customHeight="1">
      <c r="A31" s="83">
        <f t="shared" si="0"/>
        <v>25</v>
      </c>
      <c r="B31" s="11" t="s">
        <v>1691</v>
      </c>
      <c r="C31" s="84" t="s">
        <v>1692</v>
      </c>
      <c r="D31" s="88" t="s">
        <v>150</v>
      </c>
      <c r="E31" s="85">
        <v>50</v>
      </c>
      <c r="F31" s="86"/>
      <c r="G31" s="87">
        <f t="shared" si="1"/>
        <v>50</v>
      </c>
      <c r="H31" s="83" t="s">
        <v>149</v>
      </c>
      <c r="I31" s="83"/>
      <c r="J31" s="93"/>
      <c r="K31" s="422"/>
      <c r="L31" s="423"/>
      <c r="M31" s="424"/>
    </row>
    <row r="32" spans="1:13" ht="12" customHeight="1">
      <c r="A32" s="83">
        <f t="shared" si="0"/>
        <v>26</v>
      </c>
      <c r="B32" s="11" t="s">
        <v>1693</v>
      </c>
      <c r="C32" s="84" t="s">
        <v>1694</v>
      </c>
      <c r="D32" s="88" t="s">
        <v>150</v>
      </c>
      <c r="E32" s="85">
        <v>50</v>
      </c>
      <c r="F32" s="86"/>
      <c r="G32" s="87">
        <f t="shared" si="1"/>
        <v>50</v>
      </c>
      <c r="H32" s="83" t="s">
        <v>149</v>
      </c>
      <c r="I32" s="83"/>
      <c r="J32" s="93"/>
      <c r="K32" s="422"/>
      <c r="L32" s="423"/>
      <c r="M32" s="424"/>
    </row>
    <row r="33" spans="1:13" ht="12" customHeight="1">
      <c r="A33" s="83">
        <f t="shared" si="0"/>
        <v>27</v>
      </c>
      <c r="B33" s="11" t="s">
        <v>1695</v>
      </c>
      <c r="C33" s="84" t="s">
        <v>1696</v>
      </c>
      <c r="D33" s="88" t="s">
        <v>150</v>
      </c>
      <c r="E33" s="85">
        <v>50</v>
      </c>
      <c r="F33" s="86"/>
      <c r="G33" s="87">
        <f t="shared" si="1"/>
        <v>50</v>
      </c>
      <c r="H33" s="83" t="s">
        <v>149</v>
      </c>
      <c r="I33" s="83"/>
      <c r="J33" s="93"/>
      <c r="K33" s="422"/>
      <c r="L33" s="423"/>
      <c r="M33" s="424"/>
    </row>
    <row r="34" spans="1:13" ht="12" customHeight="1">
      <c r="A34" s="83">
        <f t="shared" si="0"/>
        <v>28</v>
      </c>
      <c r="B34" s="11" t="s">
        <v>1697</v>
      </c>
      <c r="C34" s="84" t="s">
        <v>1698</v>
      </c>
      <c r="D34" s="88" t="s">
        <v>150</v>
      </c>
      <c r="E34" s="85">
        <v>50</v>
      </c>
      <c r="F34" s="86"/>
      <c r="G34" s="87">
        <f t="shared" si="1"/>
        <v>50</v>
      </c>
      <c r="H34" s="83" t="s">
        <v>149</v>
      </c>
      <c r="I34" s="83"/>
      <c r="J34" s="93"/>
      <c r="K34" s="422"/>
      <c r="L34" s="423"/>
      <c r="M34" s="424"/>
    </row>
    <row r="35" spans="1:13" ht="12" customHeight="1">
      <c r="A35" s="83">
        <f t="shared" si="0"/>
        <v>29</v>
      </c>
      <c r="B35" s="11" t="s">
        <v>1699</v>
      </c>
      <c r="C35" s="84" t="s">
        <v>1700</v>
      </c>
      <c r="D35" s="88" t="s">
        <v>150</v>
      </c>
      <c r="E35" s="85">
        <v>50</v>
      </c>
      <c r="F35" s="86"/>
      <c r="G35" s="87">
        <f t="shared" si="1"/>
        <v>50</v>
      </c>
      <c r="H35" s="83" t="s">
        <v>149</v>
      </c>
      <c r="I35" s="83"/>
      <c r="J35" s="93"/>
      <c r="K35" s="422"/>
      <c r="L35" s="423"/>
      <c r="M35" s="424"/>
    </row>
    <row r="36" spans="1:13" ht="12" customHeight="1">
      <c r="A36" s="83">
        <f t="shared" si="0"/>
        <v>30</v>
      </c>
      <c r="B36" s="11" t="s">
        <v>1701</v>
      </c>
      <c r="C36" s="84" t="s">
        <v>1702</v>
      </c>
      <c r="D36" s="88" t="s">
        <v>150</v>
      </c>
      <c r="E36" s="85">
        <v>50</v>
      </c>
      <c r="F36" s="86"/>
      <c r="G36" s="87">
        <f t="shared" si="1"/>
        <v>50</v>
      </c>
      <c r="H36" s="83" t="s">
        <v>149</v>
      </c>
      <c r="I36" s="83"/>
      <c r="J36" s="93"/>
      <c r="K36" s="422"/>
      <c r="L36" s="423"/>
      <c r="M36" s="424"/>
    </row>
    <row r="37" spans="1:13" ht="12" customHeight="1">
      <c r="A37" s="83">
        <f t="shared" si="0"/>
        <v>31</v>
      </c>
      <c r="B37" s="11" t="s">
        <v>1703</v>
      </c>
      <c r="C37" s="84" t="s">
        <v>1704</v>
      </c>
      <c r="D37" s="88" t="s">
        <v>150</v>
      </c>
      <c r="E37" s="85">
        <v>50</v>
      </c>
      <c r="F37" s="86"/>
      <c r="G37" s="87">
        <f t="shared" si="1"/>
        <v>50</v>
      </c>
      <c r="H37" s="83" t="s">
        <v>149</v>
      </c>
      <c r="I37" s="83"/>
      <c r="J37" s="93"/>
      <c r="K37" s="422"/>
      <c r="L37" s="423"/>
      <c r="M37" s="424"/>
    </row>
    <row r="38" spans="1:13" ht="12" customHeight="1">
      <c r="A38" s="83">
        <f t="shared" si="0"/>
        <v>32</v>
      </c>
      <c r="B38" s="11" t="s">
        <v>1705</v>
      </c>
      <c r="C38" s="84" t="s">
        <v>1706</v>
      </c>
      <c r="D38" s="88" t="s">
        <v>150</v>
      </c>
      <c r="E38" s="85">
        <v>50</v>
      </c>
      <c r="F38" s="86"/>
      <c r="G38" s="87">
        <f t="shared" si="1"/>
        <v>50</v>
      </c>
      <c r="H38" s="83" t="s">
        <v>149</v>
      </c>
      <c r="I38" s="83"/>
      <c r="J38" s="93"/>
      <c r="K38" s="422"/>
      <c r="L38" s="423"/>
      <c r="M38" s="424"/>
    </row>
    <row r="39" spans="1:13" ht="12" customHeight="1">
      <c r="A39" s="83">
        <f t="shared" si="0"/>
        <v>33</v>
      </c>
      <c r="B39" s="11" t="s">
        <v>1707</v>
      </c>
      <c r="C39" s="84" t="s">
        <v>1708</v>
      </c>
      <c r="D39" s="88" t="s">
        <v>150</v>
      </c>
      <c r="E39" s="85">
        <v>50</v>
      </c>
      <c r="F39" s="86"/>
      <c r="G39" s="87">
        <f t="shared" si="1"/>
        <v>50</v>
      </c>
      <c r="H39" s="83" t="s">
        <v>149</v>
      </c>
      <c r="I39" s="83"/>
      <c r="J39" s="93"/>
      <c r="K39" s="422"/>
      <c r="L39" s="423"/>
      <c r="M39" s="424"/>
    </row>
    <row r="40" spans="1:13" ht="12" customHeight="1">
      <c r="A40" s="83">
        <f t="shared" si="0"/>
        <v>34</v>
      </c>
      <c r="B40" s="11" t="s">
        <v>1709</v>
      </c>
      <c r="C40" s="84" t="s">
        <v>1710</v>
      </c>
      <c r="D40" s="88" t="s">
        <v>150</v>
      </c>
      <c r="E40" s="85">
        <v>50</v>
      </c>
      <c r="F40" s="86"/>
      <c r="G40" s="87">
        <f t="shared" si="1"/>
        <v>50</v>
      </c>
      <c r="H40" s="83" t="s">
        <v>149</v>
      </c>
      <c r="I40" s="83"/>
      <c r="J40" s="93"/>
      <c r="K40" s="422"/>
      <c r="L40" s="423"/>
      <c r="M40" s="424"/>
    </row>
    <row r="41" spans="1:13" ht="12" customHeight="1">
      <c r="A41" s="83">
        <f t="shared" si="0"/>
        <v>35</v>
      </c>
      <c r="B41" s="11" t="s">
        <v>1711</v>
      </c>
      <c r="C41" s="84" t="s">
        <v>1712</v>
      </c>
      <c r="D41" s="88" t="s">
        <v>150</v>
      </c>
      <c r="E41" s="85">
        <v>50</v>
      </c>
      <c r="F41" s="86"/>
      <c r="G41" s="87">
        <f t="shared" si="1"/>
        <v>50</v>
      </c>
      <c r="H41" s="83" t="s">
        <v>149</v>
      </c>
      <c r="I41" s="83"/>
      <c r="J41" s="93"/>
      <c r="K41" s="422"/>
      <c r="L41" s="423"/>
      <c r="M41" s="424"/>
    </row>
    <row r="42" spans="1:13" ht="12" customHeight="1">
      <c r="A42" s="83">
        <f t="shared" si="0"/>
        <v>36</v>
      </c>
      <c r="B42" s="11" t="s">
        <v>1713</v>
      </c>
      <c r="C42" s="84" t="s">
        <v>1714</v>
      </c>
      <c r="D42" s="88" t="s">
        <v>150</v>
      </c>
      <c r="E42" s="85">
        <v>50</v>
      </c>
      <c r="F42" s="86"/>
      <c r="G42" s="87">
        <f t="shared" si="1"/>
        <v>50</v>
      </c>
      <c r="H42" s="83" t="s">
        <v>149</v>
      </c>
      <c r="I42" s="83"/>
      <c r="J42" s="93"/>
      <c r="K42" s="422"/>
      <c r="L42" s="423"/>
      <c r="M42" s="424"/>
    </row>
    <row r="43" spans="1:13" ht="12" customHeight="1">
      <c r="A43" s="83">
        <f t="shared" si="0"/>
        <v>37</v>
      </c>
      <c r="B43" s="11" t="s">
        <v>1715</v>
      </c>
      <c r="C43" s="84" t="s">
        <v>1716</v>
      </c>
      <c r="D43" s="88" t="s">
        <v>150</v>
      </c>
      <c r="E43" s="85">
        <v>50</v>
      </c>
      <c r="F43" s="86"/>
      <c r="G43" s="87">
        <f t="shared" si="1"/>
        <v>50</v>
      </c>
      <c r="H43" s="83" t="s">
        <v>149</v>
      </c>
      <c r="I43" s="83"/>
      <c r="J43" s="93"/>
      <c r="K43" s="422"/>
      <c r="L43" s="423"/>
      <c r="M43" s="424"/>
    </row>
    <row r="44" spans="1:13" ht="12" customHeight="1">
      <c r="A44" s="83">
        <f t="shared" si="0"/>
        <v>38</v>
      </c>
      <c r="B44" s="11" t="s">
        <v>1717</v>
      </c>
      <c r="C44" s="84" t="s">
        <v>1718</v>
      </c>
      <c r="D44" s="88" t="s">
        <v>150</v>
      </c>
      <c r="E44" s="85">
        <v>50</v>
      </c>
      <c r="F44" s="86"/>
      <c r="G44" s="87">
        <f t="shared" si="1"/>
        <v>50</v>
      </c>
      <c r="H44" s="83" t="s">
        <v>149</v>
      </c>
      <c r="I44" s="83"/>
      <c r="J44" s="93"/>
      <c r="K44" s="422"/>
      <c r="L44" s="423"/>
      <c r="M44" s="424"/>
    </row>
    <row r="45" spans="1:13" ht="12" customHeight="1">
      <c r="A45" s="83">
        <f t="shared" si="0"/>
        <v>39</v>
      </c>
      <c r="B45" s="11" t="s">
        <v>1719</v>
      </c>
      <c r="C45" s="84" t="s">
        <v>1720</v>
      </c>
      <c r="D45" s="88" t="s">
        <v>150</v>
      </c>
      <c r="E45" s="85">
        <v>50</v>
      </c>
      <c r="F45" s="86"/>
      <c r="G45" s="87">
        <f t="shared" si="1"/>
        <v>50</v>
      </c>
      <c r="H45" s="83" t="s">
        <v>149</v>
      </c>
      <c r="I45" s="83"/>
      <c r="J45" s="93"/>
      <c r="K45" s="422"/>
      <c r="L45" s="423"/>
      <c r="M45" s="424"/>
    </row>
    <row r="46" spans="1:13" ht="12" customHeight="1">
      <c r="A46" s="83">
        <f t="shared" si="0"/>
        <v>40</v>
      </c>
      <c r="B46" s="11" t="s">
        <v>1721</v>
      </c>
      <c r="C46" s="84" t="s">
        <v>1722</v>
      </c>
      <c r="D46" s="88" t="s">
        <v>150</v>
      </c>
      <c r="E46" s="85">
        <v>50</v>
      </c>
      <c r="F46" s="86"/>
      <c r="G46" s="87">
        <f t="shared" si="1"/>
        <v>50</v>
      </c>
      <c r="H46" s="83" t="s">
        <v>149</v>
      </c>
      <c r="I46" s="83"/>
      <c r="J46" s="93"/>
      <c r="K46" s="422"/>
      <c r="L46" s="423"/>
      <c r="M46" s="424"/>
    </row>
    <row r="47" spans="1:13" ht="12" customHeight="1">
      <c r="A47" s="83">
        <f t="shared" si="0"/>
        <v>41</v>
      </c>
      <c r="B47" s="11" t="s">
        <v>1723</v>
      </c>
      <c r="C47" s="84" t="s">
        <v>1724</v>
      </c>
      <c r="D47" s="88" t="s">
        <v>150</v>
      </c>
      <c r="E47" s="85">
        <v>50</v>
      </c>
      <c r="F47" s="86"/>
      <c r="G47" s="87">
        <f t="shared" si="1"/>
        <v>50</v>
      </c>
      <c r="H47" s="83" t="s">
        <v>149</v>
      </c>
      <c r="I47" s="83"/>
      <c r="J47" s="93"/>
      <c r="K47" s="422"/>
      <c r="L47" s="423"/>
      <c r="M47" s="424"/>
    </row>
    <row r="48" spans="1:13" ht="12" customHeight="1">
      <c r="A48" s="83">
        <f t="shared" si="0"/>
        <v>42</v>
      </c>
      <c r="B48" s="11" t="s">
        <v>1725</v>
      </c>
      <c r="C48" s="84" t="s">
        <v>1726</v>
      </c>
      <c r="D48" s="88" t="s">
        <v>150</v>
      </c>
      <c r="E48" s="85">
        <v>50</v>
      </c>
      <c r="F48" s="86"/>
      <c r="G48" s="87">
        <f t="shared" si="1"/>
        <v>50</v>
      </c>
      <c r="H48" s="83" t="s">
        <v>149</v>
      </c>
      <c r="I48" s="83"/>
      <c r="J48" s="93"/>
      <c r="K48" s="422"/>
      <c r="L48" s="423"/>
      <c r="M48" s="424"/>
    </row>
    <row r="49" spans="1:13" ht="12" customHeight="1">
      <c r="A49" s="83">
        <f t="shared" si="0"/>
        <v>43</v>
      </c>
      <c r="B49" s="11" t="s">
        <v>1727</v>
      </c>
      <c r="C49" s="84" t="s">
        <v>1728</v>
      </c>
      <c r="D49" s="88" t="s">
        <v>150</v>
      </c>
      <c r="E49" s="85">
        <v>50</v>
      </c>
      <c r="F49" s="86"/>
      <c r="G49" s="87">
        <f t="shared" si="1"/>
        <v>50</v>
      </c>
      <c r="H49" s="83" t="s">
        <v>149</v>
      </c>
      <c r="I49" s="83"/>
      <c r="J49" s="93"/>
      <c r="K49" s="422"/>
      <c r="L49" s="423"/>
      <c r="M49" s="424"/>
    </row>
    <row r="50" spans="1:13" ht="12" customHeight="1">
      <c r="A50" s="83">
        <f t="shared" si="0"/>
        <v>44</v>
      </c>
      <c r="B50" s="11" t="s">
        <v>1729</v>
      </c>
      <c r="C50" s="84" t="s">
        <v>1730</v>
      </c>
      <c r="D50" s="88" t="s">
        <v>150</v>
      </c>
      <c r="E50" s="85">
        <v>50</v>
      </c>
      <c r="F50" s="86"/>
      <c r="G50" s="87">
        <f t="shared" si="1"/>
        <v>50</v>
      </c>
      <c r="H50" s="83" t="s">
        <v>149</v>
      </c>
      <c r="I50" s="83"/>
      <c r="J50" s="93"/>
      <c r="K50" s="422"/>
      <c r="L50" s="423"/>
      <c r="M50" s="424"/>
    </row>
    <row r="51" spans="1:13" ht="12" customHeight="1">
      <c r="A51" s="83">
        <f t="shared" ref="A51:A64" si="2">IF(B51=""," ",A50+1)</f>
        <v>45</v>
      </c>
      <c r="B51" s="11" t="s">
        <v>1731</v>
      </c>
      <c r="C51" s="84" t="s">
        <v>1732</v>
      </c>
      <c r="D51" s="88" t="s">
        <v>150</v>
      </c>
      <c r="E51" s="85">
        <v>50</v>
      </c>
      <c r="F51" s="86"/>
      <c r="G51" s="87">
        <f t="shared" si="1"/>
        <v>50</v>
      </c>
      <c r="H51" s="83" t="s">
        <v>149</v>
      </c>
      <c r="I51" s="83"/>
      <c r="J51" s="93"/>
      <c r="K51" s="422"/>
      <c r="L51" s="423"/>
      <c r="M51" s="424"/>
    </row>
    <row r="52" spans="1:13" ht="12" customHeight="1">
      <c r="A52" s="83">
        <f t="shared" si="2"/>
        <v>46</v>
      </c>
      <c r="B52" s="11" t="s">
        <v>1733</v>
      </c>
      <c r="C52" s="84" t="s">
        <v>1734</v>
      </c>
      <c r="D52" s="88" t="s">
        <v>150</v>
      </c>
      <c r="E52" s="85">
        <v>50</v>
      </c>
      <c r="F52" s="86"/>
      <c r="G52" s="87">
        <f t="shared" si="1"/>
        <v>50</v>
      </c>
      <c r="H52" s="83" t="s">
        <v>149</v>
      </c>
      <c r="I52" s="83"/>
      <c r="J52" s="93"/>
      <c r="K52" s="422"/>
      <c r="L52" s="423"/>
      <c r="M52" s="424"/>
    </row>
    <row r="53" spans="1:13" ht="12" customHeight="1">
      <c r="A53" s="83">
        <f t="shared" si="2"/>
        <v>47</v>
      </c>
      <c r="B53" s="11" t="s">
        <v>1735</v>
      </c>
      <c r="C53" s="84" t="s">
        <v>1736</v>
      </c>
      <c r="D53" s="88" t="s">
        <v>150</v>
      </c>
      <c r="E53" s="85">
        <v>50</v>
      </c>
      <c r="F53" s="86"/>
      <c r="G53" s="87">
        <f t="shared" si="1"/>
        <v>50</v>
      </c>
      <c r="H53" s="83" t="s">
        <v>149</v>
      </c>
      <c r="I53" s="83"/>
      <c r="J53" s="93"/>
      <c r="K53" s="422"/>
      <c r="L53" s="423"/>
      <c r="M53" s="424"/>
    </row>
    <row r="54" spans="1:13" ht="12" customHeight="1">
      <c r="A54" s="83">
        <f t="shared" si="2"/>
        <v>48</v>
      </c>
      <c r="B54" s="74" t="s">
        <v>1737</v>
      </c>
      <c r="C54" s="84" t="s">
        <v>1738</v>
      </c>
      <c r="D54" s="88" t="s">
        <v>150</v>
      </c>
      <c r="E54" s="85">
        <v>50</v>
      </c>
      <c r="F54" s="86"/>
      <c r="G54" s="87">
        <f t="shared" si="1"/>
        <v>50</v>
      </c>
      <c r="H54" s="83" t="s">
        <v>149</v>
      </c>
      <c r="I54" s="83"/>
      <c r="J54" s="93"/>
      <c r="K54" s="422"/>
      <c r="L54" s="423"/>
      <c r="M54" s="424"/>
    </row>
    <row r="55" spans="1:13" ht="12" customHeight="1">
      <c r="A55" s="83">
        <f t="shared" si="2"/>
        <v>49</v>
      </c>
      <c r="B55" s="74" t="s">
        <v>1739</v>
      </c>
      <c r="C55" s="84" t="s">
        <v>1740</v>
      </c>
      <c r="D55" s="88" t="s">
        <v>150</v>
      </c>
      <c r="E55" s="85">
        <v>50</v>
      </c>
      <c r="F55" s="86"/>
      <c r="G55" s="87">
        <f t="shared" si="1"/>
        <v>50</v>
      </c>
      <c r="H55" s="83" t="s">
        <v>149</v>
      </c>
      <c r="I55" s="83"/>
      <c r="J55" s="93"/>
      <c r="K55" s="422"/>
      <c r="L55" s="423"/>
      <c r="M55" s="424"/>
    </row>
    <row r="56" spans="1:13" ht="12" customHeight="1">
      <c r="A56" s="83">
        <f t="shared" si="2"/>
        <v>50</v>
      </c>
      <c r="B56" s="74" t="s">
        <v>1741</v>
      </c>
      <c r="C56" s="84" t="s">
        <v>1742</v>
      </c>
      <c r="D56" s="88" t="s">
        <v>150</v>
      </c>
      <c r="E56" s="85">
        <v>50</v>
      </c>
      <c r="F56" s="86"/>
      <c r="G56" s="87">
        <f t="shared" si="1"/>
        <v>50</v>
      </c>
      <c r="H56" s="83" t="s">
        <v>149</v>
      </c>
      <c r="I56" s="83"/>
      <c r="J56" s="93"/>
      <c r="K56" s="422"/>
      <c r="L56" s="423"/>
      <c r="M56" s="424"/>
    </row>
    <row r="57" spans="1:13" ht="12" customHeight="1">
      <c r="A57" s="83">
        <f t="shared" si="2"/>
        <v>51</v>
      </c>
      <c r="B57" s="74" t="s">
        <v>1743</v>
      </c>
      <c r="C57" s="84" t="s">
        <v>1744</v>
      </c>
      <c r="D57" s="88" t="s">
        <v>150</v>
      </c>
      <c r="E57" s="85">
        <v>50</v>
      </c>
      <c r="F57" s="86"/>
      <c r="G57" s="87">
        <f t="shared" si="1"/>
        <v>50</v>
      </c>
      <c r="H57" s="83" t="s">
        <v>149</v>
      </c>
      <c r="I57" s="83"/>
      <c r="J57" s="93"/>
      <c r="K57" s="422"/>
      <c r="L57" s="423"/>
      <c r="M57" s="424"/>
    </row>
    <row r="58" spans="1:13" ht="12" customHeight="1">
      <c r="A58" s="83">
        <f t="shared" si="2"/>
        <v>52</v>
      </c>
      <c r="B58" s="74" t="s">
        <v>1745</v>
      </c>
      <c r="C58" s="84" t="s">
        <v>1746</v>
      </c>
      <c r="D58" s="88" t="s">
        <v>150</v>
      </c>
      <c r="E58" s="85">
        <v>50</v>
      </c>
      <c r="F58" s="86"/>
      <c r="G58" s="87">
        <f t="shared" si="1"/>
        <v>50</v>
      </c>
      <c r="H58" s="83" t="s">
        <v>149</v>
      </c>
      <c r="I58" s="83"/>
      <c r="J58" s="93"/>
      <c r="K58" s="422"/>
      <c r="L58" s="423"/>
      <c r="M58" s="424"/>
    </row>
    <row r="59" spans="1:13" ht="12" customHeight="1">
      <c r="A59" s="83">
        <f t="shared" si="2"/>
        <v>53</v>
      </c>
      <c r="B59" s="74" t="s">
        <v>1747</v>
      </c>
      <c r="C59" s="84" t="s">
        <v>1748</v>
      </c>
      <c r="D59" s="88" t="s">
        <v>150</v>
      </c>
      <c r="E59" s="85">
        <v>50</v>
      </c>
      <c r="F59" s="86"/>
      <c r="G59" s="87">
        <f t="shared" si="1"/>
        <v>50</v>
      </c>
      <c r="H59" s="83" t="s">
        <v>149</v>
      </c>
      <c r="I59" s="83"/>
      <c r="J59" s="93"/>
      <c r="K59" s="425"/>
      <c r="L59" s="426"/>
      <c r="M59" s="427"/>
    </row>
    <row r="60" spans="1:13" ht="12" customHeight="1">
      <c r="A60" s="83">
        <f t="shared" si="2"/>
        <v>54</v>
      </c>
      <c r="B60" s="74" t="s">
        <v>232</v>
      </c>
      <c r="C60" s="84" t="s">
        <v>233</v>
      </c>
      <c r="D60" s="88" t="s">
        <v>234</v>
      </c>
      <c r="E60" s="85"/>
      <c r="F60" s="86"/>
      <c r="G60" s="87">
        <f t="shared" si="1"/>
        <v>10</v>
      </c>
      <c r="H60" s="83" t="s">
        <v>149</v>
      </c>
      <c r="I60" s="83"/>
      <c r="J60" s="93"/>
      <c r="K60" s="84"/>
      <c r="L60" s="94"/>
      <c r="M60" s="95"/>
    </row>
    <row r="61" spans="1:13" ht="12" customHeight="1">
      <c r="A61" s="83" t="str">
        <f t="shared" si="2"/>
        <v xml:space="preserve"> </v>
      </c>
      <c r="B61" s="74"/>
      <c r="C61" s="84"/>
      <c r="D61" s="88"/>
      <c r="E61" s="85"/>
      <c r="F61" s="86"/>
      <c r="G61" s="87"/>
      <c r="H61" s="83"/>
      <c r="I61" s="83"/>
      <c r="J61" s="93"/>
      <c r="K61" s="84"/>
      <c r="L61" s="94"/>
      <c r="M61" s="95"/>
    </row>
    <row r="62" spans="1:13" ht="12" customHeight="1">
      <c r="A62" s="83" t="str">
        <f t="shared" si="2"/>
        <v xml:space="preserve"> </v>
      </c>
      <c r="B62" s="74"/>
      <c r="C62" s="84"/>
      <c r="D62" s="88"/>
      <c r="E62" s="85"/>
      <c r="F62" s="86"/>
      <c r="G62" s="87"/>
      <c r="H62" s="83"/>
      <c r="I62" s="83"/>
      <c r="J62" s="93"/>
      <c r="K62" s="84"/>
      <c r="L62" s="94"/>
      <c r="M62" s="95"/>
    </row>
    <row r="63" spans="1:13" ht="12" customHeight="1">
      <c r="A63" s="83" t="str">
        <f t="shared" si="2"/>
        <v xml:space="preserve"> </v>
      </c>
      <c r="B63" s="74"/>
      <c r="C63" s="84"/>
      <c r="D63" s="88"/>
      <c r="E63" s="85"/>
      <c r="F63" s="86"/>
      <c r="G63" s="87"/>
      <c r="H63" s="83"/>
      <c r="I63" s="83"/>
      <c r="J63" s="93"/>
      <c r="K63" s="84"/>
      <c r="L63" s="94"/>
      <c r="M63" s="95"/>
    </row>
    <row r="64" spans="1:13" ht="12" customHeight="1">
      <c r="A64" s="83" t="str">
        <f t="shared" si="2"/>
        <v xml:space="preserve"> </v>
      </c>
      <c r="B64" s="74"/>
      <c r="C64" s="84"/>
      <c r="D64" s="88"/>
      <c r="E64" s="85"/>
      <c r="F64" s="86"/>
      <c r="G64" s="87"/>
      <c r="H64" s="83"/>
      <c r="I64" s="83"/>
      <c r="J64" s="93"/>
      <c r="K64" s="84"/>
      <c r="L64" s="94"/>
      <c r="M64" s="95"/>
    </row>
    <row r="65" spans="1:13" ht="12" customHeight="1">
      <c r="A65" s="83" t="str">
        <f t="shared" ref="A65:A71" si="3">IF(B65=""," ",A64+1)</f>
        <v xml:space="preserve"> </v>
      </c>
      <c r="B65" s="74"/>
      <c r="C65" s="84"/>
      <c r="D65" s="88"/>
      <c r="E65" s="85"/>
      <c r="F65" s="86"/>
      <c r="G65" s="87"/>
      <c r="H65" s="83"/>
      <c r="I65" s="83"/>
      <c r="J65" s="93"/>
      <c r="K65" s="84"/>
      <c r="L65" s="94"/>
      <c r="M65" s="95"/>
    </row>
    <row r="66" spans="1:13" ht="12" customHeight="1">
      <c r="A66" s="83" t="str">
        <f t="shared" si="3"/>
        <v xml:space="preserve"> </v>
      </c>
      <c r="B66" s="74"/>
      <c r="C66" s="84"/>
      <c r="D66" s="88"/>
      <c r="E66" s="85"/>
      <c r="F66" s="86"/>
      <c r="G66" s="87"/>
      <c r="H66" s="83"/>
      <c r="I66" s="83"/>
      <c r="J66" s="93"/>
      <c r="K66" s="84"/>
      <c r="L66" s="94"/>
      <c r="M66" s="95"/>
    </row>
    <row r="67" spans="1:13" ht="12" customHeight="1">
      <c r="A67" s="83" t="str">
        <f t="shared" si="3"/>
        <v xml:space="preserve"> </v>
      </c>
      <c r="B67" s="74"/>
      <c r="C67" s="84"/>
      <c r="D67" s="88"/>
      <c r="E67" s="85"/>
      <c r="F67" s="86"/>
      <c r="G67" s="87"/>
      <c r="H67" s="83"/>
      <c r="I67" s="83"/>
      <c r="J67" s="93"/>
      <c r="K67" s="84"/>
      <c r="L67" s="94"/>
      <c r="M67" s="95"/>
    </row>
    <row r="68" spans="1:13" ht="12" customHeight="1">
      <c r="A68" s="83" t="str">
        <f t="shared" si="3"/>
        <v xml:space="preserve"> </v>
      </c>
      <c r="B68" s="74"/>
      <c r="C68" s="84"/>
      <c r="D68" s="88"/>
      <c r="E68" s="85"/>
      <c r="F68" s="86"/>
      <c r="G68" s="87"/>
      <c r="H68" s="83"/>
      <c r="I68" s="83"/>
      <c r="J68" s="93"/>
      <c r="K68" s="84"/>
      <c r="L68" s="94"/>
      <c r="M68" s="95"/>
    </row>
    <row r="69" spans="1:13" ht="12" customHeight="1">
      <c r="A69" s="83" t="str">
        <f t="shared" si="3"/>
        <v xml:space="preserve"> </v>
      </c>
      <c r="B69" s="74"/>
      <c r="C69" s="84"/>
      <c r="D69" s="88"/>
      <c r="E69" s="85"/>
      <c r="F69" s="86"/>
      <c r="G69" s="87"/>
      <c r="H69" s="83"/>
      <c r="I69" s="83"/>
      <c r="J69" s="93"/>
      <c r="K69" s="84"/>
      <c r="L69" s="94"/>
      <c r="M69" s="95"/>
    </row>
    <row r="70" spans="1:13" ht="12" customHeight="1">
      <c r="A70" s="83" t="str">
        <f t="shared" si="3"/>
        <v xml:space="preserve"> </v>
      </c>
      <c r="B70" s="74"/>
      <c r="C70" s="84"/>
      <c r="D70" s="88"/>
      <c r="E70" s="85"/>
      <c r="F70" s="86"/>
      <c r="G70" s="87"/>
      <c r="H70" s="83"/>
      <c r="I70" s="83"/>
      <c r="J70" s="93"/>
      <c r="K70" s="84"/>
      <c r="L70" s="94"/>
      <c r="M70" s="95"/>
    </row>
    <row r="71" spans="1:13" ht="12" customHeight="1">
      <c r="A71" s="83" t="str">
        <f t="shared" si="3"/>
        <v xml:space="preserve"> </v>
      </c>
      <c r="B71" s="74"/>
      <c r="C71" s="84"/>
      <c r="D71" s="88"/>
      <c r="E71" s="85"/>
      <c r="F71" s="86"/>
      <c r="G71" s="87"/>
      <c r="H71" s="83"/>
      <c r="I71" s="83"/>
      <c r="J71" s="93"/>
      <c r="K71" s="84"/>
      <c r="L71" s="94"/>
      <c r="M71" s="95"/>
    </row>
    <row r="72" spans="1:13" ht="12" customHeight="1">
      <c r="A72" s="83" t="str">
        <f t="shared" ref="A72:A85" si="4">IF(B72=""," ",A71+1)</f>
        <v xml:space="preserve"> </v>
      </c>
      <c r="B72" s="74"/>
      <c r="C72" s="84"/>
      <c r="D72" s="88"/>
      <c r="E72" s="85"/>
      <c r="F72" s="86"/>
      <c r="G72" s="87"/>
      <c r="H72" s="83"/>
      <c r="I72" s="83"/>
      <c r="J72" s="93"/>
      <c r="K72" s="84"/>
      <c r="L72" s="94"/>
      <c r="M72" s="95"/>
    </row>
    <row r="73" spans="1:13" ht="12" customHeight="1">
      <c r="A73" s="83" t="str">
        <f t="shared" si="4"/>
        <v xml:space="preserve"> </v>
      </c>
      <c r="B73" s="74"/>
      <c r="C73" s="84"/>
      <c r="D73" s="88"/>
      <c r="E73" s="85"/>
      <c r="F73" s="86"/>
      <c r="G73" s="87"/>
      <c r="H73" s="83"/>
      <c r="I73" s="83"/>
      <c r="J73" s="93"/>
      <c r="K73" s="84"/>
      <c r="L73" s="94"/>
      <c r="M73" s="95"/>
    </row>
    <row r="74" spans="1:13" ht="12" customHeight="1">
      <c r="A74" s="83" t="str">
        <f t="shared" si="4"/>
        <v xml:space="preserve"> </v>
      </c>
      <c r="B74" s="74"/>
      <c r="C74" s="84"/>
      <c r="D74" s="88"/>
      <c r="E74" s="85"/>
      <c r="F74" s="86"/>
      <c r="G74" s="87"/>
      <c r="H74" s="83"/>
      <c r="I74" s="83"/>
      <c r="J74" s="93"/>
      <c r="K74" s="84"/>
      <c r="L74" s="94"/>
      <c r="M74" s="95"/>
    </row>
    <row r="75" spans="1:13" ht="12" customHeight="1">
      <c r="A75" s="83" t="str">
        <f t="shared" si="4"/>
        <v xml:space="preserve"> </v>
      </c>
      <c r="B75" s="74"/>
      <c r="C75" s="84"/>
      <c r="D75" s="88"/>
      <c r="E75" s="85"/>
      <c r="F75" s="86"/>
      <c r="G75" s="87"/>
      <c r="H75" s="83"/>
      <c r="I75" s="83"/>
      <c r="J75" s="93"/>
      <c r="K75" s="84"/>
      <c r="L75" s="94"/>
      <c r="M75" s="95"/>
    </row>
    <row r="76" spans="1:13" ht="12" customHeight="1">
      <c r="A76" s="83" t="str">
        <f t="shared" si="4"/>
        <v xml:space="preserve"> </v>
      </c>
      <c r="B76" s="74"/>
      <c r="C76" s="84"/>
      <c r="D76" s="88"/>
      <c r="E76" s="85"/>
      <c r="F76" s="86"/>
      <c r="G76" s="87"/>
      <c r="H76" s="83"/>
      <c r="I76" s="83"/>
      <c r="J76" s="93"/>
      <c r="K76" s="84"/>
      <c r="L76" s="94"/>
      <c r="M76" s="95"/>
    </row>
    <row r="77" spans="1:13" ht="12" customHeight="1">
      <c r="A77" s="83" t="str">
        <f t="shared" si="4"/>
        <v xml:space="preserve"> </v>
      </c>
      <c r="B77" s="74"/>
      <c r="C77" s="84"/>
      <c r="D77" s="88"/>
      <c r="E77" s="85"/>
      <c r="F77" s="86"/>
      <c r="G77" s="87"/>
      <c r="H77" s="83"/>
      <c r="I77" s="83"/>
      <c r="J77" s="93"/>
      <c r="K77" s="84"/>
      <c r="L77" s="94"/>
      <c r="M77" s="95"/>
    </row>
    <row r="78" spans="1:13" ht="12" customHeight="1">
      <c r="A78" s="83" t="str">
        <f t="shared" si="4"/>
        <v xml:space="preserve"> </v>
      </c>
      <c r="B78" s="74"/>
      <c r="C78" s="84"/>
      <c r="D78" s="88"/>
      <c r="E78" s="85"/>
      <c r="F78" s="86"/>
      <c r="G78" s="87"/>
      <c r="H78" s="83"/>
      <c r="I78" s="83"/>
      <c r="J78" s="93"/>
      <c r="K78" s="84"/>
      <c r="L78" s="94"/>
      <c r="M78" s="95"/>
    </row>
    <row r="79" spans="1:13" ht="12" customHeight="1">
      <c r="A79" s="83" t="str">
        <f t="shared" si="4"/>
        <v xml:space="preserve"> </v>
      </c>
      <c r="B79" s="74"/>
      <c r="C79" s="84"/>
      <c r="D79" s="88"/>
      <c r="E79" s="85"/>
      <c r="F79" s="86"/>
      <c r="G79" s="87"/>
      <c r="H79" s="83"/>
      <c r="I79" s="83"/>
      <c r="J79" s="93"/>
      <c r="K79" s="84"/>
      <c r="L79" s="94"/>
      <c r="M79" s="95"/>
    </row>
    <row r="80" spans="1:13" ht="12" customHeight="1">
      <c r="A80" s="83" t="str">
        <f t="shared" si="4"/>
        <v xml:space="preserve"> </v>
      </c>
      <c r="B80" s="74"/>
      <c r="C80" s="84"/>
      <c r="D80" s="88"/>
      <c r="E80" s="85"/>
      <c r="F80" s="86"/>
      <c r="G80" s="87"/>
      <c r="H80" s="83"/>
      <c r="I80" s="83"/>
      <c r="J80" s="93"/>
      <c r="K80" s="84"/>
      <c r="L80" s="94"/>
      <c r="M80" s="95"/>
    </row>
    <row r="81" spans="1:13" ht="12" customHeight="1">
      <c r="A81" s="83" t="str">
        <f t="shared" si="4"/>
        <v xml:space="preserve"> </v>
      </c>
      <c r="B81" s="74"/>
      <c r="C81" s="84"/>
      <c r="D81" s="88"/>
      <c r="E81" s="85"/>
      <c r="F81" s="86"/>
      <c r="G81" s="87"/>
      <c r="H81" s="83"/>
      <c r="I81" s="83"/>
      <c r="J81" s="93"/>
      <c r="K81" s="84"/>
      <c r="L81" s="94"/>
      <c r="M81" s="95"/>
    </row>
    <row r="82" spans="1:13" ht="12" customHeight="1">
      <c r="A82" s="83" t="str">
        <f t="shared" si="4"/>
        <v xml:space="preserve"> </v>
      </c>
      <c r="B82" s="74"/>
      <c r="C82" s="84"/>
      <c r="D82" s="88"/>
      <c r="E82" s="85"/>
      <c r="F82" s="86"/>
      <c r="G82" s="87"/>
      <c r="H82" s="83"/>
      <c r="I82" s="83"/>
      <c r="J82" s="93"/>
      <c r="K82" s="84"/>
      <c r="L82" s="94"/>
      <c r="M82" s="95"/>
    </row>
    <row r="83" spans="1:13" ht="12" customHeight="1">
      <c r="A83" s="83" t="str">
        <f t="shared" si="4"/>
        <v xml:space="preserve"> </v>
      </c>
      <c r="B83" s="74"/>
      <c r="C83" s="84"/>
      <c r="D83" s="88"/>
      <c r="E83" s="85"/>
      <c r="F83" s="86"/>
      <c r="G83" s="87"/>
      <c r="H83" s="83"/>
      <c r="I83" s="83"/>
      <c r="J83" s="93"/>
      <c r="K83" s="84"/>
      <c r="L83" s="94"/>
      <c r="M83" s="95"/>
    </row>
    <row r="84" spans="1:13" ht="12" customHeight="1">
      <c r="A84" s="83" t="str">
        <f t="shared" si="4"/>
        <v xml:space="preserve"> </v>
      </c>
      <c r="B84" s="74"/>
      <c r="C84" s="84"/>
      <c r="D84" s="88"/>
      <c r="E84" s="85"/>
      <c r="F84" s="86"/>
      <c r="G84" s="87"/>
      <c r="H84" s="83"/>
      <c r="I84" s="83"/>
      <c r="J84" s="93"/>
      <c r="K84" s="84"/>
      <c r="L84" s="94"/>
      <c r="M84" s="95"/>
    </row>
    <row r="85" spans="1:13" ht="12" customHeight="1">
      <c r="A85" s="83" t="str">
        <f t="shared" si="4"/>
        <v xml:space="preserve"> </v>
      </c>
      <c r="B85" s="74"/>
      <c r="C85" s="84"/>
      <c r="D85" s="88"/>
      <c r="E85" s="85"/>
      <c r="F85" s="86"/>
      <c r="G85" s="87"/>
      <c r="H85" s="83"/>
      <c r="I85" s="83"/>
      <c r="J85" s="93"/>
      <c r="K85" s="84"/>
      <c r="L85" s="94"/>
      <c r="M85" s="95"/>
    </row>
    <row r="86" spans="1:13" ht="12" customHeight="1">
      <c r="A86" s="83" t="str">
        <f t="shared" ref="A86:A100" si="5">IF(B86=""," ",A85+1)</f>
        <v xml:space="preserve"> </v>
      </c>
      <c r="B86" s="74"/>
      <c r="C86" s="84"/>
      <c r="D86" s="88"/>
      <c r="E86" s="85"/>
      <c r="F86" s="86"/>
      <c r="G86" s="87"/>
      <c r="H86" s="83"/>
      <c r="I86" s="83"/>
      <c r="J86" s="93"/>
      <c r="K86" s="84"/>
      <c r="L86" s="94"/>
      <c r="M86" s="95"/>
    </row>
    <row r="87" spans="1:13" ht="12" customHeight="1">
      <c r="A87" s="83" t="str">
        <f t="shared" si="5"/>
        <v xml:space="preserve"> </v>
      </c>
      <c r="B87" s="74"/>
      <c r="C87" s="84"/>
      <c r="D87" s="88"/>
      <c r="E87" s="85"/>
      <c r="F87" s="86"/>
      <c r="G87" s="87"/>
      <c r="H87" s="83"/>
      <c r="I87" s="83"/>
      <c r="J87" s="93"/>
      <c r="K87" s="84"/>
      <c r="L87" s="94"/>
      <c r="M87" s="95"/>
    </row>
    <row r="88" spans="1:13" ht="12" customHeight="1">
      <c r="A88" s="83" t="str">
        <f t="shared" si="5"/>
        <v xml:space="preserve"> </v>
      </c>
      <c r="B88" s="74"/>
      <c r="C88" s="84"/>
      <c r="D88" s="88"/>
      <c r="E88" s="85"/>
      <c r="F88" s="86"/>
      <c r="G88" s="87"/>
      <c r="H88" s="83"/>
      <c r="I88" s="83"/>
      <c r="J88" s="93"/>
      <c r="K88" s="84"/>
      <c r="L88" s="94"/>
      <c r="M88" s="95"/>
    </row>
    <row r="89" spans="1:13" ht="12" customHeight="1">
      <c r="A89" s="83" t="str">
        <f t="shared" si="5"/>
        <v xml:space="preserve"> </v>
      </c>
      <c r="B89" s="74"/>
      <c r="C89" s="84"/>
      <c r="D89" s="88"/>
      <c r="E89" s="85"/>
      <c r="F89" s="86"/>
      <c r="G89" s="87"/>
      <c r="H89" s="83"/>
      <c r="I89" s="83"/>
      <c r="J89" s="93"/>
      <c r="K89" s="84"/>
      <c r="L89" s="94"/>
      <c r="M89" s="95"/>
    </row>
    <row r="90" spans="1:13" ht="12" customHeight="1">
      <c r="A90" s="83" t="str">
        <f t="shared" si="5"/>
        <v xml:space="preserve"> </v>
      </c>
      <c r="B90" s="74"/>
      <c r="C90" s="84"/>
      <c r="D90" s="88"/>
      <c r="E90" s="85"/>
      <c r="F90" s="86"/>
      <c r="G90" s="87"/>
      <c r="H90" s="83"/>
      <c r="I90" s="83"/>
      <c r="J90" s="93"/>
      <c r="K90" s="84"/>
      <c r="L90" s="94"/>
      <c r="M90" s="95"/>
    </row>
    <row r="91" spans="1:13" ht="12" customHeight="1">
      <c r="A91" s="83" t="str">
        <f t="shared" si="5"/>
        <v xml:space="preserve"> </v>
      </c>
      <c r="B91" s="74"/>
      <c r="C91" s="84"/>
      <c r="D91" s="88"/>
      <c r="E91" s="85"/>
      <c r="F91" s="86"/>
      <c r="G91" s="87"/>
      <c r="H91" s="83"/>
      <c r="I91" s="83"/>
      <c r="J91" s="93"/>
      <c r="K91" s="84"/>
      <c r="L91" s="94"/>
      <c r="M91" s="95"/>
    </row>
    <row r="92" spans="1:13" ht="12" customHeight="1">
      <c r="A92" s="83" t="str">
        <f t="shared" si="5"/>
        <v xml:space="preserve"> </v>
      </c>
      <c r="B92" s="74"/>
      <c r="C92" s="84"/>
      <c r="D92" s="88"/>
      <c r="E92" s="85"/>
      <c r="F92" s="86"/>
      <c r="G92" s="87"/>
      <c r="H92" s="83"/>
      <c r="I92" s="83"/>
      <c r="J92" s="93"/>
      <c r="K92" s="84"/>
      <c r="L92" s="94"/>
      <c r="M92" s="95"/>
    </row>
    <row r="93" spans="1:13" ht="12" customHeight="1">
      <c r="A93" s="83" t="str">
        <f t="shared" si="5"/>
        <v xml:space="preserve"> </v>
      </c>
      <c r="B93" s="74"/>
      <c r="C93" s="84"/>
      <c r="D93" s="88"/>
      <c r="E93" s="85"/>
      <c r="F93" s="86"/>
      <c r="G93" s="87"/>
      <c r="H93" s="83"/>
      <c r="I93" s="83"/>
      <c r="J93" s="93"/>
      <c r="K93" s="84"/>
      <c r="L93" s="94"/>
      <c r="M93" s="95"/>
    </row>
    <row r="94" spans="1:13" ht="12" customHeight="1">
      <c r="A94" s="83" t="str">
        <f t="shared" si="5"/>
        <v xml:space="preserve"> </v>
      </c>
      <c r="B94" s="74"/>
      <c r="C94" s="84"/>
      <c r="D94" s="88"/>
      <c r="E94" s="85"/>
      <c r="F94" s="86"/>
      <c r="G94" s="87"/>
      <c r="H94" s="83"/>
      <c r="I94" s="83"/>
      <c r="J94" s="93"/>
      <c r="K94" s="84"/>
      <c r="L94" s="94"/>
      <c r="M94" s="95"/>
    </row>
    <row r="95" spans="1:13" ht="12" customHeight="1">
      <c r="A95" s="83" t="str">
        <f t="shared" si="5"/>
        <v xml:space="preserve"> </v>
      </c>
      <c r="B95" s="74"/>
      <c r="C95" s="84"/>
      <c r="D95" s="88"/>
      <c r="E95" s="85"/>
      <c r="F95" s="86"/>
      <c r="G95" s="87"/>
      <c r="H95" s="83"/>
      <c r="I95" s="83"/>
      <c r="J95" s="93"/>
      <c r="K95" s="84"/>
      <c r="L95" s="94"/>
      <c r="M95" s="95"/>
    </row>
    <row r="96" spans="1:13" ht="12" customHeight="1">
      <c r="A96" s="83" t="str">
        <f t="shared" si="5"/>
        <v xml:space="preserve"> </v>
      </c>
      <c r="B96" s="74"/>
      <c r="C96" s="84"/>
      <c r="D96" s="88"/>
      <c r="E96" s="85"/>
      <c r="F96" s="86"/>
      <c r="G96" s="87"/>
      <c r="H96" s="83"/>
      <c r="I96" s="83"/>
      <c r="J96" s="93"/>
      <c r="K96" s="84"/>
      <c r="L96" s="94"/>
      <c r="M96" s="95"/>
    </row>
    <row r="97" spans="1:13" ht="12" customHeight="1">
      <c r="A97" s="83" t="str">
        <f t="shared" si="5"/>
        <v xml:space="preserve"> </v>
      </c>
      <c r="B97" s="74"/>
      <c r="C97" s="84"/>
      <c r="D97" s="88"/>
      <c r="E97" s="85"/>
      <c r="F97" s="86"/>
      <c r="G97" s="87"/>
      <c r="H97" s="83"/>
      <c r="I97" s="83"/>
      <c r="J97" s="93"/>
      <c r="K97" s="84"/>
      <c r="L97" s="94"/>
      <c r="M97" s="95"/>
    </row>
    <row r="98" spans="1:13" ht="12" customHeight="1">
      <c r="A98" s="83" t="str">
        <f t="shared" si="5"/>
        <v xml:space="preserve"> </v>
      </c>
      <c r="B98" s="74"/>
      <c r="C98" s="84"/>
      <c r="D98" s="88"/>
      <c r="E98" s="85"/>
      <c r="F98" s="86"/>
      <c r="G98" s="87"/>
      <c r="H98" s="83"/>
      <c r="I98" s="83"/>
      <c r="J98" s="93"/>
      <c r="K98" s="84"/>
      <c r="L98" s="94"/>
      <c r="M98" s="95"/>
    </row>
    <row r="99" spans="1:13" ht="12" customHeight="1">
      <c r="A99" s="83" t="str">
        <f t="shared" si="5"/>
        <v xml:space="preserve"> </v>
      </c>
      <c r="B99" s="74"/>
      <c r="C99" s="84"/>
      <c r="D99" s="88"/>
      <c r="E99" s="85"/>
      <c r="F99" s="86"/>
      <c r="G99" s="87"/>
      <c r="H99" s="83"/>
      <c r="I99" s="83"/>
      <c r="J99" s="93"/>
      <c r="K99" s="84"/>
      <c r="L99" s="94"/>
      <c r="M99" s="95"/>
    </row>
    <row r="100" spans="1:13" ht="12" customHeight="1">
      <c r="A100" s="83" t="str">
        <f t="shared" si="5"/>
        <v xml:space="preserve"> </v>
      </c>
      <c r="B100" s="74"/>
      <c r="C100" s="84"/>
      <c r="D100" s="88"/>
      <c r="E100" s="85"/>
      <c r="F100" s="86"/>
      <c r="G100" s="87"/>
      <c r="H100" s="83"/>
      <c r="I100" s="83"/>
      <c r="J100" s="93"/>
      <c r="K100" s="84"/>
      <c r="L100" s="94"/>
      <c r="M100" s="95"/>
    </row>
    <row r="102" spans="1:13">
      <c r="B102" s="75" t="s">
        <v>235</v>
      </c>
    </row>
    <row r="104" spans="1:13">
      <c r="B104" s="75" t="s">
        <v>236</v>
      </c>
      <c r="C104" s="75" t="s">
        <v>238</v>
      </c>
    </row>
    <row r="106" spans="1:13">
      <c r="B106" s="75" t="s">
        <v>239</v>
      </c>
      <c r="C106" s="75" t="s">
        <v>1627</v>
      </c>
    </row>
    <row r="108" spans="1:13">
      <c r="B108" s="75" t="s">
        <v>239</v>
      </c>
      <c r="C108" s="75" t="s">
        <v>1749</v>
      </c>
    </row>
    <row r="110" spans="1:13">
      <c r="B110" s="75" t="s">
        <v>239</v>
      </c>
      <c r="C110" s="75" t="s">
        <v>1750</v>
      </c>
    </row>
    <row r="112" spans="1:13">
      <c r="B112" s="75" t="s">
        <v>1751</v>
      </c>
      <c r="C112" s="75" t="s">
        <v>1752</v>
      </c>
    </row>
  </sheetData>
  <mergeCells count="18">
    <mergeCell ref="K7:M7"/>
    <mergeCell ref="K8:M8"/>
    <mergeCell ref="K9:M9"/>
    <mergeCell ref="A5:A6"/>
    <mergeCell ref="K10:M59"/>
    <mergeCell ref="K5:M6"/>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pageSetUpPr fitToPage="1"/>
  </sheetPr>
  <dimension ref="A1:Q106"/>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1753</v>
      </c>
      <c r="D3" s="265"/>
      <c r="E3" s="265"/>
      <c r="F3" s="265"/>
      <c r="G3" s="266"/>
      <c r="H3" s="259" t="s">
        <v>140</v>
      </c>
      <c r="I3" s="260"/>
      <c r="J3" s="90">
        <f>COUNT(A7:A100)</f>
        <v>6</v>
      </c>
      <c r="K3" s="78" t="s">
        <v>141</v>
      </c>
      <c r="L3" s="91">
        <v>38740</v>
      </c>
      <c r="M3" s="92" t="s">
        <v>1287</v>
      </c>
      <c r="O3" s="75" t="s">
        <v>143</v>
      </c>
      <c r="P3" s="75" t="s">
        <v>144</v>
      </c>
    </row>
    <row r="4" spans="1:16" ht="12" customHeight="1">
      <c r="A4" s="267" t="s">
        <v>145</v>
      </c>
      <c r="B4" s="268"/>
      <c r="C4" s="267" t="s">
        <v>78</v>
      </c>
      <c r="D4" s="269"/>
      <c r="E4" s="269"/>
      <c r="F4" s="269"/>
      <c r="G4" s="268"/>
      <c r="H4" s="259" t="s">
        <v>146</v>
      </c>
      <c r="I4" s="260"/>
      <c r="J4" s="90">
        <f>SUM(G7:G100)</f>
        <v>38</v>
      </c>
      <c r="K4" s="78" t="s">
        <v>147</v>
      </c>
      <c r="L4" s="91">
        <v>38878</v>
      </c>
      <c r="M4" s="83" t="s">
        <v>142</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 t="s">
        <v>1754</v>
      </c>
      <c r="C7" s="84" t="s">
        <v>813</v>
      </c>
      <c r="D7" s="13" t="s">
        <v>164</v>
      </c>
      <c r="E7" s="85"/>
      <c r="F7" s="86"/>
      <c r="G7" s="87">
        <f t="shared" ref="G7:G12" si="0">IF(D7="DATE",4,IF(D7="CHAR",E7,IF(D7="SMALLINT",2,IF(D7="INTEGER",4,IF(D7="TIMESTAMP",10,IF(D7="TIME",3,0))))))</f>
        <v>4</v>
      </c>
      <c r="H7" s="83" t="s">
        <v>149</v>
      </c>
      <c r="I7" s="83" t="s">
        <v>149</v>
      </c>
      <c r="J7" s="93"/>
      <c r="K7" s="308"/>
      <c r="L7" s="278"/>
      <c r="M7" s="279"/>
      <c r="P7" s="75" t="s">
        <v>165</v>
      </c>
    </row>
    <row r="8" spans="1:16" ht="26.25" customHeight="1">
      <c r="A8" s="83">
        <v>2</v>
      </c>
      <c r="B8" s="11" t="s">
        <v>676</v>
      </c>
      <c r="C8" s="84" t="s">
        <v>677</v>
      </c>
      <c r="D8" s="88" t="s">
        <v>150</v>
      </c>
      <c r="E8" s="85">
        <v>2</v>
      </c>
      <c r="F8" s="86"/>
      <c r="G8" s="87">
        <f t="shared" si="0"/>
        <v>2</v>
      </c>
      <c r="H8" s="83" t="s">
        <v>149</v>
      </c>
      <c r="I8" s="83" t="s">
        <v>149</v>
      </c>
      <c r="J8" s="93"/>
      <c r="K8" s="280" t="s">
        <v>678</v>
      </c>
      <c r="L8" s="291"/>
      <c r="M8" s="292"/>
    </row>
    <row r="9" spans="1:16" ht="27" customHeight="1">
      <c r="A9" s="83">
        <v>3</v>
      </c>
      <c r="B9" s="11" t="s">
        <v>738</v>
      </c>
      <c r="C9" s="84" t="s">
        <v>739</v>
      </c>
      <c r="D9" s="88" t="s">
        <v>174</v>
      </c>
      <c r="E9" s="85"/>
      <c r="F9" s="86"/>
      <c r="G9" s="87">
        <f t="shared" si="0"/>
        <v>2</v>
      </c>
      <c r="H9" s="83" t="s">
        <v>149</v>
      </c>
      <c r="I9" s="83" t="s">
        <v>149</v>
      </c>
      <c r="J9" s="93"/>
      <c r="K9" s="280"/>
      <c r="L9" s="281"/>
      <c r="M9" s="282"/>
    </row>
    <row r="10" spans="1:16" ht="12" customHeight="1">
      <c r="A10" s="83">
        <v>4</v>
      </c>
      <c r="B10" s="74" t="s">
        <v>1755</v>
      </c>
      <c r="C10" s="84" t="s">
        <v>1756</v>
      </c>
      <c r="D10" s="88" t="s">
        <v>234</v>
      </c>
      <c r="E10" s="85"/>
      <c r="F10" s="86"/>
      <c r="G10" s="87">
        <f t="shared" si="0"/>
        <v>10</v>
      </c>
      <c r="H10" s="83" t="s">
        <v>149</v>
      </c>
      <c r="I10" s="83"/>
      <c r="J10" s="93"/>
      <c r="K10" s="274"/>
      <c r="L10" s="275"/>
      <c r="M10" s="276"/>
    </row>
    <row r="11" spans="1:16" ht="12" customHeight="1">
      <c r="A11" s="83">
        <v>5</v>
      </c>
      <c r="B11" s="74" t="s">
        <v>1096</v>
      </c>
      <c r="C11" s="84" t="s">
        <v>1097</v>
      </c>
      <c r="D11" s="88" t="s">
        <v>234</v>
      </c>
      <c r="E11" s="85"/>
      <c r="F11" s="86"/>
      <c r="G11" s="87">
        <f t="shared" si="0"/>
        <v>10</v>
      </c>
      <c r="H11" s="83" t="s">
        <v>149</v>
      </c>
      <c r="I11" s="83"/>
      <c r="J11" s="93"/>
      <c r="K11" s="274"/>
      <c r="L11" s="275"/>
      <c r="M11" s="276"/>
    </row>
    <row r="12" spans="1:16" ht="12" customHeight="1">
      <c r="A12" s="83">
        <v>6</v>
      </c>
      <c r="B12" s="74" t="s">
        <v>232</v>
      </c>
      <c r="C12" s="84" t="s">
        <v>233</v>
      </c>
      <c r="D12" s="88" t="s">
        <v>234</v>
      </c>
      <c r="E12" s="85"/>
      <c r="F12" s="86"/>
      <c r="G12" s="87">
        <f t="shared" si="0"/>
        <v>10</v>
      </c>
      <c r="H12" s="83" t="s">
        <v>149</v>
      </c>
      <c r="I12" s="83"/>
      <c r="J12" s="93"/>
      <c r="K12" s="274"/>
      <c r="L12" s="275"/>
      <c r="M12" s="276"/>
    </row>
    <row r="13" spans="1:16" ht="12" customHeight="1">
      <c r="A13" s="83"/>
      <c r="B13" s="74"/>
      <c r="C13" s="84"/>
      <c r="D13" s="88"/>
      <c r="E13" s="85"/>
      <c r="F13" s="86"/>
      <c r="G13" s="87"/>
      <c r="H13" s="83"/>
      <c r="I13" s="83"/>
      <c r="J13" s="93"/>
      <c r="K13" s="271"/>
      <c r="L13" s="272"/>
      <c r="M13" s="273"/>
    </row>
    <row r="14" spans="1:16" ht="12" customHeight="1">
      <c r="A14" s="83"/>
      <c r="B14" s="74"/>
      <c r="C14" s="84"/>
      <c r="D14" s="88"/>
      <c r="E14" s="85"/>
      <c r="F14" s="86"/>
      <c r="G14" s="87"/>
      <c r="H14" s="83"/>
      <c r="I14" s="83"/>
      <c r="J14" s="93"/>
      <c r="K14" s="274"/>
      <c r="L14" s="275"/>
      <c r="M14" s="276"/>
    </row>
    <row r="15" spans="1:16" ht="12" customHeight="1">
      <c r="A15" s="83"/>
      <c r="B15" s="74"/>
      <c r="C15" s="84"/>
      <c r="D15" s="88"/>
      <c r="E15" s="85"/>
      <c r="F15" s="86"/>
      <c r="G15" s="87"/>
      <c r="H15" s="83"/>
      <c r="I15" s="83"/>
      <c r="J15" s="93"/>
      <c r="K15" s="271"/>
      <c r="L15" s="272"/>
      <c r="M15" s="273"/>
    </row>
    <row r="16" spans="1:16" ht="12" customHeight="1">
      <c r="A16" s="83"/>
      <c r="B16" s="11"/>
      <c r="C16" s="84"/>
      <c r="D16" s="88"/>
      <c r="E16" s="85"/>
      <c r="F16" s="86"/>
      <c r="G16" s="87"/>
      <c r="H16" s="83"/>
      <c r="I16" s="83"/>
      <c r="J16" s="93"/>
      <c r="K16" s="280"/>
      <c r="L16" s="291"/>
      <c r="M16" s="292"/>
    </row>
    <row r="17" spans="1:13" ht="12" customHeight="1">
      <c r="A17" s="83" t="str">
        <f>IF(B17=""," ",#REF!+1)</f>
        <v xml:space="preserve"> </v>
      </c>
      <c r="B17" s="74"/>
      <c r="C17" s="84"/>
      <c r="D17" s="88"/>
      <c r="E17" s="85"/>
      <c r="F17" s="86"/>
      <c r="G17" s="87"/>
      <c r="H17" s="83"/>
      <c r="I17" s="83"/>
      <c r="J17" s="93"/>
      <c r="K17" s="280"/>
      <c r="L17" s="291"/>
      <c r="M17" s="292"/>
    </row>
    <row r="18" spans="1:13" ht="12" customHeight="1">
      <c r="A18" s="83"/>
      <c r="B18" s="74"/>
      <c r="C18" s="84"/>
      <c r="D18" s="88"/>
      <c r="E18" s="85"/>
      <c r="F18" s="86"/>
      <c r="G18" s="87"/>
      <c r="H18" s="83"/>
      <c r="I18" s="83"/>
      <c r="J18" s="93"/>
      <c r="K18" s="280"/>
      <c r="L18" s="291"/>
      <c r="M18" s="292"/>
    </row>
    <row r="19" spans="1:13" ht="12" customHeight="1">
      <c r="A19" s="83" t="str">
        <f>IF(B19=""," ",A18+1)</f>
        <v xml:space="preserve"> </v>
      </c>
      <c r="B19" s="74"/>
      <c r="C19" s="84"/>
      <c r="D19" s="88"/>
      <c r="E19" s="85"/>
      <c r="F19" s="86"/>
      <c r="G19" s="87"/>
      <c r="H19" s="83"/>
      <c r="I19" s="83"/>
      <c r="J19" s="93"/>
      <c r="K19" s="280"/>
      <c r="L19" s="291"/>
      <c r="M19" s="292"/>
    </row>
    <row r="20" spans="1:13" ht="12" customHeight="1">
      <c r="A20" s="83" t="str">
        <f>IF(B20=""," ",#REF!+1)</f>
        <v xml:space="preserve"> </v>
      </c>
      <c r="B20" s="74"/>
      <c r="C20" s="84"/>
      <c r="D20" s="88"/>
      <c r="E20" s="85"/>
      <c r="F20" s="86"/>
      <c r="G20" s="87"/>
      <c r="H20" s="83"/>
      <c r="I20" s="83"/>
      <c r="J20" s="93"/>
      <c r="K20" s="280"/>
      <c r="L20" s="291"/>
      <c r="M20" s="292"/>
    </row>
    <row r="21" spans="1:13" ht="12" customHeight="1">
      <c r="A21" s="83" t="str">
        <f t="shared" ref="A21:A32" si="1">IF(B21=""," ",A20+1)</f>
        <v xml:space="preserve"> </v>
      </c>
      <c r="B21" s="74"/>
      <c r="C21" s="84"/>
      <c r="D21" s="88"/>
      <c r="E21" s="85"/>
      <c r="F21" s="86"/>
      <c r="G21" s="87"/>
      <c r="H21" s="83"/>
      <c r="I21" s="83"/>
      <c r="J21" s="93"/>
      <c r="K21" s="280"/>
      <c r="L21" s="291"/>
      <c r="M21" s="292"/>
    </row>
    <row r="22" spans="1:13" ht="12" customHeight="1">
      <c r="A22" s="83" t="str">
        <f t="shared" si="1"/>
        <v xml:space="preserve"> </v>
      </c>
      <c r="B22" s="74"/>
      <c r="C22" s="84"/>
      <c r="D22" s="88"/>
      <c r="E22" s="85"/>
      <c r="F22" s="86"/>
      <c r="G22" s="87"/>
      <c r="H22" s="83"/>
      <c r="I22" s="83"/>
      <c r="J22" s="93"/>
      <c r="K22" s="280"/>
      <c r="L22" s="291"/>
      <c r="M22" s="292"/>
    </row>
    <row r="23" spans="1:13" ht="12" customHeight="1">
      <c r="A23" s="83" t="str">
        <f t="shared" si="1"/>
        <v xml:space="preserve"> </v>
      </c>
      <c r="B23" s="74"/>
      <c r="C23" s="84"/>
      <c r="D23" s="88"/>
      <c r="E23" s="85"/>
      <c r="F23" s="86"/>
      <c r="G23" s="87"/>
      <c r="H23" s="83"/>
      <c r="I23" s="83"/>
      <c r="J23" s="93"/>
      <c r="K23" s="280"/>
      <c r="L23" s="291"/>
      <c r="M23" s="292"/>
    </row>
    <row r="24" spans="1:13" ht="12" customHeight="1">
      <c r="A24" s="83" t="str">
        <f t="shared" si="1"/>
        <v xml:space="preserve"> </v>
      </c>
      <c r="B24" s="74"/>
      <c r="C24" s="84"/>
      <c r="D24" s="88"/>
      <c r="E24" s="85"/>
      <c r="F24" s="86"/>
      <c r="G24" s="87"/>
      <c r="H24" s="83"/>
      <c r="I24" s="83"/>
      <c r="J24" s="93"/>
      <c r="K24" s="280"/>
      <c r="L24" s="291"/>
      <c r="M24" s="292"/>
    </row>
    <row r="25" spans="1:13" ht="12" customHeight="1">
      <c r="A25" s="83" t="str">
        <f t="shared" si="1"/>
        <v xml:space="preserve"> </v>
      </c>
      <c r="B25" s="74"/>
      <c r="C25" s="84"/>
      <c r="D25" s="88"/>
      <c r="E25" s="85"/>
      <c r="F25" s="86"/>
      <c r="G25" s="87"/>
      <c r="H25" s="83"/>
      <c r="I25" s="83"/>
      <c r="J25" s="93"/>
      <c r="K25" s="280"/>
      <c r="L25" s="291"/>
      <c r="M25" s="292"/>
    </row>
    <row r="26" spans="1:13" ht="12" customHeight="1">
      <c r="A26" s="83" t="str">
        <f t="shared" si="1"/>
        <v xml:space="preserve"> </v>
      </c>
      <c r="B26" s="74"/>
      <c r="C26" s="84"/>
      <c r="D26" s="88"/>
      <c r="E26" s="85"/>
      <c r="F26" s="86"/>
      <c r="G26" s="87"/>
      <c r="H26" s="83"/>
      <c r="I26" s="83"/>
      <c r="J26" s="93"/>
      <c r="K26" s="280"/>
      <c r="L26" s="291"/>
      <c r="M26" s="292"/>
    </row>
    <row r="27" spans="1:13" ht="12" customHeight="1">
      <c r="A27" s="83" t="str">
        <f t="shared" si="1"/>
        <v xml:space="preserve"> </v>
      </c>
      <c r="B27" s="74"/>
      <c r="C27" s="84"/>
      <c r="D27" s="88"/>
      <c r="E27" s="85"/>
      <c r="F27" s="86"/>
      <c r="G27" s="87"/>
      <c r="H27" s="83"/>
      <c r="I27" s="83"/>
      <c r="J27" s="93"/>
      <c r="K27" s="280"/>
      <c r="L27" s="291"/>
      <c r="M27" s="292"/>
    </row>
    <row r="28" spans="1:13" ht="12" customHeight="1">
      <c r="A28" s="83" t="str">
        <f t="shared" si="1"/>
        <v xml:space="preserve"> </v>
      </c>
      <c r="B28" s="74"/>
      <c r="C28" s="84"/>
      <c r="D28" s="88"/>
      <c r="E28" s="85"/>
      <c r="F28" s="86"/>
      <c r="G28" s="87"/>
      <c r="H28" s="83"/>
      <c r="I28" s="83"/>
      <c r="J28" s="93"/>
      <c r="K28" s="280"/>
      <c r="L28" s="291"/>
      <c r="M28" s="292"/>
    </row>
    <row r="29" spans="1:13" ht="12" customHeight="1">
      <c r="A29" s="83" t="str">
        <f t="shared" si="1"/>
        <v xml:space="preserve"> </v>
      </c>
      <c r="B29" s="74"/>
      <c r="C29" s="84"/>
      <c r="D29" s="88"/>
      <c r="E29" s="85"/>
      <c r="F29" s="86"/>
      <c r="G29" s="87"/>
      <c r="H29" s="83"/>
      <c r="I29" s="83"/>
      <c r="J29" s="93"/>
      <c r="K29" s="274"/>
      <c r="L29" s="275"/>
      <c r="M29" s="276"/>
    </row>
    <row r="30" spans="1:13" ht="12" customHeight="1">
      <c r="A30" s="83" t="str">
        <f t="shared" si="1"/>
        <v xml:space="preserve"> </v>
      </c>
      <c r="B30" s="11"/>
      <c r="C30" s="84"/>
      <c r="D30" s="88"/>
      <c r="E30" s="85"/>
      <c r="F30" s="86"/>
      <c r="G30" s="87"/>
      <c r="H30" s="83"/>
      <c r="I30" s="83"/>
      <c r="J30" s="93"/>
      <c r="K30" s="274"/>
      <c r="L30" s="275"/>
      <c r="M30" s="276"/>
    </row>
    <row r="31" spans="1:13" ht="12" customHeight="1">
      <c r="A31" s="83" t="str">
        <f t="shared" si="1"/>
        <v xml:space="preserve"> </v>
      </c>
      <c r="B31" s="73"/>
      <c r="C31" s="22"/>
      <c r="D31" s="30"/>
      <c r="E31" s="85"/>
      <c r="F31" s="86"/>
      <c r="G31" s="87"/>
      <c r="H31" s="83"/>
      <c r="I31" s="83"/>
      <c r="J31" s="93"/>
      <c r="K31" s="274"/>
      <c r="L31" s="275"/>
      <c r="M31" s="276"/>
    </row>
    <row r="32" spans="1:13" ht="12" customHeight="1">
      <c r="A32" s="83" t="str">
        <f t="shared" si="1"/>
        <v xml:space="preserve"> </v>
      </c>
      <c r="B32" s="74"/>
      <c r="C32" s="84"/>
      <c r="D32" s="88"/>
      <c r="E32" s="85"/>
      <c r="F32" s="86"/>
      <c r="G32" s="87"/>
      <c r="H32" s="83"/>
      <c r="I32" s="83"/>
      <c r="J32" s="93"/>
      <c r="K32" s="274"/>
      <c r="L32" s="275"/>
      <c r="M32" s="276"/>
    </row>
    <row r="33" spans="1:13" ht="12" customHeight="1">
      <c r="A33" s="83"/>
      <c r="B33" s="74"/>
      <c r="C33" s="84"/>
      <c r="D33" s="88"/>
      <c r="E33" s="85"/>
      <c r="F33" s="86"/>
      <c r="G33" s="87"/>
      <c r="H33" s="83"/>
      <c r="I33" s="83"/>
      <c r="J33" s="93"/>
      <c r="K33" s="280"/>
      <c r="L33" s="291"/>
      <c r="M33" s="292"/>
    </row>
    <row r="34" spans="1:13" ht="12" customHeight="1">
      <c r="A34" s="83" t="str">
        <f>IF(B34=""," ",A33+1)</f>
        <v xml:space="preserve"> </v>
      </c>
      <c r="B34" s="74"/>
      <c r="C34" s="84"/>
      <c r="D34" s="88"/>
      <c r="E34" s="85"/>
      <c r="F34" s="86"/>
      <c r="G34" s="87"/>
      <c r="H34" s="83"/>
      <c r="I34" s="83"/>
      <c r="J34" s="93"/>
      <c r="K34" s="280"/>
      <c r="L34" s="291"/>
      <c r="M34" s="292"/>
    </row>
    <row r="35" spans="1:13" ht="12" customHeight="1">
      <c r="A35" s="83" t="str">
        <f>IF(B35=""," ",#REF!+1)</f>
        <v xml:space="preserve"> </v>
      </c>
      <c r="B35" s="74"/>
      <c r="C35" s="84"/>
      <c r="D35" s="88"/>
      <c r="E35" s="85"/>
      <c r="F35" s="86"/>
      <c r="G35" s="87"/>
      <c r="H35" s="83"/>
      <c r="I35" s="83"/>
      <c r="J35" s="93"/>
      <c r="K35" s="280"/>
      <c r="L35" s="291"/>
      <c r="M35" s="292"/>
    </row>
    <row r="36" spans="1:13" ht="12" customHeight="1">
      <c r="A36" s="83" t="str">
        <f t="shared" ref="A36:A47" si="2">IF(B36=""," ",A35+1)</f>
        <v xml:space="preserve"> </v>
      </c>
      <c r="B36" s="74"/>
      <c r="C36" s="84"/>
      <c r="D36" s="88"/>
      <c r="E36" s="85"/>
      <c r="F36" s="86"/>
      <c r="G36" s="87"/>
      <c r="H36" s="83"/>
      <c r="I36" s="83"/>
      <c r="J36" s="93"/>
      <c r="K36" s="280"/>
      <c r="L36" s="291"/>
      <c r="M36" s="292"/>
    </row>
    <row r="37" spans="1:13" ht="12" customHeight="1">
      <c r="A37" s="83" t="str">
        <f t="shared" si="2"/>
        <v xml:space="preserve"> </v>
      </c>
      <c r="B37" s="74"/>
      <c r="C37" s="84"/>
      <c r="D37" s="88"/>
      <c r="E37" s="85"/>
      <c r="F37" s="86"/>
      <c r="G37" s="87"/>
      <c r="H37" s="83"/>
      <c r="I37" s="83"/>
      <c r="J37" s="93"/>
      <c r="K37" s="280"/>
      <c r="L37" s="291"/>
      <c r="M37" s="292"/>
    </row>
    <row r="38" spans="1:13" ht="12" customHeight="1">
      <c r="A38" s="83" t="str">
        <f t="shared" si="2"/>
        <v xml:space="preserve"> </v>
      </c>
      <c r="B38" s="74"/>
      <c r="C38" s="84"/>
      <c r="D38" s="88"/>
      <c r="E38" s="85"/>
      <c r="F38" s="86"/>
      <c r="G38" s="87"/>
      <c r="H38" s="83"/>
      <c r="I38" s="83"/>
      <c r="J38" s="93"/>
      <c r="K38" s="280"/>
      <c r="L38" s="291"/>
      <c r="M38" s="292"/>
    </row>
    <row r="39" spans="1:13" ht="12" customHeight="1">
      <c r="A39" s="83" t="str">
        <f t="shared" si="2"/>
        <v xml:space="preserve"> </v>
      </c>
      <c r="B39" s="74"/>
      <c r="C39" s="84"/>
      <c r="D39" s="88"/>
      <c r="E39" s="85"/>
      <c r="F39" s="86"/>
      <c r="G39" s="87"/>
      <c r="H39" s="83"/>
      <c r="I39" s="83"/>
      <c r="J39" s="93"/>
      <c r="K39" s="280"/>
      <c r="L39" s="291"/>
      <c r="M39" s="292"/>
    </row>
    <row r="40" spans="1:13" ht="12" customHeight="1">
      <c r="A40" s="83" t="str">
        <f t="shared" si="2"/>
        <v xml:space="preserve"> </v>
      </c>
      <c r="B40" s="74"/>
      <c r="C40" s="84"/>
      <c r="D40" s="88"/>
      <c r="E40" s="85"/>
      <c r="F40" s="86"/>
      <c r="G40" s="87"/>
      <c r="H40" s="83"/>
      <c r="I40" s="83"/>
      <c r="J40" s="93"/>
      <c r="K40" s="280"/>
      <c r="L40" s="291"/>
      <c r="M40" s="292"/>
    </row>
    <row r="41" spans="1:13" ht="12" customHeight="1">
      <c r="A41" s="83" t="str">
        <f t="shared" si="2"/>
        <v xml:space="preserve"> </v>
      </c>
      <c r="B41" s="74"/>
      <c r="C41" s="84"/>
      <c r="D41" s="88"/>
      <c r="E41" s="85"/>
      <c r="F41" s="86"/>
      <c r="G41" s="87"/>
      <c r="H41" s="83"/>
      <c r="I41" s="83"/>
      <c r="J41" s="93"/>
      <c r="K41" s="280"/>
      <c r="L41" s="291"/>
      <c r="M41" s="292"/>
    </row>
    <row r="42" spans="1:13" ht="12" customHeight="1">
      <c r="A42" s="83" t="str">
        <f t="shared" si="2"/>
        <v xml:space="preserve"> </v>
      </c>
      <c r="B42" s="74"/>
      <c r="C42" s="84"/>
      <c r="D42" s="88"/>
      <c r="E42" s="85"/>
      <c r="F42" s="86"/>
      <c r="G42" s="87"/>
      <c r="H42" s="83"/>
      <c r="I42" s="83"/>
      <c r="J42" s="93"/>
      <c r="K42" s="280"/>
      <c r="L42" s="291"/>
      <c r="M42" s="292"/>
    </row>
    <row r="43" spans="1:13" ht="12" customHeight="1">
      <c r="A43" s="83" t="str">
        <f t="shared" si="2"/>
        <v xml:space="preserve"> </v>
      </c>
      <c r="B43" s="74"/>
      <c r="C43" s="84"/>
      <c r="D43" s="88"/>
      <c r="E43" s="85"/>
      <c r="F43" s="86"/>
      <c r="G43" s="87"/>
      <c r="H43" s="83"/>
      <c r="I43" s="83"/>
      <c r="J43" s="93"/>
      <c r="K43" s="280"/>
      <c r="L43" s="291"/>
      <c r="M43" s="292"/>
    </row>
    <row r="44" spans="1:13" ht="12" customHeight="1">
      <c r="A44" s="83" t="str">
        <f t="shared" si="2"/>
        <v xml:space="preserve"> </v>
      </c>
      <c r="B44" s="74"/>
      <c r="C44" s="84"/>
      <c r="D44" s="88"/>
      <c r="E44" s="85"/>
      <c r="F44" s="86"/>
      <c r="G44" s="87"/>
      <c r="H44" s="83"/>
      <c r="I44" s="83"/>
      <c r="J44" s="93"/>
      <c r="K44" s="274"/>
      <c r="L44" s="275"/>
      <c r="M44" s="276"/>
    </row>
    <row r="45" spans="1:13" ht="12" customHeight="1">
      <c r="A45" s="83" t="str">
        <f t="shared" si="2"/>
        <v xml:space="preserve"> </v>
      </c>
      <c r="B45" s="11"/>
      <c r="C45" s="84"/>
      <c r="D45" s="88"/>
      <c r="E45" s="85"/>
      <c r="F45" s="86"/>
      <c r="G45" s="87"/>
      <c r="H45" s="83"/>
      <c r="I45" s="83"/>
      <c r="J45" s="93"/>
      <c r="K45" s="274"/>
      <c r="L45" s="275"/>
      <c r="M45" s="276"/>
    </row>
    <row r="46" spans="1:13" ht="12" customHeight="1">
      <c r="A46" s="83" t="str">
        <f t="shared" si="2"/>
        <v xml:space="preserve"> </v>
      </c>
      <c r="B46" s="73"/>
      <c r="C46" s="22"/>
      <c r="D46" s="30"/>
      <c r="E46" s="85"/>
      <c r="F46" s="86"/>
      <c r="G46" s="87"/>
      <c r="H46" s="83"/>
      <c r="I46" s="83"/>
      <c r="J46" s="93"/>
      <c r="K46" s="274"/>
      <c r="L46" s="275"/>
      <c r="M46" s="276"/>
    </row>
    <row r="47" spans="1:13" ht="12" customHeight="1">
      <c r="A47" s="83" t="str">
        <f t="shared" si="2"/>
        <v xml:space="preserve"> </v>
      </c>
      <c r="B47" s="74"/>
      <c r="C47" s="84"/>
      <c r="D47" s="88"/>
      <c r="E47" s="85"/>
      <c r="F47" s="86"/>
      <c r="G47" s="87"/>
      <c r="H47" s="83"/>
      <c r="I47" s="83"/>
      <c r="J47" s="93"/>
      <c r="K47" s="274"/>
      <c r="L47" s="275"/>
      <c r="M47" s="276"/>
    </row>
    <row r="48" spans="1:13" ht="12" customHeight="1">
      <c r="A48" s="83"/>
      <c r="B48" s="74"/>
      <c r="C48" s="84"/>
      <c r="D48" s="88"/>
      <c r="E48" s="85"/>
      <c r="F48" s="86"/>
      <c r="G48" s="87"/>
      <c r="H48" s="83"/>
      <c r="I48" s="83"/>
      <c r="J48" s="93"/>
      <c r="K48" s="280"/>
      <c r="L48" s="291"/>
      <c r="M48" s="292"/>
    </row>
    <row r="49" spans="1:13" ht="12" customHeight="1">
      <c r="A49" s="83" t="str">
        <f>IF(B49=""," ",A48+1)</f>
        <v xml:space="preserve"> </v>
      </c>
      <c r="B49" s="74"/>
      <c r="C49" s="84"/>
      <c r="D49" s="88"/>
      <c r="E49" s="85"/>
      <c r="F49" s="86"/>
      <c r="G49" s="87"/>
      <c r="H49" s="83"/>
      <c r="I49" s="83"/>
      <c r="J49" s="93"/>
      <c r="K49" s="280"/>
      <c r="L49" s="291"/>
      <c r="M49" s="292"/>
    </row>
    <row r="50" spans="1:13" ht="12" customHeight="1">
      <c r="A50" s="83" t="str">
        <f>IF(B50=""," ",#REF!+1)</f>
        <v xml:space="preserve"> </v>
      </c>
      <c r="B50" s="74"/>
      <c r="C50" s="84"/>
      <c r="D50" s="88"/>
      <c r="E50" s="85"/>
      <c r="F50" s="86"/>
      <c r="G50" s="87"/>
      <c r="H50" s="83"/>
      <c r="I50" s="83"/>
      <c r="J50" s="93"/>
      <c r="K50" s="280"/>
      <c r="L50" s="291"/>
      <c r="M50" s="292"/>
    </row>
    <row r="51" spans="1:13" ht="12" customHeight="1">
      <c r="A51" s="83" t="str">
        <f t="shared" ref="A51:A62" si="3">IF(B51=""," ",A50+1)</f>
        <v xml:space="preserve"> </v>
      </c>
      <c r="B51" s="74"/>
      <c r="C51" s="84"/>
      <c r="D51" s="88"/>
      <c r="E51" s="85"/>
      <c r="F51" s="86"/>
      <c r="G51" s="87"/>
      <c r="H51" s="83"/>
      <c r="I51" s="83"/>
      <c r="J51" s="93"/>
      <c r="K51" s="280"/>
      <c r="L51" s="291"/>
      <c r="M51" s="292"/>
    </row>
    <row r="52" spans="1:13" ht="12" customHeight="1">
      <c r="A52" s="83" t="str">
        <f t="shared" si="3"/>
        <v xml:space="preserve"> </v>
      </c>
      <c r="B52" s="74"/>
      <c r="C52" s="84"/>
      <c r="D52" s="88"/>
      <c r="E52" s="85"/>
      <c r="F52" s="86"/>
      <c r="G52" s="87"/>
      <c r="H52" s="83"/>
      <c r="I52" s="83"/>
      <c r="J52" s="93"/>
      <c r="K52" s="280"/>
      <c r="L52" s="291"/>
      <c r="M52" s="292"/>
    </row>
    <row r="53" spans="1:13" ht="12" customHeight="1">
      <c r="A53" s="83" t="str">
        <f t="shared" si="3"/>
        <v xml:space="preserve"> </v>
      </c>
      <c r="B53" s="74"/>
      <c r="C53" s="84"/>
      <c r="D53" s="88"/>
      <c r="E53" s="85"/>
      <c r="F53" s="86"/>
      <c r="G53" s="87"/>
      <c r="H53" s="83"/>
      <c r="I53" s="83"/>
      <c r="J53" s="93"/>
      <c r="K53" s="280"/>
      <c r="L53" s="291"/>
      <c r="M53" s="292"/>
    </row>
    <row r="54" spans="1:13" ht="12" customHeight="1">
      <c r="A54" s="83" t="str">
        <f t="shared" si="3"/>
        <v xml:space="preserve"> </v>
      </c>
      <c r="B54" s="74"/>
      <c r="C54" s="84"/>
      <c r="D54" s="88"/>
      <c r="E54" s="85"/>
      <c r="F54" s="86"/>
      <c r="G54" s="87"/>
      <c r="H54" s="83"/>
      <c r="I54" s="83"/>
      <c r="J54" s="93"/>
      <c r="K54" s="280"/>
      <c r="L54" s="291"/>
      <c r="M54" s="292"/>
    </row>
    <row r="55" spans="1:13" ht="12" customHeight="1">
      <c r="A55" s="83" t="str">
        <f t="shared" si="3"/>
        <v xml:space="preserve"> </v>
      </c>
      <c r="B55" s="74"/>
      <c r="C55" s="84"/>
      <c r="D55" s="88"/>
      <c r="E55" s="85"/>
      <c r="F55" s="86"/>
      <c r="G55" s="87"/>
      <c r="H55" s="83"/>
      <c r="I55" s="83"/>
      <c r="J55" s="93"/>
      <c r="K55" s="280"/>
      <c r="L55" s="291"/>
      <c r="M55" s="292"/>
    </row>
    <row r="56" spans="1:13" ht="12" customHeight="1">
      <c r="A56" s="83" t="str">
        <f t="shared" si="3"/>
        <v xml:space="preserve"> </v>
      </c>
      <c r="B56" s="74"/>
      <c r="C56" s="84"/>
      <c r="D56" s="88"/>
      <c r="E56" s="85"/>
      <c r="F56" s="86"/>
      <c r="G56" s="87"/>
      <c r="H56" s="83"/>
      <c r="I56" s="83"/>
      <c r="J56" s="93"/>
      <c r="K56" s="280"/>
      <c r="L56" s="291"/>
      <c r="M56" s="292"/>
    </row>
    <row r="57" spans="1:13" ht="12" customHeight="1">
      <c r="A57" s="83" t="str">
        <f t="shared" si="3"/>
        <v xml:space="preserve"> </v>
      </c>
      <c r="B57" s="74"/>
      <c r="C57" s="84"/>
      <c r="D57" s="88"/>
      <c r="E57" s="85"/>
      <c r="F57" s="86"/>
      <c r="G57" s="87"/>
      <c r="H57" s="83"/>
      <c r="I57" s="83"/>
      <c r="J57" s="93"/>
      <c r="K57" s="280"/>
      <c r="L57" s="291"/>
      <c r="M57" s="292"/>
    </row>
    <row r="58" spans="1:13" ht="12" customHeight="1">
      <c r="A58" s="83" t="str">
        <f t="shared" si="3"/>
        <v xml:space="preserve"> </v>
      </c>
      <c r="B58" s="74"/>
      <c r="C58" s="84"/>
      <c r="D58" s="88"/>
      <c r="E58" s="85"/>
      <c r="F58" s="86"/>
      <c r="G58" s="87"/>
      <c r="H58" s="83"/>
      <c r="I58" s="83"/>
      <c r="J58" s="93"/>
      <c r="K58" s="280"/>
      <c r="L58" s="291"/>
      <c r="M58" s="292"/>
    </row>
    <row r="59" spans="1:13" ht="12" customHeight="1">
      <c r="A59" s="83" t="str">
        <f t="shared" si="3"/>
        <v xml:space="preserve"> </v>
      </c>
      <c r="B59" s="74"/>
      <c r="C59" s="84"/>
      <c r="D59" s="88"/>
      <c r="E59" s="85"/>
      <c r="F59" s="86"/>
      <c r="G59" s="87"/>
      <c r="H59" s="83"/>
      <c r="I59" s="83"/>
      <c r="J59" s="93"/>
      <c r="K59" s="274"/>
      <c r="L59" s="275"/>
      <c r="M59" s="276"/>
    </row>
    <row r="60" spans="1:13" ht="12" customHeight="1">
      <c r="A60" s="83" t="str">
        <f t="shared" si="3"/>
        <v xml:space="preserve"> </v>
      </c>
      <c r="B60" s="11"/>
      <c r="C60" s="84"/>
      <c r="D60" s="88"/>
      <c r="E60" s="85"/>
      <c r="F60" s="86"/>
      <c r="G60" s="87"/>
      <c r="H60" s="83"/>
      <c r="I60" s="83"/>
      <c r="J60" s="93"/>
      <c r="K60" s="274"/>
      <c r="L60" s="275"/>
      <c r="M60" s="276"/>
    </row>
    <row r="61" spans="1:13" ht="12" customHeight="1">
      <c r="A61" s="83" t="str">
        <f t="shared" si="3"/>
        <v xml:space="preserve"> </v>
      </c>
      <c r="B61" s="73"/>
      <c r="C61" s="22"/>
      <c r="D61" s="30"/>
      <c r="E61" s="85"/>
      <c r="F61" s="86"/>
      <c r="G61" s="87"/>
      <c r="H61" s="83"/>
      <c r="I61" s="83"/>
      <c r="J61" s="93"/>
      <c r="K61" s="274"/>
      <c r="L61" s="275"/>
      <c r="M61" s="276"/>
    </row>
    <row r="62" spans="1:13" ht="12" customHeight="1">
      <c r="A62" s="83" t="str">
        <f t="shared" si="3"/>
        <v xml:space="preserve"> </v>
      </c>
      <c r="B62" s="74"/>
      <c r="C62" s="84"/>
      <c r="D62" s="88"/>
      <c r="E62" s="85"/>
      <c r="F62" s="86"/>
      <c r="G62" s="87"/>
      <c r="H62" s="83"/>
      <c r="I62" s="83"/>
      <c r="J62" s="93"/>
      <c r="K62" s="274"/>
      <c r="L62" s="275"/>
      <c r="M62" s="276"/>
    </row>
    <row r="63" spans="1:13" ht="12" customHeight="1">
      <c r="A63" s="83"/>
      <c r="B63" s="74"/>
      <c r="C63" s="84"/>
      <c r="D63" s="88"/>
      <c r="E63" s="85"/>
      <c r="F63" s="86"/>
      <c r="G63" s="87"/>
      <c r="H63" s="83"/>
      <c r="I63" s="83"/>
      <c r="J63" s="93"/>
      <c r="K63" s="280"/>
      <c r="L63" s="291"/>
      <c r="M63" s="292"/>
    </row>
    <row r="64" spans="1:13" ht="12" customHeight="1">
      <c r="A64" s="83" t="str">
        <f>IF(B64=""," ",A63+1)</f>
        <v xml:space="preserve"> </v>
      </c>
      <c r="B64" s="74"/>
      <c r="C64" s="84"/>
      <c r="D64" s="88"/>
      <c r="E64" s="85"/>
      <c r="F64" s="86"/>
      <c r="G64" s="87"/>
      <c r="H64" s="83"/>
      <c r="I64" s="83"/>
      <c r="J64" s="93"/>
      <c r="K64" s="280"/>
      <c r="L64" s="291"/>
      <c r="M64" s="292"/>
    </row>
    <row r="65" spans="1:13" ht="12" customHeight="1">
      <c r="A65" s="83" t="str">
        <f>IF(B65=""," ",#REF!+1)</f>
        <v xml:space="preserve"> </v>
      </c>
      <c r="B65" s="74"/>
      <c r="C65" s="84"/>
      <c r="D65" s="88"/>
      <c r="E65" s="85"/>
      <c r="F65" s="86"/>
      <c r="G65" s="87"/>
      <c r="H65" s="83"/>
      <c r="I65" s="83"/>
      <c r="J65" s="93"/>
      <c r="K65" s="280"/>
      <c r="L65" s="291"/>
      <c r="M65" s="292"/>
    </row>
    <row r="66" spans="1:13" ht="12" customHeight="1">
      <c r="A66" s="83" t="str">
        <f t="shared" ref="A66:A77" si="4">IF(B66=""," ",A65+1)</f>
        <v xml:space="preserve"> </v>
      </c>
      <c r="B66" s="74"/>
      <c r="C66" s="84"/>
      <c r="D66" s="88"/>
      <c r="E66" s="85"/>
      <c r="F66" s="86"/>
      <c r="G66" s="87"/>
      <c r="H66" s="83"/>
      <c r="I66" s="83"/>
      <c r="J66" s="93"/>
      <c r="K66" s="280"/>
      <c r="L66" s="291"/>
      <c r="M66" s="292"/>
    </row>
    <row r="67" spans="1:13" ht="12" customHeight="1">
      <c r="A67" s="83" t="str">
        <f t="shared" si="4"/>
        <v xml:space="preserve"> </v>
      </c>
      <c r="B67" s="74"/>
      <c r="C67" s="84"/>
      <c r="D67" s="88"/>
      <c r="E67" s="85"/>
      <c r="F67" s="86"/>
      <c r="G67" s="87"/>
      <c r="H67" s="83"/>
      <c r="I67" s="83"/>
      <c r="J67" s="93"/>
      <c r="K67" s="280"/>
      <c r="L67" s="291"/>
      <c r="M67" s="292"/>
    </row>
    <row r="68" spans="1:13" ht="12" customHeight="1">
      <c r="A68" s="83" t="str">
        <f t="shared" si="4"/>
        <v xml:space="preserve"> </v>
      </c>
      <c r="B68" s="74"/>
      <c r="C68" s="84"/>
      <c r="D68" s="88"/>
      <c r="E68" s="85"/>
      <c r="F68" s="86"/>
      <c r="G68" s="87"/>
      <c r="H68" s="83"/>
      <c r="I68" s="83"/>
      <c r="J68" s="93"/>
      <c r="K68" s="280"/>
      <c r="L68" s="291"/>
      <c r="M68" s="292"/>
    </row>
    <row r="69" spans="1:13" ht="12" customHeight="1">
      <c r="A69" s="83" t="str">
        <f t="shared" si="4"/>
        <v xml:space="preserve"> </v>
      </c>
      <c r="B69" s="74"/>
      <c r="C69" s="84"/>
      <c r="D69" s="88"/>
      <c r="E69" s="85"/>
      <c r="F69" s="86"/>
      <c r="G69" s="87"/>
      <c r="H69" s="83"/>
      <c r="I69" s="83"/>
      <c r="J69" s="93"/>
      <c r="K69" s="280"/>
      <c r="L69" s="291"/>
      <c r="M69" s="292"/>
    </row>
    <row r="70" spans="1:13" ht="12" customHeight="1">
      <c r="A70" s="83" t="str">
        <f t="shared" si="4"/>
        <v xml:space="preserve"> </v>
      </c>
      <c r="B70" s="74"/>
      <c r="C70" s="84"/>
      <c r="D70" s="88"/>
      <c r="E70" s="85"/>
      <c r="F70" s="86"/>
      <c r="G70" s="87"/>
      <c r="H70" s="83"/>
      <c r="I70" s="83"/>
      <c r="J70" s="93"/>
      <c r="K70" s="280"/>
      <c r="L70" s="291"/>
      <c r="M70" s="292"/>
    </row>
    <row r="71" spans="1:13" ht="12" customHeight="1">
      <c r="A71" s="83" t="str">
        <f t="shared" si="4"/>
        <v xml:space="preserve"> </v>
      </c>
      <c r="B71" s="74"/>
      <c r="C71" s="84"/>
      <c r="D71" s="88"/>
      <c r="E71" s="85"/>
      <c r="F71" s="86"/>
      <c r="G71" s="87"/>
      <c r="H71" s="83"/>
      <c r="I71" s="83"/>
      <c r="J71" s="93"/>
      <c r="K71" s="280"/>
      <c r="L71" s="291"/>
      <c r="M71" s="292"/>
    </row>
    <row r="72" spans="1:13" ht="12" customHeight="1">
      <c r="A72" s="83" t="str">
        <f t="shared" si="4"/>
        <v xml:space="preserve"> </v>
      </c>
      <c r="B72" s="74"/>
      <c r="C72" s="84"/>
      <c r="D72" s="88"/>
      <c r="E72" s="85"/>
      <c r="F72" s="86"/>
      <c r="G72" s="87"/>
      <c r="H72" s="83"/>
      <c r="I72" s="83"/>
      <c r="J72" s="93"/>
      <c r="K72" s="280"/>
      <c r="L72" s="291"/>
      <c r="M72" s="292"/>
    </row>
    <row r="73" spans="1:13" ht="12" customHeight="1">
      <c r="A73" s="83" t="str">
        <f t="shared" si="4"/>
        <v xml:space="preserve"> </v>
      </c>
      <c r="B73" s="74"/>
      <c r="C73" s="84"/>
      <c r="D73" s="88"/>
      <c r="E73" s="85"/>
      <c r="F73" s="86"/>
      <c r="G73" s="87"/>
      <c r="H73" s="83"/>
      <c r="I73" s="83"/>
      <c r="J73" s="93"/>
      <c r="K73" s="280"/>
      <c r="L73" s="291"/>
      <c r="M73" s="292"/>
    </row>
    <row r="74" spans="1:13" ht="12" customHeight="1">
      <c r="A74" s="83" t="str">
        <f t="shared" si="4"/>
        <v xml:space="preserve"> </v>
      </c>
      <c r="B74" s="74"/>
      <c r="C74" s="84"/>
      <c r="D74" s="88"/>
      <c r="E74" s="85"/>
      <c r="F74" s="86"/>
      <c r="G74" s="87"/>
      <c r="H74" s="83"/>
      <c r="I74" s="83"/>
      <c r="J74" s="93"/>
      <c r="K74" s="274"/>
      <c r="L74" s="275"/>
      <c r="M74" s="276"/>
    </row>
    <row r="75" spans="1:13" ht="12" customHeight="1">
      <c r="A75" s="83" t="str">
        <f t="shared" si="4"/>
        <v xml:space="preserve"> </v>
      </c>
      <c r="B75" s="11"/>
      <c r="C75" s="84"/>
      <c r="D75" s="88"/>
      <c r="E75" s="85"/>
      <c r="F75" s="86"/>
      <c r="G75" s="87"/>
      <c r="H75" s="83"/>
      <c r="I75" s="83"/>
      <c r="J75" s="93"/>
      <c r="K75" s="274"/>
      <c r="L75" s="275"/>
      <c r="M75" s="276"/>
    </row>
    <row r="76" spans="1:13" ht="12" customHeight="1">
      <c r="A76" s="83" t="str">
        <f t="shared" si="4"/>
        <v xml:space="preserve"> </v>
      </c>
      <c r="B76" s="73"/>
      <c r="C76" s="22"/>
      <c r="D76" s="30"/>
      <c r="E76" s="85"/>
      <c r="F76" s="86"/>
      <c r="G76" s="87"/>
      <c r="H76" s="83"/>
      <c r="I76" s="83"/>
      <c r="J76" s="93"/>
      <c r="K76" s="274"/>
      <c r="L76" s="275"/>
      <c r="M76" s="276"/>
    </row>
    <row r="77" spans="1:13" ht="12" customHeight="1">
      <c r="A77" s="83" t="str">
        <f t="shared" si="4"/>
        <v xml:space="preserve"> </v>
      </c>
      <c r="B77" s="74"/>
      <c r="C77" s="84"/>
      <c r="D77" s="88"/>
      <c r="E77" s="85"/>
      <c r="F77" s="86"/>
      <c r="G77" s="87"/>
      <c r="H77" s="83"/>
      <c r="I77" s="83"/>
      <c r="J77" s="93"/>
      <c r="K77" s="274"/>
      <c r="L77" s="275"/>
      <c r="M77" s="276"/>
    </row>
    <row r="78" spans="1:13" ht="12" customHeight="1">
      <c r="A78" s="83"/>
      <c r="B78" s="74"/>
      <c r="C78" s="84"/>
      <c r="D78" s="88"/>
      <c r="E78" s="85"/>
      <c r="F78" s="86"/>
      <c r="G78" s="87"/>
      <c r="H78" s="83"/>
      <c r="I78" s="83"/>
      <c r="J78" s="93"/>
      <c r="K78" s="280"/>
      <c r="L78" s="291"/>
      <c r="M78" s="292"/>
    </row>
    <row r="79" spans="1:13" ht="12" customHeight="1">
      <c r="A79" s="83" t="str">
        <f>IF(B79=""," ",A78+1)</f>
        <v xml:space="preserve"> </v>
      </c>
      <c r="B79" s="74"/>
      <c r="C79" s="84"/>
      <c r="D79" s="88"/>
      <c r="E79" s="85"/>
      <c r="F79" s="86"/>
      <c r="G79" s="87"/>
      <c r="H79" s="83"/>
      <c r="I79" s="83"/>
      <c r="J79" s="93"/>
      <c r="K79" s="280"/>
      <c r="L79" s="291"/>
      <c r="M79" s="292"/>
    </row>
    <row r="80" spans="1:13" ht="12" customHeight="1">
      <c r="A80" s="83" t="str">
        <f>IF(B80=""," ",#REF!+1)</f>
        <v xml:space="preserve"> </v>
      </c>
      <c r="B80" s="74"/>
      <c r="C80" s="84"/>
      <c r="D80" s="88"/>
      <c r="E80" s="85"/>
      <c r="F80" s="86"/>
      <c r="G80" s="87"/>
      <c r="H80" s="83"/>
      <c r="I80" s="83"/>
      <c r="J80" s="93"/>
      <c r="K80" s="280"/>
      <c r="L80" s="291"/>
      <c r="M80" s="292"/>
    </row>
    <row r="81" spans="1:13" ht="12" customHeight="1">
      <c r="A81" s="83" t="str">
        <f t="shared" ref="A81:A90" si="5">IF(B81=""," ",A80+1)</f>
        <v xml:space="preserve"> </v>
      </c>
      <c r="B81" s="74"/>
      <c r="C81" s="84"/>
      <c r="D81" s="88"/>
      <c r="E81" s="85"/>
      <c r="F81" s="86"/>
      <c r="G81" s="87"/>
      <c r="H81" s="83"/>
      <c r="I81" s="83"/>
      <c r="J81" s="93"/>
      <c r="K81" s="280"/>
      <c r="L81" s="291"/>
      <c r="M81" s="292"/>
    </row>
    <row r="82" spans="1:13" ht="12" customHeight="1">
      <c r="A82" s="83" t="str">
        <f t="shared" si="5"/>
        <v xml:space="preserve"> </v>
      </c>
      <c r="B82" s="74"/>
      <c r="C82" s="84"/>
      <c r="D82" s="88"/>
      <c r="E82" s="85"/>
      <c r="F82" s="86"/>
      <c r="G82" s="87"/>
      <c r="H82" s="83"/>
      <c r="I82" s="83"/>
      <c r="J82" s="93"/>
      <c r="K82" s="280"/>
      <c r="L82" s="291"/>
      <c r="M82" s="292"/>
    </row>
    <row r="83" spans="1:13" ht="12" customHeight="1">
      <c r="A83" s="83" t="str">
        <f t="shared" si="5"/>
        <v xml:space="preserve"> </v>
      </c>
      <c r="B83" s="74"/>
      <c r="C83" s="84"/>
      <c r="D83" s="88"/>
      <c r="E83" s="85"/>
      <c r="F83" s="86"/>
      <c r="G83" s="87"/>
      <c r="H83" s="83"/>
      <c r="I83" s="83"/>
      <c r="J83" s="93"/>
      <c r="K83" s="280"/>
      <c r="L83" s="291"/>
      <c r="M83" s="292"/>
    </row>
    <row r="84" spans="1:13" ht="12" customHeight="1">
      <c r="A84" s="83" t="str">
        <f t="shared" si="5"/>
        <v xml:space="preserve"> </v>
      </c>
      <c r="B84" s="74"/>
      <c r="C84" s="84"/>
      <c r="D84" s="88"/>
      <c r="E84" s="85"/>
      <c r="F84" s="86"/>
      <c r="G84" s="87"/>
      <c r="H84" s="83"/>
      <c r="I84" s="83"/>
      <c r="J84" s="93"/>
      <c r="K84" s="280"/>
      <c r="L84" s="291"/>
      <c r="M84" s="292"/>
    </row>
    <row r="85" spans="1:13" ht="12" customHeight="1">
      <c r="A85" s="83" t="str">
        <f t="shared" si="5"/>
        <v xml:space="preserve"> </v>
      </c>
      <c r="B85" s="74"/>
      <c r="C85" s="84"/>
      <c r="D85" s="88"/>
      <c r="E85" s="85"/>
      <c r="F85" s="86"/>
      <c r="G85" s="87"/>
      <c r="H85" s="83"/>
      <c r="I85" s="83"/>
      <c r="J85" s="93"/>
      <c r="K85" s="280"/>
      <c r="L85" s="291"/>
      <c r="M85" s="292"/>
    </row>
    <row r="86" spans="1:13" ht="12" customHeight="1">
      <c r="A86" s="83" t="str">
        <f t="shared" si="5"/>
        <v xml:space="preserve"> </v>
      </c>
      <c r="B86" s="74"/>
      <c r="C86" s="84"/>
      <c r="D86" s="88"/>
      <c r="E86" s="85"/>
      <c r="F86" s="86"/>
      <c r="G86" s="87"/>
      <c r="H86" s="83"/>
      <c r="I86" s="83"/>
      <c r="J86" s="93"/>
      <c r="K86" s="280"/>
      <c r="L86" s="291"/>
      <c r="M86" s="292"/>
    </row>
    <row r="87" spans="1:13" ht="12" customHeight="1">
      <c r="A87" s="83" t="str">
        <f t="shared" si="5"/>
        <v xml:space="preserve"> </v>
      </c>
      <c r="B87" s="74"/>
      <c r="C87" s="84"/>
      <c r="D87" s="88"/>
      <c r="E87" s="85"/>
      <c r="F87" s="86"/>
      <c r="G87" s="87"/>
      <c r="H87" s="83"/>
      <c r="I87" s="83"/>
      <c r="J87" s="93"/>
      <c r="K87" s="274"/>
      <c r="L87" s="275"/>
      <c r="M87" s="276"/>
    </row>
    <row r="88" spans="1:13" ht="12" customHeight="1">
      <c r="A88" s="83" t="str">
        <f t="shared" si="5"/>
        <v xml:space="preserve"> </v>
      </c>
      <c r="B88" s="11"/>
      <c r="C88" s="84"/>
      <c r="D88" s="88"/>
      <c r="E88" s="85"/>
      <c r="F88" s="86"/>
      <c r="G88" s="87"/>
      <c r="H88" s="83"/>
      <c r="I88" s="83"/>
      <c r="J88" s="93"/>
      <c r="K88" s="274"/>
      <c r="L88" s="275"/>
      <c r="M88" s="276"/>
    </row>
    <row r="89" spans="1:13" ht="12" customHeight="1">
      <c r="A89" s="83" t="str">
        <f t="shared" si="5"/>
        <v xml:space="preserve"> </v>
      </c>
      <c r="B89" s="73"/>
      <c r="C89" s="22"/>
      <c r="D89" s="30"/>
      <c r="E89" s="85"/>
      <c r="F89" s="86"/>
      <c r="G89" s="87"/>
      <c r="H89" s="83"/>
      <c r="I89" s="83"/>
      <c r="J89" s="93"/>
      <c r="K89" s="274"/>
      <c r="L89" s="275"/>
      <c r="M89" s="276"/>
    </row>
    <row r="90" spans="1:13" ht="12" customHeight="1">
      <c r="A90" s="83" t="str">
        <f t="shared" si="5"/>
        <v xml:space="preserve"> </v>
      </c>
      <c r="B90" s="74"/>
      <c r="C90" s="84"/>
      <c r="D90" s="88"/>
      <c r="E90" s="85"/>
      <c r="F90" s="86"/>
      <c r="G90" s="87"/>
      <c r="H90" s="83"/>
      <c r="I90" s="83"/>
      <c r="J90" s="93"/>
      <c r="K90" s="274"/>
      <c r="L90" s="275"/>
      <c r="M90" s="276"/>
    </row>
    <row r="91" spans="1:13" ht="12" customHeight="1">
      <c r="A91" s="83"/>
      <c r="B91" s="74"/>
      <c r="C91" s="84"/>
      <c r="D91" s="88"/>
      <c r="E91" s="85"/>
      <c r="F91" s="86"/>
      <c r="G91" s="87"/>
      <c r="H91" s="83"/>
      <c r="I91" s="83"/>
      <c r="J91" s="93"/>
      <c r="K91" s="280"/>
      <c r="L91" s="291"/>
      <c r="M91" s="292"/>
    </row>
    <row r="92" spans="1:13" ht="12" customHeight="1">
      <c r="A92" s="83" t="str">
        <f>IF(B92=""," ",A91+1)</f>
        <v xml:space="preserve"> </v>
      </c>
      <c r="B92" s="74"/>
      <c r="C92" s="84"/>
      <c r="D92" s="88"/>
      <c r="E92" s="85"/>
      <c r="F92" s="86"/>
      <c r="G92" s="87"/>
      <c r="H92" s="83"/>
      <c r="I92" s="83"/>
      <c r="J92" s="93"/>
      <c r="K92" s="280"/>
      <c r="L92" s="291"/>
      <c r="M92" s="292"/>
    </row>
    <row r="93" spans="1:13" ht="12" customHeight="1">
      <c r="A93" s="83" t="str">
        <f>IF(B93=""," ",#REF!+1)</f>
        <v xml:space="preserve"> </v>
      </c>
      <c r="B93" s="74"/>
      <c r="C93" s="84"/>
      <c r="D93" s="88"/>
      <c r="E93" s="85"/>
      <c r="F93" s="86"/>
      <c r="G93" s="87"/>
      <c r="H93" s="83"/>
      <c r="I93" s="83"/>
      <c r="J93" s="93"/>
      <c r="K93" s="280"/>
      <c r="L93" s="291"/>
      <c r="M93" s="292"/>
    </row>
    <row r="94" spans="1:13" ht="12" customHeight="1">
      <c r="A94" s="83" t="str">
        <f t="shared" ref="A94:A100" si="6">IF(B94=""," ",A93+1)</f>
        <v xml:space="preserve"> </v>
      </c>
      <c r="B94" s="74"/>
      <c r="C94" s="84"/>
      <c r="D94" s="88"/>
      <c r="E94" s="85"/>
      <c r="F94" s="86"/>
      <c r="G94" s="87"/>
      <c r="H94" s="83"/>
      <c r="I94" s="83"/>
      <c r="J94" s="93"/>
      <c r="K94" s="280"/>
      <c r="L94" s="291"/>
      <c r="M94" s="292"/>
    </row>
    <row r="95" spans="1:13" ht="12" customHeight="1">
      <c r="A95" s="83" t="str">
        <f t="shared" si="6"/>
        <v xml:space="preserve"> </v>
      </c>
      <c r="B95" s="74"/>
      <c r="C95" s="84"/>
      <c r="D95" s="88"/>
      <c r="E95" s="85"/>
      <c r="F95" s="86"/>
      <c r="G95" s="87"/>
      <c r="H95" s="83"/>
      <c r="I95" s="83"/>
      <c r="J95" s="93"/>
      <c r="K95" s="280"/>
      <c r="L95" s="291"/>
      <c r="M95" s="292"/>
    </row>
    <row r="96" spans="1:13" ht="12" customHeight="1">
      <c r="A96" s="83" t="str">
        <f t="shared" si="6"/>
        <v xml:space="preserve"> </v>
      </c>
      <c r="B96" s="74"/>
      <c r="C96" s="84"/>
      <c r="D96" s="88"/>
      <c r="E96" s="85"/>
      <c r="F96" s="86"/>
      <c r="G96" s="87"/>
      <c r="H96" s="83"/>
      <c r="I96" s="83"/>
      <c r="J96" s="93"/>
      <c r="K96" s="280"/>
      <c r="L96" s="291"/>
      <c r="M96" s="292"/>
    </row>
    <row r="97" spans="1:13" ht="12" customHeight="1">
      <c r="A97" s="83" t="str">
        <f t="shared" si="6"/>
        <v xml:space="preserve"> </v>
      </c>
      <c r="B97" s="74"/>
      <c r="C97" s="84"/>
      <c r="D97" s="88"/>
      <c r="E97" s="85"/>
      <c r="F97" s="86"/>
      <c r="G97" s="87"/>
      <c r="H97" s="83"/>
      <c r="I97" s="83"/>
      <c r="J97" s="93"/>
      <c r="K97" s="280"/>
      <c r="L97" s="291"/>
      <c r="M97" s="292"/>
    </row>
    <row r="98" spans="1:13" ht="12" customHeight="1">
      <c r="A98" s="83" t="str">
        <f t="shared" si="6"/>
        <v xml:space="preserve"> </v>
      </c>
      <c r="B98" s="74"/>
      <c r="C98" s="84"/>
      <c r="D98" s="88"/>
      <c r="E98" s="85"/>
      <c r="F98" s="86"/>
      <c r="G98" s="87"/>
      <c r="H98" s="83"/>
      <c r="I98" s="83"/>
      <c r="J98" s="93"/>
      <c r="K98" s="280"/>
      <c r="L98" s="291"/>
      <c r="M98" s="292"/>
    </row>
    <row r="99" spans="1:13" ht="12" customHeight="1">
      <c r="A99" s="83" t="str">
        <f t="shared" si="6"/>
        <v xml:space="preserve"> </v>
      </c>
      <c r="B99" s="74"/>
      <c r="C99" s="84"/>
      <c r="D99" s="88"/>
      <c r="E99" s="85"/>
      <c r="F99" s="86"/>
      <c r="G99" s="87"/>
      <c r="H99" s="83"/>
      <c r="I99" s="83"/>
      <c r="J99" s="93"/>
      <c r="K99" s="280"/>
      <c r="L99" s="291"/>
      <c r="M99" s="292"/>
    </row>
    <row r="100" spans="1:13" ht="12" customHeight="1">
      <c r="A100" s="83" t="str">
        <f t="shared" si="6"/>
        <v xml:space="preserve"> </v>
      </c>
      <c r="B100" s="74"/>
      <c r="C100" s="84"/>
      <c r="D100" s="88"/>
      <c r="E100" s="85"/>
      <c r="F100" s="86"/>
      <c r="G100" s="87"/>
      <c r="H100" s="83"/>
      <c r="I100" s="83"/>
      <c r="J100" s="93"/>
      <c r="K100" s="274"/>
      <c r="L100" s="275"/>
      <c r="M100" s="276"/>
    </row>
    <row r="102" spans="1:13">
      <c r="B102" s="75" t="s">
        <v>235</v>
      </c>
    </row>
    <row r="104" spans="1:13">
      <c r="B104" s="75" t="s">
        <v>1625</v>
      </c>
      <c r="C104" s="75" t="s">
        <v>1757</v>
      </c>
    </row>
    <row r="106" spans="1:13">
      <c r="B106" s="75" t="s">
        <v>1625</v>
      </c>
      <c r="C106" s="75" t="s">
        <v>238</v>
      </c>
    </row>
  </sheetData>
  <mergeCells count="108">
    <mergeCell ref="K94:M94"/>
    <mergeCell ref="K95:M95"/>
    <mergeCell ref="K96:M96"/>
    <mergeCell ref="K97:M97"/>
    <mergeCell ref="K98:M98"/>
    <mergeCell ref="K99:M99"/>
    <mergeCell ref="K100:M100"/>
    <mergeCell ref="A5:A6"/>
    <mergeCell ref="K5:M6"/>
    <mergeCell ref="K85:M85"/>
    <mergeCell ref="K86:M86"/>
    <mergeCell ref="K87:M87"/>
    <mergeCell ref="K88:M88"/>
    <mergeCell ref="K89:M89"/>
    <mergeCell ref="K90:M90"/>
    <mergeCell ref="K91:M91"/>
    <mergeCell ref="K92:M92"/>
    <mergeCell ref="K93:M93"/>
    <mergeCell ref="K76:M76"/>
    <mergeCell ref="K77:M77"/>
    <mergeCell ref="K78:M78"/>
    <mergeCell ref="K79:M79"/>
    <mergeCell ref="K80:M80"/>
    <mergeCell ref="K81:M81"/>
    <mergeCell ref="K82:M82"/>
    <mergeCell ref="K83:M83"/>
    <mergeCell ref="K84:M84"/>
    <mergeCell ref="K67:M67"/>
    <mergeCell ref="K68:M68"/>
    <mergeCell ref="K69:M69"/>
    <mergeCell ref="K70:M70"/>
    <mergeCell ref="K71:M71"/>
    <mergeCell ref="K72:M72"/>
    <mergeCell ref="K73:M73"/>
    <mergeCell ref="K74:M74"/>
    <mergeCell ref="K75:M75"/>
    <mergeCell ref="K58:M58"/>
    <mergeCell ref="K59:M59"/>
    <mergeCell ref="K60:M60"/>
    <mergeCell ref="K61:M61"/>
    <mergeCell ref="K62:M62"/>
    <mergeCell ref="K63:M63"/>
    <mergeCell ref="K64:M64"/>
    <mergeCell ref="K65:M65"/>
    <mergeCell ref="K66:M66"/>
    <mergeCell ref="K49:M49"/>
    <mergeCell ref="K50:M50"/>
    <mergeCell ref="K51:M51"/>
    <mergeCell ref="K52:M52"/>
    <mergeCell ref="K53:M53"/>
    <mergeCell ref="K54:M54"/>
    <mergeCell ref="K55:M55"/>
    <mergeCell ref="K56:M56"/>
    <mergeCell ref="K57:M57"/>
    <mergeCell ref="K40:M40"/>
    <mergeCell ref="K41:M41"/>
    <mergeCell ref="K42:M42"/>
    <mergeCell ref="K43:M43"/>
    <mergeCell ref="K44:M44"/>
    <mergeCell ref="K45:M45"/>
    <mergeCell ref="K46:M46"/>
    <mergeCell ref="K47:M47"/>
    <mergeCell ref="K48:M48"/>
    <mergeCell ref="K31:M31"/>
    <mergeCell ref="K32:M32"/>
    <mergeCell ref="K33:M33"/>
    <mergeCell ref="K34:M34"/>
    <mergeCell ref="K35:M35"/>
    <mergeCell ref="K36:M36"/>
    <mergeCell ref="K37:M37"/>
    <mergeCell ref="K38:M38"/>
    <mergeCell ref="K39:M39"/>
    <mergeCell ref="K22:M22"/>
    <mergeCell ref="K23:M23"/>
    <mergeCell ref="K24:M24"/>
    <mergeCell ref="K25:M25"/>
    <mergeCell ref="K26:M26"/>
    <mergeCell ref="K27:M27"/>
    <mergeCell ref="K28:M28"/>
    <mergeCell ref="K29:M29"/>
    <mergeCell ref="K30:M30"/>
    <mergeCell ref="K13:M13"/>
    <mergeCell ref="K14:M14"/>
    <mergeCell ref="K15:M15"/>
    <mergeCell ref="K16:M16"/>
    <mergeCell ref="K17:M17"/>
    <mergeCell ref="K18:M18"/>
    <mergeCell ref="K19:M19"/>
    <mergeCell ref="K20:M20"/>
    <mergeCell ref="K21:M21"/>
    <mergeCell ref="B5:C5"/>
    <mergeCell ref="D5:H5"/>
    <mergeCell ref="I5:J5"/>
    <mergeCell ref="K7:M7"/>
    <mergeCell ref="K8:M8"/>
    <mergeCell ref="K9:M9"/>
    <mergeCell ref="K10:M10"/>
    <mergeCell ref="K11:M11"/>
    <mergeCell ref="K12:M12"/>
    <mergeCell ref="A2:B2"/>
    <mergeCell ref="C2:G2"/>
    <mergeCell ref="H2:J2"/>
    <mergeCell ref="A3:B3"/>
    <mergeCell ref="C3:G3"/>
    <mergeCell ref="H3:I3"/>
    <mergeCell ref="A4:B4"/>
    <mergeCell ref="C4:G4"/>
    <mergeCell ref="H4:I4"/>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pageSetUpPr fitToPage="1"/>
  </sheetPr>
  <dimension ref="A1:Q108"/>
  <sheetViews>
    <sheetView showGridLines="0" workbookViewId="0">
      <pane ySplit="6" topLeftCell="A7" activePane="bottomLeft" state="frozen"/>
      <selection pane="bottomLeft" activeCell="G38" sqref="G38"/>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1758</v>
      </c>
      <c r="D3" s="265"/>
      <c r="E3" s="265"/>
      <c r="F3" s="265"/>
      <c r="G3" s="266"/>
      <c r="H3" s="259" t="s">
        <v>140</v>
      </c>
      <c r="I3" s="260"/>
      <c r="J3" s="90">
        <f>COUNT(A7:A100)</f>
        <v>13</v>
      </c>
      <c r="K3" s="78" t="s">
        <v>141</v>
      </c>
      <c r="L3" s="91">
        <v>38740</v>
      </c>
      <c r="M3" s="92" t="s">
        <v>1287</v>
      </c>
      <c r="O3" s="75" t="s">
        <v>143</v>
      </c>
      <c r="P3" s="75" t="s">
        <v>144</v>
      </c>
    </row>
    <row r="4" spans="1:16" ht="12" customHeight="1">
      <c r="A4" s="267" t="s">
        <v>145</v>
      </c>
      <c r="B4" s="268"/>
      <c r="C4" s="267" t="s">
        <v>79</v>
      </c>
      <c r="D4" s="269"/>
      <c r="E4" s="269"/>
      <c r="F4" s="269"/>
      <c r="G4" s="268"/>
      <c r="H4" s="259" t="s">
        <v>146</v>
      </c>
      <c r="I4" s="260"/>
      <c r="J4" s="90">
        <f>SUM(G7:G100)</f>
        <v>73</v>
      </c>
      <c r="K4" s="78" t="s">
        <v>147</v>
      </c>
      <c r="L4" s="91">
        <v>38878</v>
      </c>
      <c r="M4" s="83" t="s">
        <v>1287</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3" t="s">
        <v>812</v>
      </c>
      <c r="C7" s="84" t="s">
        <v>1759</v>
      </c>
      <c r="D7" s="114" t="s">
        <v>164</v>
      </c>
      <c r="E7" s="85"/>
      <c r="F7" s="86"/>
      <c r="G7" s="87">
        <v>4</v>
      </c>
      <c r="H7" s="83" t="s">
        <v>149</v>
      </c>
      <c r="I7" s="83" t="s">
        <v>149</v>
      </c>
      <c r="J7" s="93"/>
      <c r="K7" s="408"/>
      <c r="L7" s="409"/>
      <c r="M7" s="410"/>
      <c r="P7" s="75" t="s">
        <v>165</v>
      </c>
    </row>
    <row r="8" spans="1:16" ht="12" customHeight="1">
      <c r="A8" s="83">
        <v>2</v>
      </c>
      <c r="B8" s="113" t="s">
        <v>646</v>
      </c>
      <c r="C8" s="84" t="s">
        <v>647</v>
      </c>
      <c r="D8" s="88" t="s">
        <v>150</v>
      </c>
      <c r="E8" s="85">
        <v>16</v>
      </c>
      <c r="F8" s="86"/>
      <c r="G8" s="87">
        <v>16</v>
      </c>
      <c r="H8" s="83" t="s">
        <v>149</v>
      </c>
      <c r="I8" s="83" t="s">
        <v>149</v>
      </c>
      <c r="J8" s="93"/>
      <c r="K8" s="408"/>
      <c r="L8" s="409"/>
      <c r="M8" s="410"/>
    </row>
    <row r="9" spans="1:16" ht="12" customHeight="1">
      <c r="A9" s="83">
        <v>3</v>
      </c>
      <c r="B9" s="115" t="s">
        <v>596</v>
      </c>
      <c r="C9" s="84" t="s">
        <v>597</v>
      </c>
      <c r="D9" s="88" t="s">
        <v>150</v>
      </c>
      <c r="E9" s="85">
        <v>7</v>
      </c>
      <c r="F9" s="86"/>
      <c r="G9" s="87">
        <v>7</v>
      </c>
      <c r="H9" s="83" t="s">
        <v>149</v>
      </c>
      <c r="I9" s="83" t="s">
        <v>149</v>
      </c>
      <c r="J9" s="93"/>
      <c r="K9" s="115"/>
      <c r="L9" s="116"/>
      <c r="M9" s="117"/>
    </row>
    <row r="10" spans="1:16" ht="27" customHeight="1">
      <c r="A10" s="83">
        <v>4</v>
      </c>
      <c r="B10" s="115" t="s">
        <v>1760</v>
      </c>
      <c r="C10" s="84" t="s">
        <v>1761</v>
      </c>
      <c r="D10" s="88" t="s">
        <v>1762</v>
      </c>
      <c r="E10" s="85"/>
      <c r="F10" s="86"/>
      <c r="G10" s="87">
        <v>4</v>
      </c>
      <c r="H10" s="83" t="s">
        <v>149</v>
      </c>
      <c r="I10" s="83"/>
      <c r="J10" s="93"/>
      <c r="K10" s="411" t="s">
        <v>1763</v>
      </c>
      <c r="L10" s="414"/>
      <c r="M10" s="415"/>
    </row>
    <row r="11" spans="1:16" ht="13.5">
      <c r="A11" s="83">
        <v>5</v>
      </c>
      <c r="B11" s="113" t="s">
        <v>1764</v>
      </c>
      <c r="C11" s="115" t="s">
        <v>1765</v>
      </c>
      <c r="D11" s="88" t="s">
        <v>1762</v>
      </c>
      <c r="E11" s="85"/>
      <c r="F11" s="86"/>
      <c r="G11" s="87">
        <v>4</v>
      </c>
      <c r="H11" s="83" t="s">
        <v>149</v>
      </c>
      <c r="I11" s="83"/>
      <c r="J11" s="93"/>
      <c r="K11" s="411" t="s">
        <v>1766</v>
      </c>
      <c r="L11" s="414"/>
      <c r="M11" s="415"/>
    </row>
    <row r="12" spans="1:16" ht="12" customHeight="1">
      <c r="A12" s="83">
        <v>6</v>
      </c>
      <c r="B12" s="113" t="s">
        <v>1767</v>
      </c>
      <c r="C12" s="84" t="s">
        <v>1768</v>
      </c>
      <c r="D12" s="88" t="s">
        <v>1762</v>
      </c>
      <c r="E12" s="85"/>
      <c r="F12" s="86"/>
      <c r="G12" s="87">
        <v>4</v>
      </c>
      <c r="H12" s="83" t="s">
        <v>149</v>
      </c>
      <c r="I12" s="83"/>
      <c r="J12" s="93"/>
      <c r="K12" s="274" t="s">
        <v>1769</v>
      </c>
      <c r="L12" s="275"/>
      <c r="M12" s="276"/>
    </row>
    <row r="13" spans="1:16" ht="12" customHeight="1">
      <c r="A13" s="83">
        <v>7</v>
      </c>
      <c r="B13" s="113" t="s">
        <v>1770</v>
      </c>
      <c r="C13" s="84" t="s">
        <v>1771</v>
      </c>
      <c r="D13" s="88" t="s">
        <v>1762</v>
      </c>
      <c r="E13" s="85"/>
      <c r="F13" s="86"/>
      <c r="G13" s="87">
        <v>4</v>
      </c>
      <c r="H13" s="83" t="s">
        <v>149</v>
      </c>
      <c r="I13" s="83"/>
      <c r="J13" s="93"/>
      <c r="K13" s="274" t="s">
        <v>1772</v>
      </c>
      <c r="L13" s="275"/>
      <c r="M13" s="276"/>
    </row>
    <row r="14" spans="1:16" ht="12" customHeight="1">
      <c r="A14" s="83">
        <v>8</v>
      </c>
      <c r="B14" s="113" t="s">
        <v>1773</v>
      </c>
      <c r="C14" s="84" t="s">
        <v>1774</v>
      </c>
      <c r="D14" s="88" t="s">
        <v>1762</v>
      </c>
      <c r="E14" s="85"/>
      <c r="F14" s="86"/>
      <c r="G14" s="87">
        <v>4</v>
      </c>
      <c r="H14" s="83" t="s">
        <v>149</v>
      </c>
      <c r="I14" s="83"/>
      <c r="J14" s="93"/>
      <c r="K14" s="274" t="s">
        <v>1775</v>
      </c>
      <c r="L14" s="275"/>
      <c r="M14" s="276"/>
    </row>
    <row r="15" spans="1:16" ht="12" customHeight="1">
      <c r="A15" s="83">
        <v>9</v>
      </c>
      <c r="B15" s="113" t="s">
        <v>1776</v>
      </c>
      <c r="C15" s="84" t="s">
        <v>1777</v>
      </c>
      <c r="D15" s="88" t="s">
        <v>1762</v>
      </c>
      <c r="E15" s="85"/>
      <c r="F15" s="86"/>
      <c r="G15" s="87">
        <v>4</v>
      </c>
      <c r="H15" s="83" t="s">
        <v>149</v>
      </c>
      <c r="I15" s="83"/>
      <c r="J15" s="93"/>
      <c r="K15" s="274" t="s">
        <v>1778</v>
      </c>
      <c r="L15" s="275"/>
      <c r="M15" s="276"/>
    </row>
    <row r="16" spans="1:16" ht="12" customHeight="1">
      <c r="A16" s="83">
        <v>10</v>
      </c>
      <c r="B16" s="113" t="s">
        <v>1779</v>
      </c>
      <c r="C16" s="84" t="s">
        <v>1780</v>
      </c>
      <c r="D16" s="88" t="s">
        <v>1762</v>
      </c>
      <c r="E16" s="85"/>
      <c r="F16" s="86"/>
      <c r="G16" s="87">
        <v>4</v>
      </c>
      <c r="H16" s="83" t="s">
        <v>149</v>
      </c>
      <c r="I16" s="83"/>
      <c r="J16" s="93"/>
      <c r="K16" s="408" t="s">
        <v>1781</v>
      </c>
      <c r="L16" s="409"/>
      <c r="M16" s="410"/>
    </row>
    <row r="17" spans="1:13" ht="12" customHeight="1">
      <c r="A17" s="83">
        <v>11</v>
      </c>
      <c r="B17" s="113" t="s">
        <v>1782</v>
      </c>
      <c r="C17" s="84" t="s">
        <v>1783</v>
      </c>
      <c r="D17" s="88" t="s">
        <v>1762</v>
      </c>
      <c r="E17" s="85"/>
      <c r="F17" s="86"/>
      <c r="G17" s="87">
        <v>4</v>
      </c>
      <c r="H17" s="83" t="s">
        <v>149</v>
      </c>
      <c r="I17" s="83"/>
      <c r="J17" s="93"/>
      <c r="K17" s="274" t="s">
        <v>1784</v>
      </c>
      <c r="L17" s="275"/>
      <c r="M17" s="276"/>
    </row>
    <row r="18" spans="1:13" ht="12" customHeight="1">
      <c r="A18" s="83">
        <v>12</v>
      </c>
      <c r="B18" s="113" t="s">
        <v>1785</v>
      </c>
      <c r="C18" s="84" t="s">
        <v>1786</v>
      </c>
      <c r="D18" s="88" t="s">
        <v>1762</v>
      </c>
      <c r="E18" s="85"/>
      <c r="F18" s="86"/>
      <c r="G18" s="87">
        <v>4</v>
      </c>
      <c r="H18" s="83" t="s">
        <v>149</v>
      </c>
      <c r="I18" s="83"/>
      <c r="J18" s="93"/>
      <c r="K18" s="408" t="s">
        <v>1787</v>
      </c>
      <c r="L18" s="409"/>
      <c r="M18" s="410"/>
    </row>
    <row r="19" spans="1:13" ht="12" customHeight="1">
      <c r="A19" s="83">
        <v>13</v>
      </c>
      <c r="B19" s="74" t="s">
        <v>232</v>
      </c>
      <c r="C19" s="84" t="s">
        <v>233</v>
      </c>
      <c r="D19" s="88" t="s">
        <v>234</v>
      </c>
      <c r="E19" s="85"/>
      <c r="F19" s="86"/>
      <c r="G19" s="87">
        <v>10</v>
      </c>
      <c r="H19" s="83" t="s">
        <v>149</v>
      </c>
      <c r="I19" s="83"/>
      <c r="J19" s="93"/>
      <c r="K19" s="84"/>
      <c r="L19" s="94"/>
      <c r="M19" s="95"/>
    </row>
    <row r="20" spans="1:13" ht="12" customHeight="1">
      <c r="A20" s="83"/>
      <c r="B20" s="74"/>
      <c r="C20" s="84"/>
      <c r="D20" s="88"/>
      <c r="E20" s="85"/>
      <c r="F20" s="86"/>
      <c r="G20" s="87"/>
      <c r="H20" s="83"/>
      <c r="I20" s="83"/>
      <c r="J20" s="93"/>
      <c r="K20" s="84"/>
      <c r="L20" s="94"/>
      <c r="M20" s="95"/>
    </row>
    <row r="21" spans="1:13" ht="12" customHeight="1">
      <c r="A21" s="83" t="str">
        <f t="shared" ref="A21:A52" si="0">IF(B21=""," ",A20+1)</f>
        <v xml:space="preserve"> </v>
      </c>
      <c r="B21" s="74"/>
      <c r="C21" s="84"/>
      <c r="D21" s="88"/>
      <c r="E21" s="85"/>
      <c r="F21" s="86"/>
      <c r="G21" s="87"/>
      <c r="H21" s="83"/>
      <c r="I21" s="83"/>
      <c r="J21" s="93"/>
      <c r="K21" s="274"/>
      <c r="L21" s="275"/>
      <c r="M21" s="276"/>
    </row>
    <row r="22" spans="1:13" ht="12" customHeight="1">
      <c r="A22" s="83" t="str">
        <f t="shared" si="0"/>
        <v xml:space="preserve"> </v>
      </c>
      <c r="B22" s="74"/>
      <c r="C22" s="84"/>
      <c r="D22" s="88"/>
      <c r="E22" s="85"/>
      <c r="F22" s="86"/>
      <c r="G22" s="87"/>
      <c r="H22" s="83"/>
      <c r="I22" s="83"/>
      <c r="J22" s="93"/>
      <c r="K22" s="274"/>
      <c r="L22" s="275"/>
      <c r="M22" s="276"/>
    </row>
    <row r="23" spans="1:13" ht="12" customHeight="1">
      <c r="A23" s="83" t="str">
        <f t="shared" si="0"/>
        <v xml:space="preserve"> </v>
      </c>
      <c r="B23" s="74"/>
      <c r="C23" s="84"/>
      <c r="D23" s="88"/>
      <c r="E23" s="85"/>
      <c r="F23" s="86"/>
      <c r="G23" s="87"/>
      <c r="H23" s="83"/>
      <c r="I23" s="83"/>
      <c r="J23" s="93"/>
      <c r="K23" s="274"/>
      <c r="L23" s="275"/>
      <c r="M23" s="276"/>
    </row>
    <row r="24" spans="1:13" ht="12" customHeight="1">
      <c r="A24" s="83" t="str">
        <f t="shared" si="0"/>
        <v xml:space="preserve"> </v>
      </c>
      <c r="B24" s="74"/>
      <c r="C24" s="84"/>
      <c r="D24" s="88"/>
      <c r="E24" s="85"/>
      <c r="F24" s="86"/>
      <c r="G24" s="87"/>
      <c r="H24" s="83"/>
      <c r="I24" s="83"/>
      <c r="J24" s="93"/>
      <c r="K24" s="84"/>
      <c r="L24" s="94"/>
      <c r="M24" s="95"/>
    </row>
    <row r="25" spans="1:13" ht="12" customHeight="1">
      <c r="A25" s="83" t="str">
        <f t="shared" si="0"/>
        <v xml:space="preserve"> </v>
      </c>
      <c r="B25" s="74"/>
      <c r="C25" s="84"/>
      <c r="D25" s="88"/>
      <c r="E25" s="85"/>
      <c r="F25" s="86"/>
      <c r="G25" s="87"/>
      <c r="H25" s="83"/>
      <c r="I25" s="83"/>
      <c r="J25" s="93"/>
      <c r="K25" s="84"/>
      <c r="L25" s="94"/>
      <c r="M25" s="95"/>
    </row>
    <row r="26" spans="1:13" ht="12" customHeight="1">
      <c r="A26" s="83" t="str">
        <f t="shared" si="0"/>
        <v xml:space="preserve"> </v>
      </c>
      <c r="B26" s="74"/>
      <c r="C26" s="84"/>
      <c r="D26" s="88"/>
      <c r="E26" s="85"/>
      <c r="F26" s="86"/>
      <c r="G26" s="87"/>
      <c r="H26" s="83"/>
      <c r="I26" s="83"/>
      <c r="J26" s="93"/>
      <c r="K26" s="84"/>
      <c r="L26" s="94"/>
      <c r="M26" s="95"/>
    </row>
    <row r="27" spans="1:13" ht="12" customHeight="1">
      <c r="A27" s="83" t="str">
        <f t="shared" si="0"/>
        <v xml:space="preserve"> </v>
      </c>
      <c r="B27" s="74"/>
      <c r="C27" s="84"/>
      <c r="D27" s="88"/>
      <c r="E27" s="85"/>
      <c r="F27" s="86"/>
      <c r="G27" s="87"/>
      <c r="H27" s="83"/>
      <c r="I27" s="83"/>
      <c r="J27" s="93"/>
      <c r="K27" s="84"/>
      <c r="L27" s="94"/>
      <c r="M27" s="95"/>
    </row>
    <row r="28" spans="1:13" ht="12" customHeight="1">
      <c r="A28" s="83" t="str">
        <f t="shared" si="0"/>
        <v xml:space="preserve"> </v>
      </c>
      <c r="B28" s="74"/>
      <c r="C28" s="84"/>
      <c r="D28" s="88"/>
      <c r="E28" s="85"/>
      <c r="F28" s="86"/>
      <c r="G28" s="87"/>
      <c r="H28" s="83"/>
      <c r="I28" s="83"/>
      <c r="J28" s="93"/>
      <c r="K28" s="84"/>
      <c r="L28" s="94"/>
      <c r="M28" s="95"/>
    </row>
    <row r="29" spans="1:13" ht="12" customHeight="1">
      <c r="A29" s="83" t="str">
        <f t="shared" si="0"/>
        <v xml:space="preserve"> </v>
      </c>
      <c r="B29" s="74"/>
      <c r="C29" s="84"/>
      <c r="D29" s="88"/>
      <c r="E29" s="85"/>
      <c r="F29" s="86"/>
      <c r="G29" s="87"/>
      <c r="H29" s="83"/>
      <c r="I29" s="83"/>
      <c r="J29" s="93"/>
      <c r="K29" s="84"/>
      <c r="L29" s="94"/>
      <c r="M29" s="95"/>
    </row>
    <row r="30" spans="1:13" ht="12" customHeight="1">
      <c r="A30" s="83" t="str">
        <f t="shared" si="0"/>
        <v xml:space="preserve"> </v>
      </c>
      <c r="B30" s="74"/>
      <c r="C30" s="84"/>
      <c r="D30" s="88"/>
      <c r="E30" s="85"/>
      <c r="F30" s="86"/>
      <c r="G30" s="87"/>
      <c r="H30" s="83"/>
      <c r="I30" s="83"/>
      <c r="J30" s="93"/>
      <c r="K30" s="84"/>
      <c r="L30" s="94"/>
      <c r="M30" s="95"/>
    </row>
    <row r="31" spans="1:13" ht="12" customHeight="1">
      <c r="A31" s="83" t="str">
        <f t="shared" si="0"/>
        <v xml:space="preserve"> </v>
      </c>
      <c r="B31" s="74"/>
      <c r="C31" s="84"/>
      <c r="D31" s="88"/>
      <c r="E31" s="85"/>
      <c r="F31" s="86"/>
      <c r="G31" s="87"/>
      <c r="H31" s="83"/>
      <c r="I31" s="83"/>
      <c r="J31" s="93"/>
      <c r="K31" s="84"/>
      <c r="L31" s="94"/>
      <c r="M31" s="95"/>
    </row>
    <row r="32" spans="1:13" ht="12" customHeight="1">
      <c r="A32" s="83" t="str">
        <f t="shared" si="0"/>
        <v xml:space="preserve"> </v>
      </c>
      <c r="B32" s="74"/>
      <c r="C32" s="84"/>
      <c r="D32" s="88"/>
      <c r="E32" s="85"/>
      <c r="F32" s="86"/>
      <c r="G32" s="87"/>
      <c r="H32" s="83"/>
      <c r="I32" s="83"/>
      <c r="J32" s="93"/>
      <c r="K32" s="84"/>
      <c r="L32" s="94"/>
      <c r="M32" s="95"/>
    </row>
    <row r="33" spans="1:13" ht="12" customHeight="1">
      <c r="A33" s="83" t="str">
        <f t="shared" si="0"/>
        <v xml:space="preserve"> </v>
      </c>
      <c r="B33" s="74"/>
      <c r="C33" s="84"/>
      <c r="D33" s="88"/>
      <c r="E33" s="85"/>
      <c r="F33" s="86"/>
      <c r="G33" s="87"/>
      <c r="H33" s="83"/>
      <c r="I33" s="83"/>
      <c r="J33" s="93"/>
      <c r="K33" s="84"/>
      <c r="L33" s="94"/>
      <c r="M33" s="95"/>
    </row>
    <row r="34" spans="1:13" ht="12" customHeight="1">
      <c r="A34" s="83" t="str">
        <f t="shared" si="0"/>
        <v xml:space="preserve"> </v>
      </c>
      <c r="B34" s="74"/>
      <c r="C34" s="84"/>
      <c r="D34" s="88"/>
      <c r="E34" s="85"/>
      <c r="F34" s="86"/>
      <c r="G34" s="87"/>
      <c r="H34" s="83"/>
      <c r="I34" s="83"/>
      <c r="J34" s="93"/>
      <c r="K34" s="84"/>
      <c r="L34" s="94"/>
      <c r="M34" s="95"/>
    </row>
    <row r="35" spans="1:13" ht="12" customHeight="1">
      <c r="A35" s="83" t="str">
        <f t="shared" si="0"/>
        <v xml:space="preserve"> </v>
      </c>
      <c r="B35" s="74"/>
      <c r="C35" s="84"/>
      <c r="D35" s="88"/>
      <c r="E35" s="85"/>
      <c r="F35" s="86"/>
      <c r="G35" s="87"/>
      <c r="H35" s="83"/>
      <c r="I35" s="83"/>
      <c r="J35" s="93"/>
      <c r="K35" s="84"/>
      <c r="L35" s="94"/>
      <c r="M35" s="95"/>
    </row>
    <row r="36" spans="1:13" ht="12" customHeight="1">
      <c r="A36" s="83" t="str">
        <f t="shared" si="0"/>
        <v xml:space="preserve"> </v>
      </c>
      <c r="B36" s="74"/>
      <c r="C36" s="84"/>
      <c r="D36" s="88"/>
      <c r="E36" s="85"/>
      <c r="F36" s="86"/>
      <c r="G36" s="87"/>
      <c r="H36" s="83"/>
      <c r="I36" s="83"/>
      <c r="J36" s="93"/>
      <c r="K36" s="84"/>
      <c r="L36" s="94"/>
      <c r="M36" s="95"/>
    </row>
    <row r="37" spans="1:13" ht="12" customHeight="1">
      <c r="A37" s="83" t="str">
        <f t="shared" si="0"/>
        <v xml:space="preserve"> </v>
      </c>
      <c r="B37" s="74"/>
      <c r="C37" s="84"/>
      <c r="D37" s="88"/>
      <c r="E37" s="85"/>
      <c r="F37" s="86"/>
      <c r="G37" s="87"/>
      <c r="H37" s="83"/>
      <c r="I37" s="83"/>
      <c r="J37" s="93"/>
      <c r="K37" s="84"/>
      <c r="L37" s="94"/>
      <c r="M37" s="95"/>
    </row>
    <row r="38" spans="1:13" ht="12" customHeight="1">
      <c r="A38" s="83" t="str">
        <f t="shared" si="0"/>
        <v xml:space="preserve"> </v>
      </c>
      <c r="B38" s="74"/>
      <c r="C38" s="84"/>
      <c r="D38" s="88"/>
      <c r="E38" s="85"/>
      <c r="F38" s="86"/>
      <c r="G38" s="87"/>
      <c r="H38" s="83"/>
      <c r="I38" s="83"/>
      <c r="J38" s="93"/>
      <c r="K38" s="84"/>
      <c r="L38" s="94"/>
      <c r="M38" s="95"/>
    </row>
    <row r="39" spans="1:13" ht="12" customHeight="1">
      <c r="A39" s="83" t="str">
        <f t="shared" si="0"/>
        <v xml:space="preserve"> </v>
      </c>
      <c r="B39" s="74"/>
      <c r="C39" s="84"/>
      <c r="D39" s="88"/>
      <c r="E39" s="85"/>
      <c r="F39" s="86"/>
      <c r="G39" s="87"/>
      <c r="H39" s="83"/>
      <c r="I39" s="83"/>
      <c r="J39" s="93"/>
      <c r="K39" s="84"/>
      <c r="L39" s="94"/>
      <c r="M39" s="95"/>
    </row>
    <row r="40" spans="1:13" ht="12" customHeight="1">
      <c r="A40" s="83" t="str">
        <f t="shared" si="0"/>
        <v xml:space="preserve"> </v>
      </c>
      <c r="B40" s="74"/>
      <c r="C40" s="84"/>
      <c r="D40" s="88"/>
      <c r="E40" s="85"/>
      <c r="F40" s="86"/>
      <c r="G40" s="87"/>
      <c r="H40" s="83"/>
      <c r="I40" s="83"/>
      <c r="J40" s="93"/>
      <c r="K40" s="84"/>
      <c r="L40" s="94"/>
      <c r="M40" s="95"/>
    </row>
    <row r="41" spans="1:13" ht="12" customHeight="1">
      <c r="A41" s="83" t="str">
        <f t="shared" si="0"/>
        <v xml:space="preserve"> </v>
      </c>
      <c r="B41" s="74"/>
      <c r="C41" s="84"/>
      <c r="D41" s="88"/>
      <c r="E41" s="85"/>
      <c r="F41" s="86"/>
      <c r="G41" s="87"/>
      <c r="H41" s="83"/>
      <c r="I41" s="83"/>
      <c r="J41" s="93"/>
      <c r="K41" s="84"/>
      <c r="L41" s="94"/>
      <c r="M41" s="95"/>
    </row>
    <row r="42" spans="1:13" ht="12" customHeight="1">
      <c r="A42" s="83" t="str">
        <f t="shared" si="0"/>
        <v xml:space="preserve"> </v>
      </c>
      <c r="B42" s="74"/>
      <c r="C42" s="84"/>
      <c r="D42" s="88"/>
      <c r="E42" s="85"/>
      <c r="F42" s="86"/>
      <c r="G42" s="87"/>
      <c r="H42" s="83"/>
      <c r="I42" s="83"/>
      <c r="J42" s="93"/>
      <c r="K42" s="84"/>
      <c r="L42" s="94"/>
      <c r="M42" s="95"/>
    </row>
    <row r="43" spans="1:13" ht="12" customHeight="1">
      <c r="A43" s="83" t="str">
        <f t="shared" si="0"/>
        <v xml:space="preserve"> </v>
      </c>
      <c r="B43" s="74"/>
      <c r="C43" s="84"/>
      <c r="D43" s="88"/>
      <c r="E43" s="85"/>
      <c r="F43" s="86"/>
      <c r="G43" s="87"/>
      <c r="H43" s="83"/>
      <c r="I43" s="83"/>
      <c r="J43" s="93"/>
      <c r="K43" s="84"/>
      <c r="L43" s="94"/>
      <c r="M43" s="95"/>
    </row>
    <row r="44" spans="1:13" ht="12" customHeight="1">
      <c r="A44" s="83" t="str">
        <f t="shared" si="0"/>
        <v xml:space="preserve"> </v>
      </c>
      <c r="B44" s="74"/>
      <c r="C44" s="84"/>
      <c r="D44" s="88"/>
      <c r="E44" s="85"/>
      <c r="F44" s="86"/>
      <c r="G44" s="87"/>
      <c r="H44" s="83"/>
      <c r="I44" s="83"/>
      <c r="J44" s="93"/>
      <c r="K44" s="84"/>
      <c r="L44" s="94"/>
      <c r="M44" s="95"/>
    </row>
    <row r="45" spans="1:13" ht="12" customHeight="1">
      <c r="A45" s="83" t="str">
        <f t="shared" si="0"/>
        <v xml:space="preserve"> </v>
      </c>
      <c r="B45" s="74"/>
      <c r="C45" s="84"/>
      <c r="D45" s="88"/>
      <c r="E45" s="85"/>
      <c r="F45" s="86"/>
      <c r="G45" s="87"/>
      <c r="H45" s="83"/>
      <c r="I45" s="83"/>
      <c r="J45" s="93"/>
      <c r="K45" s="84"/>
      <c r="L45" s="94"/>
      <c r="M45" s="95"/>
    </row>
    <row r="46" spans="1:13" ht="12" customHeight="1">
      <c r="A46" s="83" t="str">
        <f t="shared" si="0"/>
        <v xml:space="preserve"> </v>
      </c>
      <c r="B46" s="74"/>
      <c r="C46" s="84"/>
      <c r="D46" s="88"/>
      <c r="E46" s="85"/>
      <c r="F46" s="86"/>
      <c r="G46" s="87"/>
      <c r="H46" s="83"/>
      <c r="I46" s="83"/>
      <c r="J46" s="93"/>
      <c r="K46" s="84"/>
      <c r="L46" s="94"/>
      <c r="M46" s="95"/>
    </row>
    <row r="47" spans="1:13" ht="12" customHeight="1">
      <c r="A47" s="83" t="str">
        <f t="shared" si="0"/>
        <v xml:space="preserve"> </v>
      </c>
      <c r="B47" s="74"/>
      <c r="C47" s="84"/>
      <c r="D47" s="88"/>
      <c r="E47" s="85"/>
      <c r="F47" s="86"/>
      <c r="G47" s="87"/>
      <c r="H47" s="83"/>
      <c r="I47" s="83"/>
      <c r="J47" s="93"/>
      <c r="K47" s="84"/>
      <c r="L47" s="94"/>
      <c r="M47" s="95"/>
    </row>
    <row r="48" spans="1:13" ht="12" customHeight="1">
      <c r="A48" s="83" t="str">
        <f t="shared" si="0"/>
        <v xml:space="preserve"> </v>
      </c>
      <c r="B48" s="74"/>
      <c r="C48" s="84"/>
      <c r="D48" s="88"/>
      <c r="E48" s="85"/>
      <c r="F48" s="86"/>
      <c r="G48" s="87"/>
      <c r="H48" s="83"/>
      <c r="I48" s="83"/>
      <c r="J48" s="93"/>
      <c r="K48" s="84"/>
      <c r="L48" s="94"/>
      <c r="M48" s="95"/>
    </row>
    <row r="49" spans="1:13" ht="12" customHeight="1">
      <c r="A49" s="83" t="str">
        <f t="shared" si="0"/>
        <v xml:space="preserve"> </v>
      </c>
      <c r="B49" s="74"/>
      <c r="C49" s="84"/>
      <c r="D49" s="88"/>
      <c r="E49" s="85"/>
      <c r="F49" s="86"/>
      <c r="G49" s="87"/>
      <c r="H49" s="83"/>
      <c r="I49" s="83"/>
      <c r="J49" s="93"/>
      <c r="K49" s="84"/>
      <c r="L49" s="94"/>
      <c r="M49" s="95"/>
    </row>
    <row r="50" spans="1:13" ht="12" customHeight="1">
      <c r="A50" s="83" t="str">
        <f t="shared" si="0"/>
        <v xml:space="preserve"> </v>
      </c>
      <c r="B50" s="74"/>
      <c r="C50" s="84"/>
      <c r="D50" s="88"/>
      <c r="E50" s="85"/>
      <c r="F50" s="86"/>
      <c r="G50" s="87"/>
      <c r="H50" s="83"/>
      <c r="I50" s="83"/>
      <c r="J50" s="93"/>
      <c r="K50" s="84"/>
      <c r="L50" s="94"/>
      <c r="M50" s="95"/>
    </row>
    <row r="51" spans="1:13" ht="12" customHeight="1">
      <c r="A51" s="83" t="str">
        <f t="shared" si="0"/>
        <v xml:space="preserve"> </v>
      </c>
      <c r="B51" s="74"/>
      <c r="C51" s="84"/>
      <c r="D51" s="88"/>
      <c r="E51" s="85"/>
      <c r="F51" s="86"/>
      <c r="G51" s="87"/>
      <c r="H51" s="83"/>
      <c r="I51" s="83"/>
      <c r="J51" s="93"/>
      <c r="K51" s="84"/>
      <c r="L51" s="94"/>
      <c r="M51" s="95"/>
    </row>
    <row r="52" spans="1:13" ht="12" customHeight="1">
      <c r="A52" s="83" t="str">
        <f t="shared" si="0"/>
        <v xml:space="preserve"> </v>
      </c>
      <c r="B52" s="74"/>
      <c r="C52" s="84"/>
      <c r="D52" s="88"/>
      <c r="E52" s="85"/>
      <c r="F52" s="86"/>
      <c r="G52" s="87"/>
      <c r="H52" s="83"/>
      <c r="I52" s="83"/>
      <c r="J52" s="93"/>
      <c r="K52" s="84"/>
      <c r="L52" s="94"/>
      <c r="M52" s="95"/>
    </row>
    <row r="53" spans="1:13" ht="12" customHeight="1">
      <c r="A53" s="83" t="str">
        <f t="shared" ref="A53:A84" si="1">IF(B53=""," ",A52+1)</f>
        <v xml:space="preserve"> </v>
      </c>
      <c r="B53" s="74"/>
      <c r="C53" s="84"/>
      <c r="D53" s="88"/>
      <c r="E53" s="85"/>
      <c r="F53" s="86"/>
      <c r="G53" s="87"/>
      <c r="H53" s="83"/>
      <c r="I53" s="83"/>
      <c r="J53" s="93"/>
      <c r="K53" s="84"/>
      <c r="L53" s="94"/>
      <c r="M53" s="95"/>
    </row>
    <row r="54" spans="1:13" ht="12" customHeight="1">
      <c r="A54" s="83" t="str">
        <f t="shared" si="1"/>
        <v xml:space="preserve"> </v>
      </c>
      <c r="B54" s="74"/>
      <c r="C54" s="84"/>
      <c r="D54" s="88"/>
      <c r="E54" s="85"/>
      <c r="F54" s="86"/>
      <c r="G54" s="87"/>
      <c r="H54" s="83"/>
      <c r="I54" s="83"/>
      <c r="J54" s="93"/>
      <c r="K54" s="84"/>
      <c r="L54" s="94"/>
      <c r="M54" s="95"/>
    </row>
    <row r="55" spans="1:13" ht="12" customHeight="1">
      <c r="A55" s="83" t="str">
        <f t="shared" si="1"/>
        <v xml:space="preserve"> </v>
      </c>
      <c r="B55" s="74"/>
      <c r="C55" s="84"/>
      <c r="D55" s="88"/>
      <c r="E55" s="85"/>
      <c r="F55" s="86"/>
      <c r="G55" s="87"/>
      <c r="H55" s="83"/>
      <c r="I55" s="83"/>
      <c r="J55" s="93"/>
      <c r="K55" s="84"/>
      <c r="L55" s="94"/>
      <c r="M55" s="95"/>
    </row>
    <row r="56" spans="1:13" ht="12" customHeight="1">
      <c r="A56" s="83" t="str">
        <f t="shared" si="1"/>
        <v xml:space="preserve"> </v>
      </c>
      <c r="B56" s="74"/>
      <c r="C56" s="84"/>
      <c r="D56" s="88"/>
      <c r="E56" s="85"/>
      <c r="F56" s="86"/>
      <c r="G56" s="87"/>
      <c r="H56" s="83"/>
      <c r="I56" s="83"/>
      <c r="J56" s="93"/>
      <c r="K56" s="84"/>
      <c r="L56" s="94"/>
      <c r="M56" s="95"/>
    </row>
    <row r="57" spans="1:13" ht="12" customHeight="1">
      <c r="A57" s="83" t="str">
        <f t="shared" si="1"/>
        <v xml:space="preserve"> </v>
      </c>
      <c r="B57" s="74"/>
      <c r="C57" s="84"/>
      <c r="D57" s="88"/>
      <c r="E57" s="85"/>
      <c r="F57" s="86"/>
      <c r="G57" s="87"/>
      <c r="H57" s="83"/>
      <c r="I57" s="83"/>
      <c r="J57" s="93"/>
      <c r="K57" s="84"/>
      <c r="L57" s="94"/>
      <c r="M57" s="95"/>
    </row>
    <row r="58" spans="1:13" ht="12" customHeight="1">
      <c r="A58" s="83" t="str">
        <f t="shared" si="1"/>
        <v xml:space="preserve"> </v>
      </c>
      <c r="B58" s="74"/>
      <c r="C58" s="84"/>
      <c r="D58" s="88"/>
      <c r="E58" s="85"/>
      <c r="F58" s="86"/>
      <c r="G58" s="87"/>
      <c r="H58" s="83"/>
      <c r="I58" s="83"/>
      <c r="J58" s="93"/>
      <c r="K58" s="84"/>
      <c r="L58" s="94"/>
      <c r="M58" s="95"/>
    </row>
    <row r="59" spans="1:13" ht="12" customHeight="1">
      <c r="A59" s="83" t="str">
        <f t="shared" si="1"/>
        <v xml:space="preserve"> </v>
      </c>
      <c r="B59" s="74"/>
      <c r="C59" s="84"/>
      <c r="D59" s="88"/>
      <c r="E59" s="85"/>
      <c r="F59" s="86"/>
      <c r="G59" s="87"/>
      <c r="H59" s="83"/>
      <c r="I59" s="83"/>
      <c r="J59" s="93"/>
      <c r="K59" s="84"/>
      <c r="L59" s="94"/>
      <c r="M59" s="95"/>
    </row>
    <row r="60" spans="1:13" ht="12" customHeight="1">
      <c r="A60" s="83" t="str">
        <f t="shared" si="1"/>
        <v xml:space="preserve"> </v>
      </c>
      <c r="B60" s="74"/>
      <c r="C60" s="84"/>
      <c r="D60" s="88"/>
      <c r="E60" s="85"/>
      <c r="F60" s="86"/>
      <c r="G60" s="87"/>
      <c r="H60" s="83"/>
      <c r="I60" s="83"/>
      <c r="J60" s="93"/>
      <c r="K60" s="84"/>
      <c r="L60" s="94"/>
      <c r="M60" s="95"/>
    </row>
    <row r="61" spans="1:13" ht="12" customHeight="1">
      <c r="A61" s="83" t="str">
        <f t="shared" si="1"/>
        <v xml:space="preserve"> </v>
      </c>
      <c r="B61" s="74"/>
      <c r="C61" s="84"/>
      <c r="D61" s="88"/>
      <c r="E61" s="85"/>
      <c r="F61" s="86"/>
      <c r="G61" s="87"/>
      <c r="H61" s="83"/>
      <c r="I61" s="83"/>
      <c r="J61" s="93"/>
      <c r="K61" s="84"/>
      <c r="L61" s="94"/>
      <c r="M61" s="95"/>
    </row>
    <row r="62" spans="1:13" ht="12" customHeight="1">
      <c r="A62" s="83" t="str">
        <f t="shared" si="1"/>
        <v xml:space="preserve"> </v>
      </c>
      <c r="B62" s="74"/>
      <c r="C62" s="84"/>
      <c r="D62" s="88"/>
      <c r="E62" s="85"/>
      <c r="F62" s="86"/>
      <c r="G62" s="87"/>
      <c r="H62" s="83"/>
      <c r="I62" s="83"/>
      <c r="J62" s="93"/>
      <c r="K62" s="84"/>
      <c r="L62" s="94"/>
      <c r="M62" s="95"/>
    </row>
    <row r="63" spans="1:13" ht="12" customHeight="1">
      <c r="A63" s="83" t="str">
        <f t="shared" si="1"/>
        <v xml:space="preserve"> </v>
      </c>
      <c r="B63" s="74"/>
      <c r="C63" s="84"/>
      <c r="D63" s="88"/>
      <c r="E63" s="85"/>
      <c r="F63" s="86"/>
      <c r="G63" s="87"/>
      <c r="H63" s="83"/>
      <c r="I63" s="83"/>
      <c r="J63" s="93"/>
      <c r="K63" s="84"/>
      <c r="L63" s="94"/>
      <c r="M63" s="95"/>
    </row>
    <row r="64" spans="1:13" ht="12" customHeight="1">
      <c r="A64" s="83" t="str">
        <f t="shared" si="1"/>
        <v xml:space="preserve"> </v>
      </c>
      <c r="B64" s="74"/>
      <c r="C64" s="84"/>
      <c r="D64" s="88"/>
      <c r="E64" s="85"/>
      <c r="F64" s="86"/>
      <c r="G64" s="87"/>
      <c r="H64" s="83"/>
      <c r="I64" s="83"/>
      <c r="J64" s="93"/>
      <c r="K64" s="84"/>
      <c r="L64" s="94"/>
      <c r="M64" s="95"/>
    </row>
    <row r="65" spans="1:13" ht="12" customHeight="1">
      <c r="A65" s="83" t="str">
        <f t="shared" si="1"/>
        <v xml:space="preserve"> </v>
      </c>
      <c r="B65" s="74"/>
      <c r="C65" s="84"/>
      <c r="D65" s="88"/>
      <c r="E65" s="85"/>
      <c r="F65" s="86"/>
      <c r="G65" s="87"/>
      <c r="H65" s="83"/>
      <c r="I65" s="83"/>
      <c r="J65" s="93"/>
      <c r="K65" s="84"/>
      <c r="L65" s="94"/>
      <c r="M65" s="95"/>
    </row>
    <row r="66" spans="1:13" ht="12" customHeight="1">
      <c r="A66" s="83" t="str">
        <f t="shared" si="1"/>
        <v xml:space="preserve"> </v>
      </c>
      <c r="B66" s="74"/>
      <c r="C66" s="84"/>
      <c r="D66" s="88"/>
      <c r="E66" s="85"/>
      <c r="F66" s="86"/>
      <c r="G66" s="87"/>
      <c r="H66" s="83"/>
      <c r="I66" s="83"/>
      <c r="J66" s="93"/>
      <c r="K66" s="84"/>
      <c r="L66" s="94"/>
      <c r="M66" s="95"/>
    </row>
    <row r="67" spans="1:13" ht="12" customHeight="1">
      <c r="A67" s="83" t="str">
        <f t="shared" si="1"/>
        <v xml:space="preserve"> </v>
      </c>
      <c r="B67" s="74"/>
      <c r="C67" s="84"/>
      <c r="D67" s="88"/>
      <c r="E67" s="85"/>
      <c r="F67" s="86"/>
      <c r="G67" s="87"/>
      <c r="H67" s="83"/>
      <c r="I67" s="83"/>
      <c r="J67" s="93"/>
      <c r="K67" s="84"/>
      <c r="L67" s="94"/>
      <c r="M67" s="95"/>
    </row>
    <row r="68" spans="1:13" ht="12" customHeight="1">
      <c r="A68" s="83" t="str">
        <f t="shared" si="1"/>
        <v xml:space="preserve"> </v>
      </c>
      <c r="B68" s="74"/>
      <c r="C68" s="84"/>
      <c r="D68" s="88"/>
      <c r="E68" s="85"/>
      <c r="F68" s="86"/>
      <c r="G68" s="87"/>
      <c r="H68" s="83"/>
      <c r="I68" s="83"/>
      <c r="J68" s="93"/>
      <c r="K68" s="84"/>
      <c r="L68" s="94"/>
      <c r="M68" s="95"/>
    </row>
    <row r="69" spans="1:13" ht="12" customHeight="1">
      <c r="A69" s="83" t="str">
        <f t="shared" si="1"/>
        <v xml:space="preserve"> </v>
      </c>
      <c r="B69" s="74"/>
      <c r="C69" s="84"/>
      <c r="D69" s="88"/>
      <c r="E69" s="85"/>
      <c r="F69" s="86"/>
      <c r="G69" s="87"/>
      <c r="H69" s="83"/>
      <c r="I69" s="83"/>
      <c r="J69" s="93"/>
      <c r="K69" s="84"/>
      <c r="L69" s="94"/>
      <c r="M69" s="95"/>
    </row>
    <row r="70" spans="1:13" ht="12" customHeight="1">
      <c r="A70" s="83" t="str">
        <f t="shared" si="1"/>
        <v xml:space="preserve"> </v>
      </c>
      <c r="B70" s="74"/>
      <c r="C70" s="84"/>
      <c r="D70" s="88"/>
      <c r="E70" s="85"/>
      <c r="F70" s="86"/>
      <c r="G70" s="87"/>
      <c r="H70" s="83"/>
      <c r="I70" s="83"/>
      <c r="J70" s="93"/>
      <c r="K70" s="84"/>
      <c r="L70" s="94"/>
      <c r="M70" s="95"/>
    </row>
    <row r="71" spans="1:13" ht="12" customHeight="1">
      <c r="A71" s="83" t="str">
        <f t="shared" si="1"/>
        <v xml:space="preserve"> </v>
      </c>
      <c r="B71" s="74"/>
      <c r="C71" s="84"/>
      <c r="D71" s="88"/>
      <c r="E71" s="85"/>
      <c r="F71" s="86"/>
      <c r="G71" s="87"/>
      <c r="H71" s="83"/>
      <c r="I71" s="83"/>
      <c r="J71" s="93"/>
      <c r="K71" s="84"/>
      <c r="L71" s="94"/>
      <c r="M71" s="95"/>
    </row>
    <row r="72" spans="1:13" ht="12" customHeight="1">
      <c r="A72" s="83" t="str">
        <f t="shared" si="1"/>
        <v xml:space="preserve"> </v>
      </c>
      <c r="B72" s="74"/>
      <c r="C72" s="84"/>
      <c r="D72" s="88"/>
      <c r="E72" s="85"/>
      <c r="F72" s="86"/>
      <c r="G72" s="87"/>
      <c r="H72" s="83"/>
      <c r="I72" s="83"/>
      <c r="J72" s="93"/>
      <c r="K72" s="84"/>
      <c r="L72" s="94"/>
      <c r="M72" s="95"/>
    </row>
    <row r="73" spans="1:13" ht="12" customHeight="1">
      <c r="A73" s="83" t="str">
        <f t="shared" si="1"/>
        <v xml:space="preserve"> </v>
      </c>
      <c r="B73" s="74"/>
      <c r="C73" s="84"/>
      <c r="D73" s="88"/>
      <c r="E73" s="85"/>
      <c r="F73" s="86"/>
      <c r="G73" s="87"/>
      <c r="H73" s="83"/>
      <c r="I73" s="83"/>
      <c r="J73" s="93"/>
      <c r="K73" s="84"/>
      <c r="L73" s="94"/>
      <c r="M73" s="95"/>
    </row>
    <row r="74" spans="1:13" ht="12" customHeight="1">
      <c r="A74" s="83" t="str">
        <f t="shared" si="1"/>
        <v xml:space="preserve"> </v>
      </c>
      <c r="B74" s="74"/>
      <c r="C74" s="84"/>
      <c r="D74" s="88"/>
      <c r="E74" s="85"/>
      <c r="F74" s="86"/>
      <c r="G74" s="87"/>
      <c r="H74" s="83"/>
      <c r="I74" s="83"/>
      <c r="J74" s="93"/>
      <c r="K74" s="84"/>
      <c r="L74" s="94"/>
      <c r="M74" s="95"/>
    </row>
    <row r="75" spans="1:13" ht="12" customHeight="1">
      <c r="A75" s="83" t="str">
        <f t="shared" si="1"/>
        <v xml:space="preserve"> </v>
      </c>
      <c r="B75" s="74"/>
      <c r="C75" s="84"/>
      <c r="D75" s="88"/>
      <c r="E75" s="85"/>
      <c r="F75" s="86"/>
      <c r="G75" s="87"/>
      <c r="H75" s="83"/>
      <c r="I75" s="83"/>
      <c r="J75" s="93"/>
      <c r="K75" s="84"/>
      <c r="L75" s="94"/>
      <c r="M75" s="95"/>
    </row>
    <row r="76" spans="1:13" ht="12" customHeight="1">
      <c r="A76" s="83" t="str">
        <f t="shared" si="1"/>
        <v xml:space="preserve"> </v>
      </c>
      <c r="B76" s="74"/>
      <c r="C76" s="84"/>
      <c r="D76" s="88"/>
      <c r="E76" s="85"/>
      <c r="F76" s="86"/>
      <c r="G76" s="87"/>
      <c r="H76" s="83"/>
      <c r="I76" s="83"/>
      <c r="J76" s="93"/>
      <c r="K76" s="84"/>
      <c r="L76" s="94"/>
      <c r="M76" s="95"/>
    </row>
    <row r="77" spans="1:13" ht="12" customHeight="1">
      <c r="A77" s="83" t="str">
        <f t="shared" si="1"/>
        <v xml:space="preserve"> </v>
      </c>
      <c r="B77" s="74"/>
      <c r="C77" s="84"/>
      <c r="D77" s="88"/>
      <c r="E77" s="85"/>
      <c r="F77" s="86"/>
      <c r="G77" s="87"/>
      <c r="H77" s="83"/>
      <c r="I77" s="83"/>
      <c r="J77" s="93"/>
      <c r="K77" s="84"/>
      <c r="L77" s="94"/>
      <c r="M77" s="95"/>
    </row>
    <row r="78" spans="1:13" ht="12" customHeight="1">
      <c r="A78" s="83" t="str">
        <f t="shared" si="1"/>
        <v xml:space="preserve"> </v>
      </c>
      <c r="B78" s="74"/>
      <c r="C78" s="84"/>
      <c r="D78" s="88"/>
      <c r="E78" s="85"/>
      <c r="F78" s="86"/>
      <c r="G78" s="87"/>
      <c r="H78" s="83"/>
      <c r="I78" s="83"/>
      <c r="J78" s="93"/>
      <c r="K78" s="84"/>
      <c r="L78" s="94"/>
      <c r="M78" s="95"/>
    </row>
    <row r="79" spans="1:13" ht="12" customHeight="1">
      <c r="A79" s="83" t="str">
        <f t="shared" si="1"/>
        <v xml:space="preserve"> </v>
      </c>
      <c r="B79" s="74"/>
      <c r="C79" s="84"/>
      <c r="D79" s="88"/>
      <c r="E79" s="85"/>
      <c r="F79" s="86"/>
      <c r="G79" s="87"/>
      <c r="H79" s="83"/>
      <c r="I79" s="83"/>
      <c r="J79" s="93"/>
      <c r="K79" s="84"/>
      <c r="L79" s="94"/>
      <c r="M79" s="95"/>
    </row>
    <row r="80" spans="1:13" ht="12" customHeight="1">
      <c r="A80" s="83" t="str">
        <f t="shared" si="1"/>
        <v xml:space="preserve"> </v>
      </c>
      <c r="B80" s="74"/>
      <c r="C80" s="84"/>
      <c r="D80" s="88"/>
      <c r="E80" s="85"/>
      <c r="F80" s="86"/>
      <c r="G80" s="87"/>
      <c r="H80" s="83"/>
      <c r="I80" s="83"/>
      <c r="J80" s="93"/>
      <c r="K80" s="84"/>
      <c r="L80" s="94"/>
      <c r="M80" s="95"/>
    </row>
    <row r="81" spans="1:13" ht="12" customHeight="1">
      <c r="A81" s="83" t="str">
        <f t="shared" si="1"/>
        <v xml:space="preserve"> </v>
      </c>
      <c r="B81" s="74"/>
      <c r="C81" s="84"/>
      <c r="D81" s="88"/>
      <c r="E81" s="85"/>
      <c r="F81" s="86"/>
      <c r="G81" s="87"/>
      <c r="H81" s="83"/>
      <c r="I81" s="83"/>
      <c r="J81" s="93"/>
      <c r="K81" s="84"/>
      <c r="L81" s="94"/>
      <c r="M81" s="95"/>
    </row>
    <row r="82" spans="1:13" ht="12" customHeight="1">
      <c r="A82" s="83" t="str">
        <f t="shared" si="1"/>
        <v xml:space="preserve"> </v>
      </c>
      <c r="B82" s="74"/>
      <c r="C82" s="84"/>
      <c r="D82" s="88"/>
      <c r="E82" s="85"/>
      <c r="F82" s="86"/>
      <c r="G82" s="87"/>
      <c r="H82" s="83"/>
      <c r="I82" s="83"/>
      <c r="J82" s="93"/>
      <c r="K82" s="84"/>
      <c r="L82" s="94"/>
      <c r="M82" s="95"/>
    </row>
    <row r="83" spans="1:13" ht="12" customHeight="1">
      <c r="A83" s="83" t="str">
        <f t="shared" si="1"/>
        <v xml:space="preserve"> </v>
      </c>
      <c r="B83" s="74"/>
      <c r="C83" s="84"/>
      <c r="D83" s="88"/>
      <c r="E83" s="85"/>
      <c r="F83" s="86"/>
      <c r="G83" s="87"/>
      <c r="H83" s="83"/>
      <c r="I83" s="83"/>
      <c r="J83" s="93"/>
      <c r="K83" s="84"/>
      <c r="L83" s="94"/>
      <c r="M83" s="95"/>
    </row>
    <row r="84" spans="1:13" ht="12" customHeight="1">
      <c r="A84" s="83" t="str">
        <f t="shared" si="1"/>
        <v xml:space="preserve"> </v>
      </c>
      <c r="B84" s="74"/>
      <c r="C84" s="84"/>
      <c r="D84" s="88"/>
      <c r="E84" s="85"/>
      <c r="F84" s="86"/>
      <c r="G84" s="87"/>
      <c r="H84" s="83"/>
      <c r="I84" s="83"/>
      <c r="J84" s="93"/>
      <c r="K84" s="84"/>
      <c r="L84" s="94"/>
      <c r="M84" s="95"/>
    </row>
    <row r="85" spans="1:13" ht="12" customHeight="1">
      <c r="A85" s="83" t="str">
        <f t="shared" ref="A85:A98" si="2">IF(B85=""," ",A84+1)</f>
        <v xml:space="preserve"> </v>
      </c>
      <c r="B85" s="74"/>
      <c r="C85" s="84"/>
      <c r="D85" s="88"/>
      <c r="E85" s="85"/>
      <c r="F85" s="86"/>
      <c r="G85" s="87"/>
      <c r="H85" s="83"/>
      <c r="I85" s="83"/>
      <c r="J85" s="93"/>
      <c r="K85" s="84"/>
      <c r="L85" s="94"/>
      <c r="M85" s="95"/>
    </row>
    <row r="86" spans="1:13" ht="12" customHeight="1">
      <c r="A86" s="83" t="str">
        <f t="shared" si="2"/>
        <v xml:space="preserve"> </v>
      </c>
      <c r="B86" s="74"/>
      <c r="C86" s="84"/>
      <c r="D86" s="88"/>
      <c r="E86" s="85"/>
      <c r="F86" s="86"/>
      <c r="G86" s="87"/>
      <c r="H86" s="83"/>
      <c r="I86" s="83"/>
      <c r="J86" s="93"/>
      <c r="K86" s="84"/>
      <c r="L86" s="94"/>
      <c r="M86" s="95"/>
    </row>
    <row r="87" spans="1:13" ht="12" customHeight="1">
      <c r="A87" s="83" t="str">
        <f t="shared" si="2"/>
        <v xml:space="preserve"> </v>
      </c>
      <c r="B87" s="74"/>
      <c r="C87" s="84"/>
      <c r="D87" s="88"/>
      <c r="E87" s="85"/>
      <c r="F87" s="86"/>
      <c r="G87" s="87"/>
      <c r="H87" s="83"/>
      <c r="I87" s="83"/>
      <c r="J87" s="93"/>
      <c r="K87" s="84"/>
      <c r="L87" s="94"/>
      <c r="M87" s="95"/>
    </row>
    <row r="88" spans="1:13" ht="12" customHeight="1">
      <c r="A88" s="83" t="str">
        <f t="shared" si="2"/>
        <v xml:space="preserve"> </v>
      </c>
      <c r="B88" s="74"/>
      <c r="C88" s="84"/>
      <c r="D88" s="88"/>
      <c r="E88" s="85"/>
      <c r="F88" s="86"/>
      <c r="G88" s="87"/>
      <c r="H88" s="83"/>
      <c r="I88" s="83"/>
      <c r="J88" s="93"/>
      <c r="K88" s="84"/>
      <c r="L88" s="94"/>
      <c r="M88" s="95"/>
    </row>
    <row r="89" spans="1:13" ht="12" customHeight="1">
      <c r="A89" s="83" t="str">
        <f t="shared" si="2"/>
        <v xml:space="preserve"> </v>
      </c>
      <c r="B89" s="74"/>
      <c r="C89" s="84"/>
      <c r="D89" s="88"/>
      <c r="E89" s="85"/>
      <c r="F89" s="86"/>
      <c r="G89" s="87"/>
      <c r="H89" s="83"/>
      <c r="I89" s="83"/>
      <c r="J89" s="93"/>
      <c r="K89" s="84"/>
      <c r="L89" s="94"/>
      <c r="M89" s="95"/>
    </row>
    <row r="90" spans="1:13" ht="12" customHeight="1">
      <c r="A90" s="83" t="str">
        <f t="shared" si="2"/>
        <v xml:space="preserve"> </v>
      </c>
      <c r="B90" s="74"/>
      <c r="C90" s="84"/>
      <c r="D90" s="88"/>
      <c r="E90" s="85"/>
      <c r="F90" s="86"/>
      <c r="G90" s="87"/>
      <c r="H90" s="83"/>
      <c r="I90" s="83"/>
      <c r="J90" s="93"/>
      <c r="K90" s="84"/>
      <c r="L90" s="94"/>
      <c r="M90" s="95"/>
    </row>
    <row r="91" spans="1:13" ht="12" customHeight="1">
      <c r="A91" s="83" t="str">
        <f t="shared" si="2"/>
        <v xml:space="preserve"> </v>
      </c>
      <c r="B91" s="74"/>
      <c r="C91" s="84"/>
      <c r="D91" s="88"/>
      <c r="E91" s="85"/>
      <c r="F91" s="86"/>
      <c r="G91" s="87"/>
      <c r="H91" s="83"/>
      <c r="I91" s="83"/>
      <c r="J91" s="93"/>
      <c r="K91" s="84"/>
      <c r="L91" s="94"/>
      <c r="M91" s="95"/>
    </row>
    <row r="92" spans="1:13" ht="12" customHeight="1">
      <c r="A92" s="83" t="str">
        <f t="shared" si="2"/>
        <v xml:space="preserve"> </v>
      </c>
      <c r="B92" s="74"/>
      <c r="C92" s="84"/>
      <c r="D92" s="88"/>
      <c r="E92" s="85"/>
      <c r="F92" s="86"/>
      <c r="G92" s="87"/>
      <c r="H92" s="83"/>
      <c r="I92" s="83"/>
      <c r="J92" s="93"/>
      <c r="K92" s="84"/>
      <c r="L92" s="94"/>
      <c r="M92" s="95"/>
    </row>
    <row r="93" spans="1:13" ht="12" customHeight="1">
      <c r="A93" s="83" t="str">
        <f t="shared" si="2"/>
        <v xml:space="preserve"> </v>
      </c>
      <c r="B93" s="74"/>
      <c r="C93" s="84"/>
      <c r="D93" s="88"/>
      <c r="E93" s="85"/>
      <c r="F93" s="86"/>
      <c r="G93" s="87"/>
      <c r="H93" s="83"/>
      <c r="I93" s="83"/>
      <c r="J93" s="93"/>
      <c r="K93" s="84"/>
      <c r="L93" s="94"/>
      <c r="M93" s="95"/>
    </row>
    <row r="94" spans="1:13" ht="12" customHeight="1">
      <c r="A94" s="83" t="str">
        <f t="shared" si="2"/>
        <v xml:space="preserve"> </v>
      </c>
      <c r="B94" s="74"/>
      <c r="C94" s="84"/>
      <c r="D94" s="88"/>
      <c r="E94" s="85"/>
      <c r="F94" s="86"/>
      <c r="G94" s="87"/>
      <c r="H94" s="83"/>
      <c r="I94" s="83"/>
      <c r="J94" s="93"/>
      <c r="K94" s="84"/>
      <c r="L94" s="94"/>
      <c r="M94" s="95"/>
    </row>
    <row r="95" spans="1:13" ht="12" customHeight="1">
      <c r="A95" s="83" t="str">
        <f t="shared" si="2"/>
        <v xml:space="preserve"> </v>
      </c>
      <c r="B95" s="74"/>
      <c r="C95" s="84"/>
      <c r="D95" s="88"/>
      <c r="E95" s="85"/>
      <c r="F95" s="86"/>
      <c r="G95" s="87"/>
      <c r="H95" s="83"/>
      <c r="I95" s="83"/>
      <c r="J95" s="93"/>
      <c r="K95" s="84"/>
      <c r="L95" s="94"/>
      <c r="M95" s="95"/>
    </row>
    <row r="96" spans="1:13" ht="12" customHeight="1">
      <c r="A96" s="83" t="str">
        <f t="shared" si="2"/>
        <v xml:space="preserve"> </v>
      </c>
      <c r="B96" s="74"/>
      <c r="C96" s="84"/>
      <c r="D96" s="88"/>
      <c r="E96" s="85"/>
      <c r="F96" s="86"/>
      <c r="G96" s="87"/>
      <c r="H96" s="83"/>
      <c r="I96" s="83"/>
      <c r="J96" s="93"/>
      <c r="K96" s="84"/>
      <c r="L96" s="94"/>
      <c r="M96" s="95"/>
    </row>
    <row r="97" spans="1:13" ht="12" customHeight="1">
      <c r="A97" s="83" t="str">
        <f t="shared" si="2"/>
        <v xml:space="preserve"> </v>
      </c>
      <c r="B97" s="74"/>
      <c r="C97" s="84"/>
      <c r="D97" s="88"/>
      <c r="E97" s="85"/>
      <c r="F97" s="86"/>
      <c r="G97" s="87"/>
      <c r="H97" s="83"/>
      <c r="I97" s="83"/>
      <c r="J97" s="93"/>
      <c r="K97" s="84"/>
      <c r="L97" s="94"/>
      <c r="M97" s="95"/>
    </row>
    <row r="98" spans="1:13" ht="12" customHeight="1">
      <c r="A98" s="83" t="str">
        <f t="shared" si="2"/>
        <v xml:space="preserve"> </v>
      </c>
      <c r="B98" s="74"/>
      <c r="C98" s="84"/>
      <c r="D98" s="88"/>
      <c r="E98" s="85"/>
      <c r="F98" s="86"/>
      <c r="G98" s="87"/>
      <c r="H98" s="83"/>
      <c r="I98" s="83"/>
      <c r="J98" s="93"/>
      <c r="K98" s="84"/>
      <c r="L98" s="94"/>
      <c r="M98" s="95"/>
    </row>
    <row r="99" spans="1:13" ht="12" customHeight="1">
      <c r="A99" s="83" t="str">
        <f>IF(B99=""," ",A97+1)</f>
        <v xml:space="preserve"> </v>
      </c>
      <c r="B99" s="74"/>
      <c r="C99" s="84"/>
      <c r="D99" s="88"/>
      <c r="E99" s="85"/>
      <c r="F99" s="86"/>
      <c r="G99" s="87"/>
      <c r="H99" s="83"/>
      <c r="I99" s="83"/>
      <c r="J99" s="93"/>
      <c r="K99" s="84"/>
      <c r="L99" s="94"/>
      <c r="M99" s="95"/>
    </row>
    <row r="100" spans="1:13" ht="12" customHeight="1">
      <c r="A100" s="83" t="str">
        <f>IF(B100=""," ",A98+1)</f>
        <v xml:space="preserve"> </v>
      </c>
      <c r="B100" s="74"/>
      <c r="C100" s="84"/>
      <c r="D100" s="88"/>
      <c r="E100" s="85"/>
      <c r="F100" s="86"/>
      <c r="G100" s="87"/>
      <c r="H100" s="83"/>
      <c r="I100" s="83"/>
      <c r="J100" s="93"/>
      <c r="K100" s="84"/>
      <c r="L100" s="94"/>
      <c r="M100" s="95"/>
    </row>
    <row r="102" spans="1:13">
      <c r="B102" s="75" t="s">
        <v>235</v>
      </c>
    </row>
    <row r="104" spans="1:13">
      <c r="B104" s="75" t="s">
        <v>239</v>
      </c>
      <c r="C104" s="75" t="s">
        <v>1757</v>
      </c>
    </row>
    <row r="106" spans="1:13">
      <c r="B106" s="75" t="s">
        <v>239</v>
      </c>
      <c r="C106" s="75" t="s">
        <v>238</v>
      </c>
    </row>
    <row r="108" spans="1:13">
      <c r="B108" s="75" t="s">
        <v>1788</v>
      </c>
      <c r="C108" s="75" t="s">
        <v>1789</v>
      </c>
    </row>
  </sheetData>
  <mergeCells count="28">
    <mergeCell ref="K18:M18"/>
    <mergeCell ref="K21:M21"/>
    <mergeCell ref="K22:M22"/>
    <mergeCell ref="K23:M23"/>
    <mergeCell ref="A5:A6"/>
    <mergeCell ref="K5:M6"/>
    <mergeCell ref="K13:M13"/>
    <mergeCell ref="K14:M14"/>
    <mergeCell ref="K15:M15"/>
    <mergeCell ref="K16:M16"/>
    <mergeCell ref="K17:M17"/>
    <mergeCell ref="K7:M7"/>
    <mergeCell ref="K8:M8"/>
    <mergeCell ref="K10:M10"/>
    <mergeCell ref="K11:M11"/>
    <mergeCell ref="K12:M12"/>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pageSetUpPr fitToPage="1"/>
  </sheetPr>
  <dimension ref="A1:Q110"/>
  <sheetViews>
    <sheetView showGridLines="0" workbookViewId="0">
      <pane ySplit="6" topLeftCell="A7" activePane="bottomLeft" state="frozen"/>
      <selection pane="bottomLeft"/>
    </sheetView>
  </sheetViews>
  <sheetFormatPr defaultColWidth="9" defaultRowHeight="12"/>
  <cols>
    <col min="1" max="1" width="4.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112"/>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1790</v>
      </c>
      <c r="D3" s="265"/>
      <c r="E3" s="265"/>
      <c r="F3" s="265"/>
      <c r="G3" s="266"/>
      <c r="H3" s="259" t="s">
        <v>140</v>
      </c>
      <c r="I3" s="260"/>
      <c r="J3" s="90">
        <f>COUNT(A7:A100)</f>
        <v>10</v>
      </c>
      <c r="K3" s="78" t="s">
        <v>141</v>
      </c>
      <c r="L3" s="91">
        <v>38740</v>
      </c>
      <c r="M3" s="92" t="s">
        <v>1287</v>
      </c>
      <c r="O3" s="75" t="s">
        <v>143</v>
      </c>
      <c r="P3" s="75" t="s">
        <v>144</v>
      </c>
    </row>
    <row r="4" spans="1:16" ht="12" customHeight="1">
      <c r="A4" s="267" t="s">
        <v>145</v>
      </c>
      <c r="B4" s="268"/>
      <c r="C4" s="267" t="s">
        <v>81</v>
      </c>
      <c r="D4" s="269"/>
      <c r="E4" s="269"/>
      <c r="F4" s="269"/>
      <c r="G4" s="268"/>
      <c r="H4" s="259" t="s">
        <v>146</v>
      </c>
      <c r="I4" s="260"/>
      <c r="J4" s="90">
        <f>SUM(G7:G100)</f>
        <v>42</v>
      </c>
      <c r="K4" s="78" t="s">
        <v>147</v>
      </c>
      <c r="L4" s="91">
        <v>38878</v>
      </c>
      <c r="M4" s="83" t="s">
        <v>1287</v>
      </c>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ht="12" customHeight="1">
      <c r="A7" s="83">
        <v>1</v>
      </c>
      <c r="B7" s="113" t="s">
        <v>812</v>
      </c>
      <c r="C7" s="84" t="s">
        <v>1759</v>
      </c>
      <c r="D7" s="114" t="s">
        <v>164</v>
      </c>
      <c r="E7" s="85"/>
      <c r="F7" s="86"/>
      <c r="G7" s="87">
        <v>4</v>
      </c>
      <c r="H7" s="83" t="s">
        <v>149</v>
      </c>
      <c r="I7" s="83" t="s">
        <v>149</v>
      </c>
      <c r="J7" s="93"/>
      <c r="K7" s="408" t="s">
        <v>1791</v>
      </c>
      <c r="L7" s="409"/>
      <c r="M7" s="410"/>
      <c r="P7" s="75" t="s">
        <v>165</v>
      </c>
    </row>
    <row r="8" spans="1:16" ht="12" customHeight="1">
      <c r="A8" s="83">
        <v>2</v>
      </c>
      <c r="B8" s="113" t="s">
        <v>1792</v>
      </c>
      <c r="C8" s="84" t="s">
        <v>1793</v>
      </c>
      <c r="D8" s="88" t="s">
        <v>1762</v>
      </c>
      <c r="E8" s="85"/>
      <c r="F8" s="86"/>
      <c r="G8" s="87">
        <v>4</v>
      </c>
      <c r="H8" s="83" t="s">
        <v>149</v>
      </c>
      <c r="I8" s="83" t="s">
        <v>149</v>
      </c>
      <c r="J8" s="93"/>
      <c r="K8" s="280" t="s">
        <v>1794</v>
      </c>
      <c r="L8" s="281"/>
      <c r="M8" s="282"/>
    </row>
    <row r="9" spans="1:16" ht="87" customHeight="1">
      <c r="A9" s="83">
        <v>3</v>
      </c>
      <c r="B9" s="74" t="s">
        <v>1795</v>
      </c>
      <c r="C9" s="84" t="s">
        <v>1796</v>
      </c>
      <c r="D9" s="88" t="s">
        <v>150</v>
      </c>
      <c r="E9" s="85">
        <v>1</v>
      </c>
      <c r="F9" s="86"/>
      <c r="G9" s="87">
        <v>1</v>
      </c>
      <c r="H9" s="83" t="s">
        <v>149</v>
      </c>
      <c r="I9" s="83" t="s">
        <v>149</v>
      </c>
      <c r="J9" s="93"/>
      <c r="K9" s="280" t="s">
        <v>1797</v>
      </c>
      <c r="L9" s="281"/>
      <c r="M9" s="282"/>
    </row>
    <row r="10" spans="1:16" ht="36" customHeight="1">
      <c r="A10" s="83">
        <v>4</v>
      </c>
      <c r="B10" s="113" t="s">
        <v>1798</v>
      </c>
      <c r="C10" s="115" t="s">
        <v>1799</v>
      </c>
      <c r="D10" s="88" t="s">
        <v>150</v>
      </c>
      <c r="E10" s="85">
        <v>1</v>
      </c>
      <c r="F10" s="86"/>
      <c r="G10" s="87">
        <v>1</v>
      </c>
      <c r="H10" s="83" t="s">
        <v>149</v>
      </c>
      <c r="I10" s="83" t="s">
        <v>149</v>
      </c>
      <c r="J10" s="93"/>
      <c r="K10" s="280" t="s">
        <v>1800</v>
      </c>
      <c r="L10" s="281"/>
      <c r="M10" s="282"/>
    </row>
    <row r="11" spans="1:16" ht="12" customHeight="1">
      <c r="A11" s="83">
        <v>5</v>
      </c>
      <c r="B11" s="113" t="s">
        <v>818</v>
      </c>
      <c r="C11" s="84" t="s">
        <v>819</v>
      </c>
      <c r="D11" s="88" t="s">
        <v>150</v>
      </c>
      <c r="E11" s="85">
        <v>4</v>
      </c>
      <c r="F11" s="86"/>
      <c r="G11" s="87">
        <v>4</v>
      </c>
      <c r="H11" s="83" t="s">
        <v>149</v>
      </c>
      <c r="I11" s="83" t="s">
        <v>149</v>
      </c>
      <c r="J11" s="93"/>
      <c r="K11" s="274"/>
      <c r="L11" s="275"/>
      <c r="M11" s="276"/>
    </row>
    <row r="12" spans="1:16" ht="12" customHeight="1">
      <c r="A12" s="83">
        <v>6</v>
      </c>
      <c r="B12" s="113" t="s">
        <v>960</v>
      </c>
      <c r="C12" s="84" t="s">
        <v>961</v>
      </c>
      <c r="D12" s="88" t="s">
        <v>150</v>
      </c>
      <c r="E12" s="85">
        <v>6</v>
      </c>
      <c r="F12" s="86"/>
      <c r="G12" s="87">
        <v>6</v>
      </c>
      <c r="H12" s="83" t="s">
        <v>149</v>
      </c>
      <c r="I12" s="83" t="s">
        <v>149</v>
      </c>
      <c r="J12" s="93"/>
      <c r="K12" s="274"/>
      <c r="L12" s="275"/>
      <c r="M12" s="276"/>
    </row>
    <row r="13" spans="1:16" ht="12" customHeight="1">
      <c r="A13" s="83">
        <v>7</v>
      </c>
      <c r="B13" s="113" t="s">
        <v>1801</v>
      </c>
      <c r="C13" s="84" t="s">
        <v>1802</v>
      </c>
      <c r="D13" s="88" t="s">
        <v>1762</v>
      </c>
      <c r="E13" s="85"/>
      <c r="F13" s="86"/>
      <c r="G13" s="87">
        <v>4</v>
      </c>
      <c r="H13" s="83" t="s">
        <v>149</v>
      </c>
      <c r="I13" s="83"/>
      <c r="J13" s="93"/>
      <c r="K13" s="84"/>
      <c r="L13" s="94"/>
      <c r="M13" s="95"/>
    </row>
    <row r="14" spans="1:16" ht="12" customHeight="1">
      <c r="A14" s="83">
        <v>8</v>
      </c>
      <c r="B14" s="115" t="s">
        <v>1803</v>
      </c>
      <c r="C14" s="84" t="s">
        <v>1804</v>
      </c>
      <c r="D14" s="88" t="s">
        <v>150</v>
      </c>
      <c r="E14" s="85">
        <v>4</v>
      </c>
      <c r="F14" s="86"/>
      <c r="G14" s="87">
        <v>4</v>
      </c>
      <c r="H14" s="83" t="s">
        <v>149</v>
      </c>
      <c r="I14" s="83"/>
      <c r="J14" s="93"/>
      <c r="K14" s="115"/>
      <c r="L14" s="116"/>
      <c r="M14" s="117"/>
    </row>
    <row r="15" spans="1:16" ht="12" customHeight="1">
      <c r="A15" s="83">
        <v>9</v>
      </c>
      <c r="B15" s="74" t="s">
        <v>232</v>
      </c>
      <c r="C15" s="84" t="s">
        <v>233</v>
      </c>
      <c r="D15" s="88" t="s">
        <v>234</v>
      </c>
      <c r="E15" s="85"/>
      <c r="F15" s="86"/>
      <c r="G15" s="87">
        <v>10</v>
      </c>
      <c r="H15" s="83" t="s">
        <v>149</v>
      </c>
      <c r="I15" s="83"/>
      <c r="J15" s="93"/>
      <c r="K15" s="84"/>
      <c r="L15" s="94"/>
      <c r="M15" s="95"/>
    </row>
    <row r="16" spans="1:16" ht="12" customHeight="1">
      <c r="A16" s="83">
        <v>10</v>
      </c>
      <c r="B16" s="113" t="s">
        <v>1805</v>
      </c>
      <c r="C16" s="84" t="s">
        <v>1759</v>
      </c>
      <c r="D16" s="114" t="s">
        <v>164</v>
      </c>
      <c r="E16" s="85"/>
      <c r="F16" s="86"/>
      <c r="G16" s="87">
        <v>4</v>
      </c>
      <c r="H16" s="83" t="s">
        <v>149</v>
      </c>
      <c r="I16" s="83" t="s">
        <v>149</v>
      </c>
      <c r="J16" s="93"/>
      <c r="K16" s="408" t="s">
        <v>1806</v>
      </c>
      <c r="L16" s="409"/>
      <c r="M16" s="410"/>
      <c r="P16" s="75" t="s">
        <v>165</v>
      </c>
    </row>
    <row r="17" spans="1:13" ht="12" customHeight="1">
      <c r="A17" s="83"/>
      <c r="B17" s="74"/>
      <c r="C17" s="84"/>
      <c r="D17" s="88"/>
      <c r="E17" s="85"/>
      <c r="F17" s="86"/>
      <c r="G17" s="87"/>
      <c r="H17" s="83"/>
      <c r="I17" s="83"/>
      <c r="J17" s="93"/>
      <c r="K17" s="84"/>
      <c r="L17" s="94"/>
      <c r="M17" s="95"/>
    </row>
    <row r="18" spans="1:13" ht="12" customHeight="1">
      <c r="A18" s="83" t="str">
        <f t="shared" ref="A18:A63" si="0">IF(B18=""," ",A17+1)</f>
        <v xml:space="preserve"> </v>
      </c>
      <c r="B18" s="74"/>
      <c r="C18" s="84"/>
      <c r="D18" s="88"/>
      <c r="E18" s="85"/>
      <c r="F18" s="86"/>
      <c r="G18" s="87"/>
      <c r="H18" s="83"/>
      <c r="I18" s="83"/>
      <c r="J18" s="93"/>
      <c r="K18" s="274"/>
      <c r="L18" s="275"/>
      <c r="M18" s="276"/>
    </row>
    <row r="19" spans="1:13" ht="12" customHeight="1">
      <c r="A19" s="83" t="str">
        <f t="shared" si="0"/>
        <v xml:space="preserve"> </v>
      </c>
      <c r="B19" s="74"/>
      <c r="C19" s="84"/>
      <c r="D19" s="88"/>
      <c r="E19" s="85"/>
      <c r="F19" s="86"/>
      <c r="G19" s="87"/>
      <c r="H19" s="83"/>
      <c r="I19" s="83"/>
      <c r="J19" s="93"/>
      <c r="K19" s="274"/>
      <c r="L19" s="275"/>
      <c r="M19" s="276"/>
    </row>
    <row r="20" spans="1:13" ht="12" customHeight="1">
      <c r="A20" s="83" t="str">
        <f>IF(B20=""," ",#REF!+1)</f>
        <v xml:space="preserve"> </v>
      </c>
      <c r="B20" s="74"/>
      <c r="C20" s="84"/>
      <c r="D20" s="88"/>
      <c r="E20" s="85"/>
      <c r="F20" s="86"/>
      <c r="G20" s="87"/>
      <c r="H20" s="83"/>
      <c r="I20" s="83"/>
      <c r="J20" s="93"/>
      <c r="K20" s="84"/>
      <c r="L20" s="94"/>
      <c r="M20" s="95"/>
    </row>
    <row r="21" spans="1:13" ht="12" customHeight="1">
      <c r="A21" s="83" t="str">
        <f t="shared" si="0"/>
        <v xml:space="preserve"> </v>
      </c>
      <c r="B21" s="74"/>
      <c r="C21" s="84"/>
      <c r="D21" s="88"/>
      <c r="E21" s="85"/>
      <c r="F21" s="86"/>
      <c r="G21" s="87"/>
      <c r="H21" s="83"/>
      <c r="I21" s="83"/>
      <c r="J21" s="93"/>
      <c r="K21" s="84"/>
      <c r="L21" s="94"/>
      <c r="M21" s="95"/>
    </row>
    <row r="22" spans="1:13" ht="12" customHeight="1">
      <c r="A22" s="83" t="str">
        <f t="shared" si="0"/>
        <v xml:space="preserve"> </v>
      </c>
      <c r="B22" s="74"/>
      <c r="C22" s="84"/>
      <c r="D22" s="88"/>
      <c r="E22" s="85"/>
      <c r="F22" s="86"/>
      <c r="G22" s="87"/>
      <c r="H22" s="83"/>
      <c r="I22" s="83"/>
      <c r="J22" s="93"/>
      <c r="K22" s="84"/>
      <c r="L22" s="94"/>
      <c r="M22" s="95"/>
    </row>
    <row r="23" spans="1:13" ht="11.25" customHeight="1">
      <c r="A23" s="83" t="str">
        <f t="shared" si="0"/>
        <v xml:space="preserve"> </v>
      </c>
      <c r="B23" s="74"/>
      <c r="C23" s="84"/>
      <c r="D23" s="88"/>
      <c r="E23" s="85"/>
      <c r="F23" s="86"/>
      <c r="G23" s="87"/>
      <c r="H23" s="83"/>
      <c r="I23" s="83"/>
      <c r="J23" s="93"/>
      <c r="K23" s="84"/>
      <c r="L23" s="94"/>
      <c r="M23" s="95"/>
    </row>
    <row r="24" spans="1:13" ht="12" customHeight="1">
      <c r="A24" s="83" t="str">
        <f t="shared" si="0"/>
        <v xml:space="preserve"> </v>
      </c>
      <c r="B24" s="74"/>
      <c r="C24" s="84"/>
      <c r="D24" s="88"/>
      <c r="E24" s="85"/>
      <c r="F24" s="86"/>
      <c r="G24" s="87"/>
      <c r="H24" s="83"/>
      <c r="I24" s="83"/>
      <c r="J24" s="93"/>
      <c r="K24" s="84"/>
      <c r="L24" s="94"/>
      <c r="M24" s="95"/>
    </row>
    <row r="25" spans="1:13" ht="12" customHeight="1">
      <c r="A25" s="83" t="str">
        <f t="shared" si="0"/>
        <v xml:space="preserve"> </v>
      </c>
      <c r="B25" s="74"/>
      <c r="C25" s="84"/>
      <c r="D25" s="88"/>
      <c r="E25" s="85"/>
      <c r="F25" s="86"/>
      <c r="G25" s="87"/>
      <c r="H25" s="83"/>
      <c r="I25" s="83"/>
      <c r="J25" s="93"/>
      <c r="K25" s="84"/>
      <c r="L25" s="94"/>
      <c r="M25" s="95"/>
    </row>
    <row r="26" spans="1:13" ht="12" customHeight="1">
      <c r="A26" s="83" t="str">
        <f t="shared" si="0"/>
        <v xml:space="preserve"> </v>
      </c>
      <c r="B26" s="74"/>
      <c r="C26" s="84"/>
      <c r="D26" s="88"/>
      <c r="E26" s="85"/>
      <c r="F26" s="86"/>
      <c r="G26" s="87"/>
      <c r="H26" s="83"/>
      <c r="I26" s="83"/>
      <c r="J26" s="93"/>
      <c r="K26" s="84"/>
      <c r="L26" s="94"/>
      <c r="M26" s="95"/>
    </row>
    <row r="27" spans="1:13" ht="12" customHeight="1">
      <c r="A27" s="83" t="str">
        <f t="shared" si="0"/>
        <v xml:space="preserve"> </v>
      </c>
      <c r="B27" s="74"/>
      <c r="C27" s="84"/>
      <c r="D27" s="88"/>
      <c r="E27" s="85"/>
      <c r="F27" s="86"/>
      <c r="G27" s="87"/>
      <c r="H27" s="83"/>
      <c r="I27" s="83"/>
      <c r="J27" s="93"/>
      <c r="K27" s="84"/>
      <c r="L27" s="94"/>
      <c r="M27" s="95"/>
    </row>
    <row r="28" spans="1:13" ht="12" customHeight="1">
      <c r="A28" s="83" t="str">
        <f t="shared" si="0"/>
        <v xml:space="preserve"> </v>
      </c>
      <c r="B28" s="74"/>
      <c r="C28" s="84"/>
      <c r="D28" s="88"/>
      <c r="E28" s="85"/>
      <c r="F28" s="86"/>
      <c r="G28" s="87"/>
      <c r="H28" s="83"/>
      <c r="I28" s="83"/>
      <c r="J28" s="93"/>
      <c r="K28" s="84"/>
      <c r="L28" s="94"/>
      <c r="M28" s="95"/>
    </row>
    <row r="29" spans="1:13" ht="12" customHeight="1">
      <c r="A29" s="83" t="str">
        <f t="shared" si="0"/>
        <v xml:space="preserve"> </v>
      </c>
      <c r="B29" s="74"/>
      <c r="C29" s="84"/>
      <c r="D29" s="88"/>
      <c r="E29" s="85"/>
      <c r="F29" s="86"/>
      <c r="G29" s="87"/>
      <c r="H29" s="83"/>
      <c r="I29" s="83"/>
      <c r="J29" s="93"/>
      <c r="K29" s="84"/>
      <c r="L29" s="94"/>
      <c r="M29" s="95"/>
    </row>
    <row r="30" spans="1:13" ht="12" customHeight="1">
      <c r="A30" s="83" t="str">
        <f t="shared" si="0"/>
        <v xml:space="preserve"> </v>
      </c>
      <c r="B30" s="74"/>
      <c r="C30" s="84"/>
      <c r="D30" s="88"/>
      <c r="E30" s="85"/>
      <c r="F30" s="86"/>
      <c r="G30" s="87"/>
      <c r="H30" s="83"/>
      <c r="I30" s="83"/>
      <c r="J30" s="93"/>
      <c r="K30" s="84"/>
      <c r="L30" s="94"/>
      <c r="M30" s="95"/>
    </row>
    <row r="31" spans="1:13" ht="12" customHeight="1">
      <c r="A31" s="83" t="str">
        <f t="shared" si="0"/>
        <v xml:space="preserve"> </v>
      </c>
      <c r="B31" s="74"/>
      <c r="C31" s="84"/>
      <c r="D31" s="88"/>
      <c r="E31" s="85"/>
      <c r="F31" s="86"/>
      <c r="G31" s="87"/>
      <c r="H31" s="83"/>
      <c r="I31" s="83"/>
      <c r="J31" s="93"/>
      <c r="K31" s="84"/>
      <c r="L31" s="94"/>
      <c r="M31" s="95"/>
    </row>
    <row r="32" spans="1:13" ht="12" customHeight="1">
      <c r="A32" s="83" t="str">
        <f t="shared" si="0"/>
        <v xml:space="preserve"> </v>
      </c>
      <c r="B32" s="74"/>
      <c r="C32" s="84"/>
      <c r="D32" s="88"/>
      <c r="E32" s="85"/>
      <c r="F32" s="86"/>
      <c r="G32" s="87"/>
      <c r="H32" s="83"/>
      <c r="I32" s="83"/>
      <c r="J32" s="93"/>
      <c r="K32" s="84"/>
      <c r="L32" s="94"/>
      <c r="M32" s="95"/>
    </row>
    <row r="33" spans="1:13" ht="12" customHeight="1">
      <c r="A33" s="83" t="str">
        <f t="shared" si="0"/>
        <v xml:space="preserve"> </v>
      </c>
      <c r="B33" s="74"/>
      <c r="C33" s="84"/>
      <c r="D33" s="88"/>
      <c r="E33" s="85"/>
      <c r="F33" s="86"/>
      <c r="G33" s="87"/>
      <c r="H33" s="83"/>
      <c r="I33" s="83"/>
      <c r="J33" s="93"/>
      <c r="K33" s="84"/>
      <c r="L33" s="94"/>
      <c r="M33" s="95"/>
    </row>
    <row r="34" spans="1:13" ht="12" customHeight="1">
      <c r="A34" s="83" t="str">
        <f t="shared" si="0"/>
        <v xml:space="preserve"> </v>
      </c>
      <c r="B34" s="74"/>
      <c r="C34" s="84"/>
      <c r="D34" s="88"/>
      <c r="E34" s="85"/>
      <c r="F34" s="86"/>
      <c r="G34" s="87"/>
      <c r="H34" s="83"/>
      <c r="I34" s="83"/>
      <c r="J34" s="93"/>
      <c r="K34" s="84"/>
      <c r="L34" s="94"/>
      <c r="M34" s="95"/>
    </row>
    <row r="35" spans="1:13" ht="12" customHeight="1">
      <c r="A35" s="83" t="str">
        <f t="shared" si="0"/>
        <v xml:space="preserve"> </v>
      </c>
      <c r="B35" s="74"/>
      <c r="C35" s="84"/>
      <c r="D35" s="88"/>
      <c r="E35" s="85"/>
      <c r="F35" s="86"/>
      <c r="G35" s="87"/>
      <c r="H35" s="83"/>
      <c r="I35" s="83"/>
      <c r="J35" s="93"/>
      <c r="K35" s="84"/>
      <c r="L35" s="94"/>
      <c r="M35" s="95"/>
    </row>
    <row r="36" spans="1:13" ht="12" customHeight="1">
      <c r="A36" s="83" t="str">
        <f t="shared" si="0"/>
        <v xml:space="preserve"> </v>
      </c>
      <c r="B36" s="74"/>
      <c r="C36" s="84"/>
      <c r="D36" s="88"/>
      <c r="E36" s="85"/>
      <c r="F36" s="86"/>
      <c r="G36" s="87"/>
      <c r="H36" s="83"/>
      <c r="I36" s="83"/>
      <c r="J36" s="93"/>
      <c r="K36" s="84"/>
      <c r="L36" s="94"/>
      <c r="M36" s="95"/>
    </row>
    <row r="37" spans="1:13" ht="12" customHeight="1">
      <c r="A37" s="83" t="str">
        <f t="shared" si="0"/>
        <v xml:space="preserve"> </v>
      </c>
      <c r="B37" s="74"/>
      <c r="C37" s="84"/>
      <c r="D37" s="88"/>
      <c r="E37" s="85"/>
      <c r="F37" s="86"/>
      <c r="G37" s="87"/>
      <c r="H37" s="83"/>
      <c r="I37" s="83"/>
      <c r="J37" s="93"/>
      <c r="K37" s="84"/>
      <c r="L37" s="94"/>
      <c r="M37" s="95"/>
    </row>
    <row r="38" spans="1:13" ht="12" customHeight="1">
      <c r="A38" s="83" t="str">
        <f t="shared" si="0"/>
        <v xml:space="preserve"> </v>
      </c>
      <c r="B38" s="74"/>
      <c r="C38" s="84"/>
      <c r="D38" s="88"/>
      <c r="E38" s="85"/>
      <c r="F38" s="86"/>
      <c r="G38" s="87"/>
      <c r="H38" s="83"/>
      <c r="I38" s="83"/>
      <c r="J38" s="93"/>
      <c r="K38" s="84"/>
      <c r="L38" s="94"/>
      <c r="M38" s="95"/>
    </row>
    <row r="39" spans="1:13" ht="12" customHeight="1">
      <c r="A39" s="83" t="str">
        <f t="shared" si="0"/>
        <v xml:space="preserve"> </v>
      </c>
      <c r="B39" s="74"/>
      <c r="C39" s="84"/>
      <c r="D39" s="88"/>
      <c r="E39" s="85"/>
      <c r="F39" s="86"/>
      <c r="G39" s="87"/>
      <c r="H39" s="83"/>
      <c r="I39" s="83"/>
      <c r="J39" s="93"/>
      <c r="K39" s="84"/>
      <c r="L39" s="94"/>
      <c r="M39" s="95"/>
    </row>
    <row r="40" spans="1:13" ht="12" customHeight="1">
      <c r="A40" s="83" t="str">
        <f t="shared" si="0"/>
        <v xml:space="preserve"> </v>
      </c>
      <c r="B40" s="74"/>
      <c r="C40" s="84"/>
      <c r="D40" s="88"/>
      <c r="E40" s="85"/>
      <c r="F40" s="86"/>
      <c r="G40" s="87"/>
      <c r="H40" s="83"/>
      <c r="I40" s="83"/>
      <c r="J40" s="93"/>
      <c r="K40" s="84"/>
      <c r="L40" s="94"/>
      <c r="M40" s="95"/>
    </row>
    <row r="41" spans="1:13" ht="12" customHeight="1">
      <c r="A41" s="83" t="str">
        <f t="shared" si="0"/>
        <v xml:space="preserve"> </v>
      </c>
      <c r="B41" s="74"/>
      <c r="C41" s="84"/>
      <c r="D41" s="88"/>
      <c r="E41" s="85"/>
      <c r="F41" s="86"/>
      <c r="G41" s="87"/>
      <c r="H41" s="83"/>
      <c r="I41" s="83"/>
      <c r="J41" s="93"/>
      <c r="K41" s="84"/>
      <c r="L41" s="94"/>
      <c r="M41" s="95"/>
    </row>
    <row r="42" spans="1:13" ht="12" customHeight="1">
      <c r="A42" s="83" t="str">
        <f t="shared" si="0"/>
        <v xml:space="preserve"> </v>
      </c>
      <c r="B42" s="74"/>
      <c r="C42" s="84"/>
      <c r="D42" s="88"/>
      <c r="E42" s="85"/>
      <c r="F42" s="86"/>
      <c r="G42" s="87"/>
      <c r="H42" s="83"/>
      <c r="I42" s="83"/>
      <c r="J42" s="93"/>
      <c r="K42" s="84"/>
      <c r="L42" s="94"/>
      <c r="M42" s="95"/>
    </row>
    <row r="43" spans="1:13" ht="12" customHeight="1">
      <c r="A43" s="83" t="str">
        <f t="shared" si="0"/>
        <v xml:space="preserve"> </v>
      </c>
      <c r="B43" s="74"/>
      <c r="C43" s="84"/>
      <c r="D43" s="88"/>
      <c r="E43" s="85"/>
      <c r="F43" s="86"/>
      <c r="G43" s="87"/>
      <c r="H43" s="83"/>
      <c r="I43" s="83"/>
      <c r="J43" s="93"/>
      <c r="K43" s="84"/>
      <c r="L43" s="94"/>
      <c r="M43" s="95"/>
    </row>
    <row r="44" spans="1:13" ht="12" customHeight="1">
      <c r="A44" s="83" t="str">
        <f t="shared" si="0"/>
        <v xml:space="preserve"> </v>
      </c>
      <c r="B44" s="74"/>
      <c r="C44" s="84"/>
      <c r="D44" s="88"/>
      <c r="E44" s="85"/>
      <c r="F44" s="86"/>
      <c r="G44" s="87"/>
      <c r="H44" s="83"/>
      <c r="I44" s="83"/>
      <c r="J44" s="93"/>
      <c r="K44" s="84"/>
      <c r="L44" s="94"/>
      <c r="M44" s="95"/>
    </row>
    <row r="45" spans="1:13" ht="12" customHeight="1">
      <c r="A45" s="83" t="str">
        <f t="shared" si="0"/>
        <v xml:space="preserve"> </v>
      </c>
      <c r="B45" s="74"/>
      <c r="C45" s="84"/>
      <c r="D45" s="88"/>
      <c r="E45" s="85"/>
      <c r="F45" s="86"/>
      <c r="G45" s="87"/>
      <c r="H45" s="83"/>
      <c r="I45" s="83"/>
      <c r="J45" s="93"/>
      <c r="K45" s="84"/>
      <c r="L45" s="94"/>
      <c r="M45" s="95"/>
    </row>
    <row r="46" spans="1:13" ht="12" customHeight="1">
      <c r="A46" s="83" t="str">
        <f t="shared" si="0"/>
        <v xml:space="preserve"> </v>
      </c>
      <c r="B46" s="74"/>
      <c r="C46" s="84"/>
      <c r="D46" s="88"/>
      <c r="E46" s="85"/>
      <c r="F46" s="86"/>
      <c r="G46" s="87"/>
      <c r="H46" s="83"/>
      <c r="I46" s="83"/>
      <c r="J46" s="93"/>
      <c r="K46" s="84"/>
      <c r="L46" s="94"/>
      <c r="M46" s="95"/>
    </row>
    <row r="47" spans="1:13" ht="12" customHeight="1">
      <c r="A47" s="83" t="str">
        <f t="shared" si="0"/>
        <v xml:space="preserve"> </v>
      </c>
      <c r="B47" s="74"/>
      <c r="C47" s="84"/>
      <c r="D47" s="88"/>
      <c r="E47" s="85"/>
      <c r="F47" s="86"/>
      <c r="G47" s="87"/>
      <c r="H47" s="83"/>
      <c r="I47" s="83"/>
      <c r="J47" s="93"/>
      <c r="K47" s="84"/>
      <c r="L47" s="94"/>
      <c r="M47" s="95"/>
    </row>
    <row r="48" spans="1:13" ht="12" customHeight="1">
      <c r="A48" s="83" t="str">
        <f t="shared" si="0"/>
        <v xml:space="preserve"> </v>
      </c>
      <c r="B48" s="74"/>
      <c r="C48" s="84"/>
      <c r="D48" s="88"/>
      <c r="E48" s="85"/>
      <c r="F48" s="86"/>
      <c r="G48" s="87"/>
      <c r="H48" s="83"/>
      <c r="I48" s="83"/>
      <c r="J48" s="93"/>
      <c r="K48" s="84"/>
      <c r="L48" s="94"/>
      <c r="M48" s="95"/>
    </row>
    <row r="49" spans="1:13" ht="12" customHeight="1">
      <c r="A49" s="83" t="str">
        <f t="shared" si="0"/>
        <v xml:space="preserve"> </v>
      </c>
      <c r="B49" s="74"/>
      <c r="C49" s="84"/>
      <c r="D49" s="88"/>
      <c r="E49" s="85"/>
      <c r="F49" s="86"/>
      <c r="G49" s="87"/>
      <c r="H49" s="83"/>
      <c r="I49" s="83"/>
      <c r="J49" s="93"/>
      <c r="K49" s="84"/>
      <c r="L49" s="94"/>
      <c r="M49" s="95"/>
    </row>
    <row r="50" spans="1:13" ht="12" customHeight="1">
      <c r="A50" s="83" t="str">
        <f t="shared" si="0"/>
        <v xml:space="preserve"> </v>
      </c>
      <c r="B50" s="74"/>
      <c r="C50" s="84"/>
      <c r="D50" s="88"/>
      <c r="E50" s="85"/>
      <c r="F50" s="86"/>
      <c r="G50" s="87"/>
      <c r="H50" s="83"/>
      <c r="I50" s="83"/>
      <c r="J50" s="93"/>
      <c r="K50" s="84"/>
      <c r="L50" s="94"/>
      <c r="M50" s="95"/>
    </row>
    <row r="51" spans="1:13" ht="12" customHeight="1">
      <c r="A51" s="83" t="str">
        <f t="shared" si="0"/>
        <v xml:space="preserve"> </v>
      </c>
      <c r="B51" s="74"/>
      <c r="C51" s="84"/>
      <c r="D51" s="88"/>
      <c r="E51" s="85"/>
      <c r="F51" s="86"/>
      <c r="G51" s="87"/>
      <c r="H51" s="83"/>
      <c r="I51" s="83"/>
      <c r="J51" s="93"/>
      <c r="K51" s="84"/>
      <c r="L51" s="94"/>
      <c r="M51" s="95"/>
    </row>
    <row r="52" spans="1:13" ht="12" customHeight="1">
      <c r="A52" s="83" t="str">
        <f t="shared" si="0"/>
        <v xml:space="preserve"> </v>
      </c>
      <c r="B52" s="74"/>
      <c r="C52" s="84"/>
      <c r="D52" s="88"/>
      <c r="E52" s="85"/>
      <c r="F52" s="86"/>
      <c r="G52" s="87"/>
      <c r="H52" s="83"/>
      <c r="I52" s="83"/>
      <c r="J52" s="93"/>
      <c r="K52" s="84"/>
      <c r="L52" s="94"/>
      <c r="M52" s="95"/>
    </row>
    <row r="53" spans="1:13" ht="12" customHeight="1">
      <c r="A53" s="83" t="str">
        <f t="shared" si="0"/>
        <v xml:space="preserve"> </v>
      </c>
      <c r="B53" s="74"/>
      <c r="C53" s="84"/>
      <c r="D53" s="88"/>
      <c r="E53" s="85"/>
      <c r="F53" s="86"/>
      <c r="G53" s="87"/>
      <c r="H53" s="83"/>
      <c r="I53" s="83"/>
      <c r="J53" s="93"/>
      <c r="K53" s="84"/>
      <c r="L53" s="94"/>
      <c r="M53" s="95"/>
    </row>
    <row r="54" spans="1:13" ht="12" customHeight="1">
      <c r="A54" s="83" t="str">
        <f t="shared" si="0"/>
        <v xml:space="preserve"> </v>
      </c>
      <c r="B54" s="74"/>
      <c r="C54" s="84"/>
      <c r="D54" s="88"/>
      <c r="E54" s="85"/>
      <c r="F54" s="86"/>
      <c r="G54" s="87"/>
      <c r="H54" s="83"/>
      <c r="I54" s="83"/>
      <c r="J54" s="93"/>
      <c r="K54" s="84"/>
      <c r="L54" s="94"/>
      <c r="M54" s="95"/>
    </row>
    <row r="55" spans="1:13" ht="12" customHeight="1">
      <c r="A55" s="83" t="str">
        <f t="shared" si="0"/>
        <v xml:space="preserve"> </v>
      </c>
      <c r="B55" s="74"/>
      <c r="C55" s="84"/>
      <c r="D55" s="88"/>
      <c r="E55" s="85"/>
      <c r="F55" s="86"/>
      <c r="G55" s="87"/>
      <c r="H55" s="83"/>
      <c r="I55" s="83"/>
      <c r="J55" s="93"/>
      <c r="K55" s="84"/>
      <c r="L55" s="94"/>
      <c r="M55" s="95"/>
    </row>
    <row r="56" spans="1:13" ht="12" customHeight="1">
      <c r="A56" s="83" t="str">
        <f t="shared" si="0"/>
        <v xml:space="preserve"> </v>
      </c>
      <c r="B56" s="74"/>
      <c r="C56" s="84"/>
      <c r="D56" s="88"/>
      <c r="E56" s="85"/>
      <c r="F56" s="86"/>
      <c r="G56" s="87"/>
      <c r="H56" s="83"/>
      <c r="I56" s="83"/>
      <c r="J56" s="93"/>
      <c r="K56" s="84"/>
      <c r="L56" s="94"/>
      <c r="M56" s="95"/>
    </row>
    <row r="57" spans="1:13" ht="12" customHeight="1">
      <c r="A57" s="83" t="str">
        <f t="shared" si="0"/>
        <v xml:space="preserve"> </v>
      </c>
      <c r="B57" s="74"/>
      <c r="C57" s="84"/>
      <c r="D57" s="88"/>
      <c r="E57" s="85"/>
      <c r="F57" s="86"/>
      <c r="G57" s="87"/>
      <c r="H57" s="83"/>
      <c r="I57" s="83"/>
      <c r="J57" s="93"/>
      <c r="K57" s="84"/>
      <c r="L57" s="94"/>
      <c r="M57" s="95"/>
    </row>
    <row r="58" spans="1:13" ht="12" customHeight="1">
      <c r="A58" s="83" t="str">
        <f t="shared" si="0"/>
        <v xml:space="preserve"> </v>
      </c>
      <c r="B58" s="74"/>
      <c r="C58" s="84"/>
      <c r="D58" s="88"/>
      <c r="E58" s="85"/>
      <c r="F58" s="86"/>
      <c r="G58" s="87"/>
      <c r="H58" s="83"/>
      <c r="I58" s="83"/>
      <c r="J58" s="93"/>
      <c r="K58" s="84"/>
      <c r="L58" s="94"/>
      <c r="M58" s="95"/>
    </row>
    <row r="59" spans="1:13" ht="12" customHeight="1">
      <c r="A59" s="83" t="str">
        <f t="shared" si="0"/>
        <v xml:space="preserve"> </v>
      </c>
      <c r="B59" s="74"/>
      <c r="C59" s="84"/>
      <c r="D59" s="88"/>
      <c r="E59" s="85"/>
      <c r="F59" s="86"/>
      <c r="G59" s="87"/>
      <c r="H59" s="83"/>
      <c r="I59" s="83"/>
      <c r="J59" s="93"/>
      <c r="K59" s="84"/>
      <c r="L59" s="94"/>
      <c r="M59" s="95"/>
    </row>
    <row r="60" spans="1:13" ht="12" customHeight="1">
      <c r="A60" s="83" t="str">
        <f t="shared" si="0"/>
        <v xml:space="preserve"> </v>
      </c>
      <c r="B60" s="74"/>
      <c r="C60" s="84"/>
      <c r="D60" s="88"/>
      <c r="E60" s="85"/>
      <c r="F60" s="86"/>
      <c r="G60" s="87"/>
      <c r="H60" s="83"/>
      <c r="I60" s="83"/>
      <c r="J60" s="93"/>
      <c r="K60" s="84"/>
      <c r="L60" s="94"/>
      <c r="M60" s="95"/>
    </row>
    <row r="61" spans="1:13" ht="12" customHeight="1">
      <c r="A61" s="83" t="str">
        <f t="shared" si="0"/>
        <v xml:space="preserve"> </v>
      </c>
      <c r="B61" s="74"/>
      <c r="C61" s="84"/>
      <c r="D61" s="88"/>
      <c r="E61" s="85"/>
      <c r="F61" s="86"/>
      <c r="G61" s="87"/>
      <c r="H61" s="83"/>
      <c r="I61" s="83"/>
      <c r="J61" s="93"/>
      <c r="K61" s="84"/>
      <c r="L61" s="94"/>
      <c r="M61" s="95"/>
    </row>
    <row r="62" spans="1:13" ht="12" customHeight="1">
      <c r="A62" s="83" t="str">
        <f t="shared" si="0"/>
        <v xml:space="preserve"> </v>
      </c>
      <c r="B62" s="74"/>
      <c r="C62" s="84"/>
      <c r="D62" s="88"/>
      <c r="E62" s="85"/>
      <c r="F62" s="86"/>
      <c r="G62" s="87"/>
      <c r="H62" s="83"/>
      <c r="I62" s="83"/>
      <c r="J62" s="93"/>
      <c r="K62" s="84"/>
      <c r="L62" s="94"/>
      <c r="M62" s="95"/>
    </row>
    <row r="63" spans="1:13" ht="12" customHeight="1">
      <c r="A63" s="83" t="str">
        <f t="shared" si="0"/>
        <v xml:space="preserve"> </v>
      </c>
      <c r="B63" s="74"/>
      <c r="C63" s="84"/>
      <c r="D63" s="88"/>
      <c r="E63" s="85"/>
      <c r="F63" s="86"/>
      <c r="G63" s="87"/>
      <c r="H63" s="83"/>
      <c r="I63" s="83"/>
      <c r="J63" s="93"/>
      <c r="K63" s="84"/>
      <c r="L63" s="94"/>
      <c r="M63" s="95"/>
    </row>
    <row r="64" spans="1:13" ht="12" customHeight="1">
      <c r="A64" s="83" t="str">
        <f t="shared" ref="A64:A100" si="1">IF(B64=""," ",A63+1)</f>
        <v xml:space="preserve"> </v>
      </c>
      <c r="B64" s="74"/>
      <c r="C64" s="84"/>
      <c r="D64" s="88"/>
      <c r="E64" s="85"/>
      <c r="F64" s="86"/>
      <c r="G64" s="87"/>
      <c r="H64" s="83"/>
      <c r="I64" s="83"/>
      <c r="J64" s="93"/>
      <c r="K64" s="84"/>
      <c r="L64" s="94"/>
      <c r="M64" s="95"/>
    </row>
    <row r="65" spans="1:13" ht="12" customHeight="1">
      <c r="A65" s="83" t="str">
        <f t="shared" si="1"/>
        <v xml:space="preserve"> </v>
      </c>
      <c r="B65" s="74"/>
      <c r="C65" s="84"/>
      <c r="D65" s="88"/>
      <c r="E65" s="85"/>
      <c r="F65" s="86"/>
      <c r="G65" s="87"/>
      <c r="H65" s="83"/>
      <c r="I65" s="83"/>
      <c r="J65" s="93"/>
      <c r="K65" s="84"/>
      <c r="L65" s="94"/>
      <c r="M65" s="95"/>
    </row>
    <row r="66" spans="1:13" ht="12" customHeight="1">
      <c r="A66" s="83" t="str">
        <f t="shared" si="1"/>
        <v xml:space="preserve"> </v>
      </c>
      <c r="B66" s="74"/>
      <c r="C66" s="84"/>
      <c r="D66" s="88"/>
      <c r="E66" s="85"/>
      <c r="F66" s="86"/>
      <c r="G66" s="87"/>
      <c r="H66" s="83"/>
      <c r="I66" s="83"/>
      <c r="J66" s="93"/>
      <c r="K66" s="84"/>
      <c r="L66" s="94"/>
      <c r="M66" s="95"/>
    </row>
    <row r="67" spans="1:13" ht="12" customHeight="1">
      <c r="A67" s="83" t="str">
        <f t="shared" si="1"/>
        <v xml:space="preserve"> </v>
      </c>
      <c r="B67" s="74"/>
      <c r="C67" s="84"/>
      <c r="D67" s="88"/>
      <c r="E67" s="85"/>
      <c r="F67" s="86"/>
      <c r="G67" s="87"/>
      <c r="H67" s="83"/>
      <c r="I67" s="83"/>
      <c r="J67" s="93"/>
      <c r="K67" s="84"/>
      <c r="L67" s="94"/>
      <c r="M67" s="95"/>
    </row>
    <row r="68" spans="1:13" ht="12" customHeight="1">
      <c r="A68" s="83" t="str">
        <f t="shared" si="1"/>
        <v xml:space="preserve"> </v>
      </c>
      <c r="B68" s="74"/>
      <c r="C68" s="84"/>
      <c r="D68" s="88"/>
      <c r="E68" s="85"/>
      <c r="F68" s="86"/>
      <c r="G68" s="87"/>
      <c r="H68" s="83"/>
      <c r="I68" s="83"/>
      <c r="J68" s="93"/>
      <c r="K68" s="84"/>
      <c r="L68" s="94"/>
      <c r="M68" s="95"/>
    </row>
    <row r="69" spans="1:13" ht="12" customHeight="1">
      <c r="A69" s="83" t="str">
        <f t="shared" si="1"/>
        <v xml:space="preserve"> </v>
      </c>
      <c r="B69" s="74"/>
      <c r="C69" s="84"/>
      <c r="D69" s="88"/>
      <c r="E69" s="85"/>
      <c r="F69" s="86"/>
      <c r="G69" s="87"/>
      <c r="H69" s="83"/>
      <c r="I69" s="83"/>
      <c r="J69" s="93"/>
      <c r="K69" s="84"/>
      <c r="L69" s="94"/>
      <c r="M69" s="95"/>
    </row>
    <row r="70" spans="1:13" ht="12" customHeight="1">
      <c r="A70" s="83" t="str">
        <f t="shared" si="1"/>
        <v xml:space="preserve"> </v>
      </c>
      <c r="B70" s="74"/>
      <c r="C70" s="84"/>
      <c r="D70" s="88"/>
      <c r="E70" s="85"/>
      <c r="F70" s="86"/>
      <c r="G70" s="87"/>
      <c r="H70" s="83"/>
      <c r="I70" s="83"/>
      <c r="J70" s="93"/>
      <c r="K70" s="84"/>
      <c r="L70" s="94"/>
      <c r="M70" s="95"/>
    </row>
    <row r="71" spans="1:13" ht="12" customHeight="1">
      <c r="A71" s="83" t="str">
        <f t="shared" si="1"/>
        <v xml:space="preserve"> </v>
      </c>
      <c r="B71" s="74"/>
      <c r="C71" s="84"/>
      <c r="D71" s="88"/>
      <c r="E71" s="85"/>
      <c r="F71" s="86"/>
      <c r="G71" s="87"/>
      <c r="H71" s="83"/>
      <c r="I71" s="83"/>
      <c r="J71" s="93"/>
      <c r="K71" s="84"/>
      <c r="L71" s="94"/>
      <c r="M71" s="95"/>
    </row>
    <row r="72" spans="1:13" ht="12" customHeight="1">
      <c r="A72" s="83" t="str">
        <f t="shared" si="1"/>
        <v xml:space="preserve"> </v>
      </c>
      <c r="B72" s="74"/>
      <c r="C72" s="84"/>
      <c r="D72" s="88"/>
      <c r="E72" s="85"/>
      <c r="F72" s="86"/>
      <c r="G72" s="87"/>
      <c r="H72" s="83"/>
      <c r="I72" s="83"/>
      <c r="J72" s="93"/>
      <c r="K72" s="84"/>
      <c r="L72" s="94"/>
      <c r="M72" s="95"/>
    </row>
    <row r="73" spans="1:13" ht="12" customHeight="1">
      <c r="A73" s="83" t="str">
        <f t="shared" si="1"/>
        <v xml:space="preserve"> </v>
      </c>
      <c r="B73" s="74"/>
      <c r="C73" s="84"/>
      <c r="D73" s="88"/>
      <c r="E73" s="85"/>
      <c r="F73" s="86"/>
      <c r="G73" s="87"/>
      <c r="H73" s="83"/>
      <c r="I73" s="83"/>
      <c r="J73" s="93"/>
      <c r="K73" s="84"/>
      <c r="L73" s="94"/>
      <c r="M73" s="95"/>
    </row>
    <row r="74" spans="1:13" ht="12" customHeight="1">
      <c r="A74" s="83" t="str">
        <f t="shared" si="1"/>
        <v xml:space="preserve"> </v>
      </c>
      <c r="B74" s="74"/>
      <c r="C74" s="84"/>
      <c r="D74" s="88"/>
      <c r="E74" s="85"/>
      <c r="F74" s="86"/>
      <c r="G74" s="87"/>
      <c r="H74" s="83"/>
      <c r="I74" s="83"/>
      <c r="J74" s="93"/>
      <c r="K74" s="84"/>
      <c r="L74" s="94"/>
      <c r="M74" s="95"/>
    </row>
    <row r="75" spans="1:13" ht="12" customHeight="1">
      <c r="A75" s="83" t="str">
        <f t="shared" si="1"/>
        <v xml:space="preserve"> </v>
      </c>
      <c r="B75" s="74"/>
      <c r="C75" s="84"/>
      <c r="D75" s="88"/>
      <c r="E75" s="85"/>
      <c r="F75" s="86"/>
      <c r="G75" s="87"/>
      <c r="H75" s="83"/>
      <c r="I75" s="83"/>
      <c r="J75" s="93"/>
      <c r="K75" s="84"/>
      <c r="L75" s="94"/>
      <c r="M75" s="95"/>
    </row>
    <row r="76" spans="1:13" ht="12" customHeight="1">
      <c r="A76" s="83" t="str">
        <f t="shared" si="1"/>
        <v xml:space="preserve"> </v>
      </c>
      <c r="B76" s="74"/>
      <c r="C76" s="84"/>
      <c r="D76" s="88"/>
      <c r="E76" s="85"/>
      <c r="F76" s="86"/>
      <c r="G76" s="87"/>
      <c r="H76" s="83"/>
      <c r="I76" s="83"/>
      <c r="J76" s="93"/>
      <c r="K76" s="84"/>
      <c r="L76" s="94"/>
      <c r="M76" s="95"/>
    </row>
    <row r="77" spans="1:13" ht="12" customHeight="1">
      <c r="A77" s="83" t="str">
        <f t="shared" si="1"/>
        <v xml:space="preserve"> </v>
      </c>
      <c r="B77" s="74"/>
      <c r="C77" s="84"/>
      <c r="D77" s="88"/>
      <c r="E77" s="85"/>
      <c r="F77" s="86"/>
      <c r="G77" s="87"/>
      <c r="H77" s="83"/>
      <c r="I77" s="83"/>
      <c r="J77" s="93"/>
      <c r="K77" s="84"/>
      <c r="L77" s="94"/>
      <c r="M77" s="95"/>
    </row>
    <row r="78" spans="1:13" ht="12" customHeight="1">
      <c r="A78" s="83" t="str">
        <f t="shared" si="1"/>
        <v xml:space="preserve"> </v>
      </c>
      <c r="B78" s="74"/>
      <c r="C78" s="84"/>
      <c r="D78" s="88"/>
      <c r="E78" s="85"/>
      <c r="F78" s="86"/>
      <c r="G78" s="87"/>
      <c r="H78" s="83"/>
      <c r="I78" s="83"/>
      <c r="J78" s="93"/>
      <c r="K78" s="84"/>
      <c r="L78" s="94"/>
      <c r="M78" s="95"/>
    </row>
    <row r="79" spans="1:13" ht="12" customHeight="1">
      <c r="A79" s="83" t="str">
        <f t="shared" si="1"/>
        <v xml:space="preserve"> </v>
      </c>
      <c r="B79" s="74"/>
      <c r="C79" s="84"/>
      <c r="D79" s="88"/>
      <c r="E79" s="85"/>
      <c r="F79" s="86"/>
      <c r="G79" s="87"/>
      <c r="H79" s="83"/>
      <c r="I79" s="83"/>
      <c r="J79" s="93"/>
      <c r="K79" s="84"/>
      <c r="L79" s="94"/>
      <c r="M79" s="95"/>
    </row>
    <row r="80" spans="1:13" ht="12" customHeight="1">
      <c r="A80" s="83" t="str">
        <f t="shared" si="1"/>
        <v xml:space="preserve"> </v>
      </c>
      <c r="B80" s="74"/>
      <c r="C80" s="84"/>
      <c r="D80" s="88"/>
      <c r="E80" s="85"/>
      <c r="F80" s="86"/>
      <c r="G80" s="87"/>
      <c r="H80" s="83"/>
      <c r="I80" s="83"/>
      <c r="J80" s="93"/>
      <c r="K80" s="84"/>
      <c r="L80" s="94"/>
      <c r="M80" s="95"/>
    </row>
    <row r="81" spans="1:13" ht="12" customHeight="1">
      <c r="A81" s="83" t="str">
        <f t="shared" si="1"/>
        <v xml:space="preserve"> </v>
      </c>
      <c r="B81" s="74"/>
      <c r="C81" s="84"/>
      <c r="D81" s="88"/>
      <c r="E81" s="85"/>
      <c r="F81" s="86"/>
      <c r="G81" s="87"/>
      <c r="H81" s="83"/>
      <c r="I81" s="83"/>
      <c r="J81" s="93"/>
      <c r="K81" s="84"/>
      <c r="L81" s="94"/>
      <c r="M81" s="95"/>
    </row>
    <row r="82" spans="1:13" ht="12" customHeight="1">
      <c r="A82" s="83" t="str">
        <f t="shared" si="1"/>
        <v xml:space="preserve"> </v>
      </c>
      <c r="B82" s="74"/>
      <c r="C82" s="84"/>
      <c r="D82" s="88"/>
      <c r="E82" s="85"/>
      <c r="F82" s="86"/>
      <c r="G82" s="87"/>
      <c r="H82" s="83"/>
      <c r="I82" s="83"/>
      <c r="J82" s="93"/>
      <c r="K82" s="84"/>
      <c r="L82" s="94"/>
      <c r="M82" s="95"/>
    </row>
    <row r="83" spans="1:13" ht="12" customHeight="1">
      <c r="A83" s="83" t="str">
        <f t="shared" si="1"/>
        <v xml:space="preserve"> </v>
      </c>
      <c r="B83" s="74"/>
      <c r="C83" s="84"/>
      <c r="D83" s="88"/>
      <c r="E83" s="85"/>
      <c r="F83" s="86"/>
      <c r="G83" s="87"/>
      <c r="H83" s="83"/>
      <c r="I83" s="83"/>
      <c r="J83" s="93"/>
      <c r="K83" s="84"/>
      <c r="L83" s="94"/>
      <c r="M83" s="95"/>
    </row>
    <row r="84" spans="1:13" ht="12" customHeight="1">
      <c r="A84" s="83" t="str">
        <f t="shared" si="1"/>
        <v xml:space="preserve"> </v>
      </c>
      <c r="B84" s="74"/>
      <c r="C84" s="84"/>
      <c r="D84" s="88"/>
      <c r="E84" s="85"/>
      <c r="F84" s="86"/>
      <c r="G84" s="87"/>
      <c r="H84" s="83"/>
      <c r="I84" s="83"/>
      <c r="J84" s="93"/>
      <c r="K84" s="84"/>
      <c r="L84" s="94"/>
      <c r="M84" s="95"/>
    </row>
    <row r="85" spans="1:13" ht="12" customHeight="1">
      <c r="A85" s="83" t="str">
        <f t="shared" si="1"/>
        <v xml:space="preserve"> </v>
      </c>
      <c r="B85" s="74"/>
      <c r="C85" s="84"/>
      <c r="D85" s="88"/>
      <c r="E85" s="85"/>
      <c r="F85" s="86"/>
      <c r="G85" s="87"/>
      <c r="H85" s="83"/>
      <c r="I85" s="83"/>
      <c r="J85" s="93"/>
      <c r="K85" s="84"/>
      <c r="L85" s="94"/>
      <c r="M85" s="95"/>
    </row>
    <row r="86" spans="1:13" ht="12" customHeight="1">
      <c r="A86" s="83" t="str">
        <f t="shared" si="1"/>
        <v xml:space="preserve"> </v>
      </c>
      <c r="B86" s="74"/>
      <c r="C86" s="84"/>
      <c r="D86" s="88"/>
      <c r="E86" s="85"/>
      <c r="F86" s="86"/>
      <c r="G86" s="87"/>
      <c r="H86" s="83"/>
      <c r="I86" s="83"/>
      <c r="J86" s="93"/>
      <c r="K86" s="84"/>
      <c r="L86" s="94"/>
      <c r="M86" s="95"/>
    </row>
    <row r="87" spans="1:13" ht="12" customHeight="1">
      <c r="A87" s="83" t="str">
        <f t="shared" si="1"/>
        <v xml:space="preserve"> </v>
      </c>
      <c r="B87" s="74"/>
      <c r="C87" s="84"/>
      <c r="D87" s="88"/>
      <c r="E87" s="85"/>
      <c r="F87" s="86"/>
      <c r="G87" s="87"/>
      <c r="H87" s="83"/>
      <c r="I87" s="83"/>
      <c r="J87" s="93"/>
      <c r="K87" s="84"/>
      <c r="L87" s="94"/>
      <c r="M87" s="95"/>
    </row>
    <row r="88" spans="1:13" ht="12" customHeight="1">
      <c r="A88" s="83" t="str">
        <f t="shared" si="1"/>
        <v xml:space="preserve"> </v>
      </c>
      <c r="B88" s="74"/>
      <c r="C88" s="84"/>
      <c r="D88" s="88"/>
      <c r="E88" s="85"/>
      <c r="F88" s="86"/>
      <c r="G88" s="87"/>
      <c r="H88" s="83"/>
      <c r="I88" s="83"/>
      <c r="J88" s="93"/>
      <c r="K88" s="84"/>
      <c r="L88" s="94"/>
      <c r="M88" s="95"/>
    </row>
    <row r="89" spans="1:13" ht="12" customHeight="1">
      <c r="A89" s="83" t="str">
        <f t="shared" si="1"/>
        <v xml:space="preserve"> </v>
      </c>
      <c r="B89" s="74"/>
      <c r="C89" s="84"/>
      <c r="D89" s="88"/>
      <c r="E89" s="85"/>
      <c r="F89" s="86"/>
      <c r="G89" s="87"/>
      <c r="H89" s="83"/>
      <c r="I89" s="83"/>
      <c r="J89" s="93"/>
      <c r="K89" s="84"/>
      <c r="L89" s="94"/>
      <c r="M89" s="95"/>
    </row>
    <row r="90" spans="1:13" ht="12" customHeight="1">
      <c r="A90" s="83" t="str">
        <f t="shared" si="1"/>
        <v xml:space="preserve"> </v>
      </c>
      <c r="B90" s="74"/>
      <c r="C90" s="84"/>
      <c r="D90" s="88"/>
      <c r="E90" s="85"/>
      <c r="F90" s="86"/>
      <c r="G90" s="87"/>
      <c r="H90" s="83"/>
      <c r="I90" s="83"/>
      <c r="J90" s="93"/>
      <c r="K90" s="84"/>
      <c r="L90" s="94"/>
      <c r="M90" s="95"/>
    </row>
    <row r="91" spans="1:13" ht="12" customHeight="1">
      <c r="A91" s="83" t="str">
        <f t="shared" si="1"/>
        <v xml:space="preserve"> </v>
      </c>
      <c r="B91" s="74"/>
      <c r="C91" s="84"/>
      <c r="D91" s="88"/>
      <c r="E91" s="85"/>
      <c r="F91" s="86"/>
      <c r="G91" s="87"/>
      <c r="H91" s="83"/>
      <c r="I91" s="83"/>
      <c r="J91" s="93"/>
      <c r="K91" s="84"/>
      <c r="L91" s="94"/>
      <c r="M91" s="95"/>
    </row>
    <row r="92" spans="1:13" ht="12" customHeight="1">
      <c r="A92" s="83" t="str">
        <f t="shared" si="1"/>
        <v xml:space="preserve"> </v>
      </c>
      <c r="B92" s="74"/>
      <c r="C92" s="84"/>
      <c r="D92" s="88"/>
      <c r="E92" s="85"/>
      <c r="F92" s="86"/>
      <c r="G92" s="87"/>
      <c r="H92" s="83"/>
      <c r="I92" s="83"/>
      <c r="J92" s="93"/>
      <c r="K92" s="84"/>
      <c r="L92" s="94"/>
      <c r="M92" s="95"/>
    </row>
    <row r="93" spans="1:13" ht="12" customHeight="1">
      <c r="A93" s="83" t="str">
        <f t="shared" si="1"/>
        <v xml:space="preserve"> </v>
      </c>
      <c r="B93" s="74"/>
      <c r="C93" s="84"/>
      <c r="D93" s="88"/>
      <c r="E93" s="85"/>
      <c r="F93" s="86"/>
      <c r="G93" s="87"/>
      <c r="H93" s="83"/>
      <c r="I93" s="83"/>
      <c r="J93" s="93"/>
      <c r="K93" s="84"/>
      <c r="L93" s="94"/>
      <c r="M93" s="95"/>
    </row>
    <row r="94" spans="1:13" ht="12" customHeight="1">
      <c r="A94" s="83" t="str">
        <f t="shared" si="1"/>
        <v xml:space="preserve"> </v>
      </c>
      <c r="B94" s="74"/>
      <c r="C94" s="84"/>
      <c r="D94" s="88"/>
      <c r="E94" s="85"/>
      <c r="F94" s="86"/>
      <c r="G94" s="87"/>
      <c r="H94" s="83"/>
      <c r="I94" s="83"/>
      <c r="J94" s="93"/>
      <c r="K94" s="84"/>
      <c r="L94" s="94"/>
      <c r="M94" s="95"/>
    </row>
    <row r="95" spans="1:13" ht="12" customHeight="1">
      <c r="A95" s="83" t="str">
        <f t="shared" si="1"/>
        <v xml:space="preserve"> </v>
      </c>
      <c r="B95" s="74"/>
      <c r="C95" s="84"/>
      <c r="D95" s="88"/>
      <c r="E95" s="85"/>
      <c r="F95" s="86"/>
      <c r="G95" s="87"/>
      <c r="H95" s="83"/>
      <c r="I95" s="83"/>
      <c r="J95" s="93"/>
      <c r="K95" s="84"/>
      <c r="L95" s="94"/>
      <c r="M95" s="95"/>
    </row>
    <row r="96" spans="1:13" ht="12" customHeight="1">
      <c r="A96" s="83" t="str">
        <f t="shared" si="1"/>
        <v xml:space="preserve"> </v>
      </c>
      <c r="B96" s="74"/>
      <c r="C96" s="84"/>
      <c r="D96" s="88"/>
      <c r="E96" s="85"/>
      <c r="F96" s="86"/>
      <c r="G96" s="87"/>
      <c r="H96" s="83"/>
      <c r="I96" s="83"/>
      <c r="J96" s="93"/>
      <c r="K96" s="84"/>
      <c r="L96" s="94"/>
      <c r="M96" s="95"/>
    </row>
    <row r="97" spans="1:13" ht="12" customHeight="1">
      <c r="A97" s="83" t="str">
        <f t="shared" si="1"/>
        <v xml:space="preserve"> </v>
      </c>
      <c r="B97" s="74"/>
      <c r="C97" s="84"/>
      <c r="D97" s="88"/>
      <c r="E97" s="85"/>
      <c r="F97" s="86"/>
      <c r="G97" s="87"/>
      <c r="H97" s="83"/>
      <c r="I97" s="83"/>
      <c r="J97" s="93"/>
      <c r="K97" s="84"/>
      <c r="L97" s="94"/>
      <c r="M97" s="95"/>
    </row>
    <row r="98" spans="1:13" ht="12" customHeight="1">
      <c r="A98" s="83" t="str">
        <f t="shared" si="1"/>
        <v xml:space="preserve"> </v>
      </c>
      <c r="B98" s="74"/>
      <c r="C98" s="84"/>
      <c r="D98" s="88"/>
      <c r="E98" s="85"/>
      <c r="F98" s="86"/>
      <c r="G98" s="87"/>
      <c r="H98" s="83"/>
      <c r="I98" s="83"/>
      <c r="J98" s="93"/>
      <c r="K98" s="84"/>
      <c r="L98" s="94"/>
      <c r="M98" s="95"/>
    </row>
    <row r="99" spans="1:13" ht="12" customHeight="1">
      <c r="A99" s="83" t="str">
        <f t="shared" si="1"/>
        <v xml:space="preserve"> </v>
      </c>
      <c r="B99" s="74"/>
      <c r="C99" s="84"/>
      <c r="D99" s="88"/>
      <c r="E99" s="85"/>
      <c r="F99" s="86"/>
      <c r="G99" s="87"/>
      <c r="H99" s="83"/>
      <c r="I99" s="83"/>
      <c r="J99" s="93"/>
      <c r="K99" s="84"/>
      <c r="L99" s="94"/>
      <c r="M99" s="95"/>
    </row>
    <row r="100" spans="1:13" ht="12" customHeight="1">
      <c r="A100" s="83" t="str">
        <f t="shared" si="1"/>
        <v xml:space="preserve"> </v>
      </c>
      <c r="B100" s="74"/>
      <c r="C100" s="84"/>
      <c r="D100" s="88"/>
      <c r="E100" s="85"/>
      <c r="F100" s="86"/>
      <c r="G100" s="87"/>
      <c r="H100" s="83"/>
      <c r="I100" s="83"/>
      <c r="J100" s="93"/>
      <c r="K100" s="84"/>
      <c r="L100" s="94"/>
      <c r="M100" s="95"/>
    </row>
    <row r="102" spans="1:13">
      <c r="B102" s="75" t="s">
        <v>235</v>
      </c>
    </row>
    <row r="104" spans="1:13">
      <c r="B104" s="75" t="s">
        <v>239</v>
      </c>
      <c r="C104" s="75" t="s">
        <v>1757</v>
      </c>
    </row>
    <row r="106" spans="1:13">
      <c r="B106" s="75" t="s">
        <v>239</v>
      </c>
      <c r="C106" s="75" t="s">
        <v>238</v>
      </c>
    </row>
    <row r="108" spans="1:13">
      <c r="B108" s="75" t="s">
        <v>1788</v>
      </c>
      <c r="C108" s="75" t="s">
        <v>1807</v>
      </c>
    </row>
    <row r="110" spans="1:13">
      <c r="B110" s="75" t="s">
        <v>1808</v>
      </c>
      <c r="C110" s="75" t="s">
        <v>1807</v>
      </c>
    </row>
  </sheetData>
  <mergeCells count="23">
    <mergeCell ref="K12:M12"/>
    <mergeCell ref="K16:M16"/>
    <mergeCell ref="K18:M18"/>
    <mergeCell ref="K19:M19"/>
    <mergeCell ref="A5:A6"/>
    <mergeCell ref="K5:M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8" fitToHeight="0" orientation="portrait"/>
  <headerFooter alignWithMargins="0">
    <oddFooter>&amp;C&amp;10&amp;P/&amp;N&amp;R&amp;10&amp;A</oddFooter>
  </headerFooter>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pageSetUpPr fitToPage="1"/>
  </sheetPr>
  <dimension ref="A1:R120"/>
  <sheetViews>
    <sheetView showGridLines="0" workbookViewId="0">
      <pane ySplit="6" topLeftCell="A7" activePane="bottomLeft" state="frozen"/>
      <selection pane="bottomLeft" activeCell="A14" sqref="A14"/>
    </sheetView>
  </sheetViews>
  <sheetFormatPr defaultColWidth="9" defaultRowHeight="12"/>
  <cols>
    <col min="1" max="1" width="3.87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8" ht="12" customHeight="1">
      <c r="B1" s="3"/>
    </row>
    <row r="2" spans="1:18" ht="12" customHeight="1">
      <c r="A2" s="428" t="s">
        <v>136</v>
      </c>
      <c r="B2" s="429"/>
      <c r="C2" s="428" t="s">
        <v>1</v>
      </c>
      <c r="D2" s="430"/>
      <c r="E2" s="430"/>
      <c r="F2" s="430"/>
      <c r="G2" s="429"/>
      <c r="H2" s="428"/>
      <c r="I2" s="430"/>
      <c r="J2" s="429"/>
      <c r="K2" s="89"/>
      <c r="L2" s="104" t="s">
        <v>137</v>
      </c>
      <c r="M2" s="104" t="s">
        <v>138</v>
      </c>
    </row>
    <row r="3" spans="1:18" ht="12" customHeight="1">
      <c r="A3" s="262"/>
      <c r="B3" s="263"/>
      <c r="C3" s="264" t="s">
        <v>1809</v>
      </c>
      <c r="D3" s="265"/>
      <c r="E3" s="265"/>
      <c r="F3" s="265"/>
      <c r="G3" s="266"/>
      <c r="H3" s="428" t="s">
        <v>140</v>
      </c>
      <c r="I3" s="429"/>
      <c r="J3" s="90">
        <f>COUNT(A7:A55)</f>
        <v>8</v>
      </c>
      <c r="K3" s="104" t="s">
        <v>141</v>
      </c>
      <c r="L3" s="91">
        <v>43655</v>
      </c>
      <c r="M3" s="92" t="s">
        <v>1810</v>
      </c>
      <c r="O3" s="75" t="s">
        <v>143</v>
      </c>
      <c r="P3" s="75" t="s">
        <v>144</v>
      </c>
    </row>
    <row r="4" spans="1:18" ht="12" customHeight="1">
      <c r="A4" s="267" t="s">
        <v>145</v>
      </c>
      <c r="B4" s="268"/>
      <c r="C4" s="267" t="s">
        <v>84</v>
      </c>
      <c r="D4" s="269"/>
      <c r="E4" s="269"/>
      <c r="F4" s="269"/>
      <c r="G4" s="268"/>
      <c r="H4" s="428" t="s">
        <v>146</v>
      </c>
      <c r="I4" s="429"/>
      <c r="J4" s="90">
        <f>SUM(G7:G55)</f>
        <v>123</v>
      </c>
      <c r="K4" s="104" t="s">
        <v>147</v>
      </c>
      <c r="L4" s="91"/>
      <c r="M4" s="92"/>
      <c r="O4" s="75" t="s">
        <v>149</v>
      </c>
      <c r="P4" s="75" t="s">
        <v>150</v>
      </c>
      <c r="R4" s="75" t="s">
        <v>1811</v>
      </c>
    </row>
    <row r="5" spans="1:18" ht="12" customHeight="1">
      <c r="A5" s="432" t="s">
        <v>0</v>
      </c>
      <c r="B5" s="428" t="s">
        <v>151</v>
      </c>
      <c r="C5" s="430"/>
      <c r="D5" s="431" t="s">
        <v>152</v>
      </c>
      <c r="E5" s="430"/>
      <c r="F5" s="430"/>
      <c r="G5" s="430"/>
      <c r="H5" s="430"/>
      <c r="I5" s="428" t="s">
        <v>153</v>
      </c>
      <c r="J5" s="429"/>
      <c r="K5" s="434" t="s">
        <v>4</v>
      </c>
      <c r="L5" s="435"/>
      <c r="M5" s="436"/>
      <c r="P5" s="75" t="s">
        <v>154</v>
      </c>
      <c r="R5" s="75" t="s">
        <v>1812</v>
      </c>
    </row>
    <row r="6" spans="1:18" ht="12" customHeight="1">
      <c r="A6" s="433"/>
      <c r="B6" s="104" t="s">
        <v>5</v>
      </c>
      <c r="C6" s="105" t="s">
        <v>6</v>
      </c>
      <c r="D6" s="106" t="s">
        <v>144</v>
      </c>
      <c r="E6" s="107" t="s">
        <v>155</v>
      </c>
      <c r="F6" s="108" t="s">
        <v>156</v>
      </c>
      <c r="G6" s="104" t="s">
        <v>157</v>
      </c>
      <c r="H6" s="103" t="s">
        <v>158</v>
      </c>
      <c r="I6" s="103" t="s">
        <v>159</v>
      </c>
      <c r="J6" s="103" t="s">
        <v>160</v>
      </c>
      <c r="K6" s="437"/>
      <c r="L6" s="438"/>
      <c r="M6" s="439"/>
      <c r="P6" s="75" t="s">
        <v>161</v>
      </c>
    </row>
    <row r="7" spans="1:18" ht="12" customHeight="1">
      <c r="A7" s="83">
        <v>1</v>
      </c>
      <c r="B7" s="11" t="s">
        <v>162</v>
      </c>
      <c r="C7" s="84" t="s">
        <v>163</v>
      </c>
      <c r="D7" s="13" t="s">
        <v>164</v>
      </c>
      <c r="E7" s="85"/>
      <c r="F7" s="86"/>
      <c r="G7" s="87">
        <f t="shared" ref="G7:G14" si="0">IF(D7="DATE",4,IF(D7="CHAR",E7,IF(D7="SMALLINT",2,IF(D7="INTEGER",4,IF(D7="TIMESTAMP",10,IF(D7="TIME",3,0))))))</f>
        <v>4</v>
      </c>
      <c r="H7" s="83" t="s">
        <v>149</v>
      </c>
      <c r="I7" s="83" t="s">
        <v>149</v>
      </c>
      <c r="J7" s="93"/>
      <c r="K7" s="308"/>
      <c r="L7" s="278"/>
      <c r="M7" s="279"/>
      <c r="P7" s="75" t="s">
        <v>165</v>
      </c>
    </row>
    <row r="8" spans="1:18" ht="12" customHeight="1">
      <c r="A8" s="83">
        <f t="shared" ref="A8:A55" si="1">IF(B8=""," ",A7+1)</f>
        <v>2</v>
      </c>
      <c r="B8" s="11" t="s">
        <v>166</v>
      </c>
      <c r="C8" s="84" t="s">
        <v>167</v>
      </c>
      <c r="D8" s="13" t="s">
        <v>150</v>
      </c>
      <c r="E8" s="85">
        <v>11</v>
      </c>
      <c r="F8" s="86"/>
      <c r="G8" s="87">
        <f t="shared" si="0"/>
        <v>11</v>
      </c>
      <c r="H8" s="83" t="s">
        <v>149</v>
      </c>
      <c r="I8" s="83" t="s">
        <v>149</v>
      </c>
      <c r="J8" s="93"/>
      <c r="K8" s="308"/>
      <c r="L8" s="278"/>
      <c r="M8" s="279"/>
    </row>
    <row r="9" spans="1:18" ht="12" customHeight="1">
      <c r="A9" s="83">
        <f t="shared" si="1"/>
        <v>3</v>
      </c>
      <c r="B9" s="11" t="s">
        <v>646</v>
      </c>
      <c r="C9" s="84" t="s">
        <v>647</v>
      </c>
      <c r="D9" s="88" t="s">
        <v>150</v>
      </c>
      <c r="E9" s="85">
        <v>16</v>
      </c>
      <c r="F9" s="86"/>
      <c r="G9" s="87">
        <f t="shared" si="0"/>
        <v>16</v>
      </c>
      <c r="H9" s="83" t="s">
        <v>149</v>
      </c>
      <c r="I9" s="83" t="s">
        <v>149</v>
      </c>
      <c r="J9" s="93"/>
      <c r="K9" s="308" t="s">
        <v>648</v>
      </c>
      <c r="L9" s="278"/>
      <c r="M9" s="279"/>
    </row>
    <row r="10" spans="1:18" ht="12" customHeight="1">
      <c r="A10" s="83">
        <f t="shared" si="1"/>
        <v>4</v>
      </c>
      <c r="B10" s="21" t="s">
        <v>596</v>
      </c>
      <c r="C10" s="84" t="s">
        <v>597</v>
      </c>
      <c r="D10" s="88" t="s">
        <v>150</v>
      </c>
      <c r="E10" s="85">
        <v>7</v>
      </c>
      <c r="F10" s="86"/>
      <c r="G10" s="87">
        <f t="shared" si="0"/>
        <v>7</v>
      </c>
      <c r="H10" s="83" t="s">
        <v>149</v>
      </c>
      <c r="I10" s="83" t="s">
        <v>149</v>
      </c>
      <c r="J10" s="93"/>
      <c r="K10" s="308"/>
      <c r="L10" s="278"/>
      <c r="M10" s="279"/>
    </row>
    <row r="11" spans="1:18" ht="68.099999999999994" customHeight="1">
      <c r="A11" s="83">
        <f t="shared" si="1"/>
        <v>5</v>
      </c>
      <c r="B11" s="74" t="s">
        <v>1813</v>
      </c>
      <c r="C11" s="84" t="s">
        <v>1814</v>
      </c>
      <c r="D11" s="88" t="s">
        <v>150</v>
      </c>
      <c r="E11" s="85">
        <v>1</v>
      </c>
      <c r="F11" s="86"/>
      <c r="G11" s="87">
        <f t="shared" si="0"/>
        <v>1</v>
      </c>
      <c r="H11" s="83" t="s">
        <v>149</v>
      </c>
      <c r="I11" s="83"/>
      <c r="J11" s="93"/>
      <c r="K11" s="271" t="s">
        <v>1815</v>
      </c>
      <c r="L11" s="278"/>
      <c r="M11" s="279"/>
    </row>
    <row r="12" spans="1:18">
      <c r="A12" s="83">
        <f t="shared" si="1"/>
        <v>6</v>
      </c>
      <c r="B12" s="74" t="s">
        <v>1816</v>
      </c>
      <c r="C12" s="84" t="s">
        <v>1817</v>
      </c>
      <c r="D12" s="88" t="s">
        <v>150</v>
      </c>
      <c r="E12" s="85">
        <v>64</v>
      </c>
      <c r="F12" s="86"/>
      <c r="G12" s="87">
        <f t="shared" si="0"/>
        <v>64</v>
      </c>
      <c r="H12" s="83" t="s">
        <v>149</v>
      </c>
      <c r="I12" s="83"/>
      <c r="J12" s="93"/>
      <c r="K12" s="274"/>
      <c r="L12" s="275"/>
      <c r="M12" s="276"/>
    </row>
    <row r="13" spans="1:18">
      <c r="A13" s="83">
        <f t="shared" si="1"/>
        <v>7</v>
      </c>
      <c r="B13" s="74" t="s">
        <v>232</v>
      </c>
      <c r="C13" s="84" t="s">
        <v>233</v>
      </c>
      <c r="D13" s="88" t="s">
        <v>234</v>
      </c>
      <c r="E13" s="85"/>
      <c r="F13" s="86"/>
      <c r="G13" s="87">
        <f t="shared" si="0"/>
        <v>10</v>
      </c>
      <c r="H13" s="83" t="s">
        <v>149</v>
      </c>
      <c r="I13" s="83"/>
      <c r="J13" s="93"/>
      <c r="K13" s="274"/>
      <c r="L13" s="275"/>
      <c r="M13" s="276"/>
      <c r="P13" s="75" t="s">
        <v>165</v>
      </c>
    </row>
    <row r="14" spans="1:18">
      <c r="A14" s="83">
        <f t="shared" si="1"/>
        <v>8</v>
      </c>
      <c r="B14" s="74" t="s">
        <v>447</v>
      </c>
      <c r="C14" s="84" t="s">
        <v>448</v>
      </c>
      <c r="D14" s="88" t="s">
        <v>234</v>
      </c>
      <c r="E14" s="85"/>
      <c r="F14" s="86"/>
      <c r="G14" s="87">
        <f t="shared" si="0"/>
        <v>10</v>
      </c>
      <c r="H14" s="83" t="s">
        <v>149</v>
      </c>
      <c r="I14" s="83"/>
      <c r="J14" s="93"/>
      <c r="K14" s="274" t="s">
        <v>449</v>
      </c>
      <c r="L14" s="275"/>
      <c r="M14" s="276"/>
    </row>
    <row r="15" spans="1:18">
      <c r="A15" s="83" t="str">
        <f t="shared" si="1"/>
        <v xml:space="preserve"> </v>
      </c>
      <c r="B15" s="11"/>
      <c r="C15" s="109"/>
      <c r="D15" s="88"/>
      <c r="E15" s="85"/>
      <c r="F15" s="86"/>
      <c r="G15" s="87"/>
      <c r="H15" s="83"/>
      <c r="I15" s="83"/>
      <c r="J15" s="93"/>
      <c r="K15" s="271"/>
      <c r="L15" s="272"/>
      <c r="M15" s="273"/>
    </row>
    <row r="16" spans="1:18">
      <c r="A16" s="83" t="str">
        <f t="shared" si="1"/>
        <v xml:space="preserve"> </v>
      </c>
      <c r="B16" s="11"/>
      <c r="C16" s="84"/>
      <c r="D16" s="88"/>
      <c r="E16" s="85"/>
      <c r="F16" s="86"/>
      <c r="G16" s="87"/>
      <c r="H16" s="83"/>
      <c r="I16" s="83"/>
      <c r="J16" s="93"/>
      <c r="K16" s="308"/>
      <c r="L16" s="278"/>
      <c r="M16" s="279"/>
    </row>
    <row r="17" spans="1:16">
      <c r="A17" s="83" t="str">
        <f t="shared" si="1"/>
        <v xml:space="preserve"> </v>
      </c>
      <c r="B17" s="11"/>
      <c r="C17" s="84"/>
      <c r="D17" s="88"/>
      <c r="E17" s="85"/>
      <c r="F17" s="86"/>
      <c r="G17" s="87"/>
      <c r="H17" s="83"/>
      <c r="I17" s="83"/>
      <c r="J17" s="93"/>
      <c r="K17" s="274"/>
      <c r="L17" s="275"/>
      <c r="M17" s="276"/>
    </row>
    <row r="18" spans="1:16">
      <c r="A18" s="83" t="str">
        <f t="shared" si="1"/>
        <v xml:space="preserve"> </v>
      </c>
      <c r="B18" s="20"/>
      <c r="C18" s="21"/>
      <c r="D18" s="13"/>
      <c r="E18" s="85"/>
      <c r="F18" s="86"/>
      <c r="G18" s="87"/>
      <c r="H18" s="83"/>
      <c r="I18" s="83"/>
      <c r="J18" s="93"/>
      <c r="K18" s="308"/>
      <c r="L18" s="278"/>
      <c r="M18" s="279"/>
    </row>
    <row r="19" spans="1:16">
      <c r="A19" s="83" t="str">
        <f t="shared" si="1"/>
        <v xml:space="preserve"> </v>
      </c>
      <c r="B19" s="11"/>
      <c r="C19" s="21"/>
      <c r="D19" s="13"/>
      <c r="E19" s="85"/>
      <c r="F19" s="86"/>
      <c r="G19" s="87"/>
      <c r="H19" s="83"/>
      <c r="I19" s="83"/>
      <c r="J19" s="93"/>
      <c r="K19" s="308"/>
      <c r="L19" s="278"/>
      <c r="M19" s="279"/>
      <c r="P19" s="75" t="s">
        <v>174</v>
      </c>
    </row>
    <row r="20" spans="1:16">
      <c r="A20" s="83" t="str">
        <f t="shared" si="1"/>
        <v xml:space="preserve"> </v>
      </c>
      <c r="B20" s="74"/>
      <c r="C20" s="21"/>
      <c r="D20" s="13"/>
      <c r="E20" s="85"/>
      <c r="F20" s="86"/>
      <c r="G20" s="87"/>
      <c r="H20" s="83"/>
      <c r="I20" s="83"/>
      <c r="J20" s="93"/>
      <c r="K20" s="308"/>
      <c r="L20" s="278"/>
      <c r="M20" s="279"/>
    </row>
    <row r="21" spans="1:16">
      <c r="A21" s="83" t="str">
        <f t="shared" si="1"/>
        <v xml:space="preserve"> </v>
      </c>
      <c r="B21" s="74"/>
      <c r="C21" s="84"/>
      <c r="D21" s="88"/>
      <c r="E21" s="85"/>
      <c r="F21" s="86"/>
      <c r="G21" s="87"/>
      <c r="H21" s="83"/>
      <c r="I21" s="83"/>
      <c r="J21" s="93"/>
      <c r="K21" s="274"/>
      <c r="L21" s="275"/>
      <c r="M21" s="276"/>
      <c r="P21" s="75" t="s">
        <v>195</v>
      </c>
    </row>
    <row r="22" spans="1:16">
      <c r="A22" s="83" t="str">
        <f t="shared" si="1"/>
        <v xml:space="preserve"> </v>
      </c>
      <c r="B22" s="11"/>
      <c r="C22" s="84"/>
      <c r="D22" s="88"/>
      <c r="E22" s="85"/>
      <c r="F22" s="86"/>
      <c r="G22" s="87"/>
      <c r="H22" s="83"/>
      <c r="I22" s="83"/>
      <c r="J22" s="93"/>
      <c r="K22" s="271"/>
      <c r="L22" s="272"/>
      <c r="M22" s="273"/>
    </row>
    <row r="23" spans="1:16">
      <c r="A23" s="83" t="str">
        <f t="shared" si="1"/>
        <v xml:space="preserve"> </v>
      </c>
      <c r="B23" s="11"/>
      <c r="C23" s="84"/>
      <c r="D23" s="88"/>
      <c r="E23" s="85"/>
      <c r="F23" s="86"/>
      <c r="G23" s="87"/>
      <c r="H23" s="83"/>
      <c r="I23" s="83"/>
      <c r="J23" s="93"/>
      <c r="K23" s="280"/>
      <c r="L23" s="291"/>
      <c r="M23" s="292"/>
      <c r="P23" s="75" t="s">
        <v>195</v>
      </c>
    </row>
    <row r="24" spans="1:16">
      <c r="A24" s="83" t="str">
        <f t="shared" si="1"/>
        <v xml:space="preserve"> </v>
      </c>
      <c r="B24" s="20"/>
      <c r="C24" s="22"/>
      <c r="D24" s="88"/>
      <c r="E24" s="85"/>
      <c r="F24" s="86"/>
      <c r="G24" s="87"/>
      <c r="H24" s="83"/>
      <c r="I24" s="83"/>
      <c r="J24" s="93"/>
      <c r="K24" s="271"/>
      <c r="L24" s="272"/>
      <c r="M24" s="273"/>
    </row>
    <row r="25" spans="1:16">
      <c r="A25" s="83" t="str">
        <f t="shared" si="1"/>
        <v xml:space="preserve"> </v>
      </c>
      <c r="B25" s="11"/>
      <c r="C25" s="84"/>
      <c r="D25" s="88"/>
      <c r="E25" s="85"/>
      <c r="F25" s="86"/>
      <c r="G25" s="87"/>
      <c r="H25" s="83"/>
      <c r="I25" s="83"/>
      <c r="J25" s="93"/>
      <c r="K25" s="274"/>
      <c r="L25" s="275"/>
      <c r="M25" s="276"/>
    </row>
    <row r="26" spans="1:16">
      <c r="A26" s="83" t="str">
        <f t="shared" si="1"/>
        <v xml:space="preserve"> </v>
      </c>
      <c r="B26" s="20"/>
      <c r="C26" s="84"/>
      <c r="D26" s="88"/>
      <c r="E26" s="85"/>
      <c r="F26" s="86"/>
      <c r="G26" s="87"/>
      <c r="H26" s="83"/>
      <c r="I26" s="83"/>
      <c r="J26" s="93"/>
      <c r="K26" s="280"/>
      <c r="L26" s="291"/>
      <c r="M26" s="292"/>
    </row>
    <row r="27" spans="1:16">
      <c r="A27" s="83" t="str">
        <f t="shared" si="1"/>
        <v xml:space="preserve"> </v>
      </c>
      <c r="B27" s="20"/>
      <c r="C27" s="84"/>
      <c r="D27" s="88"/>
      <c r="E27" s="85"/>
      <c r="F27" s="86"/>
      <c r="G27" s="87"/>
      <c r="H27" s="83"/>
      <c r="I27" s="83"/>
      <c r="J27" s="93"/>
      <c r="K27" s="280"/>
      <c r="L27" s="291"/>
      <c r="M27" s="292"/>
    </row>
    <row r="28" spans="1:16">
      <c r="A28" s="83" t="str">
        <f t="shared" si="1"/>
        <v xml:space="preserve"> </v>
      </c>
      <c r="B28" s="20"/>
      <c r="C28" s="84"/>
      <c r="D28" s="88"/>
      <c r="E28" s="85"/>
      <c r="F28" s="86"/>
      <c r="G28" s="87"/>
      <c r="H28" s="83"/>
      <c r="I28" s="83"/>
      <c r="J28" s="93"/>
      <c r="K28" s="280"/>
      <c r="L28" s="291"/>
      <c r="M28" s="292"/>
    </row>
    <row r="29" spans="1:16">
      <c r="A29" s="83" t="str">
        <f t="shared" si="1"/>
        <v xml:space="preserve"> </v>
      </c>
      <c r="B29" s="20"/>
      <c r="C29" s="84"/>
      <c r="D29" s="88"/>
      <c r="E29" s="85"/>
      <c r="F29" s="86"/>
      <c r="G29" s="87"/>
      <c r="H29" s="83"/>
      <c r="I29" s="83"/>
      <c r="J29" s="93"/>
      <c r="K29" s="280"/>
      <c r="L29" s="291"/>
      <c r="M29" s="292"/>
    </row>
    <row r="30" spans="1:16">
      <c r="A30" s="83" t="str">
        <f t="shared" si="1"/>
        <v xml:space="preserve"> </v>
      </c>
      <c r="B30" s="20"/>
      <c r="C30" s="84"/>
      <c r="D30" s="88"/>
      <c r="E30" s="85"/>
      <c r="F30" s="86"/>
      <c r="G30" s="87"/>
      <c r="H30" s="83"/>
      <c r="I30" s="83"/>
      <c r="J30" s="93"/>
      <c r="K30" s="280"/>
      <c r="L30" s="291"/>
      <c r="M30" s="292"/>
    </row>
    <row r="31" spans="1:16">
      <c r="A31" s="83" t="str">
        <f t="shared" si="1"/>
        <v xml:space="preserve"> </v>
      </c>
      <c r="B31" s="20"/>
      <c r="C31" s="84"/>
      <c r="D31" s="88"/>
      <c r="E31" s="85"/>
      <c r="F31" s="86"/>
      <c r="G31" s="87"/>
      <c r="H31" s="83"/>
      <c r="I31" s="83"/>
      <c r="J31" s="93"/>
      <c r="K31" s="280"/>
      <c r="L31" s="291"/>
      <c r="M31" s="292"/>
    </row>
    <row r="32" spans="1:16">
      <c r="A32" s="83" t="str">
        <f t="shared" si="1"/>
        <v xml:space="preserve"> </v>
      </c>
      <c r="B32" s="11"/>
      <c r="C32" s="110"/>
      <c r="D32" s="88"/>
      <c r="E32" s="85"/>
      <c r="F32" s="86"/>
      <c r="G32" s="87"/>
      <c r="H32" s="83"/>
      <c r="I32" s="83"/>
      <c r="J32" s="93"/>
      <c r="K32" s="280"/>
      <c r="L32" s="291"/>
      <c r="M32" s="292"/>
    </row>
    <row r="33" spans="1:16">
      <c r="A33" s="83" t="str">
        <f t="shared" si="1"/>
        <v xml:space="preserve"> </v>
      </c>
      <c r="B33" s="11"/>
      <c r="C33" s="110"/>
      <c r="D33" s="88"/>
      <c r="E33" s="85"/>
      <c r="F33" s="86"/>
      <c r="G33" s="87"/>
      <c r="H33" s="83"/>
      <c r="I33" s="83"/>
      <c r="J33" s="93"/>
      <c r="K33" s="274"/>
      <c r="L33" s="275"/>
      <c r="M33" s="276"/>
    </row>
    <row r="34" spans="1:16">
      <c r="A34" s="83" t="str">
        <f t="shared" si="1"/>
        <v xml:space="preserve"> </v>
      </c>
      <c r="B34" s="11"/>
      <c r="C34" s="84"/>
      <c r="D34" s="88"/>
      <c r="E34" s="85"/>
      <c r="F34" s="86"/>
      <c r="G34" s="87"/>
      <c r="H34" s="83"/>
      <c r="I34" s="83"/>
      <c r="J34" s="93"/>
      <c r="K34" s="308"/>
      <c r="L34" s="278"/>
      <c r="M34" s="279"/>
    </row>
    <row r="35" spans="1:16">
      <c r="A35" s="83" t="str">
        <f t="shared" si="1"/>
        <v xml:space="preserve"> </v>
      </c>
      <c r="B35" s="20"/>
      <c r="C35" s="84"/>
      <c r="D35" s="88"/>
      <c r="E35" s="85"/>
      <c r="F35" s="86"/>
      <c r="G35" s="87"/>
      <c r="H35" s="83"/>
      <c r="I35" s="83"/>
      <c r="J35" s="93"/>
      <c r="K35" s="271"/>
      <c r="L35" s="272"/>
      <c r="M35" s="273"/>
    </row>
    <row r="36" spans="1:16">
      <c r="A36" s="83" t="str">
        <f t="shared" si="1"/>
        <v xml:space="preserve"> </v>
      </c>
      <c r="B36" s="11"/>
      <c r="C36" s="84"/>
      <c r="D36" s="88"/>
      <c r="E36" s="85"/>
      <c r="F36" s="86"/>
      <c r="G36" s="87"/>
      <c r="H36" s="83"/>
      <c r="I36" s="83"/>
      <c r="J36" s="93"/>
      <c r="K36" s="280"/>
      <c r="L36" s="291"/>
      <c r="M36" s="292"/>
    </row>
    <row r="37" spans="1:16">
      <c r="A37" s="83" t="str">
        <f t="shared" si="1"/>
        <v xml:space="preserve"> </v>
      </c>
      <c r="B37" s="11"/>
      <c r="C37" s="84"/>
      <c r="D37" s="88"/>
      <c r="E37" s="85"/>
      <c r="F37" s="86"/>
      <c r="G37" s="87"/>
      <c r="H37" s="83"/>
      <c r="I37" s="83"/>
      <c r="J37" s="93"/>
      <c r="K37" s="280"/>
      <c r="L37" s="291"/>
      <c r="M37" s="292"/>
    </row>
    <row r="38" spans="1:16">
      <c r="A38" s="83" t="str">
        <f t="shared" si="1"/>
        <v xml:space="preserve"> </v>
      </c>
      <c r="B38" s="11"/>
      <c r="C38" s="84"/>
      <c r="D38" s="88"/>
      <c r="E38" s="85"/>
      <c r="F38" s="86"/>
      <c r="G38" s="87"/>
      <c r="H38" s="83"/>
      <c r="I38" s="83"/>
      <c r="J38" s="93"/>
      <c r="K38" s="271"/>
      <c r="L38" s="272"/>
      <c r="M38" s="273"/>
    </row>
    <row r="39" spans="1:16">
      <c r="A39" s="83" t="str">
        <f t="shared" si="1"/>
        <v xml:space="preserve"> </v>
      </c>
      <c r="B39" s="11"/>
      <c r="C39" s="84"/>
      <c r="D39" s="88"/>
      <c r="E39" s="85"/>
      <c r="F39" s="86"/>
      <c r="G39" s="87"/>
      <c r="H39" s="83"/>
      <c r="I39" s="83"/>
      <c r="J39" s="93"/>
      <c r="K39" s="280"/>
      <c r="L39" s="291"/>
      <c r="M39" s="292"/>
    </row>
    <row r="40" spans="1:16">
      <c r="A40" s="83" t="str">
        <f t="shared" si="1"/>
        <v xml:space="preserve"> </v>
      </c>
      <c r="B40" s="11"/>
      <c r="C40" s="84"/>
      <c r="D40" s="88"/>
      <c r="E40" s="85"/>
      <c r="F40" s="86"/>
      <c r="G40" s="87"/>
      <c r="H40" s="83"/>
      <c r="I40" s="83"/>
      <c r="J40" s="93"/>
      <c r="K40" s="280"/>
      <c r="L40" s="291"/>
      <c r="M40" s="292"/>
    </row>
    <row r="41" spans="1:16">
      <c r="A41" s="83" t="str">
        <f t="shared" si="1"/>
        <v xml:space="preserve"> </v>
      </c>
      <c r="B41" s="74"/>
      <c r="C41" s="84"/>
      <c r="D41" s="88"/>
      <c r="E41" s="85"/>
      <c r="F41" s="86"/>
      <c r="G41" s="87"/>
      <c r="H41" s="83"/>
      <c r="I41" s="83"/>
      <c r="J41" s="93"/>
      <c r="K41" s="280"/>
      <c r="L41" s="291"/>
      <c r="M41" s="292"/>
    </row>
    <row r="42" spans="1:16">
      <c r="A42" s="83" t="str">
        <f t="shared" si="1"/>
        <v xml:space="preserve"> </v>
      </c>
      <c r="B42" s="20"/>
      <c r="C42" s="84"/>
      <c r="D42" s="88"/>
      <c r="E42" s="85"/>
      <c r="F42" s="86"/>
      <c r="G42" s="87"/>
      <c r="H42" s="83"/>
      <c r="I42" s="83"/>
      <c r="J42" s="93"/>
      <c r="K42" s="280"/>
      <c r="L42" s="291"/>
      <c r="M42" s="292"/>
    </row>
    <row r="43" spans="1:16">
      <c r="A43" s="83" t="str">
        <f t="shared" si="1"/>
        <v xml:space="preserve"> </v>
      </c>
      <c r="B43" s="11"/>
      <c r="C43" s="84"/>
      <c r="D43" s="88"/>
      <c r="E43" s="85"/>
      <c r="F43" s="86"/>
      <c r="G43" s="87"/>
      <c r="H43" s="83"/>
      <c r="I43" s="83"/>
      <c r="J43" s="93"/>
      <c r="K43" s="280"/>
      <c r="L43" s="291"/>
      <c r="M43" s="292"/>
    </row>
    <row r="44" spans="1:16">
      <c r="A44" s="83" t="str">
        <f t="shared" si="1"/>
        <v xml:space="preserve"> </v>
      </c>
      <c r="B44" s="11"/>
      <c r="C44" s="21"/>
      <c r="D44" s="88"/>
      <c r="E44" s="85"/>
      <c r="F44" s="86"/>
      <c r="G44" s="87"/>
      <c r="H44" s="83"/>
      <c r="I44" s="83"/>
      <c r="J44" s="93"/>
      <c r="K44" s="280"/>
      <c r="L44" s="291"/>
      <c r="M44" s="292"/>
      <c r="P44" s="75" t="s">
        <v>174</v>
      </c>
    </row>
    <row r="45" spans="1:16">
      <c r="A45" s="83" t="str">
        <f t="shared" si="1"/>
        <v xml:space="preserve"> </v>
      </c>
      <c r="B45" s="11"/>
      <c r="C45" s="84"/>
      <c r="D45" s="88"/>
      <c r="E45" s="85"/>
      <c r="F45" s="86"/>
      <c r="G45" s="87"/>
      <c r="H45" s="83"/>
      <c r="I45" s="83"/>
      <c r="J45" s="93"/>
      <c r="K45" s="280"/>
      <c r="L45" s="291"/>
      <c r="M45" s="292"/>
    </row>
    <row r="46" spans="1:16">
      <c r="A46" s="83" t="str">
        <f t="shared" si="1"/>
        <v xml:space="preserve"> </v>
      </c>
      <c r="B46" s="11"/>
      <c r="C46" s="84"/>
      <c r="D46" s="88"/>
      <c r="E46" s="85"/>
      <c r="F46" s="86"/>
      <c r="G46" s="87"/>
      <c r="H46" s="83"/>
      <c r="I46" s="83"/>
      <c r="J46" s="93"/>
      <c r="K46" s="280"/>
      <c r="L46" s="291"/>
      <c r="M46" s="292"/>
    </row>
    <row r="47" spans="1:16">
      <c r="A47" s="83" t="str">
        <f t="shared" si="1"/>
        <v xml:space="preserve"> </v>
      </c>
      <c r="B47" s="11"/>
      <c r="C47" s="84"/>
      <c r="D47" s="88"/>
      <c r="E47" s="85"/>
      <c r="F47" s="86"/>
      <c r="G47" s="87"/>
      <c r="H47" s="83"/>
      <c r="I47" s="83"/>
      <c r="J47" s="93"/>
      <c r="K47" s="280"/>
      <c r="L47" s="291"/>
      <c r="M47" s="292"/>
    </row>
    <row r="48" spans="1:16">
      <c r="A48" s="83" t="str">
        <f t="shared" si="1"/>
        <v xml:space="preserve"> </v>
      </c>
      <c r="B48" s="11"/>
      <c r="C48" s="84"/>
      <c r="D48" s="88"/>
      <c r="E48" s="85"/>
      <c r="F48" s="86"/>
      <c r="G48" s="87"/>
      <c r="H48" s="83"/>
      <c r="I48" s="83"/>
      <c r="J48" s="93"/>
      <c r="K48" s="271"/>
      <c r="L48" s="272"/>
      <c r="M48" s="273"/>
    </row>
    <row r="49" spans="1:13">
      <c r="A49" s="83" t="str">
        <f t="shared" si="1"/>
        <v xml:space="preserve"> </v>
      </c>
      <c r="B49" s="11"/>
      <c r="C49" s="21"/>
      <c r="D49" s="13"/>
      <c r="E49" s="85"/>
      <c r="F49" s="86"/>
      <c r="G49" s="87"/>
      <c r="H49" s="83"/>
      <c r="I49" s="83"/>
      <c r="J49" s="93"/>
      <c r="K49" s="271"/>
      <c r="L49" s="272"/>
      <c r="M49" s="273"/>
    </row>
    <row r="50" spans="1:13">
      <c r="A50" s="83" t="str">
        <f t="shared" si="1"/>
        <v xml:space="preserve"> </v>
      </c>
      <c r="B50" s="11"/>
      <c r="C50" s="21"/>
      <c r="D50" s="13"/>
      <c r="E50" s="85"/>
      <c r="F50" s="86"/>
      <c r="G50" s="87"/>
      <c r="H50" s="83"/>
      <c r="I50" s="83"/>
      <c r="J50" s="93"/>
      <c r="K50" s="271"/>
      <c r="L50" s="272"/>
      <c r="M50" s="273"/>
    </row>
    <row r="51" spans="1:13">
      <c r="A51" s="83" t="str">
        <f t="shared" si="1"/>
        <v xml:space="preserve"> </v>
      </c>
      <c r="B51" s="11"/>
      <c r="C51" s="84"/>
      <c r="D51" s="88"/>
      <c r="E51" s="85"/>
      <c r="F51" s="86"/>
      <c r="G51" s="87"/>
      <c r="H51" s="83"/>
      <c r="I51" s="83"/>
      <c r="J51" s="93"/>
      <c r="K51" s="280"/>
      <c r="L51" s="291"/>
      <c r="M51" s="292"/>
    </row>
    <row r="52" spans="1:13">
      <c r="A52" s="83" t="str">
        <f t="shared" si="1"/>
        <v xml:space="preserve"> </v>
      </c>
      <c r="B52" s="11"/>
      <c r="C52" s="84"/>
      <c r="D52" s="88"/>
      <c r="E52" s="85"/>
      <c r="F52" s="86"/>
      <c r="G52" s="87"/>
      <c r="H52" s="83"/>
      <c r="I52" s="83"/>
      <c r="J52" s="93"/>
      <c r="K52" s="280"/>
      <c r="L52" s="291"/>
      <c r="M52" s="292"/>
    </row>
    <row r="53" spans="1:13">
      <c r="A53" s="83" t="str">
        <f t="shared" si="1"/>
        <v xml:space="preserve"> </v>
      </c>
      <c r="B53" s="11"/>
      <c r="C53" s="84"/>
      <c r="D53" s="88"/>
      <c r="E53" s="85"/>
      <c r="F53" s="86"/>
      <c r="G53" s="87"/>
      <c r="H53" s="83"/>
      <c r="I53" s="83"/>
      <c r="J53" s="93"/>
      <c r="K53" s="280"/>
      <c r="L53" s="291"/>
      <c r="M53" s="292"/>
    </row>
    <row r="54" spans="1:13">
      <c r="A54" s="83" t="str">
        <f t="shared" si="1"/>
        <v xml:space="preserve"> </v>
      </c>
      <c r="B54" s="11"/>
      <c r="C54" s="84"/>
      <c r="D54" s="88"/>
      <c r="E54" s="85"/>
      <c r="F54" s="86"/>
      <c r="G54" s="87"/>
      <c r="H54" s="83"/>
      <c r="I54" s="83"/>
      <c r="J54" s="93"/>
      <c r="K54" s="280"/>
      <c r="L54" s="291"/>
      <c r="M54" s="292"/>
    </row>
    <row r="55" spans="1:13">
      <c r="A55" s="83" t="str">
        <f t="shared" si="1"/>
        <v xml:space="preserve"> </v>
      </c>
      <c r="B55" s="11"/>
      <c r="C55" s="84"/>
      <c r="D55" s="88"/>
      <c r="E55" s="85"/>
      <c r="F55" s="86"/>
      <c r="G55" s="87"/>
      <c r="H55" s="83"/>
      <c r="I55" s="83"/>
      <c r="J55" s="93"/>
      <c r="K55" s="274"/>
      <c r="L55" s="275"/>
      <c r="M55" s="276"/>
    </row>
    <row r="56" spans="1:13">
      <c r="B56" s="3"/>
      <c r="H56" s="76"/>
      <c r="I56" s="76"/>
      <c r="J56" s="111"/>
      <c r="K56" s="99"/>
      <c r="L56" s="99"/>
      <c r="M56" s="99"/>
    </row>
    <row r="57" spans="1:13">
      <c r="B57" s="75" t="s">
        <v>235</v>
      </c>
    </row>
    <row r="97" spans="2:5">
      <c r="C97" s="3"/>
    </row>
    <row r="99" spans="2:5">
      <c r="C99" s="3"/>
    </row>
    <row r="102" spans="2:5">
      <c r="B102" s="100"/>
      <c r="D102" s="75" t="s">
        <v>1198</v>
      </c>
    </row>
    <row r="104" spans="2:5">
      <c r="B104" s="100"/>
      <c r="D104" s="101" t="s">
        <v>1201</v>
      </c>
      <c r="E104" s="101"/>
    </row>
    <row r="105" spans="2:5">
      <c r="D105" s="101" t="s">
        <v>1202</v>
      </c>
      <c r="E105" s="101"/>
    </row>
    <row r="106" spans="2:5">
      <c r="D106" s="101" t="s">
        <v>1203</v>
      </c>
      <c r="E106" s="101"/>
    </row>
    <row r="107" spans="2:5">
      <c r="D107" s="101" t="s">
        <v>1204</v>
      </c>
      <c r="E107" s="101"/>
    </row>
    <row r="108" spans="2:5">
      <c r="D108" s="101" t="s">
        <v>1205</v>
      </c>
      <c r="E108" s="101"/>
    </row>
    <row r="109" spans="2:5">
      <c r="D109" s="101" t="s">
        <v>1206</v>
      </c>
      <c r="E109" s="101"/>
    </row>
    <row r="110" spans="2:5">
      <c r="D110" s="101" t="s">
        <v>1207</v>
      </c>
      <c r="E110" s="101"/>
    </row>
    <row r="111" spans="2:5">
      <c r="D111" s="101" t="s">
        <v>1208</v>
      </c>
      <c r="E111" s="101"/>
    </row>
    <row r="112" spans="2:5">
      <c r="D112" s="75" t="s">
        <v>1209</v>
      </c>
    </row>
    <row r="114" spans="2:7">
      <c r="C114" s="102"/>
      <c r="D114" s="102"/>
      <c r="E114" s="102"/>
      <c r="G114" s="75" t="s">
        <v>838</v>
      </c>
    </row>
    <row r="116" spans="2:7">
      <c r="B116" s="100"/>
      <c r="D116" s="75" t="s">
        <v>458</v>
      </c>
    </row>
    <row r="118" spans="2:7">
      <c r="D118" s="75" t="s">
        <v>1211</v>
      </c>
    </row>
    <row r="120" spans="2:7">
      <c r="D120" s="75" t="s">
        <v>1213</v>
      </c>
    </row>
  </sheetData>
  <mergeCells count="63">
    <mergeCell ref="K5:M6"/>
    <mergeCell ref="K51:M51"/>
    <mergeCell ref="K52:M52"/>
    <mergeCell ref="K53:M53"/>
    <mergeCell ref="K54:M54"/>
    <mergeCell ref="K55:M55"/>
    <mergeCell ref="K46:M46"/>
    <mergeCell ref="K47:M47"/>
    <mergeCell ref="K48:M48"/>
    <mergeCell ref="K49:M49"/>
    <mergeCell ref="K50:M50"/>
    <mergeCell ref="K41:M41"/>
    <mergeCell ref="K42:M42"/>
    <mergeCell ref="K43:M43"/>
    <mergeCell ref="K44:M44"/>
    <mergeCell ref="K45:M45"/>
    <mergeCell ref="K36:M36"/>
    <mergeCell ref="K37:M37"/>
    <mergeCell ref="K38:M38"/>
    <mergeCell ref="K39:M39"/>
    <mergeCell ref="K40:M40"/>
    <mergeCell ref="K31:M31"/>
    <mergeCell ref="K32:M32"/>
    <mergeCell ref="K33:M33"/>
    <mergeCell ref="K34:M34"/>
    <mergeCell ref="K35:M35"/>
    <mergeCell ref="K26:M26"/>
    <mergeCell ref="K27:M27"/>
    <mergeCell ref="K28:M28"/>
    <mergeCell ref="K29:M29"/>
    <mergeCell ref="K30:M30"/>
    <mergeCell ref="K21:M21"/>
    <mergeCell ref="K22:M22"/>
    <mergeCell ref="K23:M23"/>
    <mergeCell ref="K24:M24"/>
    <mergeCell ref="K25:M25"/>
    <mergeCell ref="K16:M16"/>
    <mergeCell ref="K17:M17"/>
    <mergeCell ref="K18:M18"/>
    <mergeCell ref="K19:M19"/>
    <mergeCell ref="K20:M20"/>
    <mergeCell ref="K11:M11"/>
    <mergeCell ref="K12:M12"/>
    <mergeCell ref="K13:M13"/>
    <mergeCell ref="K14:M14"/>
    <mergeCell ref="K15:M15"/>
    <mergeCell ref="K7:M7"/>
    <mergeCell ref="K8:M8"/>
    <mergeCell ref="K9:M9"/>
    <mergeCell ref="K10:M10"/>
    <mergeCell ref="A4:B4"/>
    <mergeCell ref="C4:G4"/>
    <mergeCell ref="H4:I4"/>
    <mergeCell ref="B5:C5"/>
    <mergeCell ref="D5:H5"/>
    <mergeCell ref="I5:J5"/>
    <mergeCell ref="A5:A6"/>
    <mergeCell ref="A2:B2"/>
    <mergeCell ref="C2:G2"/>
    <mergeCell ref="H2:J2"/>
    <mergeCell ref="A3:B3"/>
    <mergeCell ref="C3:G3"/>
    <mergeCell ref="H3:I3"/>
  </mergeCells>
  <phoneticPr fontId="22"/>
  <pageMargins left="0.78680555555555598" right="0.196527777777778" top="0.59027777777777801" bottom="0.59027777777777801" header="0.51111111111111096" footer="0.39305555555555599"/>
  <pageSetup paperSize="9" scale="78" fitToHeight="0" orientation="portrait"/>
  <headerFooter scaleWithDoc="0" alignWithMargins="0">
    <oddFooter>&amp;C&amp;10&amp;P/&amp;N&amp;R&amp;10&amp;A</oddFooter>
  </headerFooter>
  <legacyDrawing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pageSetUpPr fitToPage="1"/>
  </sheetPr>
  <dimension ref="A1:IV119"/>
  <sheetViews>
    <sheetView showGridLines="0" workbookViewId="0">
      <pane ySplit="6" topLeftCell="A21" activePane="bottomLeft" state="frozen"/>
      <selection pane="bottomLeft" activeCell="B7" sqref="B7:B39"/>
    </sheetView>
  </sheetViews>
  <sheetFormatPr defaultColWidth="9" defaultRowHeight="12"/>
  <cols>
    <col min="1" max="1" width="7.5" style="76" customWidth="1"/>
    <col min="2" max="2" width="28.625" style="75" customWidth="1"/>
    <col min="3" max="3" width="13.375" style="75" customWidth="1"/>
    <col min="4" max="4" width="9.375" style="75" customWidth="1"/>
    <col min="5" max="5" width="4.875" style="75" customWidth="1"/>
    <col min="6" max="6" width="4.75" style="75" customWidth="1"/>
    <col min="7" max="7" width="6.125" style="75" customWidth="1"/>
    <col min="8" max="9" width="4.75" style="75" customWidth="1"/>
    <col min="10" max="11" width="9.625" style="75" customWidth="1"/>
    <col min="12" max="13" width="10.25" style="75" customWidth="1"/>
    <col min="14" max="17" width="9" style="75" hidden="1" customWidth="1"/>
    <col min="18" max="16384" width="9" style="75"/>
  </cols>
  <sheetData>
    <row r="1" spans="1:16" ht="12" customHeight="1">
      <c r="B1" s="3"/>
    </row>
    <row r="2" spans="1:16" ht="12" customHeight="1">
      <c r="A2" s="259" t="s">
        <v>136</v>
      </c>
      <c r="B2" s="260"/>
      <c r="C2" s="259" t="s">
        <v>1</v>
      </c>
      <c r="D2" s="261"/>
      <c r="E2" s="261"/>
      <c r="F2" s="261"/>
      <c r="G2" s="260"/>
      <c r="H2" s="259"/>
      <c r="I2" s="261"/>
      <c r="J2" s="260"/>
      <c r="K2" s="89"/>
      <c r="L2" s="78" t="s">
        <v>137</v>
      </c>
      <c r="M2" s="78" t="s">
        <v>138</v>
      </c>
    </row>
    <row r="3" spans="1:16" ht="12" customHeight="1">
      <c r="A3" s="262"/>
      <c r="B3" s="263"/>
      <c r="C3" s="264" t="s">
        <v>1818</v>
      </c>
      <c r="D3" s="265"/>
      <c r="E3" s="265"/>
      <c r="F3" s="265"/>
      <c r="G3" s="266"/>
      <c r="H3" s="259" t="s">
        <v>140</v>
      </c>
      <c r="I3" s="260"/>
      <c r="J3" s="90">
        <f>COUNT(A7:A39)</f>
        <v>33</v>
      </c>
      <c r="K3" s="78" t="s">
        <v>141</v>
      </c>
      <c r="L3" s="91">
        <v>43757</v>
      </c>
      <c r="M3" s="92" t="s">
        <v>1810</v>
      </c>
      <c r="O3" s="75" t="s">
        <v>143</v>
      </c>
      <c r="P3" s="75" t="s">
        <v>144</v>
      </c>
    </row>
    <row r="4" spans="1:16" ht="12" customHeight="1">
      <c r="A4" s="267" t="s">
        <v>145</v>
      </c>
      <c r="B4" s="268"/>
      <c r="C4" s="267" t="s">
        <v>87</v>
      </c>
      <c r="D4" s="269"/>
      <c r="E4" s="269"/>
      <c r="F4" s="269"/>
      <c r="G4" s="268"/>
      <c r="H4" s="259" t="s">
        <v>146</v>
      </c>
      <c r="I4" s="260"/>
      <c r="J4" s="90">
        <f>SUM(G7:G39)</f>
        <v>191</v>
      </c>
      <c r="K4" s="78" t="s">
        <v>147</v>
      </c>
      <c r="L4" s="91"/>
      <c r="M4" s="92"/>
      <c r="O4" s="75" t="s">
        <v>149</v>
      </c>
      <c r="P4" s="75" t="s">
        <v>150</v>
      </c>
    </row>
    <row r="5" spans="1:16" ht="12" customHeight="1">
      <c r="A5" s="283" t="s">
        <v>0</v>
      </c>
      <c r="B5" s="259" t="s">
        <v>151</v>
      </c>
      <c r="C5" s="261"/>
      <c r="D5" s="270" t="s">
        <v>152</v>
      </c>
      <c r="E5" s="261"/>
      <c r="F5" s="261"/>
      <c r="G5" s="261"/>
      <c r="H5" s="261"/>
      <c r="I5" s="259" t="s">
        <v>153</v>
      </c>
      <c r="J5" s="260"/>
      <c r="K5" s="285" t="s">
        <v>4</v>
      </c>
      <c r="L5" s="286"/>
      <c r="M5" s="287"/>
      <c r="P5" s="75" t="s">
        <v>154</v>
      </c>
    </row>
    <row r="6" spans="1:16" ht="12" customHeight="1">
      <c r="A6" s="284"/>
      <c r="B6" s="78" t="s">
        <v>5</v>
      </c>
      <c r="C6" s="79" t="s">
        <v>6</v>
      </c>
      <c r="D6" s="80" t="s">
        <v>144</v>
      </c>
      <c r="E6" s="81" t="s">
        <v>155</v>
      </c>
      <c r="F6" s="82" t="s">
        <v>156</v>
      </c>
      <c r="G6" s="78" t="s">
        <v>157</v>
      </c>
      <c r="H6" s="77" t="s">
        <v>158</v>
      </c>
      <c r="I6" s="77" t="s">
        <v>159</v>
      </c>
      <c r="J6" s="77" t="s">
        <v>160</v>
      </c>
      <c r="K6" s="305"/>
      <c r="L6" s="306"/>
      <c r="M6" s="307"/>
      <c r="P6" s="75" t="s">
        <v>161</v>
      </c>
    </row>
    <row r="7" spans="1:16">
      <c r="A7" s="83">
        <v>1</v>
      </c>
      <c r="B7" s="11" t="s">
        <v>162</v>
      </c>
      <c r="C7" s="84" t="s">
        <v>163</v>
      </c>
      <c r="D7" s="13" t="s">
        <v>164</v>
      </c>
      <c r="E7" s="85"/>
      <c r="F7" s="86"/>
      <c r="G7" s="87">
        <f t="shared" ref="G7:G36" si="0">IF(D7="DATE",4,IF(D7="CHAR",E7,IF(D7="SMALLINT",2,IF(D7="INTEGER",4,IF(D7="TIMESTAMP",10,IF(D7="TIME",3,0))))))</f>
        <v>4</v>
      </c>
      <c r="H7" s="83" t="s">
        <v>149</v>
      </c>
      <c r="I7" s="83" t="s">
        <v>149</v>
      </c>
      <c r="J7" s="93"/>
      <c r="K7" s="308"/>
      <c r="L7" s="278"/>
      <c r="M7" s="279"/>
      <c r="P7" s="75" t="s">
        <v>165</v>
      </c>
    </row>
    <row r="8" spans="1:16">
      <c r="A8" s="83">
        <f t="shared" ref="A8:A39" si="1">IF(B8=""," ",A7+1)</f>
        <v>2</v>
      </c>
      <c r="B8" s="11" t="s">
        <v>166</v>
      </c>
      <c r="C8" s="84" t="s">
        <v>167</v>
      </c>
      <c r="D8" s="13" t="s">
        <v>150</v>
      </c>
      <c r="E8" s="85">
        <v>11</v>
      </c>
      <c r="F8" s="86"/>
      <c r="G8" s="87">
        <f t="shared" si="0"/>
        <v>11</v>
      </c>
      <c r="H8" s="83" t="s">
        <v>149</v>
      </c>
      <c r="I8" s="83" t="s">
        <v>149</v>
      </c>
      <c r="J8" s="93"/>
      <c r="K8" s="274"/>
      <c r="L8" s="275"/>
      <c r="M8" s="276"/>
    </row>
    <row r="9" spans="1:16">
      <c r="A9" s="83">
        <f t="shared" si="1"/>
        <v>3</v>
      </c>
      <c r="B9" s="21" t="s">
        <v>596</v>
      </c>
      <c r="C9" s="84" t="s">
        <v>597</v>
      </c>
      <c r="D9" s="88" t="s">
        <v>150</v>
      </c>
      <c r="E9" s="85">
        <v>7</v>
      </c>
      <c r="F9" s="86"/>
      <c r="G9" s="87">
        <f t="shared" si="0"/>
        <v>7</v>
      </c>
      <c r="H9" s="83" t="s">
        <v>149</v>
      </c>
      <c r="I9" s="83" t="s">
        <v>149</v>
      </c>
      <c r="J9" s="93"/>
      <c r="K9" s="274"/>
      <c r="L9" s="275"/>
      <c r="M9" s="276"/>
    </row>
    <row r="10" spans="1:16" ht="12" customHeight="1">
      <c r="A10" s="83">
        <f t="shared" si="1"/>
        <v>4</v>
      </c>
      <c r="B10" s="11" t="s">
        <v>460</v>
      </c>
      <c r="C10" s="84" t="s">
        <v>461</v>
      </c>
      <c r="D10" s="88" t="s">
        <v>655</v>
      </c>
      <c r="E10" s="85"/>
      <c r="F10" s="86"/>
      <c r="G10" s="87">
        <f t="shared" si="0"/>
        <v>0</v>
      </c>
      <c r="H10" s="83" t="s">
        <v>149</v>
      </c>
      <c r="I10" s="83"/>
      <c r="J10" s="93"/>
      <c r="K10" s="274"/>
      <c r="L10" s="275"/>
      <c r="M10" s="276"/>
    </row>
    <row r="11" spans="1:16" ht="13.5">
      <c r="A11" s="83">
        <f t="shared" si="1"/>
        <v>5</v>
      </c>
      <c r="B11" s="11" t="s">
        <v>462</v>
      </c>
      <c r="C11" s="21" t="s">
        <v>463</v>
      </c>
      <c r="D11" s="13" t="s">
        <v>150</v>
      </c>
      <c r="E11" s="85">
        <v>13</v>
      </c>
      <c r="F11" s="86"/>
      <c r="G11" s="87">
        <f t="shared" si="0"/>
        <v>13</v>
      </c>
      <c r="H11" s="83" t="s">
        <v>149</v>
      </c>
      <c r="I11" s="83"/>
      <c r="J11" s="93"/>
      <c r="K11" s="271"/>
      <c r="L11" s="281"/>
      <c r="M11" s="282"/>
      <c r="P11" s="75" t="s">
        <v>164</v>
      </c>
    </row>
    <row r="12" spans="1:16">
      <c r="A12" s="83">
        <f t="shared" si="1"/>
        <v>6</v>
      </c>
      <c r="B12" s="11" t="s">
        <v>487</v>
      </c>
      <c r="C12" s="84" t="s">
        <v>488</v>
      </c>
      <c r="D12" s="88" t="s">
        <v>150</v>
      </c>
      <c r="E12" s="85">
        <v>4</v>
      </c>
      <c r="F12" s="86"/>
      <c r="G12" s="87">
        <f t="shared" si="0"/>
        <v>4</v>
      </c>
      <c r="H12" s="83" t="s">
        <v>149</v>
      </c>
      <c r="I12" s="83"/>
      <c r="J12" s="93"/>
      <c r="K12" s="312" t="s">
        <v>489</v>
      </c>
      <c r="L12" s="312"/>
      <c r="M12" s="312"/>
    </row>
    <row r="13" spans="1:16">
      <c r="A13" s="83">
        <f t="shared" si="1"/>
        <v>7</v>
      </c>
      <c r="B13" s="11" t="s">
        <v>659</v>
      </c>
      <c r="C13" s="84" t="s">
        <v>1819</v>
      </c>
      <c r="D13" s="88" t="s">
        <v>150</v>
      </c>
      <c r="E13" s="85">
        <v>4</v>
      </c>
      <c r="F13" s="86"/>
      <c r="G13" s="87">
        <f t="shared" si="0"/>
        <v>4</v>
      </c>
      <c r="H13" s="83" t="s">
        <v>149</v>
      </c>
      <c r="I13" s="83"/>
      <c r="J13" s="93"/>
      <c r="K13" s="308"/>
      <c r="L13" s="278"/>
      <c r="M13" s="279"/>
    </row>
    <row r="14" spans="1:16">
      <c r="A14" s="83">
        <f t="shared" si="1"/>
        <v>8</v>
      </c>
      <c r="B14" s="11" t="s">
        <v>662</v>
      </c>
      <c r="C14" s="84" t="s">
        <v>663</v>
      </c>
      <c r="D14" s="88" t="s">
        <v>150</v>
      </c>
      <c r="E14" s="85">
        <v>16</v>
      </c>
      <c r="F14" s="86"/>
      <c r="G14" s="87">
        <f t="shared" si="0"/>
        <v>16</v>
      </c>
      <c r="H14" s="83" t="s">
        <v>149</v>
      </c>
      <c r="I14" s="83"/>
      <c r="J14" s="93"/>
      <c r="K14" s="308" t="s">
        <v>648</v>
      </c>
      <c r="L14" s="278"/>
      <c r="M14" s="279"/>
    </row>
    <row r="15" spans="1:16">
      <c r="A15" s="83">
        <f t="shared" si="1"/>
        <v>9</v>
      </c>
      <c r="B15" s="11" t="s">
        <v>664</v>
      </c>
      <c r="C15" s="84" t="s">
        <v>665</v>
      </c>
      <c r="D15" s="88" t="s">
        <v>150</v>
      </c>
      <c r="E15" s="85">
        <v>7</v>
      </c>
      <c r="F15" s="86"/>
      <c r="G15" s="87">
        <f t="shared" si="0"/>
        <v>7</v>
      </c>
      <c r="H15" s="83" t="s">
        <v>149</v>
      </c>
      <c r="I15" s="83"/>
      <c r="J15" s="93"/>
      <c r="K15" s="271" t="s">
        <v>666</v>
      </c>
      <c r="L15" s="272"/>
      <c r="M15" s="273"/>
    </row>
    <row r="16" spans="1:16">
      <c r="A16" s="83">
        <f t="shared" si="1"/>
        <v>10</v>
      </c>
      <c r="B16" s="20" t="s">
        <v>676</v>
      </c>
      <c r="C16" s="84" t="s">
        <v>677</v>
      </c>
      <c r="D16" s="88" t="s">
        <v>150</v>
      </c>
      <c r="E16" s="85">
        <v>2</v>
      </c>
      <c r="F16" s="86"/>
      <c r="G16" s="87">
        <f t="shared" si="0"/>
        <v>2</v>
      </c>
      <c r="H16" s="83" t="s">
        <v>149</v>
      </c>
      <c r="I16" s="83"/>
      <c r="J16" s="93"/>
      <c r="K16" s="280"/>
      <c r="L16" s="291"/>
      <c r="M16" s="292"/>
    </row>
    <row r="17" spans="1:16" ht="56.1" customHeight="1">
      <c r="A17" s="83">
        <f t="shared" si="1"/>
        <v>11</v>
      </c>
      <c r="B17" s="20" t="s">
        <v>682</v>
      </c>
      <c r="C17" s="22" t="s">
        <v>683</v>
      </c>
      <c r="D17" s="88" t="s">
        <v>150</v>
      </c>
      <c r="E17" s="85">
        <v>1</v>
      </c>
      <c r="F17" s="86"/>
      <c r="G17" s="87">
        <f t="shared" si="0"/>
        <v>1</v>
      </c>
      <c r="H17" s="83" t="s">
        <v>149</v>
      </c>
      <c r="I17" s="83"/>
      <c r="J17" s="93"/>
      <c r="K17" s="271" t="s">
        <v>1820</v>
      </c>
      <c r="L17" s="272"/>
      <c r="M17" s="273"/>
    </row>
    <row r="18" spans="1:16" ht="12" customHeight="1">
      <c r="A18" s="83">
        <f t="shared" si="1"/>
        <v>12</v>
      </c>
      <c r="B18" s="11" t="s">
        <v>466</v>
      </c>
      <c r="C18" s="21" t="s">
        <v>1821</v>
      </c>
      <c r="D18" s="13" t="s">
        <v>150</v>
      </c>
      <c r="E18" s="85">
        <v>3</v>
      </c>
      <c r="F18" s="86"/>
      <c r="G18" s="87">
        <f t="shared" si="0"/>
        <v>3</v>
      </c>
      <c r="H18" s="83" t="s">
        <v>149</v>
      </c>
      <c r="I18" s="83" t="s">
        <v>149</v>
      </c>
      <c r="J18" s="93"/>
      <c r="K18" s="271"/>
      <c r="L18" s="272"/>
      <c r="M18" s="273"/>
    </row>
    <row r="19" spans="1:16">
      <c r="A19" s="83">
        <f t="shared" si="1"/>
        <v>13</v>
      </c>
      <c r="B19" s="11" t="s">
        <v>1023</v>
      </c>
      <c r="C19" s="21" t="s">
        <v>1024</v>
      </c>
      <c r="D19" s="13" t="s">
        <v>150</v>
      </c>
      <c r="E19" s="85">
        <v>1</v>
      </c>
      <c r="F19" s="86"/>
      <c r="G19" s="87">
        <f t="shared" si="0"/>
        <v>1</v>
      </c>
      <c r="H19" s="83" t="s">
        <v>149</v>
      </c>
      <c r="I19" s="83"/>
      <c r="J19" s="93"/>
      <c r="K19" s="271"/>
      <c r="L19" s="272"/>
      <c r="M19" s="273"/>
      <c r="P19" s="75" t="s">
        <v>195</v>
      </c>
    </row>
    <row r="20" spans="1:16" ht="51" customHeight="1">
      <c r="A20" s="83">
        <f t="shared" si="1"/>
        <v>14</v>
      </c>
      <c r="B20" s="11" t="s">
        <v>1027</v>
      </c>
      <c r="C20" s="84" t="s">
        <v>1028</v>
      </c>
      <c r="D20" s="88" t="s">
        <v>150</v>
      </c>
      <c r="E20" s="85">
        <v>1</v>
      </c>
      <c r="F20" s="86"/>
      <c r="G20" s="87">
        <f t="shared" si="0"/>
        <v>1</v>
      </c>
      <c r="H20" s="83" t="s">
        <v>149</v>
      </c>
      <c r="I20" s="83"/>
      <c r="J20" s="93"/>
      <c r="K20" s="271" t="s">
        <v>1029</v>
      </c>
      <c r="L20" s="272"/>
      <c r="M20" s="273"/>
    </row>
    <row r="21" spans="1:16">
      <c r="A21" s="83">
        <f t="shared" si="1"/>
        <v>15</v>
      </c>
      <c r="B21" s="74" t="s">
        <v>1035</v>
      </c>
      <c r="C21" s="84" t="s">
        <v>1036</v>
      </c>
      <c r="D21" s="88" t="s">
        <v>150</v>
      </c>
      <c r="E21" s="85">
        <v>1</v>
      </c>
      <c r="F21" s="86"/>
      <c r="G21" s="87">
        <f t="shared" si="0"/>
        <v>1</v>
      </c>
      <c r="H21" s="83" t="s">
        <v>149</v>
      </c>
      <c r="I21" s="83"/>
      <c r="J21" s="93"/>
      <c r="K21" s="271" t="s">
        <v>1037</v>
      </c>
      <c r="L21" s="272"/>
      <c r="M21" s="273"/>
    </row>
    <row r="22" spans="1:16">
      <c r="A22" s="83">
        <f t="shared" si="1"/>
        <v>16</v>
      </c>
      <c r="B22" s="20" t="s">
        <v>1039</v>
      </c>
      <c r="C22" s="84" t="s">
        <v>1040</v>
      </c>
      <c r="D22" s="88" t="s">
        <v>150</v>
      </c>
      <c r="E22" s="85">
        <v>1</v>
      </c>
      <c r="F22" s="86"/>
      <c r="G22" s="87">
        <f t="shared" si="0"/>
        <v>1</v>
      </c>
      <c r="H22" s="83" t="s">
        <v>149</v>
      </c>
      <c r="I22" s="83"/>
      <c r="J22" s="93"/>
      <c r="K22" s="280" t="s">
        <v>1041</v>
      </c>
      <c r="L22" s="291"/>
      <c r="M22" s="292"/>
    </row>
    <row r="23" spans="1:16">
      <c r="A23" s="83">
        <f t="shared" si="1"/>
        <v>17</v>
      </c>
      <c r="B23" s="11" t="s">
        <v>995</v>
      </c>
      <c r="C23" s="84" t="s">
        <v>996</v>
      </c>
      <c r="D23" s="88" t="s">
        <v>150</v>
      </c>
      <c r="E23" s="85">
        <v>12</v>
      </c>
      <c r="F23" s="86"/>
      <c r="G23" s="87">
        <f t="shared" si="0"/>
        <v>12</v>
      </c>
      <c r="H23" s="83" t="s">
        <v>149</v>
      </c>
      <c r="I23" s="83"/>
      <c r="J23" s="93"/>
      <c r="K23" s="280" t="s">
        <v>997</v>
      </c>
      <c r="L23" s="291"/>
      <c r="M23" s="292"/>
    </row>
    <row r="24" spans="1:16">
      <c r="A24" s="83">
        <f t="shared" si="1"/>
        <v>18</v>
      </c>
      <c r="B24" s="11" t="s">
        <v>999</v>
      </c>
      <c r="C24" s="84" t="s">
        <v>1000</v>
      </c>
      <c r="D24" s="88" t="s">
        <v>150</v>
      </c>
      <c r="E24" s="85">
        <v>24</v>
      </c>
      <c r="F24" s="86"/>
      <c r="G24" s="87">
        <f t="shared" si="0"/>
        <v>24</v>
      </c>
      <c r="H24" s="83" t="s">
        <v>149</v>
      </c>
      <c r="I24" s="83"/>
      <c r="J24" s="93"/>
      <c r="K24" s="280" t="s">
        <v>1001</v>
      </c>
      <c r="L24" s="291"/>
      <c r="M24" s="292"/>
    </row>
    <row r="25" spans="1:16">
      <c r="A25" s="83">
        <f t="shared" si="1"/>
        <v>19</v>
      </c>
      <c r="B25" s="11" t="s">
        <v>1003</v>
      </c>
      <c r="C25" s="84" t="s">
        <v>1004</v>
      </c>
      <c r="D25" s="88" t="s">
        <v>150</v>
      </c>
      <c r="E25" s="85">
        <v>2</v>
      </c>
      <c r="F25" s="86"/>
      <c r="G25" s="87">
        <f t="shared" si="0"/>
        <v>2</v>
      </c>
      <c r="H25" s="83" t="s">
        <v>149</v>
      </c>
      <c r="I25" s="83"/>
      <c r="J25" s="93"/>
      <c r="K25" s="280" t="s">
        <v>1005</v>
      </c>
      <c r="L25" s="291"/>
      <c r="M25" s="292"/>
    </row>
    <row r="26" spans="1:16">
      <c r="A26" s="83">
        <f t="shared" si="1"/>
        <v>20</v>
      </c>
      <c r="B26" s="11" t="s">
        <v>1007</v>
      </c>
      <c r="C26" s="84" t="s">
        <v>1008</v>
      </c>
      <c r="D26" s="88" t="s">
        <v>150</v>
      </c>
      <c r="E26" s="85">
        <v>3</v>
      </c>
      <c r="F26" s="86"/>
      <c r="G26" s="87">
        <f t="shared" si="0"/>
        <v>3</v>
      </c>
      <c r="H26" s="83" t="s">
        <v>149</v>
      </c>
      <c r="I26" s="83"/>
      <c r="J26" s="93"/>
      <c r="K26" s="274"/>
      <c r="L26" s="275"/>
      <c r="M26" s="276"/>
    </row>
    <row r="27" spans="1:16" ht="35.1" customHeight="1">
      <c r="A27" s="83">
        <f t="shared" si="1"/>
        <v>21</v>
      </c>
      <c r="B27" s="11" t="s">
        <v>1016</v>
      </c>
      <c r="C27" s="84" t="s">
        <v>1017</v>
      </c>
      <c r="D27" s="88" t="s">
        <v>150</v>
      </c>
      <c r="E27" s="85">
        <v>5</v>
      </c>
      <c r="F27" s="86"/>
      <c r="G27" s="87">
        <f t="shared" si="0"/>
        <v>5</v>
      </c>
      <c r="H27" s="83" t="s">
        <v>149</v>
      </c>
      <c r="I27" s="83"/>
      <c r="J27" s="93"/>
      <c r="K27" s="280" t="s">
        <v>1018</v>
      </c>
      <c r="L27" s="291"/>
      <c r="M27" s="292"/>
    </row>
    <row r="28" spans="1:16" ht="35.1" customHeight="1">
      <c r="A28" s="83">
        <f t="shared" si="1"/>
        <v>22</v>
      </c>
      <c r="B28" s="20" t="s">
        <v>1020</v>
      </c>
      <c r="C28" s="84" t="s">
        <v>1021</v>
      </c>
      <c r="D28" s="88" t="s">
        <v>150</v>
      </c>
      <c r="E28" s="85">
        <v>5</v>
      </c>
      <c r="F28" s="86"/>
      <c r="G28" s="87">
        <f t="shared" si="0"/>
        <v>5</v>
      </c>
      <c r="H28" s="83" t="s">
        <v>149</v>
      </c>
      <c r="I28" s="83"/>
      <c r="J28" s="93"/>
      <c r="K28" s="280" t="s">
        <v>1018</v>
      </c>
      <c r="L28" s="291"/>
      <c r="M28" s="292"/>
    </row>
    <row r="29" spans="1:16" ht="45" customHeight="1">
      <c r="A29" s="83">
        <f t="shared" si="1"/>
        <v>23</v>
      </c>
      <c r="B29" s="20" t="s">
        <v>1043</v>
      </c>
      <c r="C29" s="84" t="s">
        <v>1044</v>
      </c>
      <c r="D29" s="88" t="s">
        <v>150</v>
      </c>
      <c r="E29" s="85">
        <v>1</v>
      </c>
      <c r="F29" s="86"/>
      <c r="G29" s="87">
        <f t="shared" si="0"/>
        <v>1</v>
      </c>
      <c r="H29" s="83" t="s">
        <v>149</v>
      </c>
      <c r="I29" s="83"/>
      <c r="J29" s="93"/>
      <c r="K29" s="440" t="s">
        <v>1822</v>
      </c>
      <c r="L29" s="440"/>
      <c r="M29" s="440"/>
    </row>
    <row r="30" spans="1:16" ht="45" customHeight="1">
      <c r="A30" s="83">
        <f t="shared" si="1"/>
        <v>24</v>
      </c>
      <c r="B30" s="20" t="s">
        <v>1047</v>
      </c>
      <c r="C30" s="84" t="s">
        <v>1048</v>
      </c>
      <c r="D30" s="88" t="s">
        <v>150</v>
      </c>
      <c r="E30" s="85">
        <v>1</v>
      </c>
      <c r="F30" s="86"/>
      <c r="G30" s="87">
        <f t="shared" si="0"/>
        <v>1</v>
      </c>
      <c r="H30" s="83" t="s">
        <v>149</v>
      </c>
      <c r="I30" s="83"/>
      <c r="J30" s="93"/>
      <c r="K30" s="440"/>
      <c r="L30" s="440"/>
      <c r="M30" s="440"/>
    </row>
    <row r="31" spans="1:16" ht="45" customHeight="1">
      <c r="A31" s="83">
        <f t="shared" si="1"/>
        <v>25</v>
      </c>
      <c r="B31" s="20" t="s">
        <v>1049</v>
      </c>
      <c r="C31" s="84" t="s">
        <v>1050</v>
      </c>
      <c r="D31" s="88" t="s">
        <v>150</v>
      </c>
      <c r="E31" s="85">
        <v>1</v>
      </c>
      <c r="F31" s="86"/>
      <c r="G31" s="87">
        <f t="shared" si="0"/>
        <v>1</v>
      </c>
      <c r="H31" s="83" t="s">
        <v>149</v>
      </c>
      <c r="I31" s="83"/>
      <c r="J31" s="93"/>
      <c r="K31" s="440"/>
      <c r="L31" s="440"/>
      <c r="M31" s="440"/>
    </row>
    <row r="32" spans="1:16">
      <c r="A32" s="83">
        <f t="shared" si="1"/>
        <v>26</v>
      </c>
      <c r="B32" s="11" t="s">
        <v>1014</v>
      </c>
      <c r="C32" s="84" t="s">
        <v>1015</v>
      </c>
      <c r="D32" s="88" t="s">
        <v>150</v>
      </c>
      <c r="E32" s="85">
        <v>3</v>
      </c>
      <c r="F32" s="86"/>
      <c r="G32" s="87">
        <f t="shared" si="0"/>
        <v>3</v>
      </c>
      <c r="H32" s="83" t="s">
        <v>149</v>
      </c>
      <c r="I32" s="83"/>
      <c r="J32" s="93"/>
      <c r="K32" s="274"/>
      <c r="L32" s="275"/>
      <c r="M32" s="276"/>
    </row>
    <row r="33" spans="1:16">
      <c r="A33" s="83">
        <f t="shared" si="1"/>
        <v>27</v>
      </c>
      <c r="B33" s="11" t="s">
        <v>1823</v>
      </c>
      <c r="C33" s="84" t="s">
        <v>1824</v>
      </c>
      <c r="D33" s="88" t="s">
        <v>150</v>
      </c>
      <c r="E33" s="85">
        <v>8</v>
      </c>
      <c r="F33" s="86"/>
      <c r="G33" s="87">
        <f t="shared" si="0"/>
        <v>8</v>
      </c>
      <c r="H33" s="83" t="s">
        <v>149</v>
      </c>
      <c r="I33" s="83"/>
      <c r="J33" s="93"/>
      <c r="K33" s="280"/>
      <c r="L33" s="291"/>
      <c r="M33" s="292"/>
      <c r="P33" s="75" t="s">
        <v>174</v>
      </c>
    </row>
    <row r="34" spans="1:16">
      <c r="A34" s="83">
        <f t="shared" si="1"/>
        <v>28</v>
      </c>
      <c r="B34" s="11" t="s">
        <v>1825</v>
      </c>
      <c r="C34" s="84" t="s">
        <v>1826</v>
      </c>
      <c r="D34" s="88" t="s">
        <v>150</v>
      </c>
      <c r="E34" s="85">
        <v>16</v>
      </c>
      <c r="F34" s="86"/>
      <c r="G34" s="87">
        <f t="shared" si="0"/>
        <v>16</v>
      </c>
      <c r="H34" s="83" t="s">
        <v>149</v>
      </c>
      <c r="I34" s="83"/>
      <c r="J34" s="93"/>
      <c r="K34" s="280"/>
      <c r="L34" s="291"/>
      <c r="M34" s="292"/>
      <c r="P34" s="75" t="s">
        <v>174</v>
      </c>
    </row>
    <row r="35" spans="1:16" ht="48" customHeight="1">
      <c r="A35" s="83">
        <f t="shared" si="1"/>
        <v>29</v>
      </c>
      <c r="B35" s="11" t="s">
        <v>700</v>
      </c>
      <c r="C35" s="84" t="s">
        <v>701</v>
      </c>
      <c r="D35" s="88" t="s">
        <v>150</v>
      </c>
      <c r="E35" s="85">
        <v>3</v>
      </c>
      <c r="F35" s="86"/>
      <c r="G35" s="87">
        <f t="shared" si="0"/>
        <v>3</v>
      </c>
      <c r="H35" s="83" t="s">
        <v>149</v>
      </c>
      <c r="I35" s="83"/>
      <c r="J35" s="93"/>
      <c r="K35" s="280" t="s">
        <v>702</v>
      </c>
      <c r="L35" s="291"/>
      <c r="M35" s="292"/>
    </row>
    <row r="36" spans="1:16">
      <c r="A36" s="83">
        <f t="shared" si="1"/>
        <v>30</v>
      </c>
      <c r="B36" s="11" t="s">
        <v>1827</v>
      </c>
      <c r="C36" s="84" t="s">
        <v>668</v>
      </c>
      <c r="D36" s="88" t="s">
        <v>150</v>
      </c>
      <c r="E36" s="85">
        <v>7</v>
      </c>
      <c r="F36" s="86"/>
      <c r="G36" s="87">
        <f t="shared" si="0"/>
        <v>7</v>
      </c>
      <c r="H36" s="83" t="s">
        <v>149</v>
      </c>
      <c r="I36" s="83"/>
      <c r="J36" s="93"/>
      <c r="K36" s="312" t="s">
        <v>669</v>
      </c>
      <c r="L36" s="312"/>
      <c r="M36" s="312"/>
    </row>
    <row r="37" spans="1:16">
      <c r="A37" s="83">
        <f t="shared" si="1"/>
        <v>31</v>
      </c>
      <c r="B37" s="11" t="s">
        <v>1828</v>
      </c>
      <c r="C37" s="84" t="s">
        <v>826</v>
      </c>
      <c r="D37" s="88" t="s">
        <v>161</v>
      </c>
      <c r="E37" s="85"/>
      <c r="F37" s="86"/>
      <c r="G37" s="87">
        <v>4</v>
      </c>
      <c r="H37" s="83" t="s">
        <v>149</v>
      </c>
      <c r="I37" s="83"/>
      <c r="J37" s="93"/>
      <c r="K37" s="280" t="s">
        <v>1828</v>
      </c>
      <c r="L37" s="291"/>
      <c r="M37" s="292"/>
    </row>
    <row r="38" spans="1:16">
      <c r="A38" s="83">
        <f t="shared" si="1"/>
        <v>32</v>
      </c>
      <c r="B38" s="74" t="s">
        <v>232</v>
      </c>
      <c r="C38" s="84" t="s">
        <v>233</v>
      </c>
      <c r="D38" s="88" t="s">
        <v>234</v>
      </c>
      <c r="E38" s="85"/>
      <c r="F38" s="86"/>
      <c r="G38" s="87">
        <f>IF(D38="DATE",4,IF(D38="CHAR",E38,IF(D38="SMALLINT",2,IF(D38="INTEGER",4,IF(D38="TIMESTAMP",10,IF(D38="TIME",3,0))))))</f>
        <v>10</v>
      </c>
      <c r="H38" s="83" t="s">
        <v>149</v>
      </c>
      <c r="I38" s="83"/>
      <c r="J38" s="93"/>
      <c r="K38" s="274"/>
      <c r="L38" s="275"/>
      <c r="M38" s="276"/>
      <c r="N38" s="99"/>
    </row>
    <row r="39" spans="1:16">
      <c r="A39" s="83">
        <f t="shared" si="1"/>
        <v>33</v>
      </c>
      <c r="B39" s="74" t="s">
        <v>447</v>
      </c>
      <c r="C39" s="84" t="s">
        <v>448</v>
      </c>
      <c r="D39" s="88" t="s">
        <v>234</v>
      </c>
      <c r="E39" s="85"/>
      <c r="F39" s="86"/>
      <c r="G39" s="87">
        <f>IF(D39="DATE",4,IF(D39="CHAR",E39,IF(D39="SMALLINT",2,IF(D39="INTEGER",4,IF(D39="TIMESTAMP",10,IF(D39="TIME",3,0))))))</f>
        <v>10</v>
      </c>
      <c r="H39" s="83" t="s">
        <v>149</v>
      </c>
      <c r="I39" s="83"/>
      <c r="J39" s="93"/>
      <c r="K39" s="274" t="s">
        <v>449</v>
      </c>
      <c r="L39" s="275"/>
      <c r="M39" s="276"/>
    </row>
    <row r="40" spans="1:16">
      <c r="A40" s="83"/>
      <c r="B40" s="11"/>
      <c r="C40" s="84"/>
      <c r="D40" s="88"/>
      <c r="E40" s="85"/>
      <c r="F40" s="86"/>
      <c r="G40" s="87"/>
      <c r="H40" s="83"/>
      <c r="I40" s="83"/>
      <c r="J40" s="93"/>
      <c r="K40" s="280"/>
      <c r="L40" s="291"/>
      <c r="M40" s="292"/>
    </row>
    <row r="41" spans="1:16">
      <c r="A41" s="83"/>
      <c r="B41" s="20"/>
      <c r="C41" s="84"/>
      <c r="D41" s="88"/>
      <c r="E41" s="85"/>
      <c r="F41" s="86"/>
      <c r="G41" s="87"/>
      <c r="H41" s="83"/>
      <c r="I41" s="83"/>
      <c r="J41" s="93"/>
      <c r="K41" s="280"/>
      <c r="L41" s="291"/>
      <c r="M41" s="292"/>
    </row>
    <row r="42" spans="1:16">
      <c r="A42" s="83"/>
      <c r="B42" s="20"/>
      <c r="C42" s="21"/>
      <c r="D42" s="88"/>
      <c r="E42" s="85"/>
      <c r="F42" s="86"/>
      <c r="G42" s="87"/>
      <c r="H42" s="83"/>
      <c r="I42" s="83"/>
      <c r="J42" s="93"/>
      <c r="K42" s="280"/>
      <c r="L42" s="291"/>
      <c r="M42" s="292"/>
    </row>
    <row r="43" spans="1:16">
      <c r="A43" s="83"/>
      <c r="B43" s="20"/>
      <c r="C43" s="21"/>
      <c r="D43" s="88"/>
      <c r="E43" s="85"/>
      <c r="F43" s="86"/>
      <c r="G43" s="87"/>
      <c r="H43" s="83"/>
      <c r="I43" s="83"/>
      <c r="J43" s="93"/>
      <c r="K43" s="280"/>
      <c r="L43" s="291"/>
      <c r="M43" s="292"/>
    </row>
    <row r="44" spans="1:16">
      <c r="A44" s="83"/>
      <c r="B44" s="20"/>
      <c r="C44" s="84"/>
      <c r="D44" s="88"/>
      <c r="E44" s="85"/>
      <c r="F44" s="86"/>
      <c r="G44" s="87"/>
      <c r="H44" s="83"/>
      <c r="I44" s="83"/>
      <c r="J44" s="93"/>
      <c r="K44" s="280"/>
      <c r="L44" s="291"/>
      <c r="M44" s="292"/>
    </row>
    <row r="45" spans="1:16">
      <c r="A45" s="83"/>
      <c r="B45" s="20"/>
      <c r="C45" s="84"/>
      <c r="D45" s="88"/>
      <c r="E45" s="85"/>
      <c r="F45" s="86"/>
      <c r="G45" s="87"/>
      <c r="H45" s="83"/>
      <c r="I45" s="83"/>
      <c r="J45" s="93"/>
      <c r="K45" s="280"/>
      <c r="L45" s="291"/>
      <c r="M45" s="292"/>
    </row>
    <row r="46" spans="1:16">
      <c r="A46" s="83"/>
      <c r="B46" s="20"/>
      <c r="C46" s="84"/>
      <c r="D46" s="88"/>
      <c r="E46" s="85"/>
      <c r="F46" s="86"/>
      <c r="G46" s="87"/>
      <c r="H46" s="83"/>
      <c r="I46" s="83"/>
      <c r="J46" s="93"/>
      <c r="K46" s="280"/>
      <c r="L46" s="291"/>
      <c r="M46" s="292"/>
    </row>
    <row r="47" spans="1:16">
      <c r="A47" s="83"/>
      <c r="B47" s="20"/>
      <c r="C47" s="84"/>
      <c r="D47" s="88"/>
      <c r="E47" s="85"/>
      <c r="F47" s="86"/>
      <c r="G47" s="87"/>
      <c r="H47" s="83"/>
      <c r="I47" s="83"/>
      <c r="J47" s="93"/>
      <c r="K47" s="280"/>
      <c r="L47" s="291"/>
      <c r="M47" s="292"/>
    </row>
    <row r="48" spans="1:16">
      <c r="A48" s="83"/>
      <c r="B48" s="20"/>
      <c r="C48" s="84"/>
      <c r="D48" s="88"/>
      <c r="E48" s="85"/>
      <c r="F48" s="86"/>
      <c r="G48" s="87"/>
      <c r="H48" s="83"/>
      <c r="I48" s="83"/>
      <c r="J48" s="93"/>
      <c r="K48" s="280"/>
      <c r="L48" s="291"/>
      <c r="M48" s="292"/>
    </row>
    <row r="49" spans="1:256" customFormat="1" ht="15" customHeight="1">
      <c r="A49" s="83"/>
      <c r="B49" s="11"/>
      <c r="C49" s="84"/>
      <c r="D49" s="88"/>
      <c r="E49" s="85"/>
      <c r="F49" s="86"/>
      <c r="G49" s="87"/>
      <c r="H49" s="83"/>
      <c r="I49" s="83"/>
      <c r="J49" s="93"/>
      <c r="K49" s="280"/>
      <c r="L49" s="291"/>
      <c r="M49" s="292"/>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c r="FR49" s="75"/>
      <c r="FS49" s="75"/>
      <c r="FT49" s="75"/>
      <c r="FU49" s="75"/>
      <c r="FV49" s="75"/>
      <c r="FW49" s="75"/>
      <c r="FX49" s="75"/>
      <c r="FY49" s="75"/>
      <c r="FZ49" s="75"/>
      <c r="GA49" s="75"/>
      <c r="GB49" s="75"/>
      <c r="GC49" s="75"/>
      <c r="GD49" s="75"/>
      <c r="GE49" s="75"/>
      <c r="GF49" s="75"/>
      <c r="GG49" s="75"/>
      <c r="GH49" s="75"/>
      <c r="GI49" s="75"/>
      <c r="GJ49" s="75"/>
      <c r="GK49" s="75"/>
      <c r="GL49" s="75"/>
      <c r="GM49" s="75"/>
      <c r="GN49" s="75"/>
      <c r="GO49" s="75"/>
      <c r="GP49" s="75"/>
      <c r="GQ49" s="75"/>
      <c r="GR49" s="75"/>
      <c r="GS49" s="75"/>
      <c r="GT49" s="75"/>
      <c r="GU49" s="75"/>
      <c r="GV49" s="75"/>
      <c r="GW49" s="75"/>
      <c r="GX49" s="75"/>
      <c r="GY49" s="75"/>
      <c r="GZ49" s="75"/>
      <c r="HA49" s="75"/>
      <c r="HB49" s="75"/>
      <c r="HC49" s="75"/>
      <c r="HD49" s="75"/>
      <c r="HE49" s="75"/>
      <c r="HF49" s="75"/>
      <c r="HG49" s="75"/>
      <c r="HH49" s="75"/>
      <c r="HI49" s="75"/>
      <c r="HJ49" s="75"/>
      <c r="HK49" s="75"/>
      <c r="HL49" s="75"/>
      <c r="HM49" s="75"/>
      <c r="HN49" s="75"/>
      <c r="HO49" s="75"/>
      <c r="HP49" s="75"/>
      <c r="HQ49" s="75"/>
      <c r="HR49" s="75"/>
      <c r="HS49" s="75"/>
      <c r="HT49" s="75"/>
      <c r="HU49" s="75"/>
      <c r="HV49" s="75"/>
      <c r="HW49" s="75"/>
      <c r="HX49" s="75"/>
      <c r="HY49" s="75"/>
      <c r="HZ49" s="75"/>
      <c r="IA49" s="75"/>
      <c r="IB49" s="75"/>
      <c r="IC49" s="75"/>
      <c r="ID49" s="75"/>
      <c r="IE49" s="75"/>
      <c r="IF49" s="75"/>
      <c r="IG49" s="75"/>
      <c r="IH49" s="75"/>
      <c r="II49" s="75"/>
      <c r="IJ49" s="75"/>
      <c r="IK49" s="75"/>
      <c r="IL49" s="75"/>
      <c r="IM49" s="75"/>
      <c r="IN49" s="75"/>
      <c r="IO49" s="75"/>
      <c r="IP49" s="75"/>
      <c r="IQ49" s="75"/>
      <c r="IR49" s="75"/>
      <c r="IS49" s="75"/>
      <c r="IT49" s="75"/>
      <c r="IU49" s="75"/>
      <c r="IV49" s="75"/>
    </row>
    <row r="50" spans="1:256" customFormat="1" ht="13.5">
      <c r="A50" s="83"/>
      <c r="B50" s="74"/>
      <c r="C50" s="84"/>
      <c r="D50" s="88"/>
      <c r="E50" s="85"/>
      <c r="F50" s="86"/>
      <c r="G50" s="87"/>
      <c r="H50" s="83"/>
      <c r="I50" s="83"/>
      <c r="J50" s="93"/>
      <c r="K50" s="280"/>
      <c r="L50" s="275"/>
      <c r="M50" s="276"/>
      <c r="N50" s="99"/>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c r="FR50" s="75"/>
      <c r="FS50" s="75"/>
      <c r="FT50" s="75"/>
      <c r="FU50" s="75"/>
      <c r="FV50" s="75"/>
      <c r="FW50" s="75"/>
      <c r="FX50" s="75"/>
      <c r="FY50" s="75"/>
      <c r="FZ50" s="75"/>
      <c r="GA50" s="75"/>
      <c r="GB50" s="75"/>
      <c r="GC50" s="75"/>
      <c r="GD50" s="75"/>
      <c r="GE50" s="75"/>
      <c r="GF50" s="75"/>
      <c r="GG50" s="75"/>
      <c r="GH50" s="75"/>
      <c r="GI50" s="75"/>
      <c r="GJ50" s="75"/>
      <c r="GK50" s="75"/>
      <c r="GL50" s="75"/>
      <c r="GM50" s="75"/>
      <c r="GN50" s="75"/>
      <c r="GO50" s="75"/>
      <c r="GP50" s="75"/>
      <c r="GQ50" s="75"/>
      <c r="GR50" s="75"/>
      <c r="GS50" s="75"/>
      <c r="GT50" s="75"/>
      <c r="GU50" s="75"/>
      <c r="GV50" s="75"/>
      <c r="GW50" s="75"/>
      <c r="GX50" s="75"/>
      <c r="GY50" s="75"/>
      <c r="GZ50" s="75"/>
      <c r="HA50" s="75"/>
      <c r="HB50" s="75"/>
      <c r="HC50" s="75"/>
      <c r="HD50" s="75"/>
      <c r="HE50" s="75"/>
      <c r="HF50" s="75"/>
      <c r="HG50" s="75"/>
      <c r="HH50" s="75"/>
      <c r="HI50" s="75"/>
      <c r="HJ50" s="75"/>
      <c r="HK50" s="75"/>
      <c r="HL50" s="75"/>
      <c r="HM50" s="75"/>
      <c r="HN50" s="75"/>
      <c r="HO50" s="75"/>
      <c r="HP50" s="75"/>
      <c r="HQ50" s="75"/>
      <c r="HR50" s="75"/>
      <c r="HS50" s="75"/>
      <c r="HT50" s="75"/>
      <c r="HU50" s="75"/>
      <c r="HV50" s="75"/>
      <c r="HW50" s="75"/>
      <c r="HX50" s="75"/>
      <c r="HY50" s="75"/>
      <c r="HZ50" s="75"/>
      <c r="IA50" s="75"/>
      <c r="IB50" s="75"/>
      <c r="IC50" s="75"/>
      <c r="ID50" s="75"/>
      <c r="IE50" s="75"/>
      <c r="IF50" s="75"/>
      <c r="IG50" s="75"/>
      <c r="IH50" s="75"/>
      <c r="II50" s="75"/>
      <c r="IJ50" s="75"/>
      <c r="IK50" s="75"/>
      <c r="IL50" s="75"/>
      <c r="IM50" s="75"/>
      <c r="IN50" s="75"/>
      <c r="IO50" s="75"/>
      <c r="IP50" s="75"/>
      <c r="IQ50" s="75"/>
      <c r="IR50" s="75"/>
      <c r="IS50" s="75"/>
      <c r="IT50" s="75"/>
      <c r="IU50" s="75"/>
      <c r="IV50" s="75"/>
    </row>
    <row r="51" spans="1:256" customFormat="1" ht="13.5">
      <c r="A51" s="83"/>
      <c r="B51" s="74"/>
      <c r="C51" s="84"/>
      <c r="D51" s="88"/>
      <c r="E51" s="85"/>
      <c r="F51" s="86"/>
      <c r="G51" s="87"/>
      <c r="H51" s="83"/>
      <c r="I51" s="83"/>
      <c r="J51" s="93"/>
      <c r="K51" s="274"/>
      <c r="L51" s="275"/>
      <c r="M51" s="276"/>
      <c r="N51" s="99"/>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c r="FR51" s="75"/>
      <c r="FS51" s="75"/>
      <c r="FT51" s="75"/>
      <c r="FU51" s="75"/>
      <c r="FV51" s="75"/>
      <c r="FW51" s="75"/>
      <c r="FX51" s="75"/>
      <c r="FY51" s="75"/>
      <c r="FZ51" s="75"/>
      <c r="GA51" s="75"/>
      <c r="GB51" s="75"/>
      <c r="GC51" s="75"/>
      <c r="GD51" s="75"/>
      <c r="GE51" s="75"/>
      <c r="GF51" s="75"/>
      <c r="GG51" s="75"/>
      <c r="GH51" s="75"/>
      <c r="GI51" s="75"/>
      <c r="GJ51" s="75"/>
      <c r="GK51" s="75"/>
      <c r="GL51" s="75"/>
      <c r="GM51" s="75"/>
      <c r="GN51" s="75"/>
      <c r="GO51" s="75"/>
      <c r="GP51" s="75"/>
      <c r="GQ51" s="75"/>
      <c r="GR51" s="75"/>
      <c r="GS51" s="75"/>
      <c r="GT51" s="75"/>
      <c r="GU51" s="75"/>
      <c r="GV51" s="75"/>
      <c r="GW51" s="75"/>
      <c r="GX51" s="75"/>
      <c r="GY51" s="75"/>
      <c r="GZ51" s="75"/>
      <c r="HA51" s="75"/>
      <c r="HB51" s="75"/>
      <c r="HC51" s="75"/>
      <c r="HD51" s="75"/>
      <c r="HE51" s="75"/>
      <c r="HF51" s="75"/>
      <c r="HG51" s="75"/>
      <c r="HH51" s="75"/>
      <c r="HI51" s="75"/>
      <c r="HJ51" s="75"/>
      <c r="HK51" s="75"/>
      <c r="HL51" s="75"/>
      <c r="HM51" s="75"/>
      <c r="HN51" s="75"/>
      <c r="HO51" s="75"/>
      <c r="HP51" s="75"/>
      <c r="HQ51" s="75"/>
      <c r="HR51" s="75"/>
      <c r="HS51" s="75"/>
      <c r="HT51" s="75"/>
      <c r="HU51" s="75"/>
      <c r="HV51" s="75"/>
      <c r="HW51" s="75"/>
      <c r="HX51" s="75"/>
      <c r="HY51" s="75"/>
      <c r="HZ51" s="75"/>
      <c r="IA51" s="75"/>
      <c r="IB51" s="75"/>
      <c r="IC51" s="75"/>
      <c r="ID51" s="75"/>
      <c r="IE51" s="75"/>
      <c r="IF51" s="75"/>
      <c r="IG51" s="75"/>
      <c r="IH51" s="75"/>
      <c r="II51" s="75"/>
      <c r="IJ51" s="75"/>
      <c r="IK51" s="75"/>
      <c r="IL51" s="75"/>
      <c r="IM51" s="75"/>
      <c r="IN51" s="75"/>
      <c r="IO51" s="75"/>
      <c r="IP51" s="75"/>
      <c r="IQ51" s="75"/>
      <c r="IR51" s="75"/>
      <c r="IS51" s="75"/>
      <c r="IT51" s="75"/>
      <c r="IU51" s="75"/>
      <c r="IV51" s="75"/>
    </row>
    <row r="52" spans="1:256">
      <c r="A52" s="83"/>
      <c r="B52" s="11"/>
      <c r="C52" s="84"/>
      <c r="D52" s="88"/>
      <c r="E52" s="85"/>
      <c r="F52" s="86"/>
      <c r="G52" s="87"/>
      <c r="H52" s="83"/>
      <c r="I52" s="83"/>
      <c r="J52" s="93"/>
      <c r="K52" s="274"/>
      <c r="L52" s="275"/>
      <c r="M52" s="276"/>
    </row>
    <row r="53" spans="1:256">
      <c r="A53" s="83"/>
      <c r="B53" s="11"/>
      <c r="C53" s="84"/>
      <c r="D53" s="88"/>
      <c r="E53" s="85"/>
      <c r="F53" s="86"/>
      <c r="G53" s="87"/>
      <c r="H53" s="83"/>
      <c r="I53" s="83"/>
      <c r="J53" s="93"/>
      <c r="K53" s="274"/>
      <c r="L53" s="275"/>
      <c r="M53" s="276"/>
    </row>
    <row r="54" spans="1:256">
      <c r="A54" s="83"/>
      <c r="B54" s="11"/>
      <c r="C54" s="84"/>
      <c r="D54" s="88"/>
      <c r="E54" s="85"/>
      <c r="F54" s="86"/>
      <c r="G54" s="87"/>
      <c r="H54" s="83"/>
      <c r="I54" s="83"/>
      <c r="J54" s="93"/>
      <c r="K54" s="274"/>
      <c r="L54" s="275"/>
      <c r="M54" s="276"/>
    </row>
    <row r="55" spans="1:256">
      <c r="A55" s="83"/>
      <c r="B55" s="11"/>
      <c r="C55" s="84"/>
      <c r="D55" s="88"/>
      <c r="E55" s="85"/>
      <c r="F55" s="86"/>
      <c r="G55" s="87"/>
      <c r="H55" s="83"/>
      <c r="I55" s="83"/>
      <c r="J55" s="93"/>
      <c r="K55" s="274"/>
      <c r="L55" s="275"/>
      <c r="M55" s="276"/>
    </row>
    <row r="56" spans="1:256">
      <c r="A56" s="83"/>
      <c r="B56" s="20"/>
      <c r="C56" s="84"/>
      <c r="D56" s="88"/>
      <c r="E56" s="85"/>
      <c r="F56" s="86"/>
      <c r="G56" s="87"/>
      <c r="H56" s="83"/>
      <c r="I56" s="83"/>
      <c r="J56" s="93"/>
      <c r="K56" s="280"/>
      <c r="L56" s="291"/>
      <c r="M56" s="292"/>
    </row>
    <row r="57" spans="1:256">
      <c r="A57" s="83"/>
      <c r="B57" s="20"/>
      <c r="C57" s="84"/>
      <c r="D57" s="88"/>
      <c r="E57" s="85"/>
      <c r="F57" s="86"/>
      <c r="G57" s="87"/>
      <c r="H57" s="83"/>
      <c r="I57" s="83"/>
      <c r="J57" s="93"/>
      <c r="K57" s="280"/>
      <c r="L57" s="291"/>
      <c r="M57" s="292"/>
    </row>
    <row r="58" spans="1:256">
      <c r="A58" s="83"/>
      <c r="B58" s="20"/>
      <c r="C58" s="84"/>
      <c r="D58" s="88"/>
      <c r="E58" s="85"/>
      <c r="F58" s="86"/>
      <c r="G58" s="87"/>
      <c r="H58" s="83"/>
      <c r="I58" s="83"/>
      <c r="J58" s="93"/>
      <c r="K58" s="280"/>
      <c r="L58" s="291"/>
      <c r="M58" s="292"/>
    </row>
    <row r="59" spans="1:256">
      <c r="A59" s="83"/>
      <c r="B59" s="11"/>
      <c r="C59" s="84"/>
      <c r="D59" s="88"/>
      <c r="E59" s="85"/>
      <c r="F59" s="86"/>
      <c r="G59" s="87"/>
      <c r="H59" s="83"/>
      <c r="I59" s="83"/>
      <c r="J59" s="93"/>
      <c r="K59" s="274"/>
      <c r="L59" s="275"/>
      <c r="M59" s="276"/>
    </row>
    <row r="60" spans="1:256">
      <c r="B60" s="75" t="s">
        <v>235</v>
      </c>
    </row>
    <row r="100" spans="2:5">
      <c r="C100" s="3"/>
    </row>
    <row r="102" spans="2:5">
      <c r="C102" s="3"/>
    </row>
    <row r="105" spans="2:5">
      <c r="B105" s="100"/>
    </row>
    <row r="107" spans="2:5">
      <c r="B107" s="100"/>
      <c r="D107" s="101"/>
      <c r="E107" s="101"/>
    </row>
    <row r="108" spans="2:5">
      <c r="D108" s="101"/>
      <c r="E108" s="101"/>
    </row>
    <row r="109" spans="2:5">
      <c r="D109" s="101"/>
      <c r="E109" s="101"/>
    </row>
    <row r="110" spans="2:5">
      <c r="D110" s="101"/>
      <c r="E110" s="101"/>
    </row>
    <row r="111" spans="2:5">
      <c r="D111" s="101"/>
      <c r="E111" s="101"/>
    </row>
    <row r="112" spans="2:5">
      <c r="D112" s="101"/>
      <c r="E112" s="101"/>
    </row>
    <row r="113" spans="2:7">
      <c r="D113" s="101"/>
      <c r="E113" s="101"/>
    </row>
    <row r="114" spans="2:7">
      <c r="D114" s="101"/>
      <c r="E114" s="101"/>
    </row>
    <row r="117" spans="2:7">
      <c r="C117" s="102"/>
      <c r="D117" s="102"/>
      <c r="E117" s="102"/>
      <c r="G117" s="75" t="s">
        <v>838</v>
      </c>
    </row>
    <row r="119" spans="2:7">
      <c r="B119" s="100"/>
    </row>
  </sheetData>
  <mergeCells count="65">
    <mergeCell ref="K5:M6"/>
    <mergeCell ref="K29:M31"/>
    <mergeCell ref="K55:M55"/>
    <mergeCell ref="K56:M56"/>
    <mergeCell ref="K57:M57"/>
    <mergeCell ref="K58:M58"/>
    <mergeCell ref="K59:M59"/>
    <mergeCell ref="K50:M50"/>
    <mergeCell ref="K51:M51"/>
    <mergeCell ref="K52:M52"/>
    <mergeCell ref="K53:M53"/>
    <mergeCell ref="K54:M54"/>
    <mergeCell ref="K45:M45"/>
    <mergeCell ref="K46:M46"/>
    <mergeCell ref="K47:M47"/>
    <mergeCell ref="K48:M48"/>
    <mergeCell ref="K49:M49"/>
    <mergeCell ref="K40:M40"/>
    <mergeCell ref="K41:M41"/>
    <mergeCell ref="K42:M42"/>
    <mergeCell ref="K43:M43"/>
    <mergeCell ref="K44:M44"/>
    <mergeCell ref="K35:M35"/>
    <mergeCell ref="K36:M36"/>
    <mergeCell ref="K37:M37"/>
    <mergeCell ref="K38:M38"/>
    <mergeCell ref="K39:M39"/>
    <mergeCell ref="K27:M27"/>
    <mergeCell ref="K28:M28"/>
    <mergeCell ref="K32:M32"/>
    <mergeCell ref="K33:M33"/>
    <mergeCell ref="K34:M34"/>
    <mergeCell ref="K22:M22"/>
    <mergeCell ref="K23:M23"/>
    <mergeCell ref="K24:M24"/>
    <mergeCell ref="K25:M25"/>
    <mergeCell ref="K26:M26"/>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5:A6"/>
    <mergeCell ref="A2:B2"/>
    <mergeCell ref="C2:G2"/>
    <mergeCell ref="H2:J2"/>
    <mergeCell ref="A3:B3"/>
    <mergeCell ref="C3:G3"/>
    <mergeCell ref="H3:I3"/>
  </mergeCells>
  <phoneticPr fontId="22"/>
  <pageMargins left="0.78680555555555598" right="0.196527777777778" top="0.59027777777777801" bottom="0.59027777777777801" header="0.51111111111111096" footer="0.39305555555555599"/>
  <pageSetup paperSize="9" scale="76" fitToHeight="0" orientation="portrait"/>
  <headerFooter scaleWithDoc="0" alignWithMargins="0">
    <oddFooter>&amp;C&amp;10&amp;P/&amp;N&amp;R&amp;10&amp;A</oddFooter>
  </headerFooter>
  <legacy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WVY120"/>
  <sheetViews>
    <sheetView workbookViewId="0"/>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spans="1:16" ht="12" customHeight="1">
      <c r="B1" s="3"/>
    </row>
    <row r="2" spans="1:16" ht="12" customHeight="1">
      <c r="A2" s="441" t="s">
        <v>136</v>
      </c>
      <c r="B2" s="442"/>
      <c r="C2" s="441" t="s">
        <v>1</v>
      </c>
      <c r="D2" s="443"/>
      <c r="E2" s="443"/>
      <c r="F2" s="443"/>
      <c r="G2" s="442"/>
      <c r="H2" s="441"/>
      <c r="I2" s="443"/>
      <c r="J2" s="442"/>
      <c r="K2" s="24"/>
      <c r="L2" s="5" t="s">
        <v>137</v>
      </c>
      <c r="M2" s="5" t="s">
        <v>138</v>
      </c>
    </row>
    <row r="3" spans="1:16" ht="12" customHeight="1">
      <c r="A3" s="444"/>
      <c r="B3" s="445"/>
      <c r="C3" s="446" t="s">
        <v>1829</v>
      </c>
      <c r="D3" s="447"/>
      <c r="E3" s="447"/>
      <c r="F3" s="447"/>
      <c r="G3" s="448"/>
      <c r="H3" s="441" t="s">
        <v>140</v>
      </c>
      <c r="I3" s="442"/>
      <c r="J3" s="25">
        <f>COUNT(A7:A55)</f>
        <v>28</v>
      </c>
      <c r="K3" s="5" t="s">
        <v>141</v>
      </c>
      <c r="L3" s="26">
        <v>44126</v>
      </c>
      <c r="M3" s="27" t="s">
        <v>1810</v>
      </c>
      <c r="O3" s="2" t="s">
        <v>143</v>
      </c>
      <c r="P3" s="2" t="s">
        <v>144</v>
      </c>
    </row>
    <row r="4" spans="1:16" ht="12" customHeight="1">
      <c r="A4" s="449" t="s">
        <v>145</v>
      </c>
      <c r="B4" s="450"/>
      <c r="C4" s="449" t="s">
        <v>92</v>
      </c>
      <c r="D4" s="451"/>
      <c r="E4" s="451"/>
      <c r="F4" s="451"/>
      <c r="G4" s="450"/>
      <c r="H4" s="441" t="s">
        <v>146</v>
      </c>
      <c r="I4" s="442"/>
      <c r="J4" s="25">
        <f>SUM(G7:G55)</f>
        <v>184</v>
      </c>
      <c r="K4" s="5" t="s">
        <v>147</v>
      </c>
      <c r="L4" s="26"/>
      <c r="M4" s="27"/>
      <c r="O4" s="2" t="s">
        <v>149</v>
      </c>
      <c r="P4" s="2" t="s">
        <v>150</v>
      </c>
    </row>
    <row r="5" spans="1:16" ht="12" customHeight="1">
      <c r="A5" s="456" t="s">
        <v>0</v>
      </c>
      <c r="B5" s="441" t="s">
        <v>151</v>
      </c>
      <c r="C5" s="443"/>
      <c r="D5" s="452" t="s">
        <v>152</v>
      </c>
      <c r="E5" s="443"/>
      <c r="F5" s="443"/>
      <c r="G5" s="443"/>
      <c r="H5" s="443"/>
      <c r="I5" s="441" t="s">
        <v>153</v>
      </c>
      <c r="J5" s="442"/>
      <c r="K5" s="458" t="s">
        <v>4</v>
      </c>
      <c r="L5" s="459"/>
      <c r="M5" s="460"/>
      <c r="P5" s="2" t="s">
        <v>154</v>
      </c>
    </row>
    <row r="6" spans="1:16" ht="12" customHeight="1">
      <c r="A6" s="457"/>
      <c r="B6" s="5" t="s">
        <v>5</v>
      </c>
      <c r="C6" s="6" t="s">
        <v>6</v>
      </c>
      <c r="D6" s="7" t="s">
        <v>144</v>
      </c>
      <c r="E6" s="8" t="s">
        <v>155</v>
      </c>
      <c r="F6" s="9" t="s">
        <v>156</v>
      </c>
      <c r="G6" s="5" t="s">
        <v>157</v>
      </c>
      <c r="H6" s="4" t="s">
        <v>158</v>
      </c>
      <c r="I6" s="4" t="s">
        <v>159</v>
      </c>
      <c r="J6" s="4" t="s">
        <v>160</v>
      </c>
      <c r="K6" s="461"/>
      <c r="L6" s="462"/>
      <c r="M6" s="463"/>
      <c r="P6" s="2" t="s">
        <v>161</v>
      </c>
    </row>
    <row r="7" spans="1:16" ht="12" customHeight="1">
      <c r="A7" s="10">
        <v>1</v>
      </c>
      <c r="B7" s="11" t="s">
        <v>812</v>
      </c>
      <c r="C7" s="12" t="s">
        <v>813</v>
      </c>
      <c r="D7" s="13" t="s">
        <v>164</v>
      </c>
      <c r="E7" s="14"/>
      <c r="F7" s="15"/>
      <c r="G7" s="16">
        <f>IF(D7="DATE",4,IF(D7="CHAR",E7,IF(D7="SMALLINT",2,IF(D7="INTEGER",4,IF(D7="TIMESTAMP",10,IF(D7="TIME",3,0))))))</f>
        <v>4</v>
      </c>
      <c r="H7" s="10" t="s">
        <v>149</v>
      </c>
      <c r="I7" s="10" t="s">
        <v>149</v>
      </c>
      <c r="J7" s="28"/>
      <c r="K7" s="308"/>
      <c r="L7" s="278"/>
      <c r="M7" s="279"/>
      <c r="P7" s="2" t="s">
        <v>165</v>
      </c>
    </row>
    <row r="8" spans="1:16" ht="12" customHeight="1">
      <c r="A8" s="10">
        <f t="shared" ref="A8:A55" si="0">IF(B8=""," ",A7+1)</f>
        <v>2</v>
      </c>
      <c r="B8" s="11" t="s">
        <v>460</v>
      </c>
      <c r="C8" s="12" t="s">
        <v>461</v>
      </c>
      <c r="D8" s="13" t="s">
        <v>164</v>
      </c>
      <c r="E8" s="14">
        <v>11</v>
      </c>
      <c r="F8" s="15"/>
      <c r="G8" s="16">
        <f>IF(D8="DATE",4,IF(D8="CHAR",E8,IF(D8="SMALLINT",2,IF(D8="INTEGER",4,IF(D8="TIMESTAMP",10,IF(D8="TIME",3,0))))))</f>
        <v>4</v>
      </c>
      <c r="H8" s="10" t="s">
        <v>149</v>
      </c>
      <c r="I8" s="10" t="s">
        <v>149</v>
      </c>
      <c r="J8" s="28"/>
      <c r="K8" s="308"/>
      <c r="L8" s="278"/>
      <c r="M8" s="279"/>
    </row>
    <row r="9" spans="1:16" ht="12" customHeight="1">
      <c r="A9" s="10">
        <f t="shared" si="0"/>
        <v>3</v>
      </c>
      <c r="B9" s="17" t="s">
        <v>462</v>
      </c>
      <c r="C9" s="12" t="s">
        <v>463</v>
      </c>
      <c r="D9" s="18" t="s">
        <v>150</v>
      </c>
      <c r="E9" s="14">
        <v>13</v>
      </c>
      <c r="F9" s="15"/>
      <c r="G9" s="16">
        <f>IF(D9="DATE",4,IF(D9="CHAR",E9,IF(D9="SMALLINT",2,IF(D9="INTEGER",4,IF(D9="TIMESTAMP",10,IF(D9="TIME",3,0))))))</f>
        <v>13</v>
      </c>
      <c r="H9" s="10" t="s">
        <v>149</v>
      </c>
      <c r="I9" s="10" t="s">
        <v>149</v>
      </c>
      <c r="J9" s="28"/>
      <c r="K9" s="453"/>
      <c r="L9" s="454"/>
      <c r="M9" s="455"/>
    </row>
    <row r="10" spans="1:16">
      <c r="A10" s="10">
        <f t="shared" si="0"/>
        <v>4</v>
      </c>
      <c r="B10" s="54" t="s">
        <v>646</v>
      </c>
      <c r="C10" s="12" t="s">
        <v>1830</v>
      </c>
      <c r="D10" s="18" t="s">
        <v>150</v>
      </c>
      <c r="E10" s="14">
        <v>16</v>
      </c>
      <c r="F10" s="15"/>
      <c r="G10" s="16">
        <f t="shared" ref="G10:G34" si="1">IF(D10="DATE",4,IF(D10="CHAR",E10,IF(D10="SMALLINT",2,IF(D10="INTEGER",4,IF(D10="TIMESTAMP",10,IF(D10="TIME",3,0))))))</f>
        <v>16</v>
      </c>
      <c r="H10" s="10" t="s">
        <v>149</v>
      </c>
      <c r="I10" s="10" t="s">
        <v>149</v>
      </c>
      <c r="J10" s="28"/>
      <c r="K10" s="453"/>
      <c r="L10" s="454"/>
      <c r="M10" s="455"/>
    </row>
    <row r="11" spans="1:16">
      <c r="A11" s="10">
        <f t="shared" si="0"/>
        <v>5</v>
      </c>
      <c r="B11" s="57" t="s">
        <v>596</v>
      </c>
      <c r="C11" s="12" t="s">
        <v>597</v>
      </c>
      <c r="D11" s="18" t="s">
        <v>150</v>
      </c>
      <c r="E11" s="14">
        <v>7</v>
      </c>
      <c r="F11" s="15"/>
      <c r="G11" s="16">
        <f t="shared" si="1"/>
        <v>7</v>
      </c>
      <c r="H11" s="10" t="s">
        <v>149</v>
      </c>
      <c r="I11" s="10" t="s">
        <v>149</v>
      </c>
      <c r="J11" s="28"/>
      <c r="K11" s="271"/>
      <c r="L11" s="278"/>
      <c r="M11" s="279"/>
    </row>
    <row r="12" spans="1:16">
      <c r="A12" s="10">
        <f t="shared" si="0"/>
        <v>6</v>
      </c>
      <c r="B12" s="57" t="s">
        <v>744</v>
      </c>
      <c r="C12" s="12" t="s">
        <v>745</v>
      </c>
      <c r="D12" s="18" t="s">
        <v>174</v>
      </c>
      <c r="E12" s="14"/>
      <c r="F12" s="15"/>
      <c r="G12" s="16">
        <f t="shared" si="1"/>
        <v>2</v>
      </c>
      <c r="H12" s="10" t="s">
        <v>149</v>
      </c>
      <c r="I12" s="10" t="s">
        <v>149</v>
      </c>
      <c r="J12" s="28"/>
      <c r="K12" s="453"/>
      <c r="L12" s="454"/>
      <c r="M12" s="455"/>
    </row>
    <row r="13" spans="1:16">
      <c r="A13" s="10">
        <f t="shared" si="0"/>
        <v>7</v>
      </c>
      <c r="B13" s="54" t="s">
        <v>1831</v>
      </c>
      <c r="C13" s="12" t="s">
        <v>1832</v>
      </c>
      <c r="D13" s="18" t="s">
        <v>174</v>
      </c>
      <c r="E13" s="14"/>
      <c r="F13" s="15"/>
      <c r="G13" s="16">
        <f t="shared" si="1"/>
        <v>2</v>
      </c>
      <c r="H13" s="10" t="s">
        <v>149</v>
      </c>
      <c r="I13" s="10" t="s">
        <v>149</v>
      </c>
      <c r="J13" s="28"/>
      <c r="K13" s="453"/>
      <c r="L13" s="454"/>
      <c r="M13" s="455"/>
      <c r="P13" s="2" t="s">
        <v>165</v>
      </c>
    </row>
    <row r="14" spans="1:16">
      <c r="A14" s="10">
        <f t="shared" si="0"/>
        <v>8</v>
      </c>
      <c r="B14" s="57" t="s">
        <v>243</v>
      </c>
      <c r="C14" s="12" t="s">
        <v>244</v>
      </c>
      <c r="D14" s="18" t="s">
        <v>150</v>
      </c>
      <c r="E14" s="14">
        <v>7</v>
      </c>
      <c r="F14" s="15"/>
      <c r="G14" s="16">
        <f t="shared" si="1"/>
        <v>7</v>
      </c>
      <c r="H14" s="10" t="s">
        <v>149</v>
      </c>
      <c r="I14" s="10"/>
      <c r="J14" s="28"/>
      <c r="K14" s="453"/>
      <c r="L14" s="454"/>
      <c r="M14" s="455"/>
    </row>
    <row r="15" spans="1:16">
      <c r="A15" s="10">
        <f t="shared" si="0"/>
        <v>9</v>
      </c>
      <c r="B15" s="11" t="s">
        <v>1833</v>
      </c>
      <c r="C15" s="19" t="s">
        <v>1834</v>
      </c>
      <c r="D15" s="18" t="s">
        <v>161</v>
      </c>
      <c r="E15" s="14"/>
      <c r="F15" s="15"/>
      <c r="G15" s="16">
        <f t="shared" si="1"/>
        <v>4</v>
      </c>
      <c r="H15" s="10" t="s">
        <v>149</v>
      </c>
      <c r="I15" s="10"/>
      <c r="J15" s="28"/>
      <c r="K15" s="271"/>
      <c r="L15" s="272"/>
      <c r="M15" s="273"/>
    </row>
    <row r="16" spans="1:16">
      <c r="A16" s="10">
        <f t="shared" si="0"/>
        <v>10</v>
      </c>
      <c r="B16" s="54" t="s">
        <v>162</v>
      </c>
      <c r="C16" s="12" t="s">
        <v>163</v>
      </c>
      <c r="D16" s="18" t="s">
        <v>164</v>
      </c>
      <c r="E16" s="14"/>
      <c r="F16" s="15"/>
      <c r="G16" s="16">
        <f t="shared" si="1"/>
        <v>4</v>
      </c>
      <c r="H16" s="10" t="s">
        <v>149</v>
      </c>
      <c r="I16" s="10"/>
      <c r="J16" s="28"/>
      <c r="K16" s="308"/>
      <c r="L16" s="278"/>
      <c r="M16" s="279"/>
    </row>
    <row r="17" spans="1:16">
      <c r="A17" s="10">
        <f t="shared" si="0"/>
        <v>11</v>
      </c>
      <c r="B17" s="54" t="s">
        <v>166</v>
      </c>
      <c r="C17" s="12" t="s">
        <v>167</v>
      </c>
      <c r="D17" s="18" t="s">
        <v>150</v>
      </c>
      <c r="E17" s="14">
        <v>11</v>
      </c>
      <c r="F17" s="15"/>
      <c r="G17" s="16">
        <f t="shared" si="1"/>
        <v>11</v>
      </c>
      <c r="H17" s="10" t="s">
        <v>149</v>
      </c>
      <c r="I17" s="10"/>
      <c r="J17" s="28"/>
      <c r="K17" s="453"/>
      <c r="L17" s="454"/>
      <c r="M17" s="455"/>
    </row>
    <row r="18" spans="1:16">
      <c r="A18" s="10">
        <f t="shared" si="0"/>
        <v>12</v>
      </c>
      <c r="B18" s="17" t="s">
        <v>995</v>
      </c>
      <c r="C18" s="21" t="s">
        <v>996</v>
      </c>
      <c r="D18" s="18" t="s">
        <v>150</v>
      </c>
      <c r="E18" s="14">
        <v>12</v>
      </c>
      <c r="F18" s="15"/>
      <c r="G18" s="16">
        <f t="shared" si="1"/>
        <v>12</v>
      </c>
      <c r="H18" s="10" t="s">
        <v>149</v>
      </c>
      <c r="I18" s="10"/>
      <c r="J18" s="28"/>
      <c r="K18" s="308"/>
      <c r="L18" s="278"/>
      <c r="M18" s="279"/>
    </row>
    <row r="19" spans="1:16">
      <c r="A19" s="10">
        <f t="shared" si="0"/>
        <v>13</v>
      </c>
      <c r="B19" s="17" t="s">
        <v>999</v>
      </c>
      <c r="C19" s="21" t="s">
        <v>1000</v>
      </c>
      <c r="D19" s="18" t="s">
        <v>150</v>
      </c>
      <c r="E19" s="14">
        <v>24</v>
      </c>
      <c r="F19" s="15"/>
      <c r="G19" s="16">
        <f t="shared" si="1"/>
        <v>24</v>
      </c>
      <c r="H19" s="10" t="s">
        <v>149</v>
      </c>
      <c r="I19" s="10"/>
      <c r="J19" s="28"/>
      <c r="K19" s="308"/>
      <c r="L19" s="278"/>
      <c r="M19" s="279"/>
      <c r="P19" s="2" t="s">
        <v>174</v>
      </c>
    </row>
    <row r="20" spans="1:16">
      <c r="A20" s="10">
        <f t="shared" si="0"/>
        <v>14</v>
      </c>
      <c r="B20" s="11" t="s">
        <v>1003</v>
      </c>
      <c r="C20" s="21" t="s">
        <v>1004</v>
      </c>
      <c r="D20" s="18" t="s">
        <v>150</v>
      </c>
      <c r="E20" s="14">
        <v>2</v>
      </c>
      <c r="F20" s="15"/>
      <c r="G20" s="16">
        <f t="shared" si="1"/>
        <v>2</v>
      </c>
      <c r="H20" s="10" t="s">
        <v>149</v>
      </c>
      <c r="I20" s="10"/>
      <c r="J20" s="28"/>
      <c r="K20" s="308"/>
      <c r="L20" s="278"/>
      <c r="M20" s="279"/>
    </row>
    <row r="21" spans="1:16">
      <c r="A21" s="10">
        <f t="shared" si="0"/>
        <v>15</v>
      </c>
      <c r="B21" s="11" t="s">
        <v>1007</v>
      </c>
      <c r="C21" s="12" t="s">
        <v>1008</v>
      </c>
      <c r="D21" s="18" t="s">
        <v>150</v>
      </c>
      <c r="E21" s="14">
        <v>3</v>
      </c>
      <c r="F21" s="15"/>
      <c r="G21" s="16">
        <f t="shared" si="1"/>
        <v>3</v>
      </c>
      <c r="H21" s="10" t="s">
        <v>149</v>
      </c>
      <c r="I21" s="10"/>
      <c r="J21" s="28"/>
      <c r="K21" s="453"/>
      <c r="L21" s="454"/>
      <c r="M21" s="455"/>
      <c r="P21" s="2" t="s">
        <v>195</v>
      </c>
    </row>
    <row r="22" spans="1:16">
      <c r="A22" s="10">
        <f t="shared" si="0"/>
        <v>16</v>
      </c>
      <c r="B22" s="11" t="s">
        <v>1175</v>
      </c>
      <c r="C22" s="12" t="s">
        <v>1176</v>
      </c>
      <c r="D22" s="18" t="s">
        <v>150</v>
      </c>
      <c r="E22" s="14">
        <v>24</v>
      </c>
      <c r="F22" s="15"/>
      <c r="G22" s="16">
        <f t="shared" si="1"/>
        <v>24</v>
      </c>
      <c r="H22" s="10" t="s">
        <v>149</v>
      </c>
      <c r="I22" s="10"/>
      <c r="J22" s="28"/>
      <c r="K22" s="271"/>
      <c r="L22" s="272"/>
      <c r="M22" s="273"/>
    </row>
    <row r="23" spans="1:16">
      <c r="A23" s="10">
        <f t="shared" si="0"/>
        <v>17</v>
      </c>
      <c r="B23" s="20" t="s">
        <v>291</v>
      </c>
      <c r="C23" s="12" t="s">
        <v>292</v>
      </c>
      <c r="D23" s="18" t="s">
        <v>150</v>
      </c>
      <c r="E23" s="14">
        <v>1</v>
      </c>
      <c r="F23" s="15"/>
      <c r="G23" s="16">
        <f t="shared" si="1"/>
        <v>1</v>
      </c>
      <c r="H23" s="10" t="s">
        <v>149</v>
      </c>
      <c r="I23" s="10"/>
      <c r="J23" s="28"/>
      <c r="K23" s="332"/>
      <c r="L23" s="333"/>
      <c r="M23" s="334"/>
      <c r="P23" s="2" t="s">
        <v>195</v>
      </c>
    </row>
    <row r="24" spans="1:16">
      <c r="A24" s="10">
        <f t="shared" si="0"/>
        <v>18</v>
      </c>
      <c r="B24" s="20" t="s">
        <v>300</v>
      </c>
      <c r="C24" s="22" t="s">
        <v>1835</v>
      </c>
      <c r="D24" s="18" t="s">
        <v>150</v>
      </c>
      <c r="E24" s="14">
        <v>3</v>
      </c>
      <c r="F24" s="15"/>
      <c r="G24" s="16">
        <f t="shared" si="1"/>
        <v>3</v>
      </c>
      <c r="H24" s="10" t="s">
        <v>149</v>
      </c>
      <c r="I24" s="10"/>
      <c r="J24" s="28"/>
      <c r="K24" s="271"/>
      <c r="L24" s="272"/>
      <c r="M24" s="273"/>
    </row>
    <row r="25" spans="1:16">
      <c r="A25" s="10">
        <f t="shared" si="0"/>
        <v>19</v>
      </c>
      <c r="B25" s="20" t="s">
        <v>303</v>
      </c>
      <c r="C25" s="12" t="s">
        <v>1836</v>
      </c>
      <c r="D25" s="18" t="s">
        <v>150</v>
      </c>
      <c r="E25" s="14">
        <v>1</v>
      </c>
      <c r="F25" s="15"/>
      <c r="G25" s="16">
        <f t="shared" si="1"/>
        <v>1</v>
      </c>
      <c r="H25" s="10" t="s">
        <v>149</v>
      </c>
      <c r="I25" s="10"/>
      <c r="J25" s="28"/>
      <c r="K25" s="453"/>
      <c r="L25" s="454"/>
      <c r="M25" s="455"/>
    </row>
    <row r="26" spans="1:16">
      <c r="A26" s="10">
        <f t="shared" si="0"/>
        <v>20</v>
      </c>
      <c r="B26" s="11" t="s">
        <v>284</v>
      </c>
      <c r="C26" s="12" t="s">
        <v>285</v>
      </c>
      <c r="D26" s="18" t="s">
        <v>150</v>
      </c>
      <c r="E26" s="14">
        <v>5</v>
      </c>
      <c r="F26" s="15"/>
      <c r="G26" s="16">
        <f t="shared" si="1"/>
        <v>5</v>
      </c>
      <c r="H26" s="10" t="s">
        <v>149</v>
      </c>
      <c r="I26" s="10"/>
      <c r="J26" s="28"/>
      <c r="K26" s="332"/>
      <c r="L26" s="333"/>
      <c r="M26" s="334"/>
    </row>
    <row r="27" spans="1:16">
      <c r="A27" s="10">
        <f t="shared" si="0"/>
        <v>21</v>
      </c>
      <c r="B27" s="20" t="s">
        <v>286</v>
      </c>
      <c r="C27" s="12" t="s">
        <v>287</v>
      </c>
      <c r="D27" s="18" t="s">
        <v>150</v>
      </c>
      <c r="E27" s="14">
        <v>5</v>
      </c>
      <c r="F27" s="15"/>
      <c r="G27" s="16">
        <f t="shared" si="1"/>
        <v>5</v>
      </c>
      <c r="H27" s="10" t="s">
        <v>149</v>
      </c>
      <c r="I27" s="10"/>
      <c r="J27" s="28"/>
      <c r="K27" s="332"/>
      <c r="L27" s="333"/>
      <c r="M27" s="334"/>
    </row>
    <row r="28" spans="1:16">
      <c r="A28" s="10">
        <f t="shared" si="0"/>
        <v>22</v>
      </c>
      <c r="B28" s="11" t="s">
        <v>288</v>
      </c>
      <c r="C28" s="12" t="s">
        <v>289</v>
      </c>
      <c r="D28" s="18" t="s">
        <v>150</v>
      </c>
      <c r="E28" s="14">
        <v>1</v>
      </c>
      <c r="F28" s="15"/>
      <c r="G28" s="16">
        <f t="shared" si="1"/>
        <v>1</v>
      </c>
      <c r="H28" s="10" t="s">
        <v>149</v>
      </c>
      <c r="I28" s="10"/>
      <c r="J28" s="28"/>
      <c r="K28" s="332"/>
      <c r="L28" s="333"/>
      <c r="M28" s="334"/>
    </row>
    <row r="29" spans="1:16">
      <c r="A29" s="10">
        <f t="shared" si="0"/>
        <v>23</v>
      </c>
      <c r="B29" s="11" t="s">
        <v>541</v>
      </c>
      <c r="C29" s="12" t="s">
        <v>542</v>
      </c>
      <c r="D29" s="18" t="s">
        <v>150</v>
      </c>
      <c r="E29" s="14">
        <v>4</v>
      </c>
      <c r="F29" s="15"/>
      <c r="G29" s="16">
        <f t="shared" si="1"/>
        <v>4</v>
      </c>
      <c r="H29" s="10" t="s">
        <v>149</v>
      </c>
      <c r="I29" s="10"/>
      <c r="J29" s="28"/>
      <c r="K29" s="332"/>
      <c r="L29" s="333"/>
      <c r="M29" s="334"/>
    </row>
    <row r="30" spans="1:16">
      <c r="A30" s="10">
        <f t="shared" si="0"/>
        <v>24</v>
      </c>
      <c r="B30" s="11" t="s">
        <v>543</v>
      </c>
      <c r="C30" s="12" t="s">
        <v>544</v>
      </c>
      <c r="D30" s="18" t="s">
        <v>150</v>
      </c>
      <c r="E30" s="14">
        <v>1</v>
      </c>
      <c r="F30" s="15"/>
      <c r="G30" s="16">
        <f t="shared" si="1"/>
        <v>1</v>
      </c>
      <c r="H30" s="10" t="s">
        <v>149</v>
      </c>
      <c r="I30" s="10"/>
      <c r="J30" s="28"/>
      <c r="K30" s="332"/>
      <c r="L30" s="333"/>
      <c r="M30" s="334"/>
    </row>
    <row r="31" spans="1:16">
      <c r="A31" s="10">
        <f t="shared" si="0"/>
        <v>25</v>
      </c>
      <c r="B31" s="11" t="s">
        <v>546</v>
      </c>
      <c r="C31" s="12" t="s">
        <v>547</v>
      </c>
      <c r="D31" s="18" t="s">
        <v>150</v>
      </c>
      <c r="E31" s="14">
        <v>5</v>
      </c>
      <c r="F31" s="15"/>
      <c r="G31" s="16">
        <f t="shared" si="1"/>
        <v>5</v>
      </c>
      <c r="H31" s="10" t="s">
        <v>149</v>
      </c>
      <c r="I31" s="10"/>
      <c r="J31" s="28"/>
      <c r="K31" s="332"/>
      <c r="L31" s="333"/>
      <c r="M31" s="334"/>
    </row>
    <row r="32" spans="1:16">
      <c r="A32" s="10">
        <f t="shared" si="0"/>
        <v>26</v>
      </c>
      <c r="B32" s="11" t="s">
        <v>548</v>
      </c>
      <c r="C32" s="23" t="s">
        <v>549</v>
      </c>
      <c r="D32" s="18" t="s">
        <v>150</v>
      </c>
      <c r="E32" s="14">
        <v>1</v>
      </c>
      <c r="F32" s="15"/>
      <c r="G32" s="16">
        <f t="shared" si="1"/>
        <v>1</v>
      </c>
      <c r="H32" s="10" t="s">
        <v>149</v>
      </c>
      <c r="I32" s="10"/>
      <c r="J32" s="28"/>
      <c r="K32" s="332"/>
      <c r="L32" s="333"/>
      <c r="M32" s="334"/>
    </row>
    <row r="33" spans="1:16">
      <c r="A33" s="10">
        <f t="shared" si="0"/>
        <v>27</v>
      </c>
      <c r="B33" s="73" t="s">
        <v>1837</v>
      </c>
      <c r="C33" s="23" t="s">
        <v>1838</v>
      </c>
      <c r="D33" s="18" t="s">
        <v>150</v>
      </c>
      <c r="E33" s="14">
        <v>8</v>
      </c>
      <c r="F33" s="15"/>
      <c r="G33" s="16">
        <f t="shared" si="1"/>
        <v>8</v>
      </c>
      <c r="H33" s="10" t="s">
        <v>149</v>
      </c>
      <c r="I33" s="10"/>
      <c r="J33" s="28"/>
      <c r="K33" s="453"/>
      <c r="L33" s="454"/>
      <c r="M33" s="455"/>
    </row>
    <row r="34" spans="1:16">
      <c r="A34" s="10">
        <f t="shared" si="0"/>
        <v>28</v>
      </c>
      <c r="B34" s="74" t="s">
        <v>232</v>
      </c>
      <c r="C34" s="12" t="s">
        <v>233</v>
      </c>
      <c r="D34" s="18" t="s">
        <v>234</v>
      </c>
      <c r="E34" s="14"/>
      <c r="F34" s="15"/>
      <c r="G34" s="16">
        <f t="shared" si="1"/>
        <v>10</v>
      </c>
      <c r="H34" s="10" t="s">
        <v>149</v>
      </c>
      <c r="I34" s="10"/>
      <c r="J34" s="28"/>
      <c r="K34" s="308"/>
      <c r="L34" s="278"/>
      <c r="M34" s="279"/>
    </row>
    <row r="35" spans="1:16">
      <c r="A35" s="10" t="str">
        <f t="shared" si="0"/>
        <v xml:space="preserve"> </v>
      </c>
      <c r="B35" s="20"/>
      <c r="C35" s="12"/>
      <c r="D35" s="18"/>
      <c r="E35" s="14"/>
      <c r="F35" s="15"/>
      <c r="G35" s="16"/>
      <c r="H35" s="10"/>
      <c r="I35" s="10"/>
      <c r="J35" s="28"/>
      <c r="K35" s="271"/>
      <c r="L35" s="272"/>
      <c r="M35" s="273"/>
    </row>
    <row r="36" spans="1:16">
      <c r="A36" s="10" t="str">
        <f t="shared" si="0"/>
        <v xml:space="preserve"> </v>
      </c>
      <c r="B36" s="11"/>
      <c r="C36" s="12"/>
      <c r="D36" s="18"/>
      <c r="E36" s="14"/>
      <c r="F36" s="15"/>
      <c r="G36" s="16"/>
      <c r="H36" s="10"/>
      <c r="I36" s="10"/>
      <c r="J36" s="28"/>
      <c r="K36" s="332"/>
      <c r="L36" s="333"/>
      <c r="M36" s="334"/>
    </row>
    <row r="37" spans="1:16">
      <c r="A37" s="10" t="str">
        <f t="shared" si="0"/>
        <v xml:space="preserve"> </v>
      </c>
      <c r="B37" s="11"/>
      <c r="C37" s="12"/>
      <c r="D37" s="18"/>
      <c r="E37" s="14"/>
      <c r="F37" s="15"/>
      <c r="G37" s="16"/>
      <c r="H37" s="10"/>
      <c r="I37" s="10"/>
      <c r="J37" s="28"/>
      <c r="K37" s="332"/>
      <c r="L37" s="333"/>
      <c r="M37" s="334"/>
    </row>
    <row r="38" spans="1:16">
      <c r="A38" s="10" t="str">
        <f t="shared" si="0"/>
        <v xml:space="preserve"> </v>
      </c>
      <c r="B38" s="11"/>
      <c r="C38" s="12"/>
      <c r="D38" s="18"/>
      <c r="E38" s="14"/>
      <c r="F38" s="15"/>
      <c r="G38" s="16"/>
      <c r="H38" s="10"/>
      <c r="I38" s="10"/>
      <c r="J38" s="28"/>
      <c r="K38" s="271"/>
      <c r="L38" s="272"/>
      <c r="M38" s="273"/>
    </row>
    <row r="39" spans="1:16">
      <c r="A39" s="10" t="str">
        <f t="shared" si="0"/>
        <v xml:space="preserve"> </v>
      </c>
      <c r="B39" s="11"/>
      <c r="C39" s="12"/>
      <c r="D39" s="18"/>
      <c r="E39" s="14"/>
      <c r="F39" s="15"/>
      <c r="G39" s="16"/>
      <c r="H39" s="10"/>
      <c r="I39" s="10"/>
      <c r="J39" s="28"/>
      <c r="K39" s="332"/>
      <c r="L39" s="333"/>
      <c r="M39" s="334"/>
    </row>
    <row r="40" spans="1:16">
      <c r="A40" s="10" t="str">
        <f t="shared" si="0"/>
        <v xml:space="preserve"> </v>
      </c>
      <c r="B40" s="11"/>
      <c r="C40" s="12"/>
      <c r="D40" s="18"/>
      <c r="E40" s="14"/>
      <c r="F40" s="15"/>
      <c r="G40" s="16"/>
      <c r="H40" s="10"/>
      <c r="I40" s="10"/>
      <c r="J40" s="28"/>
      <c r="K40" s="332"/>
      <c r="L40" s="333"/>
      <c r="M40" s="334"/>
    </row>
    <row r="41" spans="1:16">
      <c r="A41" s="10" t="str">
        <f t="shared" si="0"/>
        <v xml:space="preserve"> </v>
      </c>
      <c r="B41" s="17"/>
      <c r="C41" s="12"/>
      <c r="D41" s="18"/>
      <c r="E41" s="14"/>
      <c r="F41" s="15"/>
      <c r="G41" s="16"/>
      <c r="H41" s="10"/>
      <c r="I41" s="10"/>
      <c r="J41" s="28"/>
      <c r="K41" s="332"/>
      <c r="L41" s="333"/>
      <c r="M41" s="334"/>
    </row>
    <row r="42" spans="1:16">
      <c r="A42" s="10" t="str">
        <f t="shared" si="0"/>
        <v xml:space="preserve"> </v>
      </c>
      <c r="B42" s="20"/>
      <c r="C42" s="12"/>
      <c r="D42" s="18"/>
      <c r="E42" s="14"/>
      <c r="F42" s="15"/>
      <c r="G42" s="16"/>
      <c r="H42" s="10"/>
      <c r="I42" s="10"/>
      <c r="J42" s="28"/>
      <c r="K42" s="332"/>
      <c r="L42" s="333"/>
      <c r="M42" s="334"/>
    </row>
    <row r="43" spans="1:16">
      <c r="A43" s="10" t="str">
        <f t="shared" si="0"/>
        <v xml:space="preserve"> </v>
      </c>
      <c r="B43" s="11"/>
      <c r="C43" s="12"/>
      <c r="D43" s="18"/>
      <c r="E43" s="14"/>
      <c r="F43" s="15"/>
      <c r="G43" s="16"/>
      <c r="H43" s="10"/>
      <c r="I43" s="10"/>
      <c r="J43" s="28"/>
      <c r="K43" s="332"/>
      <c r="L43" s="333"/>
      <c r="M43" s="334"/>
    </row>
    <row r="44" spans="1:16">
      <c r="A44" s="10" t="str">
        <f t="shared" si="0"/>
        <v xml:space="preserve"> </v>
      </c>
      <c r="B44" s="11"/>
      <c r="C44" s="21"/>
      <c r="D44" s="18"/>
      <c r="E44" s="14"/>
      <c r="F44" s="15"/>
      <c r="G44" s="16"/>
      <c r="H44" s="10"/>
      <c r="I44" s="10"/>
      <c r="J44" s="28"/>
      <c r="K44" s="332"/>
      <c r="L44" s="333"/>
      <c r="M44" s="334"/>
      <c r="P44" s="2" t="s">
        <v>174</v>
      </c>
    </row>
    <row r="45" spans="1:16">
      <c r="A45" s="10" t="str">
        <f t="shared" si="0"/>
        <v xml:space="preserve"> </v>
      </c>
      <c r="B45" s="11"/>
      <c r="C45" s="12"/>
      <c r="D45" s="18"/>
      <c r="E45" s="14"/>
      <c r="F45" s="15"/>
      <c r="G45" s="16"/>
      <c r="H45" s="10"/>
      <c r="I45" s="10"/>
      <c r="J45" s="28"/>
      <c r="K45" s="332"/>
      <c r="L45" s="333"/>
      <c r="M45" s="334"/>
    </row>
    <row r="46" spans="1:16">
      <c r="A46" s="10" t="str">
        <f t="shared" si="0"/>
        <v xml:space="preserve"> </v>
      </c>
      <c r="B46" s="11"/>
      <c r="C46" s="12"/>
      <c r="D46" s="18"/>
      <c r="E46" s="14"/>
      <c r="F46" s="15"/>
      <c r="G46" s="16"/>
      <c r="H46" s="10"/>
      <c r="I46" s="10"/>
      <c r="J46" s="28"/>
      <c r="K46" s="332"/>
      <c r="L46" s="333"/>
      <c r="M46" s="334"/>
    </row>
    <row r="47" spans="1:16">
      <c r="A47" s="10" t="str">
        <f t="shared" si="0"/>
        <v xml:space="preserve"> </v>
      </c>
      <c r="B47" s="11"/>
      <c r="C47" s="12"/>
      <c r="D47" s="18"/>
      <c r="E47" s="14"/>
      <c r="F47" s="15"/>
      <c r="G47" s="16"/>
      <c r="H47" s="10"/>
      <c r="I47" s="10"/>
      <c r="J47" s="28"/>
      <c r="K47" s="332"/>
      <c r="L47" s="333"/>
      <c r="M47" s="334"/>
    </row>
    <row r="48" spans="1:16">
      <c r="A48" s="10" t="str">
        <f t="shared" si="0"/>
        <v xml:space="preserve"> </v>
      </c>
      <c r="B48" s="11"/>
      <c r="C48" s="12"/>
      <c r="D48" s="18"/>
      <c r="E48" s="14"/>
      <c r="F48" s="15"/>
      <c r="G48" s="16"/>
      <c r="H48" s="10"/>
      <c r="I48" s="10"/>
      <c r="J48" s="28"/>
      <c r="K48" s="271"/>
      <c r="L48" s="272"/>
      <c r="M48" s="273"/>
    </row>
    <row r="49" spans="1:13">
      <c r="A49" s="10" t="str">
        <f t="shared" si="0"/>
        <v xml:space="preserve"> </v>
      </c>
      <c r="B49" s="11"/>
      <c r="C49" s="21"/>
      <c r="D49" s="13"/>
      <c r="E49" s="14"/>
      <c r="F49" s="15"/>
      <c r="G49" s="16"/>
      <c r="H49" s="10"/>
      <c r="I49" s="10"/>
      <c r="J49" s="28"/>
      <c r="K49" s="271"/>
      <c r="L49" s="272"/>
      <c r="M49" s="273"/>
    </row>
    <row r="50" spans="1:13">
      <c r="A50" s="10" t="str">
        <f t="shared" si="0"/>
        <v xml:space="preserve"> </v>
      </c>
      <c r="B50" s="11"/>
      <c r="C50" s="21"/>
      <c r="D50" s="13"/>
      <c r="E50" s="14"/>
      <c r="F50" s="15"/>
      <c r="G50" s="16"/>
      <c r="H50" s="10"/>
      <c r="I50" s="10"/>
      <c r="J50" s="28"/>
      <c r="K50" s="271"/>
      <c r="L50" s="272"/>
      <c r="M50" s="273"/>
    </row>
    <row r="51" spans="1:13">
      <c r="A51" s="10" t="str">
        <f t="shared" si="0"/>
        <v xml:space="preserve"> </v>
      </c>
      <c r="B51" s="11"/>
      <c r="C51" s="12"/>
      <c r="D51" s="18"/>
      <c r="E51" s="14"/>
      <c r="F51" s="15"/>
      <c r="G51" s="16"/>
      <c r="H51" s="10"/>
      <c r="I51" s="10"/>
      <c r="J51" s="28"/>
      <c r="K51" s="332"/>
      <c r="L51" s="333"/>
      <c r="M51" s="334"/>
    </row>
    <row r="52" spans="1:13">
      <c r="A52" s="10" t="str">
        <f t="shared" si="0"/>
        <v xml:space="preserve"> </v>
      </c>
      <c r="B52" s="11"/>
      <c r="C52" s="12"/>
      <c r="D52" s="18"/>
      <c r="E52" s="14"/>
      <c r="F52" s="15"/>
      <c r="G52" s="16"/>
      <c r="H52" s="10"/>
      <c r="I52" s="10"/>
      <c r="J52" s="28"/>
      <c r="K52" s="332"/>
      <c r="L52" s="333"/>
      <c r="M52" s="334"/>
    </row>
    <row r="53" spans="1:13">
      <c r="A53" s="10" t="str">
        <f t="shared" si="0"/>
        <v xml:space="preserve"> </v>
      </c>
      <c r="B53" s="11"/>
      <c r="C53" s="12"/>
      <c r="D53" s="18"/>
      <c r="E53" s="14"/>
      <c r="F53" s="15"/>
      <c r="G53" s="16"/>
      <c r="H53" s="10"/>
      <c r="I53" s="10"/>
      <c r="J53" s="28"/>
      <c r="K53" s="332"/>
      <c r="L53" s="333"/>
      <c r="M53" s="334"/>
    </row>
    <row r="54" spans="1:13">
      <c r="A54" s="10" t="str">
        <f t="shared" si="0"/>
        <v xml:space="preserve"> </v>
      </c>
      <c r="B54" s="11"/>
      <c r="C54" s="12"/>
      <c r="D54" s="18"/>
      <c r="E54" s="14"/>
      <c r="F54" s="15"/>
      <c r="G54" s="16"/>
      <c r="H54" s="10"/>
      <c r="I54" s="10"/>
      <c r="J54" s="28"/>
      <c r="K54" s="332"/>
      <c r="L54" s="333"/>
      <c r="M54" s="334"/>
    </row>
    <row r="55" spans="1:13">
      <c r="A55" s="10" t="str">
        <f t="shared" si="0"/>
        <v xml:space="preserve"> </v>
      </c>
      <c r="B55" s="11"/>
      <c r="C55" s="12"/>
      <c r="D55" s="18"/>
      <c r="E55" s="14"/>
      <c r="F55" s="15"/>
      <c r="G55" s="16"/>
      <c r="H55" s="10"/>
      <c r="I55" s="10"/>
      <c r="J55" s="28"/>
      <c r="K55" s="453"/>
      <c r="L55" s="454"/>
      <c r="M55" s="455"/>
    </row>
    <row r="56" spans="1:13">
      <c r="B56" s="3"/>
      <c r="H56" s="1"/>
      <c r="I56" s="1"/>
      <c r="J56" s="33"/>
      <c r="K56" s="34"/>
      <c r="L56" s="34"/>
      <c r="M56" s="34"/>
    </row>
    <row r="57" spans="1:13">
      <c r="B57" s="2" t="s">
        <v>235</v>
      </c>
    </row>
    <row r="97" spans="2:5">
      <c r="C97" s="3"/>
    </row>
    <row r="99" spans="2:5">
      <c r="C99" s="3"/>
    </row>
    <row r="102" spans="2:5">
      <c r="B102" s="35"/>
      <c r="D102" s="2" t="s">
        <v>1198</v>
      </c>
    </row>
    <row r="104" spans="2:5">
      <c r="B104" s="35"/>
      <c r="D104" s="36" t="s">
        <v>1201</v>
      </c>
      <c r="E104" s="36"/>
    </row>
    <row r="105" spans="2:5">
      <c r="D105" s="36" t="s">
        <v>1202</v>
      </c>
      <c r="E105" s="36"/>
    </row>
    <row r="106" spans="2:5">
      <c r="D106" s="36" t="s">
        <v>1203</v>
      </c>
      <c r="E106" s="36"/>
    </row>
    <row r="107" spans="2:5">
      <c r="D107" s="36" t="s">
        <v>1204</v>
      </c>
      <c r="E107" s="36"/>
    </row>
    <row r="108" spans="2:5">
      <c r="D108" s="36" t="s">
        <v>1205</v>
      </c>
      <c r="E108" s="36"/>
    </row>
    <row r="109" spans="2:5">
      <c r="D109" s="36" t="s">
        <v>1206</v>
      </c>
      <c r="E109" s="36"/>
    </row>
    <row r="110" spans="2:5">
      <c r="D110" s="36" t="s">
        <v>1207</v>
      </c>
      <c r="E110" s="36"/>
    </row>
    <row r="111" spans="2:5">
      <c r="D111" s="36" t="s">
        <v>1208</v>
      </c>
      <c r="E111" s="36"/>
    </row>
    <row r="112" spans="2:5">
      <c r="D112" s="2" t="s">
        <v>1209</v>
      </c>
    </row>
    <row r="114" spans="2:7">
      <c r="C114" s="37"/>
      <c r="D114" s="37"/>
      <c r="E114" s="37"/>
      <c r="G114" s="2" t="s">
        <v>838</v>
      </c>
    </row>
    <row r="116" spans="2:7">
      <c r="B116" s="35"/>
      <c r="D116" s="2" t="s">
        <v>458</v>
      </c>
    </row>
    <row r="118" spans="2:7">
      <c r="D118" s="2" t="s">
        <v>1211</v>
      </c>
    </row>
    <row r="120" spans="2:7">
      <c r="D120" s="2" t="s">
        <v>1213</v>
      </c>
    </row>
  </sheetData>
  <mergeCells count="63">
    <mergeCell ref="K52:M52"/>
    <mergeCell ref="K53:M53"/>
    <mergeCell ref="K54:M54"/>
    <mergeCell ref="K55:M55"/>
    <mergeCell ref="A5:A6"/>
    <mergeCell ref="K5:M6"/>
    <mergeCell ref="K47:M47"/>
    <mergeCell ref="K48:M48"/>
    <mergeCell ref="K49:M49"/>
    <mergeCell ref="K50:M50"/>
    <mergeCell ref="K51:M51"/>
    <mergeCell ref="K42:M42"/>
    <mergeCell ref="K43:M43"/>
    <mergeCell ref="K44:M44"/>
    <mergeCell ref="K45:M45"/>
    <mergeCell ref="K46:M46"/>
    <mergeCell ref="K37:M37"/>
    <mergeCell ref="K38:M38"/>
    <mergeCell ref="K39:M39"/>
    <mergeCell ref="K40:M40"/>
    <mergeCell ref="K41:M41"/>
    <mergeCell ref="K32:M32"/>
    <mergeCell ref="K33:M33"/>
    <mergeCell ref="K34:M34"/>
    <mergeCell ref="K35:M35"/>
    <mergeCell ref="K36:M36"/>
    <mergeCell ref="K27:M27"/>
    <mergeCell ref="K28:M28"/>
    <mergeCell ref="K29:M29"/>
    <mergeCell ref="K30:M30"/>
    <mergeCell ref="K31:M31"/>
    <mergeCell ref="K22:M22"/>
    <mergeCell ref="K23:M23"/>
    <mergeCell ref="K24:M24"/>
    <mergeCell ref="K25:M25"/>
    <mergeCell ref="K26:M26"/>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69930555555555596" right="0.69930555555555596" top="0.75" bottom="0.75" header="0.3" footer="0.3"/>
  <legacyDrawing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WVX101"/>
  <sheetViews>
    <sheetView showGridLines="0" view="pageBreakPreview" zoomScaleNormal="100" zoomScaleSheetLayoutView="100" workbookViewId="0">
      <pane ySplit="6" topLeftCell="A7" activePane="bottomLeft" state="frozen"/>
      <selection pane="bottomLeft" activeCell="B10" sqref="B10:B13"/>
    </sheetView>
  </sheetViews>
  <sheetFormatPr defaultColWidth="9" defaultRowHeight="12"/>
  <cols>
    <col min="1" max="1" width="3.875" style="44" customWidth="1"/>
    <col min="2" max="2" width="28.625" style="45" customWidth="1"/>
    <col min="3" max="3" width="13.375" style="45" customWidth="1"/>
    <col min="4" max="4" width="9.375" style="45" customWidth="1"/>
    <col min="5" max="6" width="4.75" style="45" customWidth="1"/>
    <col min="7" max="7" width="6.125" style="45" customWidth="1"/>
    <col min="8" max="9" width="4.75" style="45" customWidth="1"/>
    <col min="10" max="11" width="9.625" style="45" customWidth="1"/>
    <col min="12" max="13" width="10.25" style="45" customWidth="1"/>
    <col min="14" max="14" width="9" style="45" customWidth="1"/>
    <col min="15" max="16" width="9" style="45" hidden="1" customWidth="1"/>
    <col min="17" max="256" width="9" style="45"/>
    <col min="257" max="257" width="3.875" style="45" customWidth="1"/>
    <col min="258" max="258" width="28.625" style="45" customWidth="1"/>
    <col min="259" max="259" width="13.375" style="45" customWidth="1"/>
    <col min="260" max="260" width="9.375" style="45" customWidth="1"/>
    <col min="261" max="262" width="4.75" style="45" customWidth="1"/>
    <col min="263" max="263" width="6.125" style="45" customWidth="1"/>
    <col min="264" max="265" width="4.75" style="45" customWidth="1"/>
    <col min="266" max="267" width="9.625" style="45" customWidth="1"/>
    <col min="268" max="269" width="10.25" style="45" customWidth="1"/>
    <col min="270" max="270" width="9" style="45" customWidth="1"/>
    <col min="271" max="272" width="9" style="45" hidden="1" customWidth="1"/>
    <col min="273" max="512" width="9" style="45"/>
    <col min="513" max="513" width="3.875" style="45" customWidth="1"/>
    <col min="514" max="514" width="28.625" style="45" customWidth="1"/>
    <col min="515" max="515" width="13.375" style="45" customWidth="1"/>
    <col min="516" max="516" width="9.375" style="45" customWidth="1"/>
    <col min="517" max="518" width="4.75" style="45" customWidth="1"/>
    <col min="519" max="519" width="6.125" style="45" customWidth="1"/>
    <col min="520" max="521" width="4.75" style="45" customWidth="1"/>
    <col min="522" max="523" width="9.625" style="45" customWidth="1"/>
    <col min="524" max="525" width="10.25" style="45" customWidth="1"/>
    <col min="526" max="526" width="9" style="45" customWidth="1"/>
    <col min="527" max="528" width="9" style="45" hidden="1" customWidth="1"/>
    <col min="529" max="768" width="9" style="45"/>
    <col min="769" max="769" width="3.875" style="45" customWidth="1"/>
    <col min="770" max="770" width="28.625" style="45" customWidth="1"/>
    <col min="771" max="771" width="13.375" style="45" customWidth="1"/>
    <col min="772" max="772" width="9.375" style="45" customWidth="1"/>
    <col min="773" max="774" width="4.75" style="45" customWidth="1"/>
    <col min="775" max="775" width="6.125" style="45" customWidth="1"/>
    <col min="776" max="777" width="4.75" style="45" customWidth="1"/>
    <col min="778" max="779" width="9.625" style="45" customWidth="1"/>
    <col min="780" max="781" width="10.25" style="45" customWidth="1"/>
    <col min="782" max="782" width="9" style="45" customWidth="1"/>
    <col min="783" max="784" width="9" style="45" hidden="1" customWidth="1"/>
    <col min="785" max="1024" width="9" style="45"/>
    <col min="1025" max="1025" width="3.875" style="45" customWidth="1"/>
    <col min="1026" max="1026" width="28.625" style="45" customWidth="1"/>
    <col min="1027" max="1027" width="13.375" style="45" customWidth="1"/>
    <col min="1028" max="1028" width="9.375" style="45" customWidth="1"/>
    <col min="1029" max="1030" width="4.75" style="45" customWidth="1"/>
    <col min="1031" max="1031" width="6.125" style="45" customWidth="1"/>
    <col min="1032" max="1033" width="4.75" style="45" customWidth="1"/>
    <col min="1034" max="1035" width="9.625" style="45" customWidth="1"/>
    <col min="1036" max="1037" width="10.25" style="45" customWidth="1"/>
    <col min="1038" max="1038" width="9" style="45" customWidth="1"/>
    <col min="1039" max="1040" width="9" style="45" hidden="1" customWidth="1"/>
    <col min="1041" max="1280" width="9" style="45"/>
    <col min="1281" max="1281" width="3.875" style="45" customWidth="1"/>
    <col min="1282" max="1282" width="28.625" style="45" customWidth="1"/>
    <col min="1283" max="1283" width="13.375" style="45" customWidth="1"/>
    <col min="1284" max="1284" width="9.375" style="45" customWidth="1"/>
    <col min="1285" max="1286" width="4.75" style="45" customWidth="1"/>
    <col min="1287" max="1287" width="6.125" style="45" customWidth="1"/>
    <col min="1288" max="1289" width="4.75" style="45" customWidth="1"/>
    <col min="1290" max="1291" width="9.625" style="45" customWidth="1"/>
    <col min="1292" max="1293" width="10.25" style="45" customWidth="1"/>
    <col min="1294" max="1294" width="9" style="45" customWidth="1"/>
    <col min="1295" max="1296" width="9" style="45" hidden="1" customWidth="1"/>
    <col min="1297" max="1536" width="9" style="45"/>
    <col min="1537" max="1537" width="3.875" style="45" customWidth="1"/>
    <col min="1538" max="1538" width="28.625" style="45" customWidth="1"/>
    <col min="1539" max="1539" width="13.375" style="45" customWidth="1"/>
    <col min="1540" max="1540" width="9.375" style="45" customWidth="1"/>
    <col min="1541" max="1542" width="4.75" style="45" customWidth="1"/>
    <col min="1543" max="1543" width="6.125" style="45" customWidth="1"/>
    <col min="1544" max="1545" width="4.75" style="45" customWidth="1"/>
    <col min="1546" max="1547" width="9.625" style="45" customWidth="1"/>
    <col min="1548" max="1549" width="10.25" style="45" customWidth="1"/>
    <col min="1550" max="1550" width="9" style="45" customWidth="1"/>
    <col min="1551" max="1552" width="9" style="45" hidden="1" customWidth="1"/>
    <col min="1553" max="1792" width="9" style="45"/>
    <col min="1793" max="1793" width="3.875" style="45" customWidth="1"/>
    <col min="1794" max="1794" width="28.625" style="45" customWidth="1"/>
    <col min="1795" max="1795" width="13.375" style="45" customWidth="1"/>
    <col min="1796" max="1796" width="9.375" style="45" customWidth="1"/>
    <col min="1797" max="1798" width="4.75" style="45" customWidth="1"/>
    <col min="1799" max="1799" width="6.125" style="45" customWidth="1"/>
    <col min="1800" max="1801" width="4.75" style="45" customWidth="1"/>
    <col min="1802" max="1803" width="9.625" style="45" customWidth="1"/>
    <col min="1804" max="1805" width="10.25" style="45" customWidth="1"/>
    <col min="1806" max="1806" width="9" style="45" customWidth="1"/>
    <col min="1807" max="1808" width="9" style="45" hidden="1" customWidth="1"/>
    <col min="1809" max="2048" width="9" style="45"/>
    <col min="2049" max="2049" width="3.875" style="45" customWidth="1"/>
    <col min="2050" max="2050" width="28.625" style="45" customWidth="1"/>
    <col min="2051" max="2051" width="13.375" style="45" customWidth="1"/>
    <col min="2052" max="2052" width="9.375" style="45" customWidth="1"/>
    <col min="2053" max="2054" width="4.75" style="45" customWidth="1"/>
    <col min="2055" max="2055" width="6.125" style="45" customWidth="1"/>
    <col min="2056" max="2057" width="4.75" style="45" customWidth="1"/>
    <col min="2058" max="2059" width="9.625" style="45" customWidth="1"/>
    <col min="2060" max="2061" width="10.25" style="45" customWidth="1"/>
    <col min="2062" max="2062" width="9" style="45" customWidth="1"/>
    <col min="2063" max="2064" width="9" style="45" hidden="1" customWidth="1"/>
    <col min="2065" max="2304" width="9" style="45"/>
    <col min="2305" max="2305" width="3.875" style="45" customWidth="1"/>
    <col min="2306" max="2306" width="28.625" style="45" customWidth="1"/>
    <col min="2307" max="2307" width="13.375" style="45" customWidth="1"/>
    <col min="2308" max="2308" width="9.375" style="45" customWidth="1"/>
    <col min="2309" max="2310" width="4.75" style="45" customWidth="1"/>
    <col min="2311" max="2311" width="6.125" style="45" customWidth="1"/>
    <col min="2312" max="2313" width="4.75" style="45" customWidth="1"/>
    <col min="2314" max="2315" width="9.625" style="45" customWidth="1"/>
    <col min="2316" max="2317" width="10.25" style="45" customWidth="1"/>
    <col min="2318" max="2318" width="9" style="45" customWidth="1"/>
    <col min="2319" max="2320" width="9" style="45" hidden="1" customWidth="1"/>
    <col min="2321" max="2560" width="9" style="45"/>
    <col min="2561" max="2561" width="3.875" style="45" customWidth="1"/>
    <col min="2562" max="2562" width="28.625" style="45" customWidth="1"/>
    <col min="2563" max="2563" width="13.375" style="45" customWidth="1"/>
    <col min="2564" max="2564" width="9.375" style="45" customWidth="1"/>
    <col min="2565" max="2566" width="4.75" style="45" customWidth="1"/>
    <col min="2567" max="2567" width="6.125" style="45" customWidth="1"/>
    <col min="2568" max="2569" width="4.75" style="45" customWidth="1"/>
    <col min="2570" max="2571" width="9.625" style="45" customWidth="1"/>
    <col min="2572" max="2573" width="10.25" style="45" customWidth="1"/>
    <col min="2574" max="2574" width="9" style="45" customWidth="1"/>
    <col min="2575" max="2576" width="9" style="45" hidden="1" customWidth="1"/>
    <col min="2577" max="2816" width="9" style="45"/>
    <col min="2817" max="2817" width="3.875" style="45" customWidth="1"/>
    <col min="2818" max="2818" width="28.625" style="45" customWidth="1"/>
    <col min="2819" max="2819" width="13.375" style="45" customWidth="1"/>
    <col min="2820" max="2820" width="9.375" style="45" customWidth="1"/>
    <col min="2821" max="2822" width="4.75" style="45" customWidth="1"/>
    <col min="2823" max="2823" width="6.125" style="45" customWidth="1"/>
    <col min="2824" max="2825" width="4.75" style="45" customWidth="1"/>
    <col min="2826" max="2827" width="9.625" style="45" customWidth="1"/>
    <col min="2828" max="2829" width="10.25" style="45" customWidth="1"/>
    <col min="2830" max="2830" width="9" style="45" customWidth="1"/>
    <col min="2831" max="2832" width="9" style="45" hidden="1" customWidth="1"/>
    <col min="2833" max="3072" width="9" style="45"/>
    <col min="3073" max="3073" width="3.875" style="45" customWidth="1"/>
    <col min="3074" max="3074" width="28.625" style="45" customWidth="1"/>
    <col min="3075" max="3075" width="13.375" style="45" customWidth="1"/>
    <col min="3076" max="3076" width="9.375" style="45" customWidth="1"/>
    <col min="3077" max="3078" width="4.75" style="45" customWidth="1"/>
    <col min="3079" max="3079" width="6.125" style="45" customWidth="1"/>
    <col min="3080" max="3081" width="4.75" style="45" customWidth="1"/>
    <col min="3082" max="3083" width="9.625" style="45" customWidth="1"/>
    <col min="3084" max="3085" width="10.25" style="45" customWidth="1"/>
    <col min="3086" max="3086" width="9" style="45" customWidth="1"/>
    <col min="3087" max="3088" width="9" style="45" hidden="1" customWidth="1"/>
    <col min="3089" max="3328" width="9" style="45"/>
    <col min="3329" max="3329" width="3.875" style="45" customWidth="1"/>
    <col min="3330" max="3330" width="28.625" style="45" customWidth="1"/>
    <col min="3331" max="3331" width="13.375" style="45" customWidth="1"/>
    <col min="3332" max="3332" width="9.375" style="45" customWidth="1"/>
    <col min="3333" max="3334" width="4.75" style="45" customWidth="1"/>
    <col min="3335" max="3335" width="6.125" style="45" customWidth="1"/>
    <col min="3336" max="3337" width="4.75" style="45" customWidth="1"/>
    <col min="3338" max="3339" width="9.625" style="45" customWidth="1"/>
    <col min="3340" max="3341" width="10.25" style="45" customWidth="1"/>
    <col min="3342" max="3342" width="9" style="45" customWidth="1"/>
    <col min="3343" max="3344" width="9" style="45" hidden="1" customWidth="1"/>
    <col min="3345" max="3584" width="9" style="45"/>
    <col min="3585" max="3585" width="3.875" style="45" customWidth="1"/>
    <col min="3586" max="3586" width="28.625" style="45" customWidth="1"/>
    <col min="3587" max="3587" width="13.375" style="45" customWidth="1"/>
    <col min="3588" max="3588" width="9.375" style="45" customWidth="1"/>
    <col min="3589" max="3590" width="4.75" style="45" customWidth="1"/>
    <col min="3591" max="3591" width="6.125" style="45" customWidth="1"/>
    <col min="3592" max="3593" width="4.75" style="45" customWidth="1"/>
    <col min="3594" max="3595" width="9.625" style="45" customWidth="1"/>
    <col min="3596" max="3597" width="10.25" style="45" customWidth="1"/>
    <col min="3598" max="3598" width="9" style="45" customWidth="1"/>
    <col min="3599" max="3600" width="9" style="45" hidden="1" customWidth="1"/>
    <col min="3601" max="3840" width="9" style="45"/>
    <col min="3841" max="3841" width="3.875" style="45" customWidth="1"/>
    <col min="3842" max="3842" width="28.625" style="45" customWidth="1"/>
    <col min="3843" max="3843" width="13.375" style="45" customWidth="1"/>
    <col min="3844" max="3844" width="9.375" style="45" customWidth="1"/>
    <col min="3845" max="3846" width="4.75" style="45" customWidth="1"/>
    <col min="3847" max="3847" width="6.125" style="45" customWidth="1"/>
    <col min="3848" max="3849" width="4.75" style="45" customWidth="1"/>
    <col min="3850" max="3851" width="9.625" style="45" customWidth="1"/>
    <col min="3852" max="3853" width="10.25" style="45" customWidth="1"/>
    <col min="3854" max="3854" width="9" style="45" customWidth="1"/>
    <col min="3855" max="3856" width="9" style="45" hidden="1" customWidth="1"/>
    <col min="3857" max="4096" width="9" style="45"/>
    <col min="4097" max="4097" width="3.875" style="45" customWidth="1"/>
    <col min="4098" max="4098" width="28.625" style="45" customWidth="1"/>
    <col min="4099" max="4099" width="13.375" style="45" customWidth="1"/>
    <col min="4100" max="4100" width="9.375" style="45" customWidth="1"/>
    <col min="4101" max="4102" width="4.75" style="45" customWidth="1"/>
    <col min="4103" max="4103" width="6.125" style="45" customWidth="1"/>
    <col min="4104" max="4105" width="4.75" style="45" customWidth="1"/>
    <col min="4106" max="4107" width="9.625" style="45" customWidth="1"/>
    <col min="4108" max="4109" width="10.25" style="45" customWidth="1"/>
    <col min="4110" max="4110" width="9" style="45" customWidth="1"/>
    <col min="4111" max="4112" width="9" style="45" hidden="1" customWidth="1"/>
    <col min="4113" max="4352" width="9" style="45"/>
    <col min="4353" max="4353" width="3.875" style="45" customWidth="1"/>
    <col min="4354" max="4354" width="28.625" style="45" customWidth="1"/>
    <col min="4355" max="4355" width="13.375" style="45" customWidth="1"/>
    <col min="4356" max="4356" width="9.375" style="45" customWidth="1"/>
    <col min="4357" max="4358" width="4.75" style="45" customWidth="1"/>
    <col min="4359" max="4359" width="6.125" style="45" customWidth="1"/>
    <col min="4360" max="4361" width="4.75" style="45" customWidth="1"/>
    <col min="4362" max="4363" width="9.625" style="45" customWidth="1"/>
    <col min="4364" max="4365" width="10.25" style="45" customWidth="1"/>
    <col min="4366" max="4366" width="9" style="45" customWidth="1"/>
    <col min="4367" max="4368" width="9" style="45" hidden="1" customWidth="1"/>
    <col min="4369" max="4608" width="9" style="45"/>
    <col min="4609" max="4609" width="3.875" style="45" customWidth="1"/>
    <col min="4610" max="4610" width="28.625" style="45" customWidth="1"/>
    <col min="4611" max="4611" width="13.375" style="45" customWidth="1"/>
    <col min="4612" max="4612" width="9.375" style="45" customWidth="1"/>
    <col min="4613" max="4614" width="4.75" style="45" customWidth="1"/>
    <col min="4615" max="4615" width="6.125" style="45" customWidth="1"/>
    <col min="4616" max="4617" width="4.75" style="45" customWidth="1"/>
    <col min="4618" max="4619" width="9.625" style="45" customWidth="1"/>
    <col min="4620" max="4621" width="10.25" style="45" customWidth="1"/>
    <col min="4622" max="4622" width="9" style="45" customWidth="1"/>
    <col min="4623" max="4624" width="9" style="45" hidden="1" customWidth="1"/>
    <col min="4625" max="4864" width="9" style="45"/>
    <col min="4865" max="4865" width="3.875" style="45" customWidth="1"/>
    <col min="4866" max="4866" width="28.625" style="45" customWidth="1"/>
    <col min="4867" max="4867" width="13.375" style="45" customWidth="1"/>
    <col min="4868" max="4868" width="9.375" style="45" customWidth="1"/>
    <col min="4869" max="4870" width="4.75" style="45" customWidth="1"/>
    <col min="4871" max="4871" width="6.125" style="45" customWidth="1"/>
    <col min="4872" max="4873" width="4.75" style="45" customWidth="1"/>
    <col min="4874" max="4875" width="9.625" style="45" customWidth="1"/>
    <col min="4876" max="4877" width="10.25" style="45" customWidth="1"/>
    <col min="4878" max="4878" width="9" style="45" customWidth="1"/>
    <col min="4879" max="4880" width="9" style="45" hidden="1" customWidth="1"/>
    <col min="4881" max="5120" width="9" style="45"/>
    <col min="5121" max="5121" width="3.875" style="45" customWidth="1"/>
    <col min="5122" max="5122" width="28.625" style="45" customWidth="1"/>
    <col min="5123" max="5123" width="13.375" style="45" customWidth="1"/>
    <col min="5124" max="5124" width="9.375" style="45" customWidth="1"/>
    <col min="5125" max="5126" width="4.75" style="45" customWidth="1"/>
    <col min="5127" max="5127" width="6.125" style="45" customWidth="1"/>
    <col min="5128" max="5129" width="4.75" style="45" customWidth="1"/>
    <col min="5130" max="5131" width="9.625" style="45" customWidth="1"/>
    <col min="5132" max="5133" width="10.25" style="45" customWidth="1"/>
    <col min="5134" max="5134" width="9" style="45" customWidth="1"/>
    <col min="5135" max="5136" width="9" style="45" hidden="1" customWidth="1"/>
    <col min="5137" max="5376" width="9" style="45"/>
    <col min="5377" max="5377" width="3.875" style="45" customWidth="1"/>
    <col min="5378" max="5378" width="28.625" style="45" customWidth="1"/>
    <col min="5379" max="5379" width="13.375" style="45" customWidth="1"/>
    <col min="5380" max="5380" width="9.375" style="45" customWidth="1"/>
    <col min="5381" max="5382" width="4.75" style="45" customWidth="1"/>
    <col min="5383" max="5383" width="6.125" style="45" customWidth="1"/>
    <col min="5384" max="5385" width="4.75" style="45" customWidth="1"/>
    <col min="5386" max="5387" width="9.625" style="45" customWidth="1"/>
    <col min="5388" max="5389" width="10.25" style="45" customWidth="1"/>
    <col min="5390" max="5390" width="9" style="45" customWidth="1"/>
    <col min="5391" max="5392" width="9" style="45" hidden="1" customWidth="1"/>
    <col min="5393" max="5632" width="9" style="45"/>
    <col min="5633" max="5633" width="3.875" style="45" customWidth="1"/>
    <col min="5634" max="5634" width="28.625" style="45" customWidth="1"/>
    <col min="5635" max="5635" width="13.375" style="45" customWidth="1"/>
    <col min="5636" max="5636" width="9.375" style="45" customWidth="1"/>
    <col min="5637" max="5638" width="4.75" style="45" customWidth="1"/>
    <col min="5639" max="5639" width="6.125" style="45" customWidth="1"/>
    <col min="5640" max="5641" width="4.75" style="45" customWidth="1"/>
    <col min="5642" max="5643" width="9.625" style="45" customWidth="1"/>
    <col min="5644" max="5645" width="10.25" style="45" customWidth="1"/>
    <col min="5646" max="5646" width="9" style="45" customWidth="1"/>
    <col min="5647" max="5648" width="9" style="45" hidden="1" customWidth="1"/>
    <col min="5649" max="5888" width="9" style="45"/>
    <col min="5889" max="5889" width="3.875" style="45" customWidth="1"/>
    <col min="5890" max="5890" width="28.625" style="45" customWidth="1"/>
    <col min="5891" max="5891" width="13.375" style="45" customWidth="1"/>
    <col min="5892" max="5892" width="9.375" style="45" customWidth="1"/>
    <col min="5893" max="5894" width="4.75" style="45" customWidth="1"/>
    <col min="5895" max="5895" width="6.125" style="45" customWidth="1"/>
    <col min="5896" max="5897" width="4.75" style="45" customWidth="1"/>
    <col min="5898" max="5899" width="9.625" style="45" customWidth="1"/>
    <col min="5900" max="5901" width="10.25" style="45" customWidth="1"/>
    <col min="5902" max="5902" width="9" style="45" customWidth="1"/>
    <col min="5903" max="5904" width="9" style="45" hidden="1" customWidth="1"/>
    <col min="5905" max="6144" width="9" style="45"/>
    <col min="6145" max="6145" width="3.875" style="45" customWidth="1"/>
    <col min="6146" max="6146" width="28.625" style="45" customWidth="1"/>
    <col min="6147" max="6147" width="13.375" style="45" customWidth="1"/>
    <col min="6148" max="6148" width="9.375" style="45" customWidth="1"/>
    <col min="6149" max="6150" width="4.75" style="45" customWidth="1"/>
    <col min="6151" max="6151" width="6.125" style="45" customWidth="1"/>
    <col min="6152" max="6153" width="4.75" style="45" customWidth="1"/>
    <col min="6154" max="6155" width="9.625" style="45" customWidth="1"/>
    <col min="6156" max="6157" width="10.25" style="45" customWidth="1"/>
    <col min="6158" max="6158" width="9" style="45" customWidth="1"/>
    <col min="6159" max="6160" width="9" style="45" hidden="1" customWidth="1"/>
    <col min="6161" max="6400" width="9" style="45"/>
    <col min="6401" max="6401" width="3.875" style="45" customWidth="1"/>
    <col min="6402" max="6402" width="28.625" style="45" customWidth="1"/>
    <col min="6403" max="6403" width="13.375" style="45" customWidth="1"/>
    <col min="6404" max="6404" width="9.375" style="45" customWidth="1"/>
    <col min="6405" max="6406" width="4.75" style="45" customWidth="1"/>
    <col min="6407" max="6407" width="6.125" style="45" customWidth="1"/>
    <col min="6408" max="6409" width="4.75" style="45" customWidth="1"/>
    <col min="6410" max="6411" width="9.625" style="45" customWidth="1"/>
    <col min="6412" max="6413" width="10.25" style="45" customWidth="1"/>
    <col min="6414" max="6414" width="9" style="45" customWidth="1"/>
    <col min="6415" max="6416" width="9" style="45" hidden="1" customWidth="1"/>
    <col min="6417" max="6656" width="9" style="45"/>
    <col min="6657" max="6657" width="3.875" style="45" customWidth="1"/>
    <col min="6658" max="6658" width="28.625" style="45" customWidth="1"/>
    <col min="6659" max="6659" width="13.375" style="45" customWidth="1"/>
    <col min="6660" max="6660" width="9.375" style="45" customWidth="1"/>
    <col min="6661" max="6662" width="4.75" style="45" customWidth="1"/>
    <col min="6663" max="6663" width="6.125" style="45" customWidth="1"/>
    <col min="6664" max="6665" width="4.75" style="45" customWidth="1"/>
    <col min="6666" max="6667" width="9.625" style="45" customWidth="1"/>
    <col min="6668" max="6669" width="10.25" style="45" customWidth="1"/>
    <col min="6670" max="6670" width="9" style="45" customWidth="1"/>
    <col min="6671" max="6672" width="9" style="45" hidden="1" customWidth="1"/>
    <col min="6673" max="6912" width="9" style="45"/>
    <col min="6913" max="6913" width="3.875" style="45" customWidth="1"/>
    <col min="6914" max="6914" width="28.625" style="45" customWidth="1"/>
    <col min="6915" max="6915" width="13.375" style="45" customWidth="1"/>
    <col min="6916" max="6916" width="9.375" style="45" customWidth="1"/>
    <col min="6917" max="6918" width="4.75" style="45" customWidth="1"/>
    <col min="6919" max="6919" width="6.125" style="45" customWidth="1"/>
    <col min="6920" max="6921" width="4.75" style="45" customWidth="1"/>
    <col min="6922" max="6923" width="9.625" style="45" customWidth="1"/>
    <col min="6924" max="6925" width="10.25" style="45" customWidth="1"/>
    <col min="6926" max="6926" width="9" style="45" customWidth="1"/>
    <col min="6927" max="6928" width="9" style="45" hidden="1" customWidth="1"/>
    <col min="6929" max="7168" width="9" style="45"/>
    <col min="7169" max="7169" width="3.875" style="45" customWidth="1"/>
    <col min="7170" max="7170" width="28.625" style="45" customWidth="1"/>
    <col min="7171" max="7171" width="13.375" style="45" customWidth="1"/>
    <col min="7172" max="7172" width="9.375" style="45" customWidth="1"/>
    <col min="7173" max="7174" width="4.75" style="45" customWidth="1"/>
    <col min="7175" max="7175" width="6.125" style="45" customWidth="1"/>
    <col min="7176" max="7177" width="4.75" style="45" customWidth="1"/>
    <col min="7178" max="7179" width="9.625" style="45" customWidth="1"/>
    <col min="7180" max="7181" width="10.25" style="45" customWidth="1"/>
    <col min="7182" max="7182" width="9" style="45" customWidth="1"/>
    <col min="7183" max="7184" width="9" style="45" hidden="1" customWidth="1"/>
    <col min="7185" max="7424" width="9" style="45"/>
    <col min="7425" max="7425" width="3.875" style="45" customWidth="1"/>
    <col min="7426" max="7426" width="28.625" style="45" customWidth="1"/>
    <col min="7427" max="7427" width="13.375" style="45" customWidth="1"/>
    <col min="7428" max="7428" width="9.375" style="45" customWidth="1"/>
    <col min="7429" max="7430" width="4.75" style="45" customWidth="1"/>
    <col min="7431" max="7431" width="6.125" style="45" customWidth="1"/>
    <col min="7432" max="7433" width="4.75" style="45" customWidth="1"/>
    <col min="7434" max="7435" width="9.625" style="45" customWidth="1"/>
    <col min="7436" max="7437" width="10.25" style="45" customWidth="1"/>
    <col min="7438" max="7438" width="9" style="45" customWidth="1"/>
    <col min="7439" max="7440" width="9" style="45" hidden="1" customWidth="1"/>
    <col min="7441" max="7680" width="9" style="45"/>
    <col min="7681" max="7681" width="3.875" style="45" customWidth="1"/>
    <col min="7682" max="7682" width="28.625" style="45" customWidth="1"/>
    <col min="7683" max="7683" width="13.375" style="45" customWidth="1"/>
    <col min="7684" max="7684" width="9.375" style="45" customWidth="1"/>
    <col min="7685" max="7686" width="4.75" style="45" customWidth="1"/>
    <col min="7687" max="7687" width="6.125" style="45" customWidth="1"/>
    <col min="7688" max="7689" width="4.75" style="45" customWidth="1"/>
    <col min="7690" max="7691" width="9.625" style="45" customWidth="1"/>
    <col min="7692" max="7693" width="10.25" style="45" customWidth="1"/>
    <col min="7694" max="7694" width="9" style="45" customWidth="1"/>
    <col min="7695" max="7696" width="9" style="45" hidden="1" customWidth="1"/>
    <col min="7697" max="7936" width="9" style="45"/>
    <col min="7937" max="7937" width="3.875" style="45" customWidth="1"/>
    <col min="7938" max="7938" width="28.625" style="45" customWidth="1"/>
    <col min="7939" max="7939" width="13.375" style="45" customWidth="1"/>
    <col min="7940" max="7940" width="9.375" style="45" customWidth="1"/>
    <col min="7941" max="7942" width="4.75" style="45" customWidth="1"/>
    <col min="7943" max="7943" width="6.125" style="45" customWidth="1"/>
    <col min="7944" max="7945" width="4.75" style="45" customWidth="1"/>
    <col min="7946" max="7947" width="9.625" style="45" customWidth="1"/>
    <col min="7948" max="7949" width="10.25" style="45" customWidth="1"/>
    <col min="7950" max="7950" width="9" style="45" customWidth="1"/>
    <col min="7951" max="7952" width="9" style="45" hidden="1" customWidth="1"/>
    <col min="7953" max="8192" width="9" style="45"/>
    <col min="8193" max="8193" width="3.875" style="45" customWidth="1"/>
    <col min="8194" max="8194" width="28.625" style="45" customWidth="1"/>
    <col min="8195" max="8195" width="13.375" style="45" customWidth="1"/>
    <col min="8196" max="8196" width="9.375" style="45" customWidth="1"/>
    <col min="8197" max="8198" width="4.75" style="45" customWidth="1"/>
    <col min="8199" max="8199" width="6.125" style="45" customWidth="1"/>
    <col min="8200" max="8201" width="4.75" style="45" customWidth="1"/>
    <col min="8202" max="8203" width="9.625" style="45" customWidth="1"/>
    <col min="8204" max="8205" width="10.25" style="45" customWidth="1"/>
    <col min="8206" max="8206" width="9" style="45" customWidth="1"/>
    <col min="8207" max="8208" width="9" style="45" hidden="1" customWidth="1"/>
    <col min="8209" max="8448" width="9" style="45"/>
    <col min="8449" max="8449" width="3.875" style="45" customWidth="1"/>
    <col min="8450" max="8450" width="28.625" style="45" customWidth="1"/>
    <col min="8451" max="8451" width="13.375" style="45" customWidth="1"/>
    <col min="8452" max="8452" width="9.375" style="45" customWidth="1"/>
    <col min="8453" max="8454" width="4.75" style="45" customWidth="1"/>
    <col min="8455" max="8455" width="6.125" style="45" customWidth="1"/>
    <col min="8456" max="8457" width="4.75" style="45" customWidth="1"/>
    <col min="8458" max="8459" width="9.625" style="45" customWidth="1"/>
    <col min="8460" max="8461" width="10.25" style="45" customWidth="1"/>
    <col min="8462" max="8462" width="9" style="45" customWidth="1"/>
    <col min="8463" max="8464" width="9" style="45" hidden="1" customWidth="1"/>
    <col min="8465" max="8704" width="9" style="45"/>
    <col min="8705" max="8705" width="3.875" style="45" customWidth="1"/>
    <col min="8706" max="8706" width="28.625" style="45" customWidth="1"/>
    <col min="8707" max="8707" width="13.375" style="45" customWidth="1"/>
    <col min="8708" max="8708" width="9.375" style="45" customWidth="1"/>
    <col min="8709" max="8710" width="4.75" style="45" customWidth="1"/>
    <col min="8711" max="8711" width="6.125" style="45" customWidth="1"/>
    <col min="8712" max="8713" width="4.75" style="45" customWidth="1"/>
    <col min="8714" max="8715" width="9.625" style="45" customWidth="1"/>
    <col min="8716" max="8717" width="10.25" style="45" customWidth="1"/>
    <col min="8718" max="8718" width="9" style="45" customWidth="1"/>
    <col min="8719" max="8720" width="9" style="45" hidden="1" customWidth="1"/>
    <col min="8721" max="8960" width="9" style="45"/>
    <col min="8961" max="8961" width="3.875" style="45" customWidth="1"/>
    <col min="8962" max="8962" width="28.625" style="45" customWidth="1"/>
    <col min="8963" max="8963" width="13.375" style="45" customWidth="1"/>
    <col min="8964" max="8964" width="9.375" style="45" customWidth="1"/>
    <col min="8965" max="8966" width="4.75" style="45" customWidth="1"/>
    <col min="8967" max="8967" width="6.125" style="45" customWidth="1"/>
    <col min="8968" max="8969" width="4.75" style="45" customWidth="1"/>
    <col min="8970" max="8971" width="9.625" style="45" customWidth="1"/>
    <col min="8972" max="8973" width="10.25" style="45" customWidth="1"/>
    <col min="8974" max="8974" width="9" style="45" customWidth="1"/>
    <col min="8975" max="8976" width="9" style="45" hidden="1" customWidth="1"/>
    <col min="8977" max="9216" width="9" style="45"/>
    <col min="9217" max="9217" width="3.875" style="45" customWidth="1"/>
    <col min="9218" max="9218" width="28.625" style="45" customWidth="1"/>
    <col min="9219" max="9219" width="13.375" style="45" customWidth="1"/>
    <col min="9220" max="9220" width="9.375" style="45" customWidth="1"/>
    <col min="9221" max="9222" width="4.75" style="45" customWidth="1"/>
    <col min="9223" max="9223" width="6.125" style="45" customWidth="1"/>
    <col min="9224" max="9225" width="4.75" style="45" customWidth="1"/>
    <col min="9226" max="9227" width="9.625" style="45" customWidth="1"/>
    <col min="9228" max="9229" width="10.25" style="45" customWidth="1"/>
    <col min="9230" max="9230" width="9" style="45" customWidth="1"/>
    <col min="9231" max="9232" width="9" style="45" hidden="1" customWidth="1"/>
    <col min="9233" max="9472" width="9" style="45"/>
    <col min="9473" max="9473" width="3.875" style="45" customWidth="1"/>
    <col min="9474" max="9474" width="28.625" style="45" customWidth="1"/>
    <col min="9475" max="9475" width="13.375" style="45" customWidth="1"/>
    <col min="9476" max="9476" width="9.375" style="45" customWidth="1"/>
    <col min="9477" max="9478" width="4.75" style="45" customWidth="1"/>
    <col min="9479" max="9479" width="6.125" style="45" customWidth="1"/>
    <col min="9480" max="9481" width="4.75" style="45" customWidth="1"/>
    <col min="9482" max="9483" width="9.625" style="45" customWidth="1"/>
    <col min="9484" max="9485" width="10.25" style="45" customWidth="1"/>
    <col min="9486" max="9486" width="9" style="45" customWidth="1"/>
    <col min="9487" max="9488" width="9" style="45" hidden="1" customWidth="1"/>
    <col min="9489" max="9728" width="9" style="45"/>
    <col min="9729" max="9729" width="3.875" style="45" customWidth="1"/>
    <col min="9730" max="9730" width="28.625" style="45" customWidth="1"/>
    <col min="9731" max="9731" width="13.375" style="45" customWidth="1"/>
    <col min="9732" max="9732" width="9.375" style="45" customWidth="1"/>
    <col min="9733" max="9734" width="4.75" style="45" customWidth="1"/>
    <col min="9735" max="9735" width="6.125" style="45" customWidth="1"/>
    <col min="9736" max="9737" width="4.75" style="45" customWidth="1"/>
    <col min="9738" max="9739" width="9.625" style="45" customWidth="1"/>
    <col min="9740" max="9741" width="10.25" style="45" customWidth="1"/>
    <col min="9742" max="9742" width="9" style="45" customWidth="1"/>
    <col min="9743" max="9744" width="9" style="45" hidden="1" customWidth="1"/>
    <col min="9745" max="9984" width="9" style="45"/>
    <col min="9985" max="9985" width="3.875" style="45" customWidth="1"/>
    <col min="9986" max="9986" width="28.625" style="45" customWidth="1"/>
    <col min="9987" max="9987" width="13.375" style="45" customWidth="1"/>
    <col min="9988" max="9988" width="9.375" style="45" customWidth="1"/>
    <col min="9989" max="9990" width="4.75" style="45" customWidth="1"/>
    <col min="9991" max="9991" width="6.125" style="45" customWidth="1"/>
    <col min="9992" max="9993" width="4.75" style="45" customWidth="1"/>
    <col min="9994" max="9995" width="9.625" style="45" customWidth="1"/>
    <col min="9996" max="9997" width="10.25" style="45" customWidth="1"/>
    <col min="9998" max="9998" width="9" style="45" customWidth="1"/>
    <col min="9999" max="10000" width="9" style="45" hidden="1" customWidth="1"/>
    <col min="10001" max="10240" width="9" style="45"/>
    <col min="10241" max="10241" width="3.875" style="45" customWidth="1"/>
    <col min="10242" max="10242" width="28.625" style="45" customWidth="1"/>
    <col min="10243" max="10243" width="13.375" style="45" customWidth="1"/>
    <col min="10244" max="10244" width="9.375" style="45" customWidth="1"/>
    <col min="10245" max="10246" width="4.75" style="45" customWidth="1"/>
    <col min="10247" max="10247" width="6.125" style="45" customWidth="1"/>
    <col min="10248" max="10249" width="4.75" style="45" customWidth="1"/>
    <col min="10250" max="10251" width="9.625" style="45" customWidth="1"/>
    <col min="10252" max="10253" width="10.25" style="45" customWidth="1"/>
    <col min="10254" max="10254" width="9" style="45" customWidth="1"/>
    <col min="10255" max="10256" width="9" style="45" hidden="1" customWidth="1"/>
    <col min="10257" max="10496" width="9" style="45"/>
    <col min="10497" max="10497" width="3.875" style="45" customWidth="1"/>
    <col min="10498" max="10498" width="28.625" style="45" customWidth="1"/>
    <col min="10499" max="10499" width="13.375" style="45" customWidth="1"/>
    <col min="10500" max="10500" width="9.375" style="45" customWidth="1"/>
    <col min="10501" max="10502" width="4.75" style="45" customWidth="1"/>
    <col min="10503" max="10503" width="6.125" style="45" customWidth="1"/>
    <col min="10504" max="10505" width="4.75" style="45" customWidth="1"/>
    <col min="10506" max="10507" width="9.625" style="45" customWidth="1"/>
    <col min="10508" max="10509" width="10.25" style="45" customWidth="1"/>
    <col min="10510" max="10510" width="9" style="45" customWidth="1"/>
    <col min="10511" max="10512" width="9" style="45" hidden="1" customWidth="1"/>
    <col min="10513" max="10752" width="9" style="45"/>
    <col min="10753" max="10753" width="3.875" style="45" customWidth="1"/>
    <col min="10754" max="10754" width="28.625" style="45" customWidth="1"/>
    <col min="10755" max="10755" width="13.375" style="45" customWidth="1"/>
    <col min="10756" max="10756" width="9.375" style="45" customWidth="1"/>
    <col min="10757" max="10758" width="4.75" style="45" customWidth="1"/>
    <col min="10759" max="10759" width="6.125" style="45" customWidth="1"/>
    <col min="10760" max="10761" width="4.75" style="45" customWidth="1"/>
    <col min="10762" max="10763" width="9.625" style="45" customWidth="1"/>
    <col min="10764" max="10765" width="10.25" style="45" customWidth="1"/>
    <col min="10766" max="10766" width="9" style="45" customWidth="1"/>
    <col min="10767" max="10768" width="9" style="45" hidden="1" customWidth="1"/>
    <col min="10769" max="11008" width="9" style="45"/>
    <col min="11009" max="11009" width="3.875" style="45" customWidth="1"/>
    <col min="11010" max="11010" width="28.625" style="45" customWidth="1"/>
    <col min="11011" max="11011" width="13.375" style="45" customWidth="1"/>
    <col min="11012" max="11012" width="9.375" style="45" customWidth="1"/>
    <col min="11013" max="11014" width="4.75" style="45" customWidth="1"/>
    <col min="11015" max="11015" width="6.125" style="45" customWidth="1"/>
    <col min="11016" max="11017" width="4.75" style="45" customWidth="1"/>
    <col min="11018" max="11019" width="9.625" style="45" customWidth="1"/>
    <col min="11020" max="11021" width="10.25" style="45" customWidth="1"/>
    <col min="11022" max="11022" width="9" style="45" customWidth="1"/>
    <col min="11023" max="11024" width="9" style="45" hidden="1" customWidth="1"/>
    <col min="11025" max="11264" width="9" style="45"/>
    <col min="11265" max="11265" width="3.875" style="45" customWidth="1"/>
    <col min="11266" max="11266" width="28.625" style="45" customWidth="1"/>
    <col min="11267" max="11267" width="13.375" style="45" customWidth="1"/>
    <col min="11268" max="11268" width="9.375" style="45" customWidth="1"/>
    <col min="11269" max="11270" width="4.75" style="45" customWidth="1"/>
    <col min="11271" max="11271" width="6.125" style="45" customWidth="1"/>
    <col min="11272" max="11273" width="4.75" style="45" customWidth="1"/>
    <col min="11274" max="11275" width="9.625" style="45" customWidth="1"/>
    <col min="11276" max="11277" width="10.25" style="45" customWidth="1"/>
    <col min="11278" max="11278" width="9" style="45" customWidth="1"/>
    <col min="11279" max="11280" width="9" style="45" hidden="1" customWidth="1"/>
    <col min="11281" max="11520" width="9" style="45"/>
    <col min="11521" max="11521" width="3.875" style="45" customWidth="1"/>
    <col min="11522" max="11522" width="28.625" style="45" customWidth="1"/>
    <col min="11523" max="11523" width="13.375" style="45" customWidth="1"/>
    <col min="11524" max="11524" width="9.375" style="45" customWidth="1"/>
    <col min="11525" max="11526" width="4.75" style="45" customWidth="1"/>
    <col min="11527" max="11527" width="6.125" style="45" customWidth="1"/>
    <col min="11528" max="11529" width="4.75" style="45" customWidth="1"/>
    <col min="11530" max="11531" width="9.625" style="45" customWidth="1"/>
    <col min="11532" max="11533" width="10.25" style="45" customWidth="1"/>
    <col min="11534" max="11534" width="9" style="45" customWidth="1"/>
    <col min="11535" max="11536" width="9" style="45" hidden="1" customWidth="1"/>
    <col min="11537" max="11776" width="9" style="45"/>
    <col min="11777" max="11777" width="3.875" style="45" customWidth="1"/>
    <col min="11778" max="11778" width="28.625" style="45" customWidth="1"/>
    <col min="11779" max="11779" width="13.375" style="45" customWidth="1"/>
    <col min="11780" max="11780" width="9.375" style="45" customWidth="1"/>
    <col min="11781" max="11782" width="4.75" style="45" customWidth="1"/>
    <col min="11783" max="11783" width="6.125" style="45" customWidth="1"/>
    <col min="11784" max="11785" width="4.75" style="45" customWidth="1"/>
    <col min="11786" max="11787" width="9.625" style="45" customWidth="1"/>
    <col min="11788" max="11789" width="10.25" style="45" customWidth="1"/>
    <col min="11790" max="11790" width="9" style="45" customWidth="1"/>
    <col min="11791" max="11792" width="9" style="45" hidden="1" customWidth="1"/>
    <col min="11793" max="12032" width="9" style="45"/>
    <col min="12033" max="12033" width="3.875" style="45" customWidth="1"/>
    <col min="12034" max="12034" width="28.625" style="45" customWidth="1"/>
    <col min="12035" max="12035" width="13.375" style="45" customWidth="1"/>
    <col min="12036" max="12036" width="9.375" style="45" customWidth="1"/>
    <col min="12037" max="12038" width="4.75" style="45" customWidth="1"/>
    <col min="12039" max="12039" width="6.125" style="45" customWidth="1"/>
    <col min="12040" max="12041" width="4.75" style="45" customWidth="1"/>
    <col min="12042" max="12043" width="9.625" style="45" customWidth="1"/>
    <col min="12044" max="12045" width="10.25" style="45" customWidth="1"/>
    <col min="12046" max="12046" width="9" style="45" customWidth="1"/>
    <col min="12047" max="12048" width="9" style="45" hidden="1" customWidth="1"/>
    <col min="12049" max="12288" width="9" style="45"/>
    <col min="12289" max="12289" width="3.875" style="45" customWidth="1"/>
    <col min="12290" max="12290" width="28.625" style="45" customWidth="1"/>
    <col min="12291" max="12291" width="13.375" style="45" customWidth="1"/>
    <col min="12292" max="12292" width="9.375" style="45" customWidth="1"/>
    <col min="12293" max="12294" width="4.75" style="45" customWidth="1"/>
    <col min="12295" max="12295" width="6.125" style="45" customWidth="1"/>
    <col min="12296" max="12297" width="4.75" style="45" customWidth="1"/>
    <col min="12298" max="12299" width="9.625" style="45" customWidth="1"/>
    <col min="12300" max="12301" width="10.25" style="45" customWidth="1"/>
    <col min="12302" max="12302" width="9" style="45" customWidth="1"/>
    <col min="12303" max="12304" width="9" style="45" hidden="1" customWidth="1"/>
    <col min="12305" max="12544" width="9" style="45"/>
    <col min="12545" max="12545" width="3.875" style="45" customWidth="1"/>
    <col min="12546" max="12546" width="28.625" style="45" customWidth="1"/>
    <col min="12547" max="12547" width="13.375" style="45" customWidth="1"/>
    <col min="12548" max="12548" width="9.375" style="45" customWidth="1"/>
    <col min="12549" max="12550" width="4.75" style="45" customWidth="1"/>
    <col min="12551" max="12551" width="6.125" style="45" customWidth="1"/>
    <col min="12552" max="12553" width="4.75" style="45" customWidth="1"/>
    <col min="12554" max="12555" width="9.625" style="45" customWidth="1"/>
    <col min="12556" max="12557" width="10.25" style="45" customWidth="1"/>
    <col min="12558" max="12558" width="9" style="45" customWidth="1"/>
    <col min="12559" max="12560" width="9" style="45" hidden="1" customWidth="1"/>
    <col min="12561" max="12800" width="9" style="45"/>
    <col min="12801" max="12801" width="3.875" style="45" customWidth="1"/>
    <col min="12802" max="12802" width="28.625" style="45" customWidth="1"/>
    <col min="12803" max="12803" width="13.375" style="45" customWidth="1"/>
    <col min="12804" max="12804" width="9.375" style="45" customWidth="1"/>
    <col min="12805" max="12806" width="4.75" style="45" customWidth="1"/>
    <col min="12807" max="12807" width="6.125" style="45" customWidth="1"/>
    <col min="12808" max="12809" width="4.75" style="45" customWidth="1"/>
    <col min="12810" max="12811" width="9.625" style="45" customWidth="1"/>
    <col min="12812" max="12813" width="10.25" style="45" customWidth="1"/>
    <col min="12814" max="12814" width="9" style="45" customWidth="1"/>
    <col min="12815" max="12816" width="9" style="45" hidden="1" customWidth="1"/>
    <col min="12817" max="13056" width="9" style="45"/>
    <col min="13057" max="13057" width="3.875" style="45" customWidth="1"/>
    <col min="13058" max="13058" width="28.625" style="45" customWidth="1"/>
    <col min="13059" max="13059" width="13.375" style="45" customWidth="1"/>
    <col min="13060" max="13060" width="9.375" style="45" customWidth="1"/>
    <col min="13061" max="13062" width="4.75" style="45" customWidth="1"/>
    <col min="13063" max="13063" width="6.125" style="45" customWidth="1"/>
    <col min="13064" max="13065" width="4.75" style="45" customWidth="1"/>
    <col min="13066" max="13067" width="9.625" style="45" customWidth="1"/>
    <col min="13068" max="13069" width="10.25" style="45" customWidth="1"/>
    <col min="13070" max="13070" width="9" style="45" customWidth="1"/>
    <col min="13071" max="13072" width="9" style="45" hidden="1" customWidth="1"/>
    <col min="13073" max="13312" width="9" style="45"/>
    <col min="13313" max="13313" width="3.875" style="45" customWidth="1"/>
    <col min="13314" max="13314" width="28.625" style="45" customWidth="1"/>
    <col min="13315" max="13315" width="13.375" style="45" customWidth="1"/>
    <col min="13316" max="13316" width="9.375" style="45" customWidth="1"/>
    <col min="13317" max="13318" width="4.75" style="45" customWidth="1"/>
    <col min="13319" max="13319" width="6.125" style="45" customWidth="1"/>
    <col min="13320" max="13321" width="4.75" style="45" customWidth="1"/>
    <col min="13322" max="13323" width="9.625" style="45" customWidth="1"/>
    <col min="13324" max="13325" width="10.25" style="45" customWidth="1"/>
    <col min="13326" max="13326" width="9" style="45" customWidth="1"/>
    <col min="13327" max="13328" width="9" style="45" hidden="1" customWidth="1"/>
    <col min="13329" max="13568" width="9" style="45"/>
    <col min="13569" max="13569" width="3.875" style="45" customWidth="1"/>
    <col min="13570" max="13570" width="28.625" style="45" customWidth="1"/>
    <col min="13571" max="13571" width="13.375" style="45" customWidth="1"/>
    <col min="13572" max="13572" width="9.375" style="45" customWidth="1"/>
    <col min="13573" max="13574" width="4.75" style="45" customWidth="1"/>
    <col min="13575" max="13575" width="6.125" style="45" customWidth="1"/>
    <col min="13576" max="13577" width="4.75" style="45" customWidth="1"/>
    <col min="13578" max="13579" width="9.625" style="45" customWidth="1"/>
    <col min="13580" max="13581" width="10.25" style="45" customWidth="1"/>
    <col min="13582" max="13582" width="9" style="45" customWidth="1"/>
    <col min="13583" max="13584" width="9" style="45" hidden="1" customWidth="1"/>
    <col min="13585" max="13824" width="9" style="45"/>
    <col min="13825" max="13825" width="3.875" style="45" customWidth="1"/>
    <col min="13826" max="13826" width="28.625" style="45" customWidth="1"/>
    <col min="13827" max="13827" width="13.375" style="45" customWidth="1"/>
    <col min="13828" max="13828" width="9.375" style="45" customWidth="1"/>
    <col min="13829" max="13830" width="4.75" style="45" customWidth="1"/>
    <col min="13831" max="13831" width="6.125" style="45" customWidth="1"/>
    <col min="13832" max="13833" width="4.75" style="45" customWidth="1"/>
    <col min="13834" max="13835" width="9.625" style="45" customWidth="1"/>
    <col min="13836" max="13837" width="10.25" style="45" customWidth="1"/>
    <col min="13838" max="13838" width="9" style="45" customWidth="1"/>
    <col min="13839" max="13840" width="9" style="45" hidden="1" customWidth="1"/>
    <col min="13841" max="14080" width="9" style="45"/>
    <col min="14081" max="14081" width="3.875" style="45" customWidth="1"/>
    <col min="14082" max="14082" width="28.625" style="45" customWidth="1"/>
    <col min="14083" max="14083" width="13.375" style="45" customWidth="1"/>
    <col min="14084" max="14084" width="9.375" style="45" customWidth="1"/>
    <col min="14085" max="14086" width="4.75" style="45" customWidth="1"/>
    <col min="14087" max="14087" width="6.125" style="45" customWidth="1"/>
    <col min="14088" max="14089" width="4.75" style="45" customWidth="1"/>
    <col min="14090" max="14091" width="9.625" style="45" customWidth="1"/>
    <col min="14092" max="14093" width="10.25" style="45" customWidth="1"/>
    <col min="14094" max="14094" width="9" style="45" customWidth="1"/>
    <col min="14095" max="14096" width="9" style="45" hidden="1" customWidth="1"/>
    <col min="14097" max="14336" width="9" style="45"/>
    <col min="14337" max="14337" width="3.875" style="45" customWidth="1"/>
    <col min="14338" max="14338" width="28.625" style="45" customWidth="1"/>
    <col min="14339" max="14339" width="13.375" style="45" customWidth="1"/>
    <col min="14340" max="14340" width="9.375" style="45" customWidth="1"/>
    <col min="14341" max="14342" width="4.75" style="45" customWidth="1"/>
    <col min="14343" max="14343" width="6.125" style="45" customWidth="1"/>
    <col min="14344" max="14345" width="4.75" style="45" customWidth="1"/>
    <col min="14346" max="14347" width="9.625" style="45" customWidth="1"/>
    <col min="14348" max="14349" width="10.25" style="45" customWidth="1"/>
    <col min="14350" max="14350" width="9" style="45" customWidth="1"/>
    <col min="14351" max="14352" width="9" style="45" hidden="1" customWidth="1"/>
    <col min="14353" max="14592" width="9" style="45"/>
    <col min="14593" max="14593" width="3.875" style="45" customWidth="1"/>
    <col min="14594" max="14594" width="28.625" style="45" customWidth="1"/>
    <col min="14595" max="14595" width="13.375" style="45" customWidth="1"/>
    <col min="14596" max="14596" width="9.375" style="45" customWidth="1"/>
    <col min="14597" max="14598" width="4.75" style="45" customWidth="1"/>
    <col min="14599" max="14599" width="6.125" style="45" customWidth="1"/>
    <col min="14600" max="14601" width="4.75" style="45" customWidth="1"/>
    <col min="14602" max="14603" width="9.625" style="45" customWidth="1"/>
    <col min="14604" max="14605" width="10.25" style="45" customWidth="1"/>
    <col min="14606" max="14606" width="9" style="45" customWidth="1"/>
    <col min="14607" max="14608" width="9" style="45" hidden="1" customWidth="1"/>
    <col min="14609" max="14848" width="9" style="45"/>
    <col min="14849" max="14849" width="3.875" style="45" customWidth="1"/>
    <col min="14850" max="14850" width="28.625" style="45" customWidth="1"/>
    <col min="14851" max="14851" width="13.375" style="45" customWidth="1"/>
    <col min="14852" max="14852" width="9.375" style="45" customWidth="1"/>
    <col min="14853" max="14854" width="4.75" style="45" customWidth="1"/>
    <col min="14855" max="14855" width="6.125" style="45" customWidth="1"/>
    <col min="14856" max="14857" width="4.75" style="45" customWidth="1"/>
    <col min="14858" max="14859" width="9.625" style="45" customWidth="1"/>
    <col min="14860" max="14861" width="10.25" style="45" customWidth="1"/>
    <col min="14862" max="14862" width="9" style="45" customWidth="1"/>
    <col min="14863" max="14864" width="9" style="45" hidden="1" customWidth="1"/>
    <col min="14865" max="15104" width="9" style="45"/>
    <col min="15105" max="15105" width="3.875" style="45" customWidth="1"/>
    <col min="15106" max="15106" width="28.625" style="45" customWidth="1"/>
    <col min="15107" max="15107" width="13.375" style="45" customWidth="1"/>
    <col min="15108" max="15108" width="9.375" style="45" customWidth="1"/>
    <col min="15109" max="15110" width="4.75" style="45" customWidth="1"/>
    <col min="15111" max="15111" width="6.125" style="45" customWidth="1"/>
    <col min="15112" max="15113" width="4.75" style="45" customWidth="1"/>
    <col min="15114" max="15115" width="9.625" style="45" customWidth="1"/>
    <col min="15116" max="15117" width="10.25" style="45" customWidth="1"/>
    <col min="15118" max="15118" width="9" style="45" customWidth="1"/>
    <col min="15119" max="15120" width="9" style="45" hidden="1" customWidth="1"/>
    <col min="15121" max="15360" width="9" style="45"/>
    <col min="15361" max="15361" width="3.875" style="45" customWidth="1"/>
    <col min="15362" max="15362" width="28.625" style="45" customWidth="1"/>
    <col min="15363" max="15363" width="13.375" style="45" customWidth="1"/>
    <col min="15364" max="15364" width="9.375" style="45" customWidth="1"/>
    <col min="15365" max="15366" width="4.75" style="45" customWidth="1"/>
    <col min="15367" max="15367" width="6.125" style="45" customWidth="1"/>
    <col min="15368" max="15369" width="4.75" style="45" customWidth="1"/>
    <col min="15370" max="15371" width="9.625" style="45" customWidth="1"/>
    <col min="15372" max="15373" width="10.25" style="45" customWidth="1"/>
    <col min="15374" max="15374" width="9" style="45" customWidth="1"/>
    <col min="15375" max="15376" width="9" style="45" hidden="1" customWidth="1"/>
    <col min="15377" max="15616" width="9" style="45"/>
    <col min="15617" max="15617" width="3.875" style="45" customWidth="1"/>
    <col min="15618" max="15618" width="28.625" style="45" customWidth="1"/>
    <col min="15619" max="15619" width="13.375" style="45" customWidth="1"/>
    <col min="15620" max="15620" width="9.375" style="45" customWidth="1"/>
    <col min="15621" max="15622" width="4.75" style="45" customWidth="1"/>
    <col min="15623" max="15623" width="6.125" style="45" customWidth="1"/>
    <col min="15624" max="15625" width="4.75" style="45" customWidth="1"/>
    <col min="15626" max="15627" width="9.625" style="45" customWidth="1"/>
    <col min="15628" max="15629" width="10.25" style="45" customWidth="1"/>
    <col min="15630" max="15630" width="9" style="45" customWidth="1"/>
    <col min="15631" max="15632" width="9" style="45" hidden="1" customWidth="1"/>
    <col min="15633" max="15872" width="9" style="45"/>
    <col min="15873" max="15873" width="3.875" style="45" customWidth="1"/>
    <col min="15874" max="15874" width="28.625" style="45" customWidth="1"/>
    <col min="15875" max="15875" width="13.375" style="45" customWidth="1"/>
    <col min="15876" max="15876" width="9.375" style="45" customWidth="1"/>
    <col min="15877" max="15878" width="4.75" style="45" customWidth="1"/>
    <col min="15879" max="15879" width="6.125" style="45" customWidth="1"/>
    <col min="15880" max="15881" width="4.75" style="45" customWidth="1"/>
    <col min="15882" max="15883" width="9.625" style="45" customWidth="1"/>
    <col min="15884" max="15885" width="10.25" style="45" customWidth="1"/>
    <col min="15886" max="15886" width="9" style="45" customWidth="1"/>
    <col min="15887" max="15888" width="9" style="45" hidden="1" customWidth="1"/>
    <col min="15889" max="16128" width="9" style="45"/>
    <col min="16129" max="16129" width="3.875" style="45" customWidth="1"/>
    <col min="16130" max="16130" width="28.625" style="45" customWidth="1"/>
    <col min="16131" max="16131" width="13.375" style="45" customWidth="1"/>
    <col min="16132" max="16132" width="9.375" style="45" customWidth="1"/>
    <col min="16133" max="16134" width="4.75" style="45" customWidth="1"/>
    <col min="16135" max="16135" width="6.125" style="45" customWidth="1"/>
    <col min="16136" max="16137" width="4.75" style="45" customWidth="1"/>
    <col min="16138" max="16139" width="9.625" style="45" customWidth="1"/>
    <col min="16140" max="16141" width="10.25" style="45" customWidth="1"/>
    <col min="16142" max="16142" width="9" style="45" customWidth="1"/>
    <col min="16143" max="16144" width="9" style="45" hidden="1" customWidth="1"/>
    <col min="16145" max="16384" width="9" style="45"/>
  </cols>
  <sheetData>
    <row r="1" spans="1:16">
      <c r="B1" s="46"/>
      <c r="M1" s="63" t="s">
        <v>1839</v>
      </c>
    </row>
    <row r="2" spans="1:16">
      <c r="A2" s="464" t="s">
        <v>136</v>
      </c>
      <c r="B2" s="465"/>
      <c r="C2" s="464" t="s">
        <v>1</v>
      </c>
      <c r="D2" s="466"/>
      <c r="E2" s="466"/>
      <c r="F2" s="466"/>
      <c r="G2" s="465"/>
      <c r="H2" s="464"/>
      <c r="I2" s="466"/>
      <c r="J2" s="465"/>
      <c r="K2" s="64"/>
      <c r="L2" s="48" t="s">
        <v>137</v>
      </c>
      <c r="M2" s="48" t="s">
        <v>138</v>
      </c>
    </row>
    <row r="3" spans="1:16">
      <c r="A3" s="467"/>
      <c r="B3" s="468"/>
      <c r="C3" s="469" t="s">
        <v>1840</v>
      </c>
      <c r="D3" s="470"/>
      <c r="E3" s="470"/>
      <c r="F3" s="470"/>
      <c r="G3" s="471"/>
      <c r="H3" s="464" t="s">
        <v>140</v>
      </c>
      <c r="I3" s="465"/>
      <c r="J3" s="65">
        <f>COUNT(A7:A89)</f>
        <v>18</v>
      </c>
      <c r="K3" s="48" t="s">
        <v>141</v>
      </c>
      <c r="L3" s="66">
        <v>41711</v>
      </c>
      <c r="M3" s="27" t="s">
        <v>1841</v>
      </c>
      <c r="O3" s="45" t="s">
        <v>143</v>
      </c>
      <c r="P3" s="45" t="s">
        <v>144</v>
      </c>
    </row>
    <row r="4" spans="1:16">
      <c r="A4" s="472" t="s">
        <v>145</v>
      </c>
      <c r="B4" s="473"/>
      <c r="C4" s="472" t="s">
        <v>97</v>
      </c>
      <c r="D4" s="474"/>
      <c r="E4" s="474"/>
      <c r="F4" s="474"/>
      <c r="G4" s="473"/>
      <c r="H4" s="464" t="s">
        <v>146</v>
      </c>
      <c r="I4" s="465"/>
      <c r="J4" s="65">
        <f>SUM(G7:G89)</f>
        <v>149</v>
      </c>
      <c r="K4" s="48" t="s">
        <v>147</v>
      </c>
      <c r="L4" s="26"/>
      <c r="M4" s="10"/>
      <c r="O4" s="45" t="s">
        <v>149</v>
      </c>
      <c r="P4" s="45" t="s">
        <v>150</v>
      </c>
    </row>
    <row r="5" spans="1:16">
      <c r="A5" s="484" t="s">
        <v>0</v>
      </c>
      <c r="B5" s="464" t="s">
        <v>151</v>
      </c>
      <c r="C5" s="466"/>
      <c r="D5" s="475" t="s">
        <v>152</v>
      </c>
      <c r="E5" s="466"/>
      <c r="F5" s="466"/>
      <c r="G5" s="466"/>
      <c r="H5" s="466"/>
      <c r="I5" s="464" t="s">
        <v>153</v>
      </c>
      <c r="J5" s="465"/>
      <c r="K5" s="486" t="s">
        <v>4</v>
      </c>
      <c r="L5" s="487"/>
      <c r="M5" s="488"/>
      <c r="P5" s="45" t="s">
        <v>154</v>
      </c>
    </row>
    <row r="6" spans="1:16">
      <c r="A6" s="485"/>
      <c r="B6" s="48" t="s">
        <v>5</v>
      </c>
      <c r="C6" s="49" t="s">
        <v>6</v>
      </c>
      <c r="D6" s="50" t="s">
        <v>144</v>
      </c>
      <c r="E6" s="51" t="s">
        <v>155</v>
      </c>
      <c r="F6" s="52" t="s">
        <v>156</v>
      </c>
      <c r="G6" s="48" t="s">
        <v>157</v>
      </c>
      <c r="H6" s="47" t="s">
        <v>158</v>
      </c>
      <c r="I6" s="47" t="s">
        <v>159</v>
      </c>
      <c r="J6" s="47" t="s">
        <v>160</v>
      </c>
      <c r="K6" s="489"/>
      <c r="L6" s="490"/>
      <c r="M6" s="491"/>
      <c r="P6" s="45" t="s">
        <v>161</v>
      </c>
    </row>
    <row r="7" spans="1:16">
      <c r="A7" s="53">
        <v>1</v>
      </c>
      <c r="B7" s="54" t="s">
        <v>812</v>
      </c>
      <c r="C7" s="12" t="s">
        <v>813</v>
      </c>
      <c r="D7" s="55" t="s">
        <v>164</v>
      </c>
      <c r="E7" s="14"/>
      <c r="F7" s="15"/>
      <c r="G7" s="16">
        <f t="shared" ref="G7:G24" si="0">IF(D7="DATE",4,IF(D7="CHAR",E7,IF(D7="SMALLINT",2,IF(D7="INTEGER",4,IF(D7="TIMESTAMP",10,IF(D7="TIME",3,0))))))</f>
        <v>4</v>
      </c>
      <c r="H7" s="10" t="s">
        <v>149</v>
      </c>
      <c r="I7" s="10" t="s">
        <v>149</v>
      </c>
      <c r="J7" s="28"/>
      <c r="K7" s="476"/>
      <c r="L7" s="477"/>
      <c r="M7" s="478"/>
      <c r="P7" s="45" t="s">
        <v>174</v>
      </c>
    </row>
    <row r="8" spans="1:16">
      <c r="A8" s="10">
        <f t="shared" ref="A8:A29" si="1">IF(B8=""," ",A7+1)</f>
        <v>2</v>
      </c>
      <c r="B8" s="54" t="s">
        <v>460</v>
      </c>
      <c r="C8" s="56" t="s">
        <v>461</v>
      </c>
      <c r="D8" s="55" t="s">
        <v>164</v>
      </c>
      <c r="E8" s="14"/>
      <c r="F8" s="15"/>
      <c r="G8" s="16">
        <f t="shared" si="0"/>
        <v>4</v>
      </c>
      <c r="H8" s="10" t="s">
        <v>149</v>
      </c>
      <c r="I8" s="10" t="s">
        <v>149</v>
      </c>
      <c r="J8" s="28"/>
      <c r="K8" s="56"/>
      <c r="L8" s="67"/>
      <c r="M8" s="68"/>
    </row>
    <row r="9" spans="1:16">
      <c r="A9" s="10">
        <f t="shared" si="1"/>
        <v>3</v>
      </c>
      <c r="B9" s="54" t="s">
        <v>462</v>
      </c>
      <c r="C9" s="56" t="s">
        <v>463</v>
      </c>
      <c r="D9" s="55" t="s">
        <v>150</v>
      </c>
      <c r="E9" s="14">
        <v>13</v>
      </c>
      <c r="F9" s="15"/>
      <c r="G9" s="16">
        <f t="shared" si="0"/>
        <v>13</v>
      </c>
      <c r="H9" s="10" t="s">
        <v>149</v>
      </c>
      <c r="I9" s="10" t="s">
        <v>149</v>
      </c>
      <c r="J9" s="28"/>
      <c r="K9" s="479"/>
      <c r="L9" s="480"/>
      <c r="M9" s="481"/>
    </row>
    <row r="10" spans="1:16">
      <c r="A10" s="10">
        <f t="shared" si="1"/>
        <v>4</v>
      </c>
      <c r="B10" s="54" t="s">
        <v>162</v>
      </c>
      <c r="C10" s="12" t="s">
        <v>163</v>
      </c>
      <c r="D10" s="55" t="s">
        <v>164</v>
      </c>
      <c r="E10" s="14"/>
      <c r="F10" s="15"/>
      <c r="G10" s="16">
        <f t="shared" si="0"/>
        <v>4</v>
      </c>
      <c r="H10" s="10" t="s">
        <v>149</v>
      </c>
      <c r="I10" s="10"/>
      <c r="J10" s="28"/>
      <c r="K10" s="476"/>
      <c r="L10" s="477"/>
      <c r="M10" s="478"/>
    </row>
    <row r="11" spans="1:16">
      <c r="A11" s="10">
        <f t="shared" si="1"/>
        <v>5</v>
      </c>
      <c r="B11" s="54" t="s">
        <v>166</v>
      </c>
      <c r="C11" s="12" t="s">
        <v>167</v>
      </c>
      <c r="D11" s="55" t="s">
        <v>150</v>
      </c>
      <c r="E11" s="14">
        <v>11</v>
      </c>
      <c r="F11" s="15"/>
      <c r="G11" s="16">
        <f t="shared" si="0"/>
        <v>11</v>
      </c>
      <c r="H11" s="10" t="s">
        <v>149</v>
      </c>
      <c r="I11" s="10"/>
      <c r="J11" s="28"/>
      <c r="K11" s="479"/>
      <c r="L11" s="480"/>
      <c r="M11" s="481"/>
      <c r="P11" s="45" t="s">
        <v>168</v>
      </c>
    </row>
    <row r="12" spans="1:16">
      <c r="A12" s="10">
        <f t="shared" si="1"/>
        <v>6</v>
      </c>
      <c r="B12" s="54" t="s">
        <v>646</v>
      </c>
      <c r="C12" s="12" t="s">
        <v>647</v>
      </c>
      <c r="D12" s="18" t="s">
        <v>150</v>
      </c>
      <c r="E12" s="14">
        <v>16</v>
      </c>
      <c r="F12" s="15"/>
      <c r="G12" s="16">
        <f t="shared" si="0"/>
        <v>16</v>
      </c>
      <c r="H12" s="10" t="s">
        <v>149</v>
      </c>
      <c r="I12" s="10" t="s">
        <v>149</v>
      </c>
      <c r="J12" s="28"/>
      <c r="K12" s="476" t="s">
        <v>648</v>
      </c>
      <c r="L12" s="477"/>
      <c r="M12" s="478"/>
      <c r="P12" s="45" t="s">
        <v>168</v>
      </c>
    </row>
    <row r="13" spans="1:16">
      <c r="A13" s="10">
        <f t="shared" si="1"/>
        <v>7</v>
      </c>
      <c r="B13" s="57" t="s">
        <v>596</v>
      </c>
      <c r="C13" s="58" t="s">
        <v>597</v>
      </c>
      <c r="D13" s="59" t="s">
        <v>150</v>
      </c>
      <c r="E13" s="60">
        <v>7</v>
      </c>
      <c r="F13" s="61"/>
      <c r="G13" s="62">
        <f t="shared" si="0"/>
        <v>7</v>
      </c>
      <c r="H13" s="53" t="s">
        <v>149</v>
      </c>
      <c r="I13" s="53" t="s">
        <v>149</v>
      </c>
      <c r="J13" s="53"/>
      <c r="K13" s="69"/>
      <c r="L13" s="70"/>
      <c r="M13" s="71"/>
    </row>
    <row r="14" spans="1:16">
      <c r="A14" s="10">
        <f t="shared" si="1"/>
        <v>8</v>
      </c>
      <c r="B14" s="54" t="s">
        <v>825</v>
      </c>
      <c r="C14" s="12" t="s">
        <v>826</v>
      </c>
      <c r="D14" s="18" t="s">
        <v>161</v>
      </c>
      <c r="E14" s="14"/>
      <c r="F14" s="15"/>
      <c r="G14" s="16">
        <f t="shared" si="0"/>
        <v>4</v>
      </c>
      <c r="H14" s="10" t="s">
        <v>149</v>
      </c>
      <c r="I14" s="10"/>
      <c r="J14" s="28"/>
      <c r="K14" s="332" t="s">
        <v>1842</v>
      </c>
      <c r="L14" s="333"/>
      <c r="M14" s="334"/>
    </row>
    <row r="15" spans="1:16">
      <c r="A15" s="10">
        <f t="shared" si="1"/>
        <v>9</v>
      </c>
      <c r="B15" s="17" t="s">
        <v>778</v>
      </c>
      <c r="C15" s="56" t="s">
        <v>565</v>
      </c>
      <c r="D15" s="55" t="s">
        <v>150</v>
      </c>
      <c r="E15" s="14">
        <v>10</v>
      </c>
      <c r="F15" s="15"/>
      <c r="G15" s="16">
        <f t="shared" si="0"/>
        <v>10</v>
      </c>
      <c r="H15" s="10" t="s">
        <v>149</v>
      </c>
      <c r="I15" s="10"/>
      <c r="J15" s="28"/>
      <c r="K15" s="479"/>
      <c r="L15" s="482"/>
      <c r="M15" s="483"/>
    </row>
    <row r="16" spans="1:16">
      <c r="A16" s="10">
        <f t="shared" si="1"/>
        <v>10</v>
      </c>
      <c r="B16" s="17" t="s">
        <v>779</v>
      </c>
      <c r="C16" s="12" t="s">
        <v>568</v>
      </c>
      <c r="D16" s="18" t="s">
        <v>174</v>
      </c>
      <c r="E16" s="14"/>
      <c r="F16" s="15"/>
      <c r="G16" s="16">
        <f t="shared" si="0"/>
        <v>2</v>
      </c>
      <c r="H16" s="10" t="s">
        <v>149</v>
      </c>
      <c r="I16" s="10"/>
      <c r="J16" s="28"/>
      <c r="K16" s="332"/>
      <c r="L16" s="333"/>
      <c r="M16" s="334"/>
    </row>
    <row r="17" spans="1:16">
      <c r="A17" s="10">
        <f t="shared" si="1"/>
        <v>11</v>
      </c>
      <c r="B17" s="54" t="s">
        <v>1007</v>
      </c>
      <c r="C17" s="12" t="s">
        <v>1008</v>
      </c>
      <c r="D17" s="18" t="s">
        <v>150</v>
      </c>
      <c r="E17" s="14">
        <v>3</v>
      </c>
      <c r="F17" s="15"/>
      <c r="G17" s="16">
        <f t="shared" si="0"/>
        <v>3</v>
      </c>
      <c r="H17" s="10" t="s">
        <v>149</v>
      </c>
      <c r="I17" s="10"/>
      <c r="J17" s="28"/>
      <c r="K17" s="12"/>
      <c r="L17" s="31"/>
      <c r="M17" s="32"/>
      <c r="P17" s="45" t="s">
        <v>164</v>
      </c>
    </row>
    <row r="18" spans="1:16" ht="30" customHeight="1">
      <c r="A18" s="10">
        <f t="shared" si="1"/>
        <v>12</v>
      </c>
      <c r="B18" s="54" t="s">
        <v>1010</v>
      </c>
      <c r="C18" s="12" t="s">
        <v>1011</v>
      </c>
      <c r="D18" s="18" t="s">
        <v>150</v>
      </c>
      <c r="E18" s="14">
        <v>24</v>
      </c>
      <c r="F18" s="15"/>
      <c r="G18" s="16">
        <f t="shared" si="0"/>
        <v>24</v>
      </c>
      <c r="H18" s="10" t="s">
        <v>149</v>
      </c>
      <c r="I18" s="10"/>
      <c r="J18" s="28"/>
      <c r="K18" s="332" t="s">
        <v>1843</v>
      </c>
      <c r="L18" s="333"/>
      <c r="M18" s="334"/>
    </row>
    <row r="19" spans="1:16" ht="30" customHeight="1">
      <c r="A19" s="10">
        <f t="shared" si="1"/>
        <v>13</v>
      </c>
      <c r="B19" s="54" t="s">
        <v>1175</v>
      </c>
      <c r="C19" s="12" t="s">
        <v>1176</v>
      </c>
      <c r="D19" s="18" t="s">
        <v>150</v>
      </c>
      <c r="E19" s="14">
        <v>24</v>
      </c>
      <c r="F19" s="15"/>
      <c r="G19" s="16">
        <f t="shared" si="0"/>
        <v>24</v>
      </c>
      <c r="H19" s="10" t="s">
        <v>149</v>
      </c>
      <c r="I19" s="10"/>
      <c r="J19" s="28"/>
      <c r="K19" s="332" t="s">
        <v>1177</v>
      </c>
      <c r="L19" s="333"/>
      <c r="M19" s="334"/>
    </row>
    <row r="20" spans="1:16" ht="87.75" customHeight="1">
      <c r="A20" s="10">
        <f t="shared" si="1"/>
        <v>14</v>
      </c>
      <c r="B20" s="17" t="s">
        <v>1129</v>
      </c>
      <c r="C20" s="12" t="s">
        <v>1130</v>
      </c>
      <c r="D20" s="18" t="s">
        <v>150</v>
      </c>
      <c r="E20" s="14">
        <v>1</v>
      </c>
      <c r="F20" s="15"/>
      <c r="G20" s="16">
        <f t="shared" si="0"/>
        <v>1</v>
      </c>
      <c r="H20" s="10" t="s">
        <v>149</v>
      </c>
      <c r="I20" s="10"/>
      <c r="J20" s="28"/>
      <c r="K20" s="332" t="s">
        <v>1844</v>
      </c>
      <c r="L20" s="333"/>
      <c r="M20" s="334"/>
    </row>
    <row r="21" spans="1:16">
      <c r="A21" s="10">
        <f t="shared" si="1"/>
        <v>15</v>
      </c>
      <c r="B21" s="57" t="s">
        <v>380</v>
      </c>
      <c r="C21" s="58" t="s">
        <v>381</v>
      </c>
      <c r="D21" s="59" t="s">
        <v>150</v>
      </c>
      <c r="E21" s="60">
        <v>3</v>
      </c>
      <c r="F21" s="61"/>
      <c r="G21" s="16">
        <f t="shared" si="0"/>
        <v>3</v>
      </c>
      <c r="H21" s="53" t="s">
        <v>149</v>
      </c>
      <c r="I21" s="53"/>
      <c r="J21" s="10">
        <v>2</v>
      </c>
      <c r="K21" s="12"/>
      <c r="L21" s="31"/>
      <c r="M21" s="32"/>
    </row>
    <row r="22" spans="1:16">
      <c r="A22" s="10">
        <f t="shared" si="1"/>
        <v>16</v>
      </c>
      <c r="B22" s="57" t="s">
        <v>382</v>
      </c>
      <c r="C22" s="58" t="s">
        <v>383</v>
      </c>
      <c r="D22" s="59" t="s">
        <v>150</v>
      </c>
      <c r="E22" s="60">
        <v>2</v>
      </c>
      <c r="F22" s="61"/>
      <c r="G22" s="16">
        <f t="shared" si="0"/>
        <v>2</v>
      </c>
      <c r="H22" s="53" t="s">
        <v>149</v>
      </c>
      <c r="I22" s="53"/>
      <c r="J22" s="53">
        <v>2</v>
      </c>
      <c r="K22" s="12"/>
      <c r="L22" s="31"/>
      <c r="M22" s="32"/>
    </row>
    <row r="23" spans="1:16">
      <c r="A23" s="10">
        <f t="shared" si="1"/>
        <v>17</v>
      </c>
      <c r="B23" s="57" t="s">
        <v>243</v>
      </c>
      <c r="C23" s="58" t="s">
        <v>244</v>
      </c>
      <c r="D23" s="59" t="s">
        <v>150</v>
      </c>
      <c r="E23" s="60">
        <v>7</v>
      </c>
      <c r="F23" s="61"/>
      <c r="G23" s="16">
        <f t="shared" si="0"/>
        <v>7</v>
      </c>
      <c r="H23" s="53" t="s">
        <v>149</v>
      </c>
      <c r="I23" s="53"/>
      <c r="J23" s="53">
        <v>1</v>
      </c>
      <c r="K23" s="12"/>
      <c r="L23" s="31"/>
      <c r="M23" s="32"/>
    </row>
    <row r="24" spans="1:16">
      <c r="A24" s="10">
        <f t="shared" si="1"/>
        <v>18</v>
      </c>
      <c r="B24" s="17" t="s">
        <v>447</v>
      </c>
      <c r="C24" s="12" t="s">
        <v>448</v>
      </c>
      <c r="D24" s="18" t="s">
        <v>234</v>
      </c>
      <c r="E24" s="14"/>
      <c r="F24" s="15"/>
      <c r="G24" s="16">
        <f t="shared" si="0"/>
        <v>10</v>
      </c>
      <c r="H24" s="10" t="s">
        <v>149</v>
      </c>
      <c r="I24" s="10"/>
      <c r="J24" s="28"/>
      <c r="K24" s="12" t="s">
        <v>449</v>
      </c>
      <c r="L24" s="31"/>
      <c r="M24" s="32"/>
    </row>
    <row r="25" spans="1:16">
      <c r="A25" s="10" t="str">
        <f t="shared" si="1"/>
        <v xml:space="preserve"> </v>
      </c>
      <c r="B25" s="17"/>
      <c r="C25" s="12"/>
      <c r="D25" s="18"/>
      <c r="E25" s="14"/>
      <c r="F25" s="15"/>
      <c r="G25" s="16"/>
      <c r="H25" s="10"/>
      <c r="I25" s="10"/>
      <c r="J25" s="28"/>
      <c r="K25" s="12"/>
      <c r="L25" s="31"/>
      <c r="M25" s="32"/>
    </row>
    <row r="26" spans="1:16">
      <c r="A26" s="10" t="str">
        <f t="shared" si="1"/>
        <v xml:space="preserve"> </v>
      </c>
      <c r="B26" s="17"/>
      <c r="C26" s="12"/>
      <c r="D26" s="18"/>
      <c r="E26" s="14"/>
      <c r="F26" s="15"/>
      <c r="G26" s="16"/>
      <c r="H26" s="10"/>
      <c r="I26" s="10"/>
      <c r="J26" s="28"/>
      <c r="K26" s="12"/>
      <c r="L26" s="31"/>
      <c r="M26" s="32"/>
    </row>
    <row r="27" spans="1:16">
      <c r="A27" s="10" t="str">
        <f t="shared" si="1"/>
        <v xml:space="preserve"> </v>
      </c>
      <c r="B27" s="57"/>
      <c r="C27" s="58"/>
      <c r="D27" s="59"/>
      <c r="E27" s="60"/>
      <c r="F27" s="61"/>
      <c r="G27" s="16"/>
      <c r="H27" s="53"/>
      <c r="I27" s="53"/>
      <c r="J27" s="72"/>
      <c r="K27" s="453"/>
      <c r="L27" s="454"/>
      <c r="M27" s="455"/>
    </row>
    <row r="28" spans="1:16">
      <c r="A28" s="10" t="str">
        <f t="shared" si="1"/>
        <v xml:space="preserve"> </v>
      </c>
      <c r="B28" s="17"/>
      <c r="C28" s="12"/>
      <c r="D28" s="18"/>
      <c r="E28" s="14"/>
      <c r="F28" s="15"/>
      <c r="G28" s="16"/>
      <c r="H28" s="10"/>
      <c r="I28" s="10"/>
      <c r="J28" s="28"/>
      <c r="K28" s="12"/>
      <c r="L28" s="31"/>
      <c r="M28" s="32"/>
    </row>
    <row r="29" spans="1:16">
      <c r="A29" s="10" t="str">
        <f t="shared" si="1"/>
        <v xml:space="preserve"> </v>
      </c>
      <c r="B29" s="17"/>
      <c r="C29" s="12"/>
      <c r="D29" s="18"/>
      <c r="E29" s="14"/>
      <c r="F29" s="15"/>
      <c r="G29" s="16"/>
      <c r="H29" s="10"/>
      <c r="I29" s="10"/>
      <c r="J29" s="28"/>
      <c r="K29" s="12"/>
      <c r="L29" s="31"/>
      <c r="M29" s="32"/>
    </row>
    <row r="30" spans="1:16">
      <c r="A30" s="10" t="str">
        <f>IF(B30=""," ",#REF!+1)</f>
        <v xml:space="preserve"> </v>
      </c>
      <c r="B30" s="17"/>
      <c r="C30" s="12"/>
      <c r="D30" s="18"/>
      <c r="E30" s="14"/>
      <c r="F30" s="15"/>
      <c r="G30" s="16"/>
      <c r="H30" s="10"/>
      <c r="I30" s="10"/>
      <c r="J30" s="28"/>
      <c r="K30" s="453"/>
      <c r="L30" s="454"/>
      <c r="M30" s="455"/>
    </row>
    <row r="31" spans="1:16">
      <c r="A31" s="10" t="str">
        <f>IF(B31=""," ",#REF!+1)</f>
        <v xml:space="preserve"> </v>
      </c>
      <c r="B31" s="17"/>
      <c r="C31" s="12"/>
      <c r="D31" s="18"/>
      <c r="E31" s="14"/>
      <c r="F31" s="15"/>
      <c r="G31" s="16"/>
      <c r="H31" s="10"/>
      <c r="I31" s="10"/>
      <c r="J31" s="28"/>
      <c r="K31" s="453"/>
      <c r="L31" s="454"/>
      <c r="M31" s="455"/>
    </row>
    <row r="32" spans="1:16">
      <c r="A32" s="10" t="str">
        <f>IF(B32=""," ",#REF!+1)</f>
        <v xml:space="preserve"> </v>
      </c>
      <c r="B32" s="17"/>
      <c r="C32" s="12"/>
      <c r="D32" s="18"/>
      <c r="E32" s="14"/>
      <c r="F32" s="15"/>
      <c r="G32" s="16"/>
      <c r="H32" s="10"/>
      <c r="I32" s="10"/>
      <c r="J32" s="28"/>
      <c r="K32" s="453"/>
      <c r="L32" s="454"/>
      <c r="M32" s="455"/>
    </row>
    <row r="33" spans="1:13">
      <c r="A33" s="10" t="str">
        <f>IF(B33=""," ",#REF!+1)</f>
        <v xml:space="preserve"> </v>
      </c>
      <c r="B33" s="17"/>
      <c r="C33" s="12"/>
      <c r="D33" s="18"/>
      <c r="E33" s="14"/>
      <c r="F33" s="15"/>
      <c r="G33" s="16"/>
      <c r="H33" s="10"/>
      <c r="I33" s="10"/>
      <c r="J33" s="28"/>
      <c r="K33" s="12"/>
      <c r="L33" s="31"/>
      <c r="M33" s="32"/>
    </row>
    <row r="34" spans="1:13">
      <c r="A34" s="10" t="str">
        <f>IF(B34=""," ",A33+1)</f>
        <v xml:space="preserve"> </v>
      </c>
      <c r="B34" s="17"/>
      <c r="C34" s="12"/>
      <c r="D34" s="18"/>
      <c r="E34" s="14"/>
      <c r="F34" s="15"/>
      <c r="G34" s="16"/>
      <c r="H34" s="10"/>
      <c r="I34" s="10"/>
      <c r="J34" s="28"/>
      <c r="K34" s="12"/>
      <c r="L34" s="31"/>
      <c r="M34" s="32"/>
    </row>
    <row r="35" spans="1:13">
      <c r="A35" s="10" t="str">
        <f>IF(B35=""," ",A34+1)</f>
        <v xml:space="preserve"> </v>
      </c>
      <c r="B35" s="17"/>
      <c r="C35" s="12"/>
      <c r="D35" s="18"/>
      <c r="E35" s="14"/>
      <c r="F35" s="15"/>
      <c r="G35" s="16"/>
      <c r="H35" s="10"/>
      <c r="I35" s="10"/>
      <c r="J35" s="28"/>
      <c r="K35" s="453"/>
      <c r="L35" s="454"/>
      <c r="M35" s="455"/>
    </row>
    <row r="36" spans="1:13">
      <c r="A36" s="10" t="str">
        <f>IF(B36=""," ",#REF!+1)</f>
        <v xml:space="preserve"> </v>
      </c>
      <c r="B36" s="17"/>
      <c r="C36" s="12"/>
      <c r="D36" s="18"/>
      <c r="E36" s="14"/>
      <c r="F36" s="15"/>
      <c r="G36" s="16"/>
      <c r="H36" s="10"/>
      <c r="I36" s="10"/>
      <c r="J36" s="28"/>
      <c r="K36" s="453"/>
      <c r="L36" s="454"/>
      <c r="M36" s="455"/>
    </row>
    <row r="37" spans="1:13">
      <c r="A37" s="10" t="str">
        <f>IF(B37=""," ",#REF!+1)</f>
        <v xml:space="preserve"> </v>
      </c>
      <c r="B37" s="17"/>
      <c r="C37" s="12"/>
      <c r="D37" s="18"/>
      <c r="E37" s="14"/>
      <c r="F37" s="15"/>
      <c r="G37" s="16"/>
      <c r="H37" s="10"/>
      <c r="I37" s="10"/>
      <c r="J37" s="28"/>
      <c r="K37" s="12"/>
      <c r="L37" s="31"/>
      <c r="M37" s="32"/>
    </row>
    <row r="38" spans="1:13">
      <c r="A38" s="10" t="str">
        <f>IF(B38=""," ",#REF!+1)</f>
        <v xml:space="preserve"> </v>
      </c>
      <c r="B38" s="17"/>
      <c r="C38" s="12"/>
      <c r="D38" s="18"/>
      <c r="E38" s="14"/>
      <c r="F38" s="15"/>
      <c r="G38" s="16"/>
      <c r="H38" s="10"/>
      <c r="I38" s="10"/>
      <c r="J38" s="28"/>
      <c r="K38" s="12"/>
      <c r="L38" s="31"/>
      <c r="M38" s="32"/>
    </row>
    <row r="39" spans="1:13">
      <c r="A39" s="10" t="str">
        <f>IF(B39=""," ",#REF!+1)</f>
        <v xml:space="preserve"> </v>
      </c>
      <c r="B39" s="17"/>
      <c r="C39" s="12"/>
      <c r="D39" s="18"/>
      <c r="E39" s="14"/>
      <c r="F39" s="15"/>
      <c r="G39" s="16"/>
      <c r="H39" s="10"/>
      <c r="I39" s="10"/>
      <c r="J39" s="28"/>
      <c r="K39" s="453"/>
      <c r="L39" s="454"/>
      <c r="M39" s="455"/>
    </row>
    <row r="40" spans="1:13">
      <c r="A40" s="10" t="str">
        <f>IF(B40=""," ",#REF!+1)</f>
        <v xml:space="preserve"> </v>
      </c>
      <c r="B40" s="17"/>
      <c r="C40" s="12"/>
      <c r="D40" s="18"/>
      <c r="E40" s="14"/>
      <c r="F40" s="15"/>
      <c r="G40" s="16"/>
      <c r="H40" s="10"/>
      <c r="I40" s="10"/>
      <c r="J40" s="28"/>
      <c r="K40" s="12"/>
      <c r="L40" s="31"/>
      <c r="M40" s="32"/>
    </row>
    <row r="41" spans="1:13">
      <c r="A41" s="10" t="str">
        <f>IF(B41=""," ",#REF!+1)</f>
        <v xml:space="preserve"> </v>
      </c>
      <c r="B41" s="17"/>
      <c r="C41" s="12"/>
      <c r="D41" s="18"/>
      <c r="E41" s="14"/>
      <c r="F41" s="15"/>
      <c r="G41" s="16"/>
      <c r="H41" s="10"/>
      <c r="I41" s="10"/>
      <c r="J41" s="28"/>
      <c r="K41" s="453"/>
      <c r="L41" s="454"/>
      <c r="M41" s="455"/>
    </row>
    <row r="42" spans="1:13">
      <c r="A42" s="10" t="str">
        <f>IF(B42=""," ",#REF!+1)</f>
        <v xml:space="preserve"> </v>
      </c>
      <c r="B42" s="17"/>
      <c r="C42" s="12"/>
      <c r="D42" s="18"/>
      <c r="E42" s="14"/>
      <c r="F42" s="15"/>
      <c r="G42" s="16"/>
      <c r="H42" s="10"/>
      <c r="I42" s="10"/>
      <c r="J42" s="28"/>
      <c r="K42" s="453"/>
      <c r="L42" s="454"/>
      <c r="M42" s="455"/>
    </row>
    <row r="43" spans="1:13">
      <c r="A43" s="10" t="str">
        <f>IF(B43=""," ",#REF!+1)</f>
        <v xml:space="preserve"> </v>
      </c>
      <c r="B43" s="17"/>
      <c r="C43" s="12"/>
      <c r="D43" s="18"/>
      <c r="E43" s="14"/>
      <c r="F43" s="15"/>
      <c r="G43" s="16"/>
      <c r="H43" s="10"/>
      <c r="I43" s="10"/>
      <c r="J43" s="28"/>
      <c r="K43" s="12"/>
      <c r="L43" s="31"/>
      <c r="M43" s="32"/>
    </row>
    <row r="44" spans="1:13">
      <c r="A44" s="10" t="str">
        <f>IF(B44=""," ",#REF!+1)</f>
        <v xml:space="preserve"> </v>
      </c>
      <c r="B44" s="17"/>
      <c r="C44" s="12"/>
      <c r="D44" s="18"/>
      <c r="E44" s="14"/>
      <c r="F44" s="15"/>
      <c r="G44" s="16"/>
      <c r="H44" s="10"/>
      <c r="I44" s="10"/>
      <c r="J44" s="28"/>
      <c r="K44" s="453"/>
      <c r="L44" s="454"/>
      <c r="M44" s="455"/>
    </row>
    <row r="45" spans="1:13">
      <c r="A45" s="10" t="str">
        <f>IF(B45=""," ",#REF!+1)</f>
        <v xml:space="preserve"> </v>
      </c>
      <c r="B45" s="17"/>
      <c r="C45" s="12"/>
      <c r="D45" s="18"/>
      <c r="E45" s="14"/>
      <c r="F45" s="15"/>
      <c r="G45" s="16"/>
      <c r="H45" s="10"/>
      <c r="I45" s="10"/>
      <c r="J45" s="28"/>
      <c r="K45" s="12"/>
      <c r="L45" s="31"/>
      <c r="M45" s="32"/>
    </row>
    <row r="46" spans="1:13">
      <c r="A46" s="10" t="str">
        <f>IF(B46=""," ",#REF!+1)</f>
        <v xml:space="preserve"> </v>
      </c>
      <c r="B46" s="17"/>
      <c r="C46" s="12"/>
      <c r="D46" s="18"/>
      <c r="E46" s="14"/>
      <c r="F46" s="15"/>
      <c r="G46" s="16"/>
      <c r="H46" s="10"/>
      <c r="I46" s="10"/>
      <c r="J46" s="28"/>
      <c r="K46" s="453"/>
      <c r="L46" s="454"/>
      <c r="M46" s="455"/>
    </row>
    <row r="47" spans="1:13">
      <c r="A47" s="10" t="str">
        <f>IF(B47=""," ",#REF!+1)</f>
        <v xml:space="preserve"> </v>
      </c>
      <c r="B47" s="17"/>
      <c r="C47" s="12"/>
      <c r="D47" s="18"/>
      <c r="E47" s="14"/>
      <c r="F47" s="15"/>
      <c r="G47" s="16"/>
      <c r="H47" s="10"/>
      <c r="I47" s="10"/>
      <c r="J47" s="28"/>
      <c r="K47" s="453"/>
      <c r="L47" s="454"/>
      <c r="M47" s="455"/>
    </row>
    <row r="48" spans="1:13">
      <c r="A48" s="10" t="str">
        <f>IF(B48=""," ",#REF!+1)</f>
        <v xml:space="preserve"> </v>
      </c>
      <c r="B48" s="17"/>
      <c r="C48" s="12"/>
      <c r="D48" s="18"/>
      <c r="E48" s="14"/>
      <c r="F48" s="15"/>
      <c r="G48" s="16"/>
      <c r="H48" s="10"/>
      <c r="I48" s="10"/>
      <c r="J48" s="28"/>
      <c r="K48" s="12"/>
      <c r="L48" s="31"/>
      <c r="M48" s="32"/>
    </row>
    <row r="49" spans="1:13">
      <c r="A49" s="10" t="str">
        <f>IF(B49=""," ",#REF!+1)</f>
        <v xml:space="preserve"> </v>
      </c>
      <c r="B49" s="17"/>
      <c r="C49" s="12"/>
      <c r="D49" s="18"/>
      <c r="E49" s="14"/>
      <c r="F49" s="15"/>
      <c r="G49" s="16"/>
      <c r="H49" s="10"/>
      <c r="I49" s="10"/>
      <c r="J49" s="28"/>
      <c r="K49" s="453"/>
      <c r="L49" s="454"/>
      <c r="M49" s="455"/>
    </row>
    <row r="50" spans="1:13">
      <c r="A50" s="10" t="str">
        <f>IF(B50=""," ",#REF!+1)</f>
        <v xml:space="preserve"> </v>
      </c>
      <c r="B50" s="17"/>
      <c r="C50" s="12"/>
      <c r="D50" s="18"/>
      <c r="E50" s="14"/>
      <c r="F50" s="15"/>
      <c r="G50" s="16"/>
      <c r="H50" s="10"/>
      <c r="I50" s="10"/>
      <c r="J50" s="28"/>
      <c r="K50" s="12"/>
      <c r="L50" s="31"/>
      <c r="M50" s="32"/>
    </row>
    <row r="51" spans="1:13">
      <c r="A51" s="10" t="str">
        <f>IF(B51=""," ",#REF!+1)</f>
        <v xml:space="preserve"> </v>
      </c>
      <c r="B51" s="17"/>
      <c r="C51" s="12"/>
      <c r="D51" s="18"/>
      <c r="E51" s="14"/>
      <c r="F51" s="15"/>
      <c r="G51" s="16"/>
      <c r="H51" s="10"/>
      <c r="I51" s="10"/>
      <c r="J51" s="28"/>
      <c r="K51" s="453"/>
      <c r="L51" s="454"/>
      <c r="M51" s="455"/>
    </row>
    <row r="52" spans="1:13">
      <c r="A52" s="10" t="str">
        <f>IF(B52=""," ",#REF!+1)</f>
        <v xml:space="preserve"> </v>
      </c>
      <c r="B52" s="17"/>
      <c r="C52" s="12"/>
      <c r="D52" s="18"/>
      <c r="E52" s="14"/>
      <c r="F52" s="15"/>
      <c r="G52" s="16"/>
      <c r="H52" s="10"/>
      <c r="I52" s="10"/>
      <c r="J52" s="28"/>
      <c r="K52" s="453"/>
      <c r="L52" s="454"/>
      <c r="M52" s="455"/>
    </row>
    <row r="53" spans="1:13">
      <c r="A53" s="10" t="str">
        <f>IF(B53=""," ",#REF!+1)</f>
        <v xml:space="preserve"> </v>
      </c>
      <c r="B53" s="17"/>
      <c r="C53" s="12"/>
      <c r="D53" s="18"/>
      <c r="E53" s="14"/>
      <c r="F53" s="15"/>
      <c r="G53" s="16"/>
      <c r="H53" s="10"/>
      <c r="I53" s="10"/>
      <c r="J53" s="28"/>
      <c r="K53" s="12"/>
      <c r="L53" s="31"/>
      <c r="M53" s="32"/>
    </row>
    <row r="54" spans="1:13">
      <c r="A54" s="10" t="str">
        <f>IF(B54=""," ",#REF!+1)</f>
        <v xml:space="preserve"> </v>
      </c>
      <c r="B54" s="17"/>
      <c r="C54" s="12"/>
      <c r="D54" s="18"/>
      <c r="E54" s="14"/>
      <c r="F54" s="15"/>
      <c r="G54" s="16"/>
      <c r="H54" s="10"/>
      <c r="I54" s="10"/>
      <c r="J54" s="28"/>
      <c r="K54" s="453"/>
      <c r="L54" s="454"/>
      <c r="M54" s="455"/>
    </row>
    <row r="55" spans="1:13">
      <c r="A55" s="10" t="str">
        <f>IF(B55=""," ",#REF!+1)</f>
        <v xml:space="preserve"> </v>
      </c>
      <c r="B55" s="17"/>
      <c r="C55" s="12"/>
      <c r="D55" s="18"/>
      <c r="E55" s="14"/>
      <c r="F55" s="15"/>
      <c r="G55" s="16"/>
      <c r="H55" s="10"/>
      <c r="I55" s="10"/>
      <c r="J55" s="28"/>
      <c r="K55" s="12"/>
      <c r="L55" s="31"/>
      <c r="M55" s="32"/>
    </row>
    <row r="56" spans="1:13">
      <c r="A56" s="10" t="str">
        <f>IF(B56=""," ",#REF!+1)</f>
        <v xml:space="preserve"> </v>
      </c>
      <c r="B56" s="17"/>
      <c r="C56" s="12"/>
      <c r="D56" s="18"/>
      <c r="E56" s="14"/>
      <c r="F56" s="15"/>
      <c r="G56" s="16"/>
      <c r="H56" s="10"/>
      <c r="I56" s="10"/>
      <c r="J56" s="28"/>
      <c r="K56" s="453"/>
      <c r="L56" s="454"/>
      <c r="M56" s="455"/>
    </row>
    <row r="57" spans="1:13">
      <c r="A57" s="10" t="str">
        <f>IF(B57=""," ",#REF!+1)</f>
        <v xml:space="preserve"> </v>
      </c>
      <c r="B57" s="17"/>
      <c r="C57" s="12"/>
      <c r="D57" s="18"/>
      <c r="E57" s="14"/>
      <c r="F57" s="15"/>
      <c r="G57" s="16"/>
      <c r="H57" s="10"/>
      <c r="I57" s="10"/>
      <c r="J57" s="28"/>
      <c r="K57" s="453"/>
      <c r="L57" s="454"/>
      <c r="M57" s="455"/>
    </row>
    <row r="58" spans="1:13">
      <c r="A58" s="10" t="str">
        <f>IF(B58=""," ",#REF!+1)</f>
        <v xml:space="preserve"> </v>
      </c>
      <c r="B58" s="17"/>
      <c r="C58" s="12"/>
      <c r="D58" s="18"/>
      <c r="E58" s="14"/>
      <c r="F58" s="15"/>
      <c r="G58" s="16"/>
      <c r="H58" s="10"/>
      <c r="I58" s="10"/>
      <c r="J58" s="28"/>
      <c r="K58" s="12"/>
      <c r="L58" s="31"/>
      <c r="M58" s="32"/>
    </row>
    <row r="59" spans="1:13">
      <c r="A59" s="10" t="str">
        <f>IF(B59=""," ",#REF!+1)</f>
        <v xml:space="preserve"> </v>
      </c>
      <c r="B59" s="17"/>
      <c r="C59" s="12"/>
      <c r="D59" s="18"/>
      <c r="E59" s="14"/>
      <c r="F59" s="15"/>
      <c r="G59" s="16"/>
      <c r="H59" s="10"/>
      <c r="I59" s="10"/>
      <c r="J59" s="28"/>
      <c r="K59" s="453"/>
      <c r="L59" s="454"/>
      <c r="M59" s="455"/>
    </row>
    <row r="60" spans="1:13">
      <c r="A60" s="10" t="str">
        <f>IF(B60=""," ",#REF!+1)</f>
        <v xml:space="preserve"> </v>
      </c>
      <c r="B60" s="17"/>
      <c r="C60" s="12"/>
      <c r="D60" s="18"/>
      <c r="E60" s="14"/>
      <c r="F60" s="15"/>
      <c r="G60" s="16"/>
      <c r="H60" s="10"/>
      <c r="I60" s="10"/>
      <c r="J60" s="28"/>
      <c r="K60" s="12"/>
      <c r="L60" s="31"/>
      <c r="M60" s="32"/>
    </row>
    <row r="61" spans="1:13">
      <c r="A61" s="10" t="str">
        <f>IF(B61=""," ",#REF!+1)</f>
        <v xml:space="preserve"> </v>
      </c>
      <c r="B61" s="17"/>
      <c r="C61" s="12"/>
      <c r="D61" s="18"/>
      <c r="E61" s="14"/>
      <c r="F61" s="15"/>
      <c r="G61" s="16"/>
      <c r="H61" s="10"/>
      <c r="I61" s="10"/>
      <c r="J61" s="28"/>
      <c r="K61" s="453"/>
      <c r="L61" s="454"/>
      <c r="M61" s="455"/>
    </row>
    <row r="62" spans="1:13">
      <c r="A62" s="10" t="str">
        <f>IF(B62=""," ",#REF!+1)</f>
        <v xml:space="preserve"> </v>
      </c>
      <c r="B62" s="17"/>
      <c r="C62" s="12"/>
      <c r="D62" s="18"/>
      <c r="E62" s="14"/>
      <c r="F62" s="15"/>
      <c r="G62" s="16"/>
      <c r="H62" s="10"/>
      <c r="I62" s="10"/>
      <c r="J62" s="28"/>
      <c r="K62" s="453"/>
      <c r="L62" s="454"/>
      <c r="M62" s="455"/>
    </row>
    <row r="63" spans="1:13">
      <c r="A63" s="10" t="str">
        <f>IF(B63=""," ",#REF!+1)</f>
        <v xml:space="preserve"> </v>
      </c>
      <c r="B63" s="17"/>
      <c r="C63" s="12"/>
      <c r="D63" s="18"/>
      <c r="E63" s="14"/>
      <c r="F63" s="15"/>
      <c r="G63" s="16"/>
      <c r="H63" s="10"/>
      <c r="I63" s="10"/>
      <c r="J63" s="28"/>
      <c r="K63" s="12"/>
      <c r="L63" s="31"/>
      <c r="M63" s="32"/>
    </row>
    <row r="64" spans="1:13">
      <c r="A64" s="10" t="str">
        <f>IF(B64=""," ",#REF!+1)</f>
        <v xml:space="preserve"> </v>
      </c>
      <c r="B64" s="17"/>
      <c r="C64" s="12"/>
      <c r="D64" s="18"/>
      <c r="E64" s="14"/>
      <c r="F64" s="15"/>
      <c r="G64" s="16"/>
      <c r="H64" s="10"/>
      <c r="I64" s="10"/>
      <c r="J64" s="28"/>
      <c r="K64" s="453"/>
      <c r="L64" s="454"/>
      <c r="M64" s="455"/>
    </row>
    <row r="65" spans="1:13">
      <c r="A65" s="10" t="str">
        <f>IF(B65=""," ",#REF!+1)</f>
        <v xml:space="preserve"> </v>
      </c>
      <c r="B65" s="17"/>
      <c r="C65" s="12"/>
      <c r="D65" s="18"/>
      <c r="E65" s="14"/>
      <c r="F65" s="15"/>
      <c r="G65" s="16"/>
      <c r="H65" s="10"/>
      <c r="I65" s="10"/>
      <c r="J65" s="28"/>
      <c r="K65" s="12"/>
      <c r="L65" s="31"/>
      <c r="M65" s="32"/>
    </row>
    <row r="66" spans="1:13">
      <c r="A66" s="10" t="str">
        <f>IF(B66=""," ",#REF!+1)</f>
        <v xml:space="preserve"> </v>
      </c>
      <c r="B66" s="17"/>
      <c r="C66" s="12"/>
      <c r="D66" s="18"/>
      <c r="E66" s="14"/>
      <c r="F66" s="15"/>
      <c r="G66" s="16"/>
      <c r="H66" s="10"/>
      <c r="I66" s="10"/>
      <c r="J66" s="28"/>
      <c r="K66" s="453"/>
      <c r="L66" s="454"/>
      <c r="M66" s="455"/>
    </row>
    <row r="67" spans="1:13">
      <c r="A67" s="10" t="str">
        <f>IF(B67=""," ",#REF!+1)</f>
        <v xml:space="preserve"> </v>
      </c>
      <c r="B67" s="17"/>
      <c r="C67" s="12"/>
      <c r="D67" s="18"/>
      <c r="E67" s="14"/>
      <c r="F67" s="15"/>
      <c r="G67" s="16"/>
      <c r="H67" s="10"/>
      <c r="I67" s="10"/>
      <c r="J67" s="28"/>
      <c r="K67" s="453"/>
      <c r="L67" s="454"/>
      <c r="M67" s="455"/>
    </row>
    <row r="68" spans="1:13">
      <c r="A68" s="10" t="str">
        <f>IF(B68=""," ",#REF!+1)</f>
        <v xml:space="preserve"> </v>
      </c>
      <c r="B68" s="17"/>
      <c r="C68" s="12"/>
      <c r="D68" s="18"/>
      <c r="E68" s="14"/>
      <c r="F68" s="15"/>
      <c r="G68" s="16"/>
      <c r="H68" s="10"/>
      <c r="I68" s="10"/>
      <c r="J68" s="28"/>
      <c r="K68" s="12"/>
      <c r="L68" s="31"/>
      <c r="M68" s="32"/>
    </row>
    <row r="69" spans="1:13">
      <c r="A69" s="10" t="str">
        <f>IF(B69=""," ",#REF!+1)</f>
        <v xml:space="preserve"> </v>
      </c>
      <c r="B69" s="17"/>
      <c r="C69" s="12"/>
      <c r="D69" s="18"/>
      <c r="E69" s="14"/>
      <c r="F69" s="15"/>
      <c r="G69" s="16"/>
      <c r="H69" s="10"/>
      <c r="I69" s="10"/>
      <c r="J69" s="28"/>
      <c r="K69" s="453"/>
      <c r="L69" s="454"/>
      <c r="M69" s="455"/>
    </row>
    <row r="70" spans="1:13">
      <c r="A70" s="10" t="str">
        <f>IF(B70=""," ",#REF!+1)</f>
        <v xml:space="preserve"> </v>
      </c>
      <c r="B70" s="17"/>
      <c r="C70" s="12"/>
      <c r="D70" s="18"/>
      <c r="E70" s="14"/>
      <c r="F70" s="15"/>
      <c r="G70" s="16"/>
      <c r="H70" s="10"/>
      <c r="I70" s="10"/>
      <c r="J70" s="28"/>
      <c r="K70" s="12"/>
      <c r="L70" s="31"/>
      <c r="M70" s="32"/>
    </row>
    <row r="71" spans="1:13">
      <c r="A71" s="10" t="str">
        <f>IF(B71=""," ",#REF!+1)</f>
        <v xml:space="preserve"> </v>
      </c>
      <c r="B71" s="17"/>
      <c r="C71" s="12"/>
      <c r="D71" s="18"/>
      <c r="E71" s="14"/>
      <c r="F71" s="15"/>
      <c r="G71" s="16"/>
      <c r="H71" s="10"/>
      <c r="I71" s="10"/>
      <c r="J71" s="28"/>
      <c r="K71" s="453"/>
      <c r="L71" s="454"/>
      <c r="M71" s="455"/>
    </row>
    <row r="72" spans="1:13">
      <c r="A72" s="10" t="str">
        <f>IF(B72=""," ",#REF!+1)</f>
        <v xml:space="preserve"> </v>
      </c>
      <c r="B72" s="17"/>
      <c r="C72" s="12"/>
      <c r="D72" s="18"/>
      <c r="E72" s="14"/>
      <c r="F72" s="15"/>
      <c r="G72" s="16"/>
      <c r="H72" s="10"/>
      <c r="I72" s="10"/>
      <c r="J72" s="28"/>
      <c r="K72" s="453"/>
      <c r="L72" s="454"/>
      <c r="M72" s="455"/>
    </row>
    <row r="73" spans="1:13">
      <c r="A73" s="10" t="str">
        <f>IF(B73=""," ",#REF!+1)</f>
        <v xml:space="preserve"> </v>
      </c>
      <c r="B73" s="17"/>
      <c r="C73" s="12"/>
      <c r="D73" s="18"/>
      <c r="E73" s="14"/>
      <c r="F73" s="15"/>
      <c r="G73" s="16"/>
      <c r="H73" s="10"/>
      <c r="I73" s="10"/>
      <c r="J73" s="28"/>
      <c r="K73" s="453"/>
      <c r="L73" s="454"/>
      <c r="M73" s="455"/>
    </row>
    <row r="74" spans="1:13">
      <c r="A74" s="10" t="str">
        <f>IF(B74=""," ",#REF!+1)</f>
        <v xml:space="preserve"> </v>
      </c>
      <c r="B74" s="17"/>
      <c r="C74" s="12"/>
      <c r="D74" s="18"/>
      <c r="E74" s="14"/>
      <c r="F74" s="15"/>
      <c r="G74" s="16"/>
      <c r="H74" s="10"/>
      <c r="I74" s="10"/>
      <c r="J74" s="28"/>
      <c r="K74" s="453"/>
      <c r="L74" s="454"/>
      <c r="M74" s="455"/>
    </row>
    <row r="75" spans="1:13">
      <c r="A75" s="10" t="str">
        <f>IF(B75=""," ",#REF!+1)</f>
        <v xml:space="preserve"> </v>
      </c>
      <c r="B75" s="17"/>
      <c r="C75" s="12"/>
      <c r="D75" s="18"/>
      <c r="E75" s="14"/>
      <c r="F75" s="15"/>
      <c r="G75" s="16"/>
      <c r="H75" s="10"/>
      <c r="I75" s="10"/>
      <c r="J75" s="28"/>
      <c r="K75" s="12"/>
      <c r="L75" s="31"/>
      <c r="M75" s="32"/>
    </row>
    <row r="76" spans="1:13">
      <c r="A76" s="10" t="str">
        <f>IF(B76=""," ",#REF!+1)</f>
        <v xml:space="preserve"> </v>
      </c>
      <c r="B76" s="17"/>
      <c r="C76" s="12"/>
      <c r="D76" s="18"/>
      <c r="E76" s="14"/>
      <c r="F76" s="15"/>
      <c r="G76" s="16"/>
      <c r="H76" s="10"/>
      <c r="I76" s="10"/>
      <c r="J76" s="28"/>
      <c r="K76" s="12"/>
      <c r="L76" s="31"/>
      <c r="M76" s="32"/>
    </row>
    <row r="77" spans="1:13">
      <c r="A77" s="10" t="str">
        <f>IF(B77=""," ",#REF!+1)</f>
        <v xml:space="preserve"> </v>
      </c>
      <c r="B77" s="17"/>
      <c r="C77" s="12"/>
      <c r="D77" s="18"/>
      <c r="E77" s="14"/>
      <c r="F77" s="15"/>
      <c r="G77" s="16"/>
      <c r="H77" s="10"/>
      <c r="I77" s="10"/>
      <c r="J77" s="28"/>
      <c r="K77" s="453"/>
      <c r="L77" s="454"/>
      <c r="M77" s="455"/>
    </row>
    <row r="78" spans="1:13">
      <c r="A78" s="10" t="str">
        <f>IF(B78=""," ",#REF!+1)</f>
        <v xml:space="preserve"> </v>
      </c>
      <c r="B78" s="17"/>
      <c r="C78" s="12"/>
      <c r="D78" s="18"/>
      <c r="E78" s="14"/>
      <c r="F78" s="15"/>
      <c r="G78" s="16"/>
      <c r="H78" s="10"/>
      <c r="I78" s="10"/>
      <c r="J78" s="28"/>
      <c r="K78" s="453"/>
      <c r="L78" s="454"/>
      <c r="M78" s="455"/>
    </row>
    <row r="79" spans="1:13">
      <c r="A79" s="10" t="str">
        <f>IF(B79=""," ",#REF!+1)</f>
        <v xml:space="preserve"> </v>
      </c>
      <c r="B79" s="17"/>
      <c r="C79" s="12"/>
      <c r="D79" s="18"/>
      <c r="E79" s="14"/>
      <c r="F79" s="15"/>
      <c r="G79" s="16"/>
      <c r="H79" s="10"/>
      <c r="I79" s="10"/>
      <c r="J79" s="28"/>
      <c r="K79" s="453"/>
      <c r="L79" s="454"/>
      <c r="M79" s="455"/>
    </row>
    <row r="80" spans="1:13">
      <c r="A80" s="10" t="str">
        <f>IF(B80=""," ",#REF!+1)</f>
        <v xml:space="preserve"> </v>
      </c>
      <c r="B80" s="17"/>
      <c r="C80" s="12"/>
      <c r="D80" s="18"/>
      <c r="E80" s="14"/>
      <c r="F80" s="15"/>
      <c r="G80" s="16"/>
      <c r="H80" s="10"/>
      <c r="I80" s="10"/>
      <c r="J80" s="28"/>
      <c r="K80" s="12"/>
      <c r="L80" s="31"/>
      <c r="M80" s="32"/>
    </row>
    <row r="81" spans="1:13">
      <c r="A81" s="10" t="str">
        <f>IF(B81=""," ",#REF!+1)</f>
        <v xml:space="preserve"> </v>
      </c>
      <c r="B81" s="17"/>
      <c r="C81" s="12"/>
      <c r="D81" s="18"/>
      <c r="E81" s="14"/>
      <c r="F81" s="15"/>
      <c r="G81" s="16"/>
      <c r="H81" s="10"/>
      <c r="I81" s="10"/>
      <c r="J81" s="28"/>
      <c r="K81" s="12"/>
      <c r="L81" s="31"/>
      <c r="M81" s="32"/>
    </row>
    <row r="82" spans="1:13">
      <c r="A82" s="10" t="str">
        <f>IF(B82=""," ",A81+1)</f>
        <v xml:space="preserve"> </v>
      </c>
      <c r="B82" s="17"/>
      <c r="C82" s="12"/>
      <c r="D82" s="18"/>
      <c r="E82" s="14"/>
      <c r="F82" s="15"/>
      <c r="G82" s="16"/>
      <c r="H82" s="10"/>
      <c r="I82" s="10"/>
      <c r="J82" s="28"/>
      <c r="K82" s="453"/>
      <c r="L82" s="454"/>
      <c r="M82" s="455"/>
    </row>
    <row r="83" spans="1:13">
      <c r="A83" s="10" t="str">
        <f>IF(B83=""," ",#REF!+1)</f>
        <v xml:space="preserve"> </v>
      </c>
      <c r="B83" s="17"/>
      <c r="C83" s="12"/>
      <c r="D83" s="18"/>
      <c r="E83" s="14"/>
      <c r="F83" s="15"/>
      <c r="G83" s="16"/>
      <c r="H83" s="10"/>
      <c r="I83" s="10"/>
      <c r="J83" s="28"/>
      <c r="K83" s="453"/>
      <c r="L83" s="454"/>
      <c r="M83" s="455"/>
    </row>
    <row r="84" spans="1:13">
      <c r="A84" s="10" t="str">
        <f>IF(B84=""," ",#REF!+1)</f>
        <v xml:space="preserve"> </v>
      </c>
      <c r="B84" s="17"/>
      <c r="C84" s="12"/>
      <c r="D84" s="18"/>
      <c r="E84" s="14"/>
      <c r="F84" s="15"/>
      <c r="G84" s="16"/>
      <c r="H84" s="10"/>
      <c r="I84" s="10"/>
      <c r="J84" s="28"/>
      <c r="K84" s="12"/>
      <c r="L84" s="31"/>
      <c r="M84" s="32"/>
    </row>
    <row r="85" spans="1:13">
      <c r="A85" s="10" t="str">
        <f>IF(B85=""," ",A84+1)</f>
        <v xml:space="preserve"> </v>
      </c>
      <c r="B85" s="17"/>
      <c r="C85" s="12"/>
      <c r="D85" s="18"/>
      <c r="E85" s="14"/>
      <c r="F85" s="15"/>
      <c r="G85" s="16"/>
      <c r="H85" s="10"/>
      <c r="I85" s="10"/>
      <c r="J85" s="28"/>
      <c r="K85" s="12"/>
      <c r="L85" s="31"/>
      <c r="M85" s="32"/>
    </row>
    <row r="86" spans="1:13">
      <c r="A86" s="10" t="str">
        <f>IF(B86=""," ",A85+1)</f>
        <v xml:space="preserve"> </v>
      </c>
      <c r="B86" s="17"/>
      <c r="C86" s="12"/>
      <c r="D86" s="18"/>
      <c r="E86" s="14"/>
      <c r="F86" s="15"/>
      <c r="G86" s="16"/>
      <c r="H86" s="10"/>
      <c r="I86" s="10"/>
      <c r="J86" s="28"/>
      <c r="K86" s="453"/>
      <c r="L86" s="454"/>
      <c r="M86" s="455"/>
    </row>
    <row r="87" spans="1:13">
      <c r="A87" s="10" t="str">
        <f>IF(B87=""," ",#REF!+1)</f>
        <v xml:space="preserve"> </v>
      </c>
      <c r="B87" s="17"/>
      <c r="C87" s="12"/>
      <c r="D87" s="18"/>
      <c r="E87" s="14"/>
      <c r="F87" s="15"/>
      <c r="G87" s="16"/>
      <c r="H87" s="10"/>
      <c r="I87" s="10"/>
      <c r="J87" s="28"/>
      <c r="K87" s="12"/>
      <c r="L87" s="31"/>
      <c r="M87" s="32"/>
    </row>
    <row r="88" spans="1:13">
      <c r="A88" s="10" t="str">
        <f>IF(B88=""," ",A87+1)</f>
        <v xml:space="preserve"> </v>
      </c>
      <c r="B88" s="17"/>
      <c r="C88" s="12"/>
      <c r="D88" s="18"/>
      <c r="E88" s="14"/>
      <c r="F88" s="15"/>
      <c r="G88" s="16"/>
      <c r="H88" s="10"/>
      <c r="I88" s="10"/>
      <c r="J88" s="28"/>
      <c r="K88" s="453"/>
      <c r="L88" s="454"/>
      <c r="M88" s="455"/>
    </row>
    <row r="89" spans="1:13">
      <c r="A89" s="10" t="str">
        <f>IF(B89=""," ",#REF!+1)</f>
        <v xml:space="preserve"> </v>
      </c>
      <c r="B89" s="17"/>
      <c r="C89" s="12"/>
      <c r="D89" s="18"/>
      <c r="E89" s="14"/>
      <c r="F89" s="15"/>
      <c r="G89" s="16"/>
      <c r="H89" s="10"/>
      <c r="I89" s="10"/>
      <c r="J89" s="28"/>
      <c r="K89" s="453"/>
      <c r="L89" s="454"/>
      <c r="M89" s="455"/>
    </row>
    <row r="91" spans="1:13">
      <c r="B91" s="2" t="s">
        <v>235</v>
      </c>
      <c r="C91" s="2"/>
      <c r="D91" s="2"/>
      <c r="E91" s="2"/>
      <c r="F91" s="2"/>
      <c r="G91" s="2"/>
      <c r="H91" s="2"/>
      <c r="I91" s="2"/>
      <c r="J91" s="2"/>
      <c r="K91" s="2"/>
    </row>
    <row r="92" spans="1:13">
      <c r="B92" s="2"/>
      <c r="C92" s="2"/>
      <c r="D92" s="2"/>
      <c r="E92" s="2"/>
      <c r="F92" s="2"/>
      <c r="G92" s="2"/>
      <c r="H92" s="2"/>
      <c r="I92" s="2"/>
      <c r="J92" s="2"/>
      <c r="K92" s="2"/>
    </row>
    <row r="93" spans="1:13">
      <c r="B93" s="2"/>
      <c r="C93" s="2"/>
      <c r="D93" s="2"/>
      <c r="E93" s="2"/>
      <c r="F93" s="2"/>
      <c r="G93" s="2"/>
      <c r="H93" s="2"/>
      <c r="I93" s="2"/>
      <c r="J93" s="2"/>
      <c r="K93" s="2"/>
    </row>
    <row r="94" spans="1:13">
      <c r="B94" s="2"/>
      <c r="C94" s="2"/>
      <c r="D94" s="2"/>
      <c r="E94" s="2"/>
      <c r="F94" s="2"/>
      <c r="G94" s="2"/>
      <c r="H94" s="2"/>
      <c r="I94" s="2"/>
      <c r="J94" s="2"/>
      <c r="K94" s="2"/>
    </row>
    <row r="95" spans="1:13">
      <c r="C95" s="2"/>
      <c r="D95" s="2"/>
    </row>
    <row r="96" spans="1:13">
      <c r="C96" s="2"/>
      <c r="D96" s="2"/>
    </row>
    <row r="97" spans="1:4">
      <c r="C97" s="2"/>
      <c r="D97" s="2"/>
    </row>
    <row r="101" spans="1:4" s="2" customFormat="1">
      <c r="A101" s="1"/>
      <c r="B101" s="35"/>
    </row>
  </sheetData>
  <mergeCells count="62">
    <mergeCell ref="K86:M86"/>
    <mergeCell ref="K88:M88"/>
    <mergeCell ref="K89:M89"/>
    <mergeCell ref="A5:A6"/>
    <mergeCell ref="K5:M6"/>
    <mergeCell ref="K77:M77"/>
    <mergeCell ref="K78:M78"/>
    <mergeCell ref="K79:M79"/>
    <mergeCell ref="K82:M82"/>
    <mergeCell ref="K83:M83"/>
    <mergeCell ref="K69:M69"/>
    <mergeCell ref="K71:M71"/>
    <mergeCell ref="K72:M72"/>
    <mergeCell ref="K73:M73"/>
    <mergeCell ref="K74:M74"/>
    <mergeCell ref="K61:M61"/>
    <mergeCell ref="K62:M62"/>
    <mergeCell ref="K64:M64"/>
    <mergeCell ref="K66:M66"/>
    <mergeCell ref="K67:M67"/>
    <mergeCell ref="K52:M52"/>
    <mergeCell ref="K54:M54"/>
    <mergeCell ref="K56:M56"/>
    <mergeCell ref="K57:M57"/>
    <mergeCell ref="K59:M59"/>
    <mergeCell ref="K44:M44"/>
    <mergeCell ref="K46:M46"/>
    <mergeCell ref="K47:M47"/>
    <mergeCell ref="K49:M49"/>
    <mergeCell ref="K51:M51"/>
    <mergeCell ref="K35:M35"/>
    <mergeCell ref="K36:M36"/>
    <mergeCell ref="K39:M39"/>
    <mergeCell ref="K41:M41"/>
    <mergeCell ref="K42:M42"/>
    <mergeCell ref="K20:M20"/>
    <mergeCell ref="K27:M27"/>
    <mergeCell ref="K30:M30"/>
    <mergeCell ref="K31:M31"/>
    <mergeCell ref="K32:M32"/>
    <mergeCell ref="K14:M14"/>
    <mergeCell ref="K15:M15"/>
    <mergeCell ref="K16:M16"/>
    <mergeCell ref="K18:M18"/>
    <mergeCell ref="K19:M19"/>
    <mergeCell ref="K7:M7"/>
    <mergeCell ref="K9:M9"/>
    <mergeCell ref="K10:M10"/>
    <mergeCell ref="K11:M11"/>
    <mergeCell ref="K12:M12"/>
    <mergeCell ref="A4:B4"/>
    <mergeCell ref="C4:G4"/>
    <mergeCell ref="H4:I4"/>
    <mergeCell ref="B5:C5"/>
    <mergeCell ref="D5:H5"/>
    <mergeCell ref="I5:J5"/>
    <mergeCell ref="A2:B2"/>
    <mergeCell ref="C2:G2"/>
    <mergeCell ref="H2:J2"/>
    <mergeCell ref="A3:B3"/>
    <mergeCell ref="C3:G3"/>
    <mergeCell ref="H3:I3"/>
  </mergeCells>
  <phoneticPr fontId="22"/>
  <pageMargins left="0.78680555555555598" right="0.196527777777778" top="0.59027777777777801" bottom="0.59027777777777801" header="0.51180555555555596" footer="0.39305555555555599"/>
  <pageSetup paperSize="9" scale="71" fitToHeight="0" orientation="portrait" r:id="rId1"/>
  <headerFooter alignWithMargins="0">
    <oddFooter>&amp;C&amp;10&amp;P/&amp;N&amp;R&amp;10&amp;A</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WVY119"/>
  <sheetViews>
    <sheetView workbookViewId="0">
      <selection activeCell="E11" sqref="E11"/>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spans="1:16" ht="12" customHeight="1">
      <c r="B1" s="3"/>
    </row>
    <row r="2" spans="1:16" ht="12" customHeight="1">
      <c r="A2" s="492" t="s">
        <v>136</v>
      </c>
      <c r="B2" s="493"/>
      <c r="C2" s="492" t="s">
        <v>1</v>
      </c>
      <c r="D2" s="494"/>
      <c r="E2" s="494"/>
      <c r="F2" s="494"/>
      <c r="G2" s="493"/>
      <c r="H2" s="492"/>
      <c r="I2" s="494"/>
      <c r="J2" s="493"/>
      <c r="K2" s="24"/>
      <c r="L2" s="39" t="s">
        <v>137</v>
      </c>
      <c r="M2" s="39" t="s">
        <v>138</v>
      </c>
    </row>
    <row r="3" spans="1:16" ht="12" customHeight="1">
      <c r="A3" s="444"/>
      <c r="B3" s="445"/>
      <c r="C3" s="446" t="s">
        <v>1845</v>
      </c>
      <c r="D3" s="447"/>
      <c r="E3" s="447"/>
      <c r="F3" s="447"/>
      <c r="G3" s="448"/>
      <c r="H3" s="492" t="s">
        <v>140</v>
      </c>
      <c r="I3" s="493"/>
      <c r="J3" s="25">
        <f>COUNT(A7:A39)</f>
        <v>9</v>
      </c>
      <c r="K3" s="39" t="s">
        <v>141</v>
      </c>
      <c r="L3" s="26">
        <v>43757</v>
      </c>
      <c r="M3" s="27" t="s">
        <v>1810</v>
      </c>
      <c r="O3" s="2" t="s">
        <v>143</v>
      </c>
      <c r="P3" s="2" t="s">
        <v>144</v>
      </c>
    </row>
    <row r="4" spans="1:16" ht="12" customHeight="1">
      <c r="A4" s="449" t="s">
        <v>145</v>
      </c>
      <c r="B4" s="450"/>
      <c r="C4" s="449" t="s">
        <v>1846</v>
      </c>
      <c r="D4" s="451"/>
      <c r="E4" s="451"/>
      <c r="F4" s="451"/>
      <c r="G4" s="450"/>
      <c r="H4" s="492" t="s">
        <v>146</v>
      </c>
      <c r="I4" s="493"/>
      <c r="J4" s="25">
        <f>SUM(G7:G39)</f>
        <v>70</v>
      </c>
      <c r="K4" s="39" t="s">
        <v>147</v>
      </c>
      <c r="L4" s="26"/>
      <c r="M4" s="27"/>
      <c r="O4" s="2" t="s">
        <v>149</v>
      </c>
      <c r="P4" s="2" t="s">
        <v>150</v>
      </c>
    </row>
    <row r="5" spans="1:16" ht="12" customHeight="1">
      <c r="A5" s="497" t="s">
        <v>0</v>
      </c>
      <c r="B5" s="492" t="s">
        <v>151</v>
      </c>
      <c r="C5" s="494"/>
      <c r="D5" s="495" t="s">
        <v>152</v>
      </c>
      <c r="E5" s="494"/>
      <c r="F5" s="494"/>
      <c r="G5" s="494"/>
      <c r="H5" s="494"/>
      <c r="I5" s="492" t="s">
        <v>153</v>
      </c>
      <c r="J5" s="493"/>
      <c r="K5" s="499" t="s">
        <v>4</v>
      </c>
      <c r="L5" s="500"/>
      <c r="M5" s="501"/>
      <c r="P5" s="2" t="s">
        <v>154</v>
      </c>
    </row>
    <row r="6" spans="1:16" ht="12" customHeight="1">
      <c r="A6" s="498"/>
      <c r="B6" s="39" t="s">
        <v>5</v>
      </c>
      <c r="C6" s="40" t="s">
        <v>6</v>
      </c>
      <c r="D6" s="41" t="s">
        <v>144</v>
      </c>
      <c r="E6" s="42" t="s">
        <v>155</v>
      </c>
      <c r="F6" s="43" t="s">
        <v>156</v>
      </c>
      <c r="G6" s="39" t="s">
        <v>157</v>
      </c>
      <c r="H6" s="38" t="s">
        <v>158</v>
      </c>
      <c r="I6" s="38" t="s">
        <v>159</v>
      </c>
      <c r="J6" s="38" t="s">
        <v>160</v>
      </c>
      <c r="K6" s="502"/>
      <c r="L6" s="503"/>
      <c r="M6" s="504"/>
      <c r="P6" s="2" t="s">
        <v>161</v>
      </c>
    </row>
    <row r="7" spans="1:16">
      <c r="A7" s="10">
        <v>1</v>
      </c>
      <c r="B7" s="11" t="s">
        <v>812</v>
      </c>
      <c r="C7" s="12" t="s">
        <v>813</v>
      </c>
      <c r="D7" s="13" t="s">
        <v>164</v>
      </c>
      <c r="E7" s="14"/>
      <c r="F7" s="15"/>
      <c r="G7" s="16">
        <f t="shared" ref="G7:G15" si="0">IF(D7="DATE",4,IF(D7="CHAR",E7,IF(D7="SMALLINT",2,IF(D7="INTEGER",4,IF(D7="TIMESTAMP",10,IF(D7="TIME",3,0))))))</f>
        <v>4</v>
      </c>
      <c r="H7" s="10" t="s">
        <v>149</v>
      </c>
      <c r="I7" s="10" t="s">
        <v>149</v>
      </c>
      <c r="J7" s="28"/>
      <c r="K7" s="308"/>
      <c r="L7" s="278"/>
      <c r="M7" s="279"/>
      <c r="P7" s="2" t="s">
        <v>165</v>
      </c>
    </row>
    <row r="8" spans="1:16" ht="72.75" customHeight="1">
      <c r="A8" s="10">
        <f t="shared" ref="A8:A16" si="1">IF(B8=""," ",A7+1)</f>
        <v>2</v>
      </c>
      <c r="B8" s="17" t="s">
        <v>774</v>
      </c>
      <c r="C8" s="21" t="s">
        <v>775</v>
      </c>
      <c r="D8" s="13" t="s">
        <v>150</v>
      </c>
      <c r="E8" s="14">
        <v>10</v>
      </c>
      <c r="F8" s="15"/>
      <c r="G8" s="16">
        <f t="shared" si="0"/>
        <v>10</v>
      </c>
      <c r="H8" s="10" t="s">
        <v>149</v>
      </c>
      <c r="I8" s="10" t="s">
        <v>149</v>
      </c>
      <c r="J8" s="28"/>
      <c r="K8" s="271" t="s">
        <v>1847</v>
      </c>
      <c r="L8" s="278"/>
      <c r="M8" s="279"/>
    </row>
    <row r="9" spans="1:16">
      <c r="A9" s="10">
        <f t="shared" si="1"/>
        <v>3</v>
      </c>
      <c r="B9" s="17" t="s">
        <v>776</v>
      </c>
      <c r="C9" s="12" t="s">
        <v>777</v>
      </c>
      <c r="D9" s="13" t="s">
        <v>174</v>
      </c>
      <c r="E9" s="14"/>
      <c r="F9" s="15"/>
      <c r="G9" s="16">
        <f t="shared" si="0"/>
        <v>2</v>
      </c>
      <c r="H9" s="10" t="s">
        <v>149</v>
      </c>
      <c r="I9" s="10" t="s">
        <v>149</v>
      </c>
      <c r="J9" s="28"/>
      <c r="K9" s="453"/>
      <c r="L9" s="454"/>
      <c r="M9" s="455"/>
    </row>
    <row r="10" spans="1:16">
      <c r="A10" s="10">
        <f t="shared" si="1"/>
        <v>4</v>
      </c>
      <c r="B10" s="11" t="s">
        <v>162</v>
      </c>
      <c r="C10" s="12" t="s">
        <v>163</v>
      </c>
      <c r="D10" s="18" t="s">
        <v>164</v>
      </c>
      <c r="E10" s="14"/>
      <c r="F10" s="15"/>
      <c r="G10" s="16">
        <f t="shared" si="0"/>
        <v>4</v>
      </c>
      <c r="H10" s="10" t="s">
        <v>149</v>
      </c>
      <c r="I10" s="10"/>
      <c r="J10" s="28"/>
      <c r="K10" s="308"/>
      <c r="L10" s="278"/>
      <c r="M10" s="279"/>
    </row>
    <row r="11" spans="1:16">
      <c r="A11" s="10">
        <f t="shared" si="1"/>
        <v>5</v>
      </c>
      <c r="B11" s="11" t="s">
        <v>166</v>
      </c>
      <c r="C11" s="12" t="s">
        <v>167</v>
      </c>
      <c r="D11" s="18" t="s">
        <v>150</v>
      </c>
      <c r="E11" s="14">
        <v>11</v>
      </c>
      <c r="F11" s="15"/>
      <c r="G11" s="16">
        <f t="shared" si="0"/>
        <v>11</v>
      </c>
      <c r="H11" s="10" t="s">
        <v>149</v>
      </c>
      <c r="I11" s="10"/>
      <c r="J11" s="28"/>
      <c r="K11" s="308"/>
      <c r="L11" s="278"/>
      <c r="M11" s="279"/>
    </row>
    <row r="12" spans="1:16">
      <c r="A12" s="10">
        <f t="shared" si="1"/>
        <v>6</v>
      </c>
      <c r="B12" s="11" t="s">
        <v>646</v>
      </c>
      <c r="C12" s="12" t="s">
        <v>647</v>
      </c>
      <c r="D12" s="18" t="s">
        <v>150</v>
      </c>
      <c r="E12" s="14">
        <v>16</v>
      </c>
      <c r="F12" s="15"/>
      <c r="G12" s="16">
        <f t="shared" si="0"/>
        <v>16</v>
      </c>
      <c r="H12" s="10" t="s">
        <v>149</v>
      </c>
      <c r="I12" s="10"/>
      <c r="J12" s="28"/>
      <c r="K12" s="271"/>
      <c r="L12" s="272"/>
      <c r="M12" s="273"/>
    </row>
    <row r="13" spans="1:16" ht="25.5" customHeight="1">
      <c r="A13" s="10">
        <f t="shared" si="1"/>
        <v>7</v>
      </c>
      <c r="B13" s="17" t="s">
        <v>1463</v>
      </c>
      <c r="C13" s="12" t="s">
        <v>1848</v>
      </c>
      <c r="D13" s="18" t="s">
        <v>150</v>
      </c>
      <c r="E13" s="14">
        <v>3</v>
      </c>
      <c r="F13" s="15"/>
      <c r="G13" s="16">
        <f t="shared" si="0"/>
        <v>3</v>
      </c>
      <c r="H13" s="10" t="s">
        <v>149</v>
      </c>
      <c r="I13" s="10"/>
      <c r="J13" s="28"/>
      <c r="K13" s="332" t="s">
        <v>1849</v>
      </c>
      <c r="L13" s="454"/>
      <c r="M13" s="455"/>
    </row>
    <row r="14" spans="1:16" ht="12" customHeight="1">
      <c r="A14" s="10">
        <f t="shared" si="1"/>
        <v>8</v>
      </c>
      <c r="B14" s="17" t="s">
        <v>232</v>
      </c>
      <c r="C14" s="12" t="s">
        <v>233</v>
      </c>
      <c r="D14" s="18" t="s">
        <v>234</v>
      </c>
      <c r="E14" s="14"/>
      <c r="F14" s="15"/>
      <c r="G14" s="16">
        <f t="shared" si="0"/>
        <v>10</v>
      </c>
      <c r="H14" s="10" t="s">
        <v>149</v>
      </c>
      <c r="I14" s="10"/>
      <c r="J14" s="28"/>
      <c r="K14" s="453"/>
      <c r="L14" s="454"/>
      <c r="M14" s="455"/>
    </row>
    <row r="15" spans="1:16">
      <c r="A15" s="10">
        <f t="shared" si="1"/>
        <v>9</v>
      </c>
      <c r="B15" s="17" t="s">
        <v>447</v>
      </c>
      <c r="C15" s="12" t="s">
        <v>448</v>
      </c>
      <c r="D15" s="18" t="s">
        <v>234</v>
      </c>
      <c r="E15" s="14"/>
      <c r="F15" s="15"/>
      <c r="G15" s="16">
        <f t="shared" si="0"/>
        <v>10</v>
      </c>
      <c r="H15" s="10" t="s">
        <v>149</v>
      </c>
      <c r="I15" s="10"/>
      <c r="J15" s="28"/>
      <c r="K15" s="453" t="s">
        <v>449</v>
      </c>
      <c r="L15" s="454"/>
      <c r="M15" s="455"/>
      <c r="P15" s="2" t="s">
        <v>164</v>
      </c>
    </row>
    <row r="16" spans="1:16">
      <c r="A16" s="10" t="str">
        <f t="shared" si="1"/>
        <v xml:space="preserve"> </v>
      </c>
      <c r="B16" s="17"/>
      <c r="C16" s="12"/>
      <c r="D16" s="18"/>
      <c r="E16" s="14"/>
      <c r="F16" s="15"/>
      <c r="G16" s="16"/>
      <c r="H16" s="10"/>
      <c r="I16" s="10"/>
      <c r="J16" s="28"/>
      <c r="K16" s="271"/>
      <c r="L16" s="272"/>
      <c r="M16" s="273"/>
    </row>
    <row r="17" spans="1:16">
      <c r="A17" s="10" t="str">
        <f t="shared" ref="A17:A39" si="2">IF(B17=""," ",A16+1)</f>
        <v xml:space="preserve"> </v>
      </c>
      <c r="B17" s="20"/>
      <c r="C17" s="22"/>
      <c r="D17" s="18"/>
      <c r="E17" s="14"/>
      <c r="F17" s="15"/>
      <c r="G17" s="16"/>
      <c r="H17" s="10"/>
      <c r="I17" s="10"/>
      <c r="J17" s="28"/>
      <c r="K17" s="271"/>
      <c r="L17" s="272"/>
      <c r="M17" s="273"/>
    </row>
    <row r="18" spans="1:16" ht="12" customHeight="1">
      <c r="A18" s="10" t="str">
        <f t="shared" si="2"/>
        <v xml:space="preserve"> </v>
      </c>
      <c r="B18" s="11"/>
      <c r="C18" s="21"/>
      <c r="D18" s="13"/>
      <c r="E18" s="14"/>
      <c r="F18" s="15"/>
      <c r="G18" s="16"/>
      <c r="H18" s="10"/>
      <c r="I18" s="10"/>
      <c r="J18" s="28"/>
      <c r="K18" s="271"/>
      <c r="L18" s="272"/>
      <c r="M18" s="273"/>
    </row>
    <row r="19" spans="1:16">
      <c r="A19" s="10" t="str">
        <f t="shared" si="2"/>
        <v xml:space="preserve"> </v>
      </c>
      <c r="B19" s="11"/>
      <c r="C19" s="21"/>
      <c r="D19" s="13"/>
      <c r="E19" s="14"/>
      <c r="F19" s="15"/>
      <c r="G19" s="16"/>
      <c r="H19" s="10"/>
      <c r="I19" s="10"/>
      <c r="J19" s="28"/>
      <c r="K19" s="271"/>
      <c r="L19" s="272"/>
      <c r="M19" s="273"/>
      <c r="P19" s="2" t="s">
        <v>195</v>
      </c>
    </row>
    <row r="20" spans="1:16">
      <c r="A20" s="10" t="str">
        <f t="shared" si="2"/>
        <v xml:space="preserve"> </v>
      </c>
      <c r="B20" s="11"/>
      <c r="C20" s="12"/>
      <c r="D20" s="18"/>
      <c r="E20" s="14"/>
      <c r="F20" s="15"/>
      <c r="G20" s="16"/>
      <c r="H20" s="10"/>
      <c r="I20" s="10"/>
      <c r="J20" s="28"/>
      <c r="K20" s="271"/>
      <c r="L20" s="272"/>
      <c r="M20" s="273"/>
    </row>
    <row r="21" spans="1:16">
      <c r="A21" s="10" t="str">
        <f t="shared" si="2"/>
        <v xml:space="preserve"> </v>
      </c>
      <c r="B21" s="17"/>
      <c r="C21" s="12"/>
      <c r="D21" s="18"/>
      <c r="E21" s="14"/>
      <c r="F21" s="15"/>
      <c r="G21" s="16"/>
      <c r="H21" s="10"/>
      <c r="I21" s="10"/>
      <c r="J21" s="28"/>
      <c r="K21" s="271"/>
      <c r="L21" s="272"/>
      <c r="M21" s="273"/>
    </row>
    <row r="22" spans="1:16">
      <c r="A22" s="10" t="str">
        <f t="shared" si="2"/>
        <v xml:space="preserve"> </v>
      </c>
      <c r="B22" s="20"/>
      <c r="C22" s="12"/>
      <c r="D22" s="18"/>
      <c r="E22" s="14"/>
      <c r="F22" s="15"/>
      <c r="G22" s="16"/>
      <c r="H22" s="10"/>
      <c r="I22" s="10"/>
      <c r="J22" s="28"/>
      <c r="K22" s="332"/>
      <c r="L22" s="333"/>
      <c r="M22" s="334"/>
    </row>
    <row r="23" spans="1:16">
      <c r="A23" s="10" t="str">
        <f t="shared" si="2"/>
        <v xml:space="preserve"> </v>
      </c>
      <c r="B23" s="11"/>
      <c r="C23" s="12"/>
      <c r="D23" s="18"/>
      <c r="E23" s="14"/>
      <c r="F23" s="15"/>
      <c r="G23" s="16"/>
      <c r="H23" s="10"/>
      <c r="I23" s="10"/>
      <c r="J23" s="28"/>
      <c r="K23" s="332"/>
      <c r="L23" s="333"/>
      <c r="M23" s="334"/>
    </row>
    <row r="24" spans="1:16">
      <c r="A24" s="10" t="str">
        <f t="shared" si="2"/>
        <v xml:space="preserve"> </v>
      </c>
      <c r="B24" s="11"/>
      <c r="C24" s="12"/>
      <c r="D24" s="18"/>
      <c r="E24" s="14"/>
      <c r="F24" s="15"/>
      <c r="G24" s="16"/>
      <c r="H24" s="10"/>
      <c r="I24" s="10"/>
      <c r="J24" s="28"/>
      <c r="K24" s="332"/>
      <c r="L24" s="333"/>
      <c r="M24" s="334"/>
    </row>
    <row r="25" spans="1:16">
      <c r="A25" s="10" t="str">
        <f t="shared" si="2"/>
        <v xml:space="preserve"> </v>
      </c>
      <c r="B25" s="11"/>
      <c r="C25" s="12"/>
      <c r="D25" s="18"/>
      <c r="E25" s="14"/>
      <c r="F25" s="15"/>
      <c r="G25" s="16"/>
      <c r="H25" s="10"/>
      <c r="I25" s="10"/>
      <c r="J25" s="28"/>
      <c r="K25" s="332"/>
      <c r="L25" s="333"/>
      <c r="M25" s="334"/>
    </row>
    <row r="26" spans="1:16">
      <c r="A26" s="10" t="str">
        <f t="shared" si="2"/>
        <v xml:space="preserve"> </v>
      </c>
      <c r="B26" s="11"/>
      <c r="C26" s="12"/>
      <c r="D26" s="18"/>
      <c r="E26" s="14"/>
      <c r="F26" s="15"/>
      <c r="G26" s="16"/>
      <c r="H26" s="10"/>
      <c r="I26" s="10"/>
      <c r="J26" s="28"/>
      <c r="K26" s="453"/>
      <c r="L26" s="454"/>
      <c r="M26" s="455"/>
    </row>
    <row r="27" spans="1:16">
      <c r="A27" s="10" t="str">
        <f t="shared" si="2"/>
        <v xml:space="preserve"> </v>
      </c>
      <c r="B27" s="11"/>
      <c r="C27" s="12"/>
      <c r="D27" s="18"/>
      <c r="E27" s="14"/>
      <c r="F27" s="15"/>
      <c r="G27" s="16"/>
      <c r="H27" s="10"/>
      <c r="I27" s="10"/>
      <c r="J27" s="28"/>
      <c r="K27" s="332"/>
      <c r="L27" s="333"/>
      <c r="M27" s="334"/>
    </row>
    <row r="28" spans="1:16">
      <c r="A28" s="10" t="str">
        <f t="shared" si="2"/>
        <v xml:space="preserve"> </v>
      </c>
      <c r="B28" s="20"/>
      <c r="C28" s="12"/>
      <c r="D28" s="18"/>
      <c r="E28" s="14"/>
      <c r="F28" s="15"/>
      <c r="G28" s="16"/>
      <c r="H28" s="10"/>
      <c r="I28" s="10"/>
      <c r="J28" s="28"/>
      <c r="K28" s="332"/>
      <c r="L28" s="333"/>
      <c r="M28" s="334"/>
    </row>
    <row r="29" spans="1:16">
      <c r="A29" s="10" t="str">
        <f t="shared" si="2"/>
        <v xml:space="preserve"> </v>
      </c>
      <c r="B29" s="20"/>
      <c r="C29" s="12"/>
      <c r="D29" s="18"/>
      <c r="E29" s="14"/>
      <c r="F29" s="15"/>
      <c r="G29" s="16"/>
      <c r="H29" s="10"/>
      <c r="I29" s="10"/>
      <c r="J29" s="28"/>
      <c r="K29" s="453"/>
      <c r="L29" s="454"/>
      <c r="M29" s="455"/>
    </row>
    <row r="30" spans="1:16">
      <c r="A30" s="10" t="str">
        <f t="shared" si="2"/>
        <v xml:space="preserve"> </v>
      </c>
      <c r="B30" s="20"/>
      <c r="C30" s="12"/>
      <c r="D30" s="18"/>
      <c r="E30" s="14"/>
      <c r="F30" s="15"/>
      <c r="G30" s="16"/>
      <c r="H30" s="10"/>
      <c r="I30" s="10"/>
      <c r="J30" s="28"/>
      <c r="K30" s="332"/>
      <c r="L30" s="333"/>
      <c r="M30" s="334"/>
    </row>
    <row r="31" spans="1:16">
      <c r="A31" s="10" t="str">
        <f t="shared" si="2"/>
        <v xml:space="preserve"> </v>
      </c>
      <c r="B31" s="20"/>
      <c r="C31" s="12"/>
      <c r="D31" s="18"/>
      <c r="E31" s="14"/>
      <c r="F31" s="15"/>
      <c r="G31" s="16"/>
      <c r="H31" s="10"/>
      <c r="I31" s="10"/>
      <c r="J31" s="28"/>
      <c r="K31" s="332"/>
      <c r="L31" s="333"/>
      <c r="M31" s="334"/>
    </row>
    <row r="32" spans="1:16">
      <c r="A32" s="10" t="str">
        <f t="shared" si="2"/>
        <v xml:space="preserve"> </v>
      </c>
      <c r="B32" s="11"/>
      <c r="C32" s="12"/>
      <c r="D32" s="18"/>
      <c r="E32" s="14"/>
      <c r="F32" s="15"/>
      <c r="G32" s="16"/>
      <c r="H32" s="10"/>
      <c r="I32" s="10"/>
      <c r="J32" s="28"/>
      <c r="K32" s="453"/>
      <c r="L32" s="454"/>
      <c r="M32" s="455"/>
    </row>
    <row r="33" spans="1:16">
      <c r="A33" s="10" t="str">
        <f t="shared" si="2"/>
        <v xml:space="preserve"> </v>
      </c>
      <c r="B33" s="11"/>
      <c r="C33" s="12"/>
      <c r="D33" s="18"/>
      <c r="E33" s="14"/>
      <c r="F33" s="15"/>
      <c r="G33" s="16"/>
      <c r="H33" s="10"/>
      <c r="I33" s="10"/>
      <c r="J33" s="28"/>
      <c r="K33" s="332"/>
      <c r="L33" s="333"/>
      <c r="M33" s="334"/>
      <c r="P33" s="2" t="s">
        <v>174</v>
      </c>
    </row>
    <row r="34" spans="1:16">
      <c r="A34" s="10" t="str">
        <f t="shared" si="2"/>
        <v xml:space="preserve"> </v>
      </c>
      <c r="B34" s="11"/>
      <c r="C34" s="12"/>
      <c r="D34" s="18"/>
      <c r="E34" s="14"/>
      <c r="F34" s="15"/>
      <c r="G34" s="16"/>
      <c r="H34" s="10"/>
      <c r="I34" s="10"/>
      <c r="J34" s="28"/>
      <c r="K34" s="332"/>
      <c r="L34" s="333"/>
      <c r="M34" s="334"/>
      <c r="P34" s="2" t="s">
        <v>174</v>
      </c>
    </row>
    <row r="35" spans="1:16">
      <c r="A35" s="10" t="str">
        <f t="shared" si="2"/>
        <v xml:space="preserve"> </v>
      </c>
      <c r="B35" s="11"/>
      <c r="C35" s="12"/>
      <c r="D35" s="18"/>
      <c r="E35" s="14"/>
      <c r="F35" s="15"/>
      <c r="G35" s="16"/>
      <c r="H35" s="10"/>
      <c r="I35" s="10"/>
      <c r="J35" s="28"/>
      <c r="K35" s="332"/>
      <c r="L35" s="333"/>
      <c r="M35" s="334"/>
    </row>
    <row r="36" spans="1:16">
      <c r="A36" s="10" t="str">
        <f t="shared" si="2"/>
        <v xml:space="preserve"> </v>
      </c>
      <c r="B36" s="11"/>
      <c r="C36" s="12"/>
      <c r="D36" s="18"/>
      <c r="E36" s="14"/>
      <c r="F36" s="15"/>
      <c r="G36" s="16"/>
      <c r="H36" s="10"/>
      <c r="I36" s="10"/>
      <c r="J36" s="28"/>
      <c r="K36" s="496"/>
      <c r="L36" s="496"/>
      <c r="M36" s="496"/>
    </row>
    <row r="37" spans="1:16">
      <c r="A37" s="10" t="str">
        <f t="shared" si="2"/>
        <v xml:space="preserve"> </v>
      </c>
      <c r="B37" s="11"/>
      <c r="C37" s="12"/>
      <c r="D37" s="18"/>
      <c r="E37" s="14"/>
      <c r="F37" s="15"/>
      <c r="G37" s="16"/>
      <c r="H37" s="10"/>
      <c r="I37" s="10"/>
      <c r="J37" s="28"/>
      <c r="K37" s="332"/>
      <c r="L37" s="333"/>
      <c r="M37" s="334"/>
    </row>
    <row r="38" spans="1:16">
      <c r="A38" s="10" t="str">
        <f t="shared" si="2"/>
        <v xml:space="preserve"> </v>
      </c>
      <c r="B38" s="17"/>
      <c r="C38" s="12"/>
      <c r="D38" s="18"/>
      <c r="E38" s="14"/>
      <c r="F38" s="15"/>
      <c r="G38" s="16"/>
      <c r="H38" s="10"/>
      <c r="I38" s="10"/>
      <c r="J38" s="28"/>
      <c r="K38" s="453"/>
      <c r="L38" s="454"/>
      <c r="M38" s="455"/>
      <c r="N38" s="34"/>
    </row>
    <row r="39" spans="1:16">
      <c r="A39" s="10" t="str">
        <f t="shared" si="2"/>
        <v xml:space="preserve"> </v>
      </c>
      <c r="B39" s="17"/>
      <c r="C39" s="12"/>
      <c r="D39" s="18"/>
      <c r="E39" s="14"/>
      <c r="F39" s="15"/>
      <c r="G39" s="16"/>
      <c r="H39" s="10"/>
      <c r="I39" s="10"/>
      <c r="J39" s="28"/>
      <c r="K39" s="453"/>
      <c r="L39" s="454"/>
      <c r="M39" s="455"/>
    </row>
    <row r="40" spans="1:16">
      <c r="A40" s="10"/>
      <c r="B40" s="11"/>
      <c r="C40" s="12"/>
      <c r="D40" s="18"/>
      <c r="E40" s="14"/>
      <c r="F40" s="15"/>
      <c r="G40" s="16"/>
      <c r="H40" s="10"/>
      <c r="I40" s="10"/>
      <c r="J40" s="28"/>
      <c r="K40" s="332"/>
      <c r="L40" s="333"/>
      <c r="M40" s="334"/>
    </row>
    <row r="41" spans="1:16">
      <c r="A41" s="10"/>
      <c r="B41" s="20"/>
      <c r="C41" s="12"/>
      <c r="D41" s="18"/>
      <c r="E41" s="14"/>
      <c r="F41" s="15"/>
      <c r="G41" s="16"/>
      <c r="H41" s="10"/>
      <c r="I41" s="10"/>
      <c r="J41" s="28"/>
      <c r="K41" s="332"/>
      <c r="L41" s="333"/>
      <c r="M41" s="334"/>
    </row>
    <row r="42" spans="1:16">
      <c r="A42" s="10"/>
      <c r="B42" s="20"/>
      <c r="C42" s="21"/>
      <c r="D42" s="18"/>
      <c r="E42" s="14"/>
      <c r="F42" s="15"/>
      <c r="G42" s="16"/>
      <c r="H42" s="10"/>
      <c r="I42" s="10"/>
      <c r="J42" s="28"/>
      <c r="K42" s="332"/>
      <c r="L42" s="333"/>
      <c r="M42" s="334"/>
    </row>
    <row r="43" spans="1:16">
      <c r="A43" s="10"/>
      <c r="B43" s="20"/>
      <c r="C43" s="21"/>
      <c r="D43" s="18"/>
      <c r="E43" s="14"/>
      <c r="F43" s="15"/>
      <c r="G43" s="16"/>
      <c r="H43" s="10"/>
      <c r="I43" s="10"/>
      <c r="J43" s="28"/>
      <c r="K43" s="332"/>
      <c r="L43" s="333"/>
      <c r="M43" s="334"/>
    </row>
    <row r="44" spans="1:16">
      <c r="A44" s="10"/>
      <c r="B44" s="20"/>
      <c r="C44" s="12"/>
      <c r="D44" s="18"/>
      <c r="E44" s="14"/>
      <c r="F44" s="15"/>
      <c r="G44" s="16"/>
      <c r="H44" s="10"/>
      <c r="I44" s="10"/>
      <c r="J44" s="28"/>
      <c r="K44" s="332"/>
      <c r="L44" s="333"/>
      <c r="M44" s="334"/>
    </row>
    <row r="45" spans="1:16">
      <c r="A45" s="10"/>
      <c r="B45" s="20"/>
      <c r="C45" s="12"/>
      <c r="D45" s="18"/>
      <c r="E45" s="14"/>
      <c r="F45" s="15"/>
      <c r="G45" s="16"/>
      <c r="H45" s="10"/>
      <c r="I45" s="10"/>
      <c r="J45" s="28"/>
      <c r="K45" s="332"/>
      <c r="L45" s="333"/>
      <c r="M45" s="334"/>
    </row>
    <row r="46" spans="1:16">
      <c r="A46" s="10"/>
      <c r="B46" s="20"/>
      <c r="C46" s="12"/>
      <c r="D46" s="18"/>
      <c r="E46" s="14"/>
      <c r="F46" s="15"/>
      <c r="G46" s="16"/>
      <c r="H46" s="10"/>
      <c r="I46" s="10"/>
      <c r="J46" s="28"/>
      <c r="K46" s="332"/>
      <c r="L46" s="333"/>
      <c r="M46" s="334"/>
    </row>
    <row r="47" spans="1:16">
      <c r="A47" s="10"/>
      <c r="B47" s="20"/>
      <c r="C47" s="12"/>
      <c r="D47" s="18"/>
      <c r="E47" s="14"/>
      <c r="F47" s="15"/>
      <c r="G47" s="16"/>
      <c r="H47" s="10"/>
      <c r="I47" s="10"/>
      <c r="J47" s="28"/>
      <c r="K47" s="332"/>
      <c r="L47" s="333"/>
      <c r="M47" s="334"/>
    </row>
    <row r="48" spans="1:16">
      <c r="A48" s="10"/>
      <c r="B48" s="20"/>
      <c r="C48" s="12"/>
      <c r="D48" s="18"/>
      <c r="E48" s="14"/>
      <c r="F48" s="15"/>
      <c r="G48" s="16"/>
      <c r="H48" s="10"/>
      <c r="I48" s="10"/>
      <c r="J48" s="28"/>
      <c r="K48" s="332"/>
      <c r="L48" s="333"/>
      <c r="M48" s="334"/>
    </row>
    <row r="49" spans="1:256" customFormat="1" ht="15" customHeight="1">
      <c r="A49" s="10"/>
      <c r="B49" s="11"/>
      <c r="C49" s="12"/>
      <c r="D49" s="18"/>
      <c r="E49" s="14"/>
      <c r="F49" s="15"/>
      <c r="G49" s="16"/>
      <c r="H49" s="10"/>
      <c r="I49" s="10"/>
      <c r="J49" s="28"/>
      <c r="K49" s="332"/>
      <c r="L49" s="333"/>
      <c r="M49" s="334"/>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row>
    <row r="50" spans="1:256" customFormat="1" ht="13.5">
      <c r="A50" s="10"/>
      <c r="B50" s="17"/>
      <c r="C50" s="12"/>
      <c r="D50" s="18"/>
      <c r="E50" s="14"/>
      <c r="F50" s="15"/>
      <c r="G50" s="16"/>
      <c r="H50" s="10"/>
      <c r="I50" s="10"/>
      <c r="J50" s="28"/>
      <c r="K50" s="332"/>
      <c r="L50" s="454"/>
      <c r="M50" s="455"/>
      <c r="N50" s="34"/>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row>
    <row r="51" spans="1:256" customFormat="1" ht="13.5">
      <c r="A51" s="10"/>
      <c r="B51" s="17"/>
      <c r="C51" s="12"/>
      <c r="D51" s="18"/>
      <c r="E51" s="14"/>
      <c r="F51" s="15"/>
      <c r="G51" s="16"/>
      <c r="H51" s="10"/>
      <c r="I51" s="10"/>
      <c r="J51" s="28"/>
      <c r="K51" s="453"/>
      <c r="L51" s="454"/>
      <c r="M51" s="455"/>
      <c r="N51" s="34"/>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row>
    <row r="52" spans="1:256">
      <c r="A52" s="10"/>
      <c r="B52" s="11"/>
      <c r="C52" s="12"/>
      <c r="D52" s="18"/>
      <c r="E52" s="14"/>
      <c r="F52" s="15"/>
      <c r="G52" s="16"/>
      <c r="H52" s="10"/>
      <c r="I52" s="10"/>
      <c r="J52" s="28"/>
      <c r="K52" s="453"/>
      <c r="L52" s="454"/>
      <c r="M52" s="455"/>
    </row>
    <row r="53" spans="1:256">
      <c r="A53" s="10"/>
      <c r="B53" s="11"/>
      <c r="C53" s="12"/>
      <c r="D53" s="18"/>
      <c r="E53" s="14"/>
      <c r="F53" s="15"/>
      <c r="G53" s="16"/>
      <c r="H53" s="10"/>
      <c r="I53" s="10"/>
      <c r="J53" s="28"/>
      <c r="K53" s="453"/>
      <c r="L53" s="454"/>
      <c r="M53" s="455"/>
    </row>
    <row r="54" spans="1:256">
      <c r="A54" s="10"/>
      <c r="B54" s="11"/>
      <c r="C54" s="12"/>
      <c r="D54" s="18"/>
      <c r="E54" s="14"/>
      <c r="F54" s="15"/>
      <c r="G54" s="16"/>
      <c r="H54" s="10"/>
      <c r="I54" s="10"/>
      <c r="J54" s="28"/>
      <c r="K54" s="453"/>
      <c r="L54" s="454"/>
      <c r="M54" s="455"/>
    </row>
    <row r="55" spans="1:256">
      <c r="A55" s="10"/>
      <c r="B55" s="11"/>
      <c r="C55" s="12"/>
      <c r="D55" s="18"/>
      <c r="E55" s="14"/>
      <c r="F55" s="15"/>
      <c r="G55" s="16"/>
      <c r="H55" s="10"/>
      <c r="I55" s="10"/>
      <c r="J55" s="28"/>
      <c r="K55" s="453"/>
      <c r="L55" s="454"/>
      <c r="M55" s="455"/>
    </row>
    <row r="56" spans="1:256">
      <c r="A56" s="10"/>
      <c r="B56" s="20"/>
      <c r="C56" s="12"/>
      <c r="D56" s="18"/>
      <c r="E56" s="14"/>
      <c r="F56" s="15"/>
      <c r="G56" s="16"/>
      <c r="H56" s="10"/>
      <c r="I56" s="10"/>
      <c r="J56" s="28"/>
      <c r="K56" s="332"/>
      <c r="L56" s="333"/>
      <c r="M56" s="334"/>
    </row>
    <row r="57" spans="1:256">
      <c r="A57" s="10"/>
      <c r="B57" s="20"/>
      <c r="C57" s="12"/>
      <c r="D57" s="18"/>
      <c r="E57" s="14"/>
      <c r="F57" s="15"/>
      <c r="G57" s="16"/>
      <c r="H57" s="10"/>
      <c r="I57" s="10"/>
      <c r="J57" s="28"/>
      <c r="K57" s="332"/>
      <c r="L57" s="333"/>
      <c r="M57" s="334"/>
    </row>
    <row r="58" spans="1:256">
      <c r="A58" s="10"/>
      <c r="B58" s="20"/>
      <c r="C58" s="12"/>
      <c r="D58" s="18"/>
      <c r="E58" s="14"/>
      <c r="F58" s="15"/>
      <c r="G58" s="16"/>
      <c r="H58" s="10"/>
      <c r="I58" s="10"/>
      <c r="J58" s="28"/>
      <c r="K58" s="332"/>
      <c r="L58" s="333"/>
      <c r="M58" s="334"/>
    </row>
    <row r="59" spans="1:256">
      <c r="A59" s="10"/>
      <c r="B59" s="11"/>
      <c r="C59" s="12"/>
      <c r="D59" s="18"/>
      <c r="E59" s="14"/>
      <c r="F59" s="15"/>
      <c r="G59" s="16"/>
      <c r="H59" s="10"/>
      <c r="I59" s="10"/>
      <c r="J59" s="28"/>
      <c r="K59" s="453"/>
      <c r="L59" s="454"/>
      <c r="M59" s="455"/>
    </row>
    <row r="60" spans="1:256">
      <c r="B60" s="2" t="s">
        <v>235</v>
      </c>
    </row>
    <row r="100" spans="2:5">
      <c r="C100" s="3"/>
    </row>
    <row r="102" spans="2:5">
      <c r="C102" s="3"/>
    </row>
    <row r="105" spans="2:5">
      <c r="B105" s="35"/>
    </row>
    <row r="107" spans="2:5">
      <c r="B107" s="35"/>
      <c r="D107" s="36"/>
      <c r="E107" s="36"/>
    </row>
    <row r="108" spans="2:5">
      <c r="D108" s="36"/>
      <c r="E108" s="36"/>
    </row>
    <row r="109" spans="2:5">
      <c r="D109" s="36"/>
      <c r="E109" s="36"/>
    </row>
    <row r="110" spans="2:5">
      <c r="D110" s="36"/>
      <c r="E110" s="36"/>
    </row>
    <row r="111" spans="2:5">
      <c r="D111" s="36"/>
      <c r="E111" s="36"/>
    </row>
    <row r="112" spans="2:5">
      <c r="D112" s="36"/>
      <c r="E112" s="36"/>
    </row>
    <row r="113" spans="2:7">
      <c r="D113" s="36"/>
      <c r="E113" s="36"/>
    </row>
    <row r="114" spans="2:7">
      <c r="D114" s="36"/>
      <c r="E114" s="36"/>
    </row>
    <row r="117" spans="2:7">
      <c r="C117" s="37"/>
      <c r="D117" s="37"/>
      <c r="E117" s="37"/>
      <c r="G117" s="2" t="s">
        <v>838</v>
      </c>
    </row>
    <row r="119" spans="2:7">
      <c r="B119" s="35"/>
    </row>
  </sheetData>
  <mergeCells count="67">
    <mergeCell ref="K57:M57"/>
    <mergeCell ref="K58:M58"/>
    <mergeCell ref="K59:M59"/>
    <mergeCell ref="A5:A6"/>
    <mergeCell ref="K5:M6"/>
    <mergeCell ref="K52:M52"/>
    <mergeCell ref="K53:M53"/>
    <mergeCell ref="K54:M54"/>
    <mergeCell ref="K55:M55"/>
    <mergeCell ref="K56:M56"/>
    <mergeCell ref="K47:M47"/>
    <mergeCell ref="K48:M48"/>
    <mergeCell ref="K49:M49"/>
    <mergeCell ref="K50:M50"/>
    <mergeCell ref="K51:M51"/>
    <mergeCell ref="K42:M42"/>
    <mergeCell ref="K43:M43"/>
    <mergeCell ref="K44:M44"/>
    <mergeCell ref="K45:M45"/>
    <mergeCell ref="K46:M46"/>
    <mergeCell ref="K37:M37"/>
    <mergeCell ref="K38:M38"/>
    <mergeCell ref="K39:M39"/>
    <mergeCell ref="K40:M40"/>
    <mergeCell ref="K41:M41"/>
    <mergeCell ref="K32:M32"/>
    <mergeCell ref="K33:M33"/>
    <mergeCell ref="K34:M34"/>
    <mergeCell ref="K35:M35"/>
    <mergeCell ref="K36:M36"/>
    <mergeCell ref="K27:M27"/>
    <mergeCell ref="K28:M28"/>
    <mergeCell ref="K29:M29"/>
    <mergeCell ref="K30:M30"/>
    <mergeCell ref="K31:M31"/>
    <mergeCell ref="K22:M22"/>
    <mergeCell ref="K23:M23"/>
    <mergeCell ref="K24:M24"/>
    <mergeCell ref="K25:M25"/>
    <mergeCell ref="K26:M26"/>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69930555555555596" right="0.69930555555555596" top="0.75" bottom="0.75" header="0.3" footer="0.3"/>
  <legacyDrawing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WVY120"/>
  <sheetViews>
    <sheetView workbookViewId="0">
      <selection activeCell="C4" sqref="C4:G4"/>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spans="1:16" ht="12" customHeight="1">
      <c r="B1" s="3"/>
    </row>
    <row r="2" spans="1:16" ht="12" customHeight="1">
      <c r="A2" s="441" t="s">
        <v>136</v>
      </c>
      <c r="B2" s="442"/>
      <c r="C2" s="441" t="s">
        <v>1</v>
      </c>
      <c r="D2" s="443"/>
      <c r="E2" s="443"/>
      <c r="F2" s="443"/>
      <c r="G2" s="442"/>
      <c r="H2" s="441"/>
      <c r="I2" s="443"/>
      <c r="J2" s="442"/>
      <c r="K2" s="24"/>
      <c r="L2" s="5" t="s">
        <v>137</v>
      </c>
      <c r="M2" s="5" t="s">
        <v>138</v>
      </c>
    </row>
    <row r="3" spans="1:16" ht="12" customHeight="1">
      <c r="A3" s="444"/>
      <c r="B3" s="445"/>
      <c r="C3" s="446" t="s">
        <v>1850</v>
      </c>
      <c r="D3" s="447"/>
      <c r="E3" s="447"/>
      <c r="F3" s="447"/>
      <c r="G3" s="448"/>
      <c r="H3" s="441" t="s">
        <v>140</v>
      </c>
      <c r="I3" s="442"/>
      <c r="J3" s="25">
        <f>COUNT(A7:A55)</f>
        <v>4</v>
      </c>
      <c r="K3" s="5" t="s">
        <v>141</v>
      </c>
      <c r="L3" s="26">
        <v>44126</v>
      </c>
      <c r="M3" s="27" t="s">
        <v>1810</v>
      </c>
      <c r="O3" s="2" t="s">
        <v>143</v>
      </c>
      <c r="P3" s="2" t="s">
        <v>144</v>
      </c>
    </row>
    <row r="4" spans="1:16" ht="12" customHeight="1">
      <c r="A4" s="449" t="s">
        <v>145</v>
      </c>
      <c r="B4" s="450"/>
      <c r="C4" s="449" t="s">
        <v>1851</v>
      </c>
      <c r="D4" s="451"/>
      <c r="E4" s="451"/>
      <c r="F4" s="451"/>
      <c r="G4" s="450"/>
      <c r="H4" s="441" t="s">
        <v>146</v>
      </c>
      <c r="I4" s="442"/>
      <c r="J4" s="25">
        <f>SUM(G7:G55)</f>
        <v>34</v>
      </c>
      <c r="K4" s="5" t="s">
        <v>147</v>
      </c>
      <c r="L4" s="26"/>
      <c r="M4" s="27"/>
      <c r="O4" s="2" t="s">
        <v>149</v>
      </c>
      <c r="P4" s="2" t="s">
        <v>150</v>
      </c>
    </row>
    <row r="5" spans="1:16" ht="12" customHeight="1">
      <c r="A5" s="456" t="s">
        <v>0</v>
      </c>
      <c r="B5" s="441" t="s">
        <v>151</v>
      </c>
      <c r="C5" s="443"/>
      <c r="D5" s="452" t="s">
        <v>152</v>
      </c>
      <c r="E5" s="443"/>
      <c r="F5" s="443"/>
      <c r="G5" s="443"/>
      <c r="H5" s="443"/>
      <c r="I5" s="441" t="s">
        <v>153</v>
      </c>
      <c r="J5" s="442"/>
      <c r="K5" s="458" t="s">
        <v>4</v>
      </c>
      <c r="L5" s="459"/>
      <c r="M5" s="460"/>
      <c r="P5" s="2" t="s">
        <v>154</v>
      </c>
    </row>
    <row r="6" spans="1:16" ht="12" customHeight="1">
      <c r="A6" s="457"/>
      <c r="B6" s="5" t="s">
        <v>5</v>
      </c>
      <c r="C6" s="6" t="s">
        <v>6</v>
      </c>
      <c r="D6" s="7" t="s">
        <v>144</v>
      </c>
      <c r="E6" s="8" t="s">
        <v>155</v>
      </c>
      <c r="F6" s="9" t="s">
        <v>156</v>
      </c>
      <c r="G6" s="5" t="s">
        <v>157</v>
      </c>
      <c r="H6" s="4" t="s">
        <v>158</v>
      </c>
      <c r="I6" s="4" t="s">
        <v>159</v>
      </c>
      <c r="J6" s="4" t="s">
        <v>160</v>
      </c>
      <c r="K6" s="461"/>
      <c r="L6" s="462"/>
      <c r="M6" s="463"/>
      <c r="P6" s="2" t="s">
        <v>161</v>
      </c>
    </row>
    <row r="7" spans="1:16" ht="12" customHeight="1">
      <c r="A7" s="10">
        <v>1</v>
      </c>
      <c r="B7" s="11" t="s">
        <v>812</v>
      </c>
      <c r="C7" s="12" t="s">
        <v>813</v>
      </c>
      <c r="D7" s="13" t="s">
        <v>164</v>
      </c>
      <c r="E7" s="14"/>
      <c r="F7" s="15"/>
      <c r="G7" s="16">
        <f>IF(D7="DATE",4,IF(D7="CHAR",E7,IF(D7="SMALLINT",2,IF(D7="INTEGER",4,IF(D7="TIMESTAMP",10,IF(D7="TIME",3,0))))))</f>
        <v>4</v>
      </c>
      <c r="H7" s="10" t="s">
        <v>149</v>
      </c>
      <c r="I7" s="10" t="s">
        <v>149</v>
      </c>
      <c r="J7" s="28"/>
      <c r="K7" s="308"/>
      <c r="L7" s="278"/>
      <c r="M7" s="279"/>
      <c r="P7" s="2" t="s">
        <v>165</v>
      </c>
    </row>
    <row r="8" spans="1:16" ht="12" customHeight="1">
      <c r="A8" s="10">
        <f t="shared" ref="A8:A55" si="0">IF(B8=""," ",A7+1)</f>
        <v>2</v>
      </c>
      <c r="B8" s="17" t="s">
        <v>774</v>
      </c>
      <c r="C8" s="21" t="s">
        <v>775</v>
      </c>
      <c r="D8" s="13" t="s">
        <v>150</v>
      </c>
      <c r="E8" s="14">
        <v>10</v>
      </c>
      <c r="F8" s="15"/>
      <c r="G8" s="16">
        <f>IF(D8="DATE",4,IF(D8="CHAR",E8,IF(D8="SMALLINT",2,IF(D8="INTEGER",4,IF(D8="TIMESTAMP",10,IF(D8="TIME",3,0))))))</f>
        <v>10</v>
      </c>
      <c r="H8" s="10" t="s">
        <v>149</v>
      </c>
      <c r="I8" s="10" t="s">
        <v>149</v>
      </c>
      <c r="J8" s="28"/>
      <c r="K8" s="308"/>
      <c r="L8" s="278"/>
      <c r="M8" s="279"/>
    </row>
    <row r="9" spans="1:16" ht="12" customHeight="1">
      <c r="A9" s="10">
        <f t="shared" si="0"/>
        <v>3</v>
      </c>
      <c r="B9" s="17" t="s">
        <v>232</v>
      </c>
      <c r="C9" s="12" t="s">
        <v>233</v>
      </c>
      <c r="D9" s="18" t="s">
        <v>234</v>
      </c>
      <c r="E9" s="14"/>
      <c r="F9" s="15"/>
      <c r="G9" s="16">
        <f>IF(D9="DATE",4,IF(D9="CHAR",E9,IF(D9="SMALLINT",2,IF(D9="INTEGER",4,IF(D9="TIMESTAMP",10,IF(D9="TIME",3,0))))))</f>
        <v>10</v>
      </c>
      <c r="H9" s="10" t="s">
        <v>149</v>
      </c>
      <c r="I9" s="10"/>
      <c r="J9" s="28"/>
      <c r="K9" s="453"/>
      <c r="L9" s="454"/>
      <c r="M9" s="455"/>
    </row>
    <row r="10" spans="1:16">
      <c r="A10" s="10">
        <f t="shared" si="0"/>
        <v>4</v>
      </c>
      <c r="B10" s="17" t="s">
        <v>447</v>
      </c>
      <c r="C10" s="12" t="s">
        <v>448</v>
      </c>
      <c r="D10" s="18" t="s">
        <v>234</v>
      </c>
      <c r="E10" s="14"/>
      <c r="F10" s="15"/>
      <c r="G10" s="16">
        <f>IF(D10="DATE",4,IF(D10="CHAR",E10,IF(D10="SMALLINT",2,IF(D10="INTEGER",4,IF(D10="TIMESTAMP",10,IF(D10="TIME",3,0))))))</f>
        <v>10</v>
      </c>
      <c r="H10" s="10" t="s">
        <v>149</v>
      </c>
      <c r="I10" s="10"/>
      <c r="J10" s="28"/>
      <c r="K10" s="453" t="s">
        <v>449</v>
      </c>
      <c r="L10" s="454"/>
      <c r="M10" s="455"/>
    </row>
    <row r="11" spans="1:16">
      <c r="A11" s="10" t="str">
        <f t="shared" si="0"/>
        <v xml:space="preserve"> </v>
      </c>
      <c r="B11" s="17"/>
      <c r="C11" s="12"/>
      <c r="D11" s="18"/>
      <c r="E11" s="14"/>
      <c r="F11" s="15"/>
      <c r="G11" s="16"/>
      <c r="H11" s="10"/>
      <c r="I11" s="10"/>
      <c r="J11" s="28"/>
      <c r="K11" s="271"/>
      <c r="L11" s="278"/>
      <c r="M11" s="279"/>
    </row>
    <row r="12" spans="1:16">
      <c r="A12" s="10" t="str">
        <f t="shared" si="0"/>
        <v xml:space="preserve"> </v>
      </c>
      <c r="B12" s="17"/>
      <c r="C12" s="12"/>
      <c r="D12" s="18"/>
      <c r="E12" s="14"/>
      <c r="F12" s="15"/>
      <c r="G12" s="16"/>
      <c r="H12" s="10"/>
      <c r="I12" s="10"/>
      <c r="J12" s="28"/>
      <c r="K12" s="453"/>
      <c r="L12" s="454"/>
      <c r="M12" s="455"/>
    </row>
    <row r="13" spans="1:16">
      <c r="A13" s="10" t="str">
        <f t="shared" si="0"/>
        <v xml:space="preserve"> </v>
      </c>
      <c r="B13" s="17"/>
      <c r="C13" s="12"/>
      <c r="D13" s="18"/>
      <c r="E13" s="14"/>
      <c r="F13" s="15"/>
      <c r="G13" s="16"/>
      <c r="H13" s="10"/>
      <c r="I13" s="10"/>
      <c r="J13" s="28"/>
      <c r="K13" s="453"/>
      <c r="L13" s="454"/>
      <c r="M13" s="455"/>
      <c r="P13" s="2" t="s">
        <v>165</v>
      </c>
    </row>
    <row r="14" spans="1:16">
      <c r="A14" s="10" t="str">
        <f t="shared" si="0"/>
        <v xml:space="preserve"> </v>
      </c>
      <c r="B14" s="17"/>
      <c r="C14" s="12"/>
      <c r="D14" s="18"/>
      <c r="E14" s="14"/>
      <c r="F14" s="15"/>
      <c r="G14" s="16"/>
      <c r="H14" s="10"/>
      <c r="I14" s="10"/>
      <c r="J14" s="28"/>
      <c r="K14" s="453"/>
      <c r="L14" s="454"/>
      <c r="M14" s="455"/>
    </row>
    <row r="15" spans="1:16">
      <c r="A15" s="10" t="str">
        <f t="shared" si="0"/>
        <v xml:space="preserve"> </v>
      </c>
      <c r="B15" s="11"/>
      <c r="C15" s="19"/>
      <c r="D15" s="18"/>
      <c r="E15" s="14"/>
      <c r="F15" s="15"/>
      <c r="G15" s="16"/>
      <c r="H15" s="10"/>
      <c r="I15" s="10"/>
      <c r="J15" s="28"/>
      <c r="K15" s="271"/>
      <c r="L15" s="272"/>
      <c r="M15" s="273"/>
    </row>
    <row r="16" spans="1:16">
      <c r="A16" s="10" t="str">
        <f t="shared" si="0"/>
        <v xml:space="preserve"> </v>
      </c>
      <c r="B16" s="11"/>
      <c r="C16" s="12"/>
      <c r="D16" s="18"/>
      <c r="E16" s="14"/>
      <c r="F16" s="15"/>
      <c r="G16" s="16"/>
      <c r="H16" s="10"/>
      <c r="I16" s="10"/>
      <c r="J16" s="28"/>
      <c r="K16" s="308"/>
      <c r="L16" s="278"/>
      <c r="M16" s="279"/>
    </row>
    <row r="17" spans="1:16">
      <c r="A17" s="10" t="str">
        <f t="shared" si="0"/>
        <v xml:space="preserve"> </v>
      </c>
      <c r="B17" s="11"/>
      <c r="C17" s="12"/>
      <c r="D17" s="18"/>
      <c r="E17" s="14"/>
      <c r="F17" s="15"/>
      <c r="G17" s="16"/>
      <c r="H17" s="10"/>
      <c r="I17" s="10"/>
      <c r="J17" s="28"/>
      <c r="K17" s="453"/>
      <c r="L17" s="454"/>
      <c r="M17" s="455"/>
    </row>
    <row r="18" spans="1:16">
      <c r="A18" s="10" t="str">
        <f t="shared" si="0"/>
        <v xml:space="preserve"> </v>
      </c>
      <c r="B18" s="20"/>
      <c r="C18" s="21"/>
      <c r="D18" s="13"/>
      <c r="E18" s="14"/>
      <c r="F18" s="15"/>
      <c r="G18" s="16"/>
      <c r="H18" s="10"/>
      <c r="I18" s="10"/>
      <c r="J18" s="28"/>
      <c r="K18" s="308"/>
      <c r="L18" s="278"/>
      <c r="M18" s="279"/>
    </row>
    <row r="19" spans="1:16">
      <c r="A19" s="10" t="str">
        <f t="shared" si="0"/>
        <v xml:space="preserve"> </v>
      </c>
      <c r="B19" s="11"/>
      <c r="C19" s="21"/>
      <c r="D19" s="13"/>
      <c r="E19" s="14"/>
      <c r="F19" s="15"/>
      <c r="G19" s="16"/>
      <c r="H19" s="10"/>
      <c r="I19" s="10"/>
      <c r="J19" s="28"/>
      <c r="K19" s="308"/>
      <c r="L19" s="278"/>
      <c r="M19" s="279"/>
      <c r="P19" s="2" t="s">
        <v>174</v>
      </c>
    </row>
    <row r="20" spans="1:16">
      <c r="A20" s="10" t="str">
        <f t="shared" si="0"/>
        <v xml:space="preserve"> </v>
      </c>
      <c r="B20" s="17"/>
      <c r="C20" s="21"/>
      <c r="D20" s="13"/>
      <c r="E20" s="14"/>
      <c r="F20" s="15"/>
      <c r="G20" s="16"/>
      <c r="H20" s="10"/>
      <c r="I20" s="10"/>
      <c r="J20" s="28"/>
      <c r="K20" s="308"/>
      <c r="L20" s="278"/>
      <c r="M20" s="279"/>
    </row>
    <row r="21" spans="1:16">
      <c r="A21" s="10" t="str">
        <f t="shared" si="0"/>
        <v xml:space="preserve"> </v>
      </c>
      <c r="B21" s="17"/>
      <c r="C21" s="12"/>
      <c r="D21" s="18"/>
      <c r="E21" s="14"/>
      <c r="F21" s="15"/>
      <c r="G21" s="16"/>
      <c r="H21" s="10"/>
      <c r="I21" s="10"/>
      <c r="J21" s="28"/>
      <c r="K21" s="453"/>
      <c r="L21" s="454"/>
      <c r="M21" s="455"/>
      <c r="P21" s="2" t="s">
        <v>195</v>
      </c>
    </row>
    <row r="22" spans="1:16">
      <c r="A22" s="10" t="str">
        <f t="shared" si="0"/>
        <v xml:space="preserve"> </v>
      </c>
      <c r="B22" s="11"/>
      <c r="C22" s="12"/>
      <c r="D22" s="18"/>
      <c r="E22" s="14"/>
      <c r="F22" s="15"/>
      <c r="G22" s="16"/>
      <c r="H22" s="10"/>
      <c r="I22" s="10"/>
      <c r="J22" s="28"/>
      <c r="K22" s="271"/>
      <c r="L22" s="272"/>
      <c r="M22" s="273"/>
    </row>
    <row r="23" spans="1:16">
      <c r="A23" s="10" t="str">
        <f t="shared" si="0"/>
        <v xml:space="preserve"> </v>
      </c>
      <c r="B23" s="11"/>
      <c r="C23" s="12"/>
      <c r="D23" s="18"/>
      <c r="E23" s="14"/>
      <c r="F23" s="15"/>
      <c r="G23" s="16"/>
      <c r="H23" s="10"/>
      <c r="I23" s="10"/>
      <c r="J23" s="28"/>
      <c r="K23" s="332"/>
      <c r="L23" s="333"/>
      <c r="M23" s="334"/>
      <c r="P23" s="2" t="s">
        <v>195</v>
      </c>
    </row>
    <row r="24" spans="1:16">
      <c r="A24" s="10" t="str">
        <f t="shared" si="0"/>
        <v xml:space="preserve"> </v>
      </c>
      <c r="B24" s="20"/>
      <c r="C24" s="22"/>
      <c r="D24" s="18"/>
      <c r="E24" s="14"/>
      <c r="F24" s="15"/>
      <c r="G24" s="16"/>
      <c r="H24" s="10"/>
      <c r="I24" s="10"/>
      <c r="J24" s="28"/>
      <c r="K24" s="271"/>
      <c r="L24" s="272"/>
      <c r="M24" s="273"/>
    </row>
    <row r="25" spans="1:16">
      <c r="A25" s="10" t="str">
        <f t="shared" si="0"/>
        <v xml:space="preserve"> </v>
      </c>
      <c r="B25" s="11"/>
      <c r="C25" s="12"/>
      <c r="D25" s="18"/>
      <c r="E25" s="14"/>
      <c r="F25" s="15"/>
      <c r="G25" s="16"/>
      <c r="H25" s="10"/>
      <c r="I25" s="10"/>
      <c r="J25" s="28"/>
      <c r="K25" s="453"/>
      <c r="L25" s="454"/>
      <c r="M25" s="455"/>
    </row>
    <row r="26" spans="1:16">
      <c r="A26" s="10" t="str">
        <f t="shared" si="0"/>
        <v xml:space="preserve"> </v>
      </c>
      <c r="B26" s="20"/>
      <c r="C26" s="12"/>
      <c r="D26" s="18"/>
      <c r="E26" s="14"/>
      <c r="F26" s="15"/>
      <c r="G26" s="16"/>
      <c r="H26" s="10"/>
      <c r="I26" s="10"/>
      <c r="J26" s="28"/>
      <c r="K26" s="332"/>
      <c r="L26" s="333"/>
      <c r="M26" s="334"/>
    </row>
    <row r="27" spans="1:16">
      <c r="A27" s="10" t="str">
        <f t="shared" si="0"/>
        <v xml:space="preserve"> </v>
      </c>
      <c r="B27" s="20"/>
      <c r="C27" s="12"/>
      <c r="D27" s="18"/>
      <c r="E27" s="14"/>
      <c r="F27" s="15"/>
      <c r="G27" s="16"/>
      <c r="H27" s="10"/>
      <c r="I27" s="10"/>
      <c r="J27" s="28"/>
      <c r="K27" s="332"/>
      <c r="L27" s="333"/>
      <c r="M27" s="334"/>
    </row>
    <row r="28" spans="1:16">
      <c r="A28" s="10" t="str">
        <f t="shared" si="0"/>
        <v xml:space="preserve"> </v>
      </c>
      <c r="B28" s="20"/>
      <c r="C28" s="12"/>
      <c r="D28" s="18"/>
      <c r="E28" s="14"/>
      <c r="F28" s="15"/>
      <c r="G28" s="16"/>
      <c r="H28" s="10"/>
      <c r="I28" s="10"/>
      <c r="J28" s="28"/>
      <c r="K28" s="332"/>
      <c r="L28" s="333"/>
      <c r="M28" s="334"/>
    </row>
    <row r="29" spans="1:16">
      <c r="A29" s="10" t="str">
        <f t="shared" si="0"/>
        <v xml:space="preserve"> </v>
      </c>
      <c r="B29" s="20"/>
      <c r="C29" s="12"/>
      <c r="D29" s="18"/>
      <c r="E29" s="14"/>
      <c r="F29" s="15"/>
      <c r="G29" s="16"/>
      <c r="H29" s="10"/>
      <c r="I29" s="10"/>
      <c r="J29" s="28"/>
      <c r="K29" s="332"/>
      <c r="L29" s="333"/>
      <c r="M29" s="334"/>
    </row>
    <row r="30" spans="1:16">
      <c r="A30" s="10" t="str">
        <f t="shared" si="0"/>
        <v xml:space="preserve"> </v>
      </c>
      <c r="B30" s="20"/>
      <c r="C30" s="12"/>
      <c r="D30" s="18"/>
      <c r="E30" s="14"/>
      <c r="F30" s="15"/>
      <c r="G30" s="16"/>
      <c r="H30" s="10"/>
      <c r="I30" s="10"/>
      <c r="J30" s="28"/>
      <c r="K30" s="332"/>
      <c r="L30" s="333"/>
      <c r="M30" s="334"/>
    </row>
    <row r="31" spans="1:16">
      <c r="A31" s="10" t="str">
        <f t="shared" si="0"/>
        <v xml:space="preserve"> </v>
      </c>
      <c r="B31" s="20"/>
      <c r="C31" s="12"/>
      <c r="D31" s="18"/>
      <c r="E31" s="14"/>
      <c r="F31" s="15"/>
      <c r="G31" s="16"/>
      <c r="H31" s="10"/>
      <c r="I31" s="10"/>
      <c r="J31" s="28"/>
      <c r="K31" s="332"/>
      <c r="L31" s="333"/>
      <c r="M31" s="334"/>
    </row>
    <row r="32" spans="1:16">
      <c r="A32" s="10" t="str">
        <f t="shared" si="0"/>
        <v xml:space="preserve"> </v>
      </c>
      <c r="B32" s="11"/>
      <c r="C32" s="23"/>
      <c r="D32" s="18"/>
      <c r="E32" s="14"/>
      <c r="F32" s="15"/>
      <c r="G32" s="16"/>
      <c r="H32" s="10"/>
      <c r="I32" s="10"/>
      <c r="J32" s="28"/>
      <c r="K32" s="332"/>
      <c r="L32" s="333"/>
      <c r="M32" s="334"/>
    </row>
    <row r="33" spans="1:16">
      <c r="A33" s="10" t="str">
        <f t="shared" si="0"/>
        <v xml:space="preserve"> </v>
      </c>
      <c r="B33" s="11"/>
      <c r="C33" s="23"/>
      <c r="D33" s="18"/>
      <c r="E33" s="14"/>
      <c r="F33" s="15"/>
      <c r="G33" s="16"/>
      <c r="H33" s="10"/>
      <c r="I33" s="10"/>
      <c r="J33" s="28"/>
      <c r="K33" s="453"/>
      <c r="L33" s="454"/>
      <c r="M33" s="455"/>
    </row>
    <row r="34" spans="1:16">
      <c r="A34" s="10" t="str">
        <f t="shared" si="0"/>
        <v xml:space="preserve"> </v>
      </c>
      <c r="B34" s="11"/>
      <c r="C34" s="12"/>
      <c r="D34" s="18"/>
      <c r="E34" s="14"/>
      <c r="F34" s="15"/>
      <c r="G34" s="16"/>
      <c r="H34" s="10"/>
      <c r="I34" s="10"/>
      <c r="J34" s="28"/>
      <c r="K34" s="308"/>
      <c r="L34" s="278"/>
      <c r="M34" s="279"/>
    </row>
    <row r="35" spans="1:16">
      <c r="A35" s="10" t="str">
        <f t="shared" si="0"/>
        <v xml:space="preserve"> </v>
      </c>
      <c r="B35" s="20"/>
      <c r="C35" s="12"/>
      <c r="D35" s="18"/>
      <c r="E35" s="14"/>
      <c r="F35" s="15"/>
      <c r="G35" s="16"/>
      <c r="H35" s="10"/>
      <c r="I35" s="10"/>
      <c r="J35" s="28"/>
      <c r="K35" s="271"/>
      <c r="L35" s="272"/>
      <c r="M35" s="273"/>
    </row>
    <row r="36" spans="1:16">
      <c r="A36" s="10" t="str">
        <f t="shared" si="0"/>
        <v xml:space="preserve"> </v>
      </c>
      <c r="B36" s="11"/>
      <c r="C36" s="12"/>
      <c r="D36" s="18"/>
      <c r="E36" s="14"/>
      <c r="F36" s="15"/>
      <c r="G36" s="16"/>
      <c r="H36" s="10"/>
      <c r="I36" s="10"/>
      <c r="J36" s="28"/>
      <c r="K36" s="332"/>
      <c r="L36" s="333"/>
      <c r="M36" s="334"/>
    </row>
    <row r="37" spans="1:16">
      <c r="A37" s="10" t="str">
        <f t="shared" si="0"/>
        <v xml:space="preserve"> </v>
      </c>
      <c r="B37" s="11"/>
      <c r="C37" s="12"/>
      <c r="D37" s="18"/>
      <c r="E37" s="14"/>
      <c r="F37" s="15"/>
      <c r="G37" s="16"/>
      <c r="H37" s="10"/>
      <c r="I37" s="10"/>
      <c r="J37" s="28"/>
      <c r="K37" s="332"/>
      <c r="L37" s="333"/>
      <c r="M37" s="334"/>
    </row>
    <row r="38" spans="1:16">
      <c r="A38" s="10" t="str">
        <f t="shared" si="0"/>
        <v xml:space="preserve"> </v>
      </c>
      <c r="B38" s="11"/>
      <c r="C38" s="12"/>
      <c r="D38" s="18"/>
      <c r="E38" s="14"/>
      <c r="F38" s="15"/>
      <c r="G38" s="16"/>
      <c r="H38" s="10"/>
      <c r="I38" s="10"/>
      <c r="J38" s="28"/>
      <c r="K38" s="271"/>
      <c r="L38" s="272"/>
      <c r="M38" s="273"/>
    </row>
    <row r="39" spans="1:16">
      <c r="A39" s="10" t="str">
        <f t="shared" si="0"/>
        <v xml:space="preserve"> </v>
      </c>
      <c r="B39" s="11"/>
      <c r="C39" s="12"/>
      <c r="D39" s="18"/>
      <c r="E39" s="14"/>
      <c r="F39" s="15"/>
      <c r="G39" s="16"/>
      <c r="H39" s="10"/>
      <c r="I39" s="10"/>
      <c r="J39" s="28"/>
      <c r="K39" s="332"/>
      <c r="L39" s="333"/>
      <c r="M39" s="334"/>
    </row>
    <row r="40" spans="1:16">
      <c r="A40" s="10" t="str">
        <f t="shared" si="0"/>
        <v xml:space="preserve"> </v>
      </c>
      <c r="B40" s="11"/>
      <c r="C40" s="12"/>
      <c r="D40" s="18"/>
      <c r="E40" s="14"/>
      <c r="F40" s="15"/>
      <c r="G40" s="16"/>
      <c r="H40" s="10"/>
      <c r="I40" s="10"/>
      <c r="J40" s="28"/>
      <c r="K40" s="332"/>
      <c r="L40" s="333"/>
      <c r="M40" s="334"/>
    </row>
    <row r="41" spans="1:16">
      <c r="A41" s="10" t="str">
        <f t="shared" si="0"/>
        <v xml:space="preserve"> </v>
      </c>
      <c r="B41" s="17"/>
      <c r="C41" s="12"/>
      <c r="D41" s="18"/>
      <c r="E41" s="14"/>
      <c r="F41" s="15"/>
      <c r="G41" s="16"/>
      <c r="H41" s="10"/>
      <c r="I41" s="10"/>
      <c r="J41" s="28"/>
      <c r="K41" s="332"/>
      <c r="L41" s="333"/>
      <c r="M41" s="334"/>
    </row>
    <row r="42" spans="1:16">
      <c r="A42" s="10" t="str">
        <f t="shared" si="0"/>
        <v xml:space="preserve"> </v>
      </c>
      <c r="B42" s="20"/>
      <c r="C42" s="12"/>
      <c r="D42" s="18"/>
      <c r="E42" s="14"/>
      <c r="F42" s="15"/>
      <c r="G42" s="16"/>
      <c r="H42" s="10"/>
      <c r="I42" s="10"/>
      <c r="J42" s="28"/>
      <c r="K42" s="332"/>
      <c r="L42" s="333"/>
      <c r="M42" s="334"/>
    </row>
    <row r="43" spans="1:16">
      <c r="A43" s="10" t="str">
        <f t="shared" si="0"/>
        <v xml:space="preserve"> </v>
      </c>
      <c r="B43" s="11"/>
      <c r="C43" s="12"/>
      <c r="D43" s="18"/>
      <c r="E43" s="14"/>
      <c r="F43" s="15"/>
      <c r="G43" s="16"/>
      <c r="H43" s="10"/>
      <c r="I43" s="10"/>
      <c r="J43" s="28"/>
      <c r="K43" s="332"/>
      <c r="L43" s="333"/>
      <c r="M43" s="334"/>
    </row>
    <row r="44" spans="1:16">
      <c r="A44" s="10" t="str">
        <f t="shared" si="0"/>
        <v xml:space="preserve"> </v>
      </c>
      <c r="B44" s="11"/>
      <c r="C44" s="21"/>
      <c r="D44" s="18"/>
      <c r="E44" s="14"/>
      <c r="F44" s="15"/>
      <c r="G44" s="16"/>
      <c r="H44" s="10"/>
      <c r="I44" s="10"/>
      <c r="J44" s="28"/>
      <c r="K44" s="332"/>
      <c r="L44" s="333"/>
      <c r="M44" s="334"/>
      <c r="P44" s="2" t="s">
        <v>174</v>
      </c>
    </row>
    <row r="45" spans="1:16">
      <c r="A45" s="10" t="str">
        <f t="shared" si="0"/>
        <v xml:space="preserve"> </v>
      </c>
      <c r="B45" s="11"/>
      <c r="C45" s="12"/>
      <c r="D45" s="18"/>
      <c r="E45" s="14"/>
      <c r="F45" s="15"/>
      <c r="G45" s="16"/>
      <c r="H45" s="10"/>
      <c r="I45" s="10"/>
      <c r="J45" s="28"/>
      <c r="K45" s="332"/>
      <c r="L45" s="333"/>
      <c r="M45" s="334"/>
    </row>
    <row r="46" spans="1:16">
      <c r="A46" s="10" t="str">
        <f t="shared" si="0"/>
        <v xml:space="preserve"> </v>
      </c>
      <c r="B46" s="11"/>
      <c r="C46" s="12"/>
      <c r="D46" s="18"/>
      <c r="E46" s="14"/>
      <c r="F46" s="15"/>
      <c r="G46" s="16"/>
      <c r="H46" s="10"/>
      <c r="I46" s="10"/>
      <c r="J46" s="28"/>
      <c r="K46" s="332"/>
      <c r="L46" s="333"/>
      <c r="M46" s="334"/>
    </row>
    <row r="47" spans="1:16">
      <c r="A47" s="10" t="str">
        <f t="shared" si="0"/>
        <v xml:space="preserve"> </v>
      </c>
      <c r="B47" s="11"/>
      <c r="C47" s="12"/>
      <c r="D47" s="18"/>
      <c r="E47" s="14"/>
      <c r="F47" s="15"/>
      <c r="G47" s="16"/>
      <c r="H47" s="10"/>
      <c r="I47" s="10"/>
      <c r="J47" s="28"/>
      <c r="K47" s="332"/>
      <c r="L47" s="333"/>
      <c r="M47" s="334"/>
    </row>
    <row r="48" spans="1:16">
      <c r="A48" s="10" t="str">
        <f t="shared" si="0"/>
        <v xml:space="preserve"> </v>
      </c>
      <c r="B48" s="11"/>
      <c r="C48" s="12"/>
      <c r="D48" s="18"/>
      <c r="E48" s="14"/>
      <c r="F48" s="15"/>
      <c r="G48" s="16"/>
      <c r="H48" s="10"/>
      <c r="I48" s="10"/>
      <c r="J48" s="28"/>
      <c r="K48" s="271"/>
      <c r="L48" s="272"/>
      <c r="M48" s="273"/>
    </row>
    <row r="49" spans="1:13">
      <c r="A49" s="10" t="str">
        <f t="shared" si="0"/>
        <v xml:space="preserve"> </v>
      </c>
      <c r="B49" s="11"/>
      <c r="C49" s="21"/>
      <c r="D49" s="13"/>
      <c r="E49" s="14"/>
      <c r="F49" s="15"/>
      <c r="G49" s="16"/>
      <c r="H49" s="10"/>
      <c r="I49" s="10"/>
      <c r="J49" s="28"/>
      <c r="K49" s="271"/>
      <c r="L49" s="272"/>
      <c r="M49" s="273"/>
    </row>
    <row r="50" spans="1:13">
      <c r="A50" s="10" t="str">
        <f t="shared" si="0"/>
        <v xml:space="preserve"> </v>
      </c>
      <c r="B50" s="11"/>
      <c r="C50" s="21"/>
      <c r="D50" s="13"/>
      <c r="E50" s="14"/>
      <c r="F50" s="15"/>
      <c r="G50" s="16"/>
      <c r="H50" s="10"/>
      <c r="I50" s="10"/>
      <c r="J50" s="28"/>
      <c r="K50" s="271"/>
      <c r="L50" s="272"/>
      <c r="M50" s="273"/>
    </row>
    <row r="51" spans="1:13">
      <c r="A51" s="10" t="str">
        <f t="shared" si="0"/>
        <v xml:space="preserve"> </v>
      </c>
      <c r="B51" s="11"/>
      <c r="C51" s="12"/>
      <c r="D51" s="18"/>
      <c r="E51" s="14"/>
      <c r="F51" s="15"/>
      <c r="G51" s="16"/>
      <c r="H51" s="10"/>
      <c r="I51" s="10"/>
      <c r="J51" s="28"/>
      <c r="K51" s="332"/>
      <c r="L51" s="333"/>
      <c r="M51" s="334"/>
    </row>
    <row r="52" spans="1:13">
      <c r="A52" s="10" t="str">
        <f t="shared" si="0"/>
        <v xml:space="preserve"> </v>
      </c>
      <c r="B52" s="11"/>
      <c r="C52" s="12"/>
      <c r="D52" s="18"/>
      <c r="E52" s="14"/>
      <c r="F52" s="15"/>
      <c r="G52" s="16"/>
      <c r="H52" s="10"/>
      <c r="I52" s="10"/>
      <c r="J52" s="28"/>
      <c r="K52" s="332"/>
      <c r="L52" s="333"/>
      <c r="M52" s="334"/>
    </row>
    <row r="53" spans="1:13">
      <c r="A53" s="10" t="str">
        <f t="shared" si="0"/>
        <v xml:space="preserve"> </v>
      </c>
      <c r="B53" s="11"/>
      <c r="C53" s="12"/>
      <c r="D53" s="18"/>
      <c r="E53" s="14"/>
      <c r="F53" s="15"/>
      <c r="G53" s="16"/>
      <c r="H53" s="10"/>
      <c r="I53" s="10"/>
      <c r="J53" s="28"/>
      <c r="K53" s="332"/>
      <c r="L53" s="333"/>
      <c r="M53" s="334"/>
    </row>
    <row r="54" spans="1:13">
      <c r="A54" s="10" t="str">
        <f t="shared" si="0"/>
        <v xml:space="preserve"> </v>
      </c>
      <c r="B54" s="11"/>
      <c r="C54" s="12"/>
      <c r="D54" s="18"/>
      <c r="E54" s="14"/>
      <c r="F54" s="15"/>
      <c r="G54" s="16"/>
      <c r="H54" s="10"/>
      <c r="I54" s="10"/>
      <c r="J54" s="28"/>
      <c r="K54" s="332"/>
      <c r="L54" s="333"/>
      <c r="M54" s="334"/>
    </row>
    <row r="55" spans="1:13">
      <c r="A55" s="10" t="str">
        <f t="shared" si="0"/>
        <v xml:space="preserve"> </v>
      </c>
      <c r="B55" s="11"/>
      <c r="C55" s="12"/>
      <c r="D55" s="18"/>
      <c r="E55" s="14"/>
      <c r="F55" s="15"/>
      <c r="G55" s="16"/>
      <c r="H55" s="10"/>
      <c r="I55" s="10"/>
      <c r="J55" s="28"/>
      <c r="K55" s="453"/>
      <c r="L55" s="454"/>
      <c r="M55" s="455"/>
    </row>
    <row r="56" spans="1:13">
      <c r="B56" s="3"/>
      <c r="H56" s="1"/>
      <c r="I56" s="1"/>
      <c r="J56" s="33"/>
      <c r="K56" s="34"/>
      <c r="L56" s="34"/>
      <c r="M56" s="34"/>
    </row>
    <row r="57" spans="1:13">
      <c r="B57" s="2" t="s">
        <v>235</v>
      </c>
    </row>
    <row r="97" spans="2:5">
      <c r="C97" s="3"/>
    </row>
    <row r="99" spans="2:5">
      <c r="C99" s="3"/>
    </row>
    <row r="102" spans="2:5">
      <c r="B102" s="35"/>
      <c r="D102" s="2" t="s">
        <v>1198</v>
      </c>
    </row>
    <row r="104" spans="2:5">
      <c r="B104" s="35"/>
      <c r="D104" s="36" t="s">
        <v>1201</v>
      </c>
      <c r="E104" s="36"/>
    </row>
    <row r="105" spans="2:5">
      <c r="D105" s="36" t="s">
        <v>1202</v>
      </c>
      <c r="E105" s="36"/>
    </row>
    <row r="106" spans="2:5">
      <c r="D106" s="36" t="s">
        <v>1203</v>
      </c>
      <c r="E106" s="36"/>
    </row>
    <row r="107" spans="2:5">
      <c r="D107" s="36" t="s">
        <v>1204</v>
      </c>
      <c r="E107" s="36"/>
    </row>
    <row r="108" spans="2:5">
      <c r="D108" s="36" t="s">
        <v>1205</v>
      </c>
      <c r="E108" s="36"/>
    </row>
    <row r="109" spans="2:5">
      <c r="D109" s="36" t="s">
        <v>1206</v>
      </c>
      <c r="E109" s="36"/>
    </row>
    <row r="110" spans="2:5">
      <c r="D110" s="36" t="s">
        <v>1207</v>
      </c>
      <c r="E110" s="36"/>
    </row>
    <row r="111" spans="2:5">
      <c r="D111" s="36" t="s">
        <v>1208</v>
      </c>
      <c r="E111" s="36"/>
    </row>
    <row r="112" spans="2:5">
      <c r="D112" s="2" t="s">
        <v>1209</v>
      </c>
    </row>
    <row r="114" spans="2:7">
      <c r="C114" s="37"/>
      <c r="D114" s="37"/>
      <c r="E114" s="37"/>
      <c r="G114" s="2" t="s">
        <v>838</v>
      </c>
    </row>
    <row r="116" spans="2:7">
      <c r="B116" s="35"/>
      <c r="D116" s="2" t="s">
        <v>458</v>
      </c>
    </row>
    <row r="118" spans="2:7">
      <c r="D118" s="2" t="s">
        <v>1211</v>
      </c>
    </row>
    <row r="120" spans="2:7">
      <c r="D120" s="2" t="s">
        <v>1213</v>
      </c>
    </row>
  </sheetData>
  <mergeCells count="63">
    <mergeCell ref="K52:M52"/>
    <mergeCell ref="K53:M53"/>
    <mergeCell ref="K54:M54"/>
    <mergeCell ref="K55:M55"/>
    <mergeCell ref="A5:A6"/>
    <mergeCell ref="K5:M6"/>
    <mergeCell ref="K47:M47"/>
    <mergeCell ref="K48:M48"/>
    <mergeCell ref="K49:M49"/>
    <mergeCell ref="K50:M50"/>
    <mergeCell ref="K51:M51"/>
    <mergeCell ref="K42:M42"/>
    <mergeCell ref="K43:M43"/>
    <mergeCell ref="K44:M44"/>
    <mergeCell ref="K45:M45"/>
    <mergeCell ref="K46:M46"/>
    <mergeCell ref="K37:M37"/>
    <mergeCell ref="K38:M38"/>
    <mergeCell ref="K39:M39"/>
    <mergeCell ref="K40:M40"/>
    <mergeCell ref="K41:M41"/>
    <mergeCell ref="K32:M32"/>
    <mergeCell ref="K33:M33"/>
    <mergeCell ref="K34:M34"/>
    <mergeCell ref="K35:M35"/>
    <mergeCell ref="K36:M36"/>
    <mergeCell ref="K27:M27"/>
    <mergeCell ref="K28:M28"/>
    <mergeCell ref="K29:M29"/>
    <mergeCell ref="K30:M30"/>
    <mergeCell ref="K31:M31"/>
    <mergeCell ref="K22:M22"/>
    <mergeCell ref="K23:M23"/>
    <mergeCell ref="K24:M24"/>
    <mergeCell ref="K25:M25"/>
    <mergeCell ref="K26:M26"/>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69930555555555596" right="0.69930555555555596" top="0.75" bottom="0.75" header="0.3" footer="0.3"/>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WVY120"/>
  <sheetViews>
    <sheetView workbookViewId="0">
      <selection activeCell="I7" sqref="I7:I8"/>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spans="1:16" ht="12" customHeight="1">
      <c r="B1" s="3"/>
    </row>
    <row r="2" spans="1:16" ht="12" customHeight="1">
      <c r="A2" s="441" t="s">
        <v>136</v>
      </c>
      <c r="B2" s="442"/>
      <c r="C2" s="441" t="s">
        <v>1</v>
      </c>
      <c r="D2" s="443"/>
      <c r="E2" s="443"/>
      <c r="F2" s="443"/>
      <c r="G2" s="442"/>
      <c r="H2" s="441"/>
      <c r="I2" s="443"/>
      <c r="J2" s="442"/>
      <c r="K2" s="24"/>
      <c r="L2" s="5" t="s">
        <v>137</v>
      </c>
      <c r="M2" s="5" t="s">
        <v>138</v>
      </c>
    </row>
    <row r="3" spans="1:16" ht="12" customHeight="1">
      <c r="A3" s="444"/>
      <c r="B3" s="445"/>
      <c r="C3" s="446" t="s">
        <v>1852</v>
      </c>
      <c r="D3" s="447"/>
      <c r="E3" s="447"/>
      <c r="F3" s="447"/>
      <c r="G3" s="448"/>
      <c r="H3" s="441" t="s">
        <v>140</v>
      </c>
      <c r="I3" s="442"/>
      <c r="J3" s="25">
        <f>COUNT(A7:A55)</f>
        <v>3</v>
      </c>
      <c r="K3" s="5" t="s">
        <v>141</v>
      </c>
      <c r="L3" s="26">
        <v>44126</v>
      </c>
      <c r="M3" s="27" t="s">
        <v>1810</v>
      </c>
      <c r="O3" s="2" t="s">
        <v>143</v>
      </c>
      <c r="P3" s="2" t="s">
        <v>144</v>
      </c>
    </row>
    <row r="4" spans="1:16" ht="12" customHeight="1">
      <c r="A4" s="449" t="s">
        <v>145</v>
      </c>
      <c r="B4" s="450"/>
      <c r="C4" s="449" t="s">
        <v>1853</v>
      </c>
      <c r="D4" s="451"/>
      <c r="E4" s="451"/>
      <c r="F4" s="451"/>
      <c r="G4" s="450"/>
      <c r="H4" s="441" t="s">
        <v>146</v>
      </c>
      <c r="I4" s="442"/>
      <c r="J4" s="25">
        <f>SUM(G7:G55)</f>
        <v>25</v>
      </c>
      <c r="K4" s="5" t="s">
        <v>147</v>
      </c>
      <c r="L4" s="26"/>
      <c r="M4" s="27"/>
      <c r="O4" s="2" t="s">
        <v>149</v>
      </c>
      <c r="P4" s="2" t="s">
        <v>150</v>
      </c>
    </row>
    <row r="5" spans="1:16" ht="12" customHeight="1">
      <c r="A5" s="456" t="s">
        <v>0</v>
      </c>
      <c r="B5" s="441" t="s">
        <v>151</v>
      </c>
      <c r="C5" s="443"/>
      <c r="D5" s="452" t="s">
        <v>152</v>
      </c>
      <c r="E5" s="443"/>
      <c r="F5" s="443"/>
      <c r="G5" s="443"/>
      <c r="H5" s="443"/>
      <c r="I5" s="441" t="s">
        <v>153</v>
      </c>
      <c r="J5" s="442"/>
      <c r="K5" s="458" t="s">
        <v>4</v>
      </c>
      <c r="L5" s="459"/>
      <c r="M5" s="460"/>
      <c r="P5" s="2" t="s">
        <v>154</v>
      </c>
    </row>
    <row r="6" spans="1:16" ht="12" customHeight="1">
      <c r="A6" s="457"/>
      <c r="B6" s="5" t="s">
        <v>5</v>
      </c>
      <c r="C6" s="6" t="s">
        <v>6</v>
      </c>
      <c r="D6" s="7" t="s">
        <v>144</v>
      </c>
      <c r="E6" s="8" t="s">
        <v>155</v>
      </c>
      <c r="F6" s="9" t="s">
        <v>156</v>
      </c>
      <c r="G6" s="5" t="s">
        <v>157</v>
      </c>
      <c r="H6" s="4" t="s">
        <v>158</v>
      </c>
      <c r="I6" s="4" t="s">
        <v>159</v>
      </c>
      <c r="J6" s="4" t="s">
        <v>160</v>
      </c>
      <c r="K6" s="461"/>
      <c r="L6" s="462"/>
      <c r="M6" s="463"/>
      <c r="P6" s="2" t="s">
        <v>161</v>
      </c>
    </row>
    <row r="7" spans="1:16" ht="12" customHeight="1">
      <c r="A7" s="10">
        <v>1</v>
      </c>
      <c r="B7" s="11" t="s">
        <v>162</v>
      </c>
      <c r="C7" s="12" t="s">
        <v>163</v>
      </c>
      <c r="D7" s="13" t="s">
        <v>164</v>
      </c>
      <c r="E7" s="14"/>
      <c r="F7" s="15"/>
      <c r="G7" s="16">
        <f>IF(D7="DATE",4,IF(D7="CHAR",E7,IF(D7="SMALLINT",2,IF(D7="INTEGER",4,IF(D7="TIMESTAMP",10,IF(D7="TIME",3,0))))))</f>
        <v>4</v>
      </c>
      <c r="H7" s="10" t="s">
        <v>149</v>
      </c>
      <c r="I7" s="10"/>
      <c r="J7" s="28"/>
      <c r="K7" s="308"/>
      <c r="L7" s="278"/>
      <c r="M7" s="279"/>
      <c r="P7" s="2" t="s">
        <v>165</v>
      </c>
    </row>
    <row r="8" spans="1:16" ht="12" customHeight="1">
      <c r="A8" s="10">
        <f t="shared" ref="A8:A55" si="0">IF(B8=""," ",A7+1)</f>
        <v>2</v>
      </c>
      <c r="B8" s="11" t="s">
        <v>166</v>
      </c>
      <c r="C8" s="12" t="s">
        <v>167</v>
      </c>
      <c r="D8" s="13" t="s">
        <v>150</v>
      </c>
      <c r="E8" s="14">
        <v>11</v>
      </c>
      <c r="F8" s="15"/>
      <c r="G8" s="16">
        <f>IF(D8="DATE",4,IF(D8="CHAR",E8,IF(D8="SMALLINT",2,IF(D8="INTEGER",4,IF(D8="TIMESTAMP",10,IF(D8="TIME",3,0))))))</f>
        <v>11</v>
      </c>
      <c r="H8" s="10" t="s">
        <v>149</v>
      </c>
      <c r="I8" s="10"/>
      <c r="J8" s="28"/>
      <c r="K8" s="308"/>
      <c r="L8" s="278"/>
      <c r="M8" s="279"/>
    </row>
    <row r="9" spans="1:16" ht="12" customHeight="1">
      <c r="A9" s="10">
        <f t="shared" si="0"/>
        <v>3</v>
      </c>
      <c r="B9" s="17" t="s">
        <v>232</v>
      </c>
      <c r="C9" s="12" t="s">
        <v>233</v>
      </c>
      <c r="D9" s="18" t="s">
        <v>234</v>
      </c>
      <c r="E9" s="14"/>
      <c r="F9" s="15"/>
      <c r="G9" s="16">
        <f>IF(D9="DATE",4,IF(D9="CHAR",E9,IF(D9="SMALLINT",2,IF(D9="INTEGER",4,IF(D9="TIMESTAMP",10,IF(D9="TIME",3,0))))))</f>
        <v>10</v>
      </c>
      <c r="H9" s="10" t="s">
        <v>149</v>
      </c>
      <c r="I9" s="10"/>
      <c r="J9" s="28"/>
      <c r="K9" s="453"/>
      <c r="L9" s="454"/>
      <c r="M9" s="455"/>
    </row>
    <row r="10" spans="1:16">
      <c r="A10" s="10"/>
      <c r="B10" s="17"/>
      <c r="C10" s="12"/>
      <c r="D10" s="18"/>
      <c r="E10" s="14"/>
      <c r="F10" s="15"/>
      <c r="G10" s="16"/>
      <c r="H10" s="10"/>
      <c r="I10" s="10"/>
      <c r="J10" s="28"/>
      <c r="K10" s="453"/>
      <c r="L10" s="454"/>
      <c r="M10" s="455"/>
    </row>
    <row r="11" spans="1:16">
      <c r="A11" s="10" t="str">
        <f t="shared" si="0"/>
        <v xml:space="preserve"> </v>
      </c>
      <c r="B11" s="17"/>
      <c r="C11" s="12"/>
      <c r="D11" s="18"/>
      <c r="E11" s="14"/>
      <c r="F11" s="15"/>
      <c r="G11" s="16"/>
      <c r="H11" s="10"/>
      <c r="I11" s="10"/>
      <c r="J11" s="28"/>
      <c r="K11" s="271"/>
      <c r="L11" s="278"/>
      <c r="M11" s="279"/>
    </row>
    <row r="12" spans="1:16">
      <c r="A12" s="10" t="str">
        <f t="shared" si="0"/>
        <v xml:space="preserve"> </v>
      </c>
      <c r="B12" s="17"/>
      <c r="C12" s="12"/>
      <c r="D12" s="18"/>
      <c r="E12" s="14"/>
      <c r="F12" s="15"/>
      <c r="G12" s="16"/>
      <c r="H12" s="10"/>
      <c r="I12" s="10"/>
      <c r="J12" s="28"/>
      <c r="K12" s="453"/>
      <c r="L12" s="454"/>
      <c r="M12" s="455"/>
    </row>
    <row r="13" spans="1:16">
      <c r="A13" s="10" t="str">
        <f t="shared" si="0"/>
        <v xml:space="preserve"> </v>
      </c>
      <c r="B13" s="17"/>
      <c r="C13" s="12"/>
      <c r="D13" s="18"/>
      <c r="E13" s="14"/>
      <c r="F13" s="15"/>
      <c r="G13" s="16"/>
      <c r="H13" s="10"/>
      <c r="I13" s="10"/>
      <c r="J13" s="28"/>
      <c r="K13" s="453"/>
      <c r="L13" s="454"/>
      <c r="M13" s="455"/>
      <c r="P13" s="2" t="s">
        <v>165</v>
      </c>
    </row>
    <row r="14" spans="1:16">
      <c r="A14" s="10" t="str">
        <f t="shared" si="0"/>
        <v xml:space="preserve"> </v>
      </c>
      <c r="B14" s="17"/>
      <c r="C14" s="12"/>
      <c r="D14" s="18"/>
      <c r="E14" s="14"/>
      <c r="F14" s="15"/>
      <c r="G14" s="16"/>
      <c r="H14" s="10"/>
      <c r="I14" s="10"/>
      <c r="J14" s="28"/>
      <c r="K14" s="453"/>
      <c r="L14" s="454"/>
      <c r="M14" s="455"/>
    </row>
    <row r="15" spans="1:16">
      <c r="A15" s="10" t="str">
        <f t="shared" si="0"/>
        <v xml:space="preserve"> </v>
      </c>
      <c r="B15" s="11"/>
      <c r="C15" s="19"/>
      <c r="D15" s="18"/>
      <c r="E15" s="14"/>
      <c r="F15" s="15"/>
      <c r="G15" s="16"/>
      <c r="H15" s="10"/>
      <c r="I15" s="10"/>
      <c r="J15" s="28"/>
      <c r="K15" s="271"/>
      <c r="L15" s="272"/>
      <c r="M15" s="273"/>
    </row>
    <row r="16" spans="1:16">
      <c r="A16" s="10" t="str">
        <f t="shared" si="0"/>
        <v xml:space="preserve"> </v>
      </c>
      <c r="B16" s="11"/>
      <c r="C16" s="12"/>
      <c r="D16" s="18"/>
      <c r="E16" s="14"/>
      <c r="F16" s="15"/>
      <c r="G16" s="16"/>
      <c r="H16" s="10"/>
      <c r="I16" s="10"/>
      <c r="J16" s="28"/>
      <c r="K16" s="308"/>
      <c r="L16" s="278"/>
      <c r="M16" s="279"/>
    </row>
    <row r="17" spans="1:16">
      <c r="A17" s="10" t="str">
        <f t="shared" si="0"/>
        <v xml:space="preserve"> </v>
      </c>
      <c r="B17" s="11"/>
      <c r="C17" s="12"/>
      <c r="D17" s="18"/>
      <c r="E17" s="14"/>
      <c r="F17" s="15"/>
      <c r="G17" s="16"/>
      <c r="H17" s="10"/>
      <c r="I17" s="10"/>
      <c r="J17" s="28"/>
      <c r="K17" s="453"/>
      <c r="L17" s="454"/>
      <c r="M17" s="455"/>
    </row>
    <row r="18" spans="1:16">
      <c r="A18" s="10" t="str">
        <f t="shared" si="0"/>
        <v xml:space="preserve"> </v>
      </c>
      <c r="B18" s="20"/>
      <c r="C18" s="21"/>
      <c r="D18" s="13"/>
      <c r="E18" s="14"/>
      <c r="F18" s="15"/>
      <c r="G18" s="16"/>
      <c r="H18" s="10"/>
      <c r="I18" s="10"/>
      <c r="J18" s="28"/>
      <c r="K18" s="308"/>
      <c r="L18" s="278"/>
      <c r="M18" s="279"/>
    </row>
    <row r="19" spans="1:16">
      <c r="A19" s="10" t="str">
        <f t="shared" si="0"/>
        <v xml:space="preserve"> </v>
      </c>
      <c r="B19" s="11"/>
      <c r="C19" s="21"/>
      <c r="D19" s="13"/>
      <c r="E19" s="14"/>
      <c r="F19" s="15"/>
      <c r="G19" s="16"/>
      <c r="H19" s="10"/>
      <c r="I19" s="10"/>
      <c r="J19" s="28"/>
      <c r="K19" s="308"/>
      <c r="L19" s="278"/>
      <c r="M19" s="279"/>
      <c r="P19" s="2" t="s">
        <v>174</v>
      </c>
    </row>
    <row r="20" spans="1:16">
      <c r="A20" s="10" t="str">
        <f t="shared" si="0"/>
        <v xml:space="preserve"> </v>
      </c>
      <c r="B20" s="17"/>
      <c r="C20" s="21"/>
      <c r="D20" s="13"/>
      <c r="E20" s="14"/>
      <c r="F20" s="15"/>
      <c r="G20" s="16"/>
      <c r="H20" s="10"/>
      <c r="I20" s="10"/>
      <c r="J20" s="28"/>
      <c r="K20" s="308"/>
      <c r="L20" s="278"/>
      <c r="M20" s="279"/>
    </row>
    <row r="21" spans="1:16">
      <c r="A21" s="10" t="str">
        <f t="shared" si="0"/>
        <v xml:space="preserve"> </v>
      </c>
      <c r="B21" s="17"/>
      <c r="C21" s="12"/>
      <c r="D21" s="18"/>
      <c r="E21" s="14"/>
      <c r="F21" s="15"/>
      <c r="G21" s="16"/>
      <c r="H21" s="10"/>
      <c r="I21" s="10"/>
      <c r="J21" s="28"/>
      <c r="K21" s="453"/>
      <c r="L21" s="454"/>
      <c r="M21" s="455"/>
      <c r="P21" s="2" t="s">
        <v>195</v>
      </c>
    </row>
    <row r="22" spans="1:16">
      <c r="A22" s="10" t="str">
        <f t="shared" si="0"/>
        <v xml:space="preserve"> </v>
      </c>
      <c r="B22" s="11"/>
      <c r="C22" s="12"/>
      <c r="D22" s="18"/>
      <c r="E22" s="14"/>
      <c r="F22" s="15"/>
      <c r="G22" s="16"/>
      <c r="H22" s="10"/>
      <c r="I22" s="10"/>
      <c r="J22" s="28"/>
      <c r="K22" s="271"/>
      <c r="L22" s="272"/>
      <c r="M22" s="273"/>
    </row>
    <row r="23" spans="1:16">
      <c r="A23" s="10" t="str">
        <f t="shared" si="0"/>
        <v xml:space="preserve"> </v>
      </c>
      <c r="B23" s="11"/>
      <c r="C23" s="12"/>
      <c r="D23" s="18"/>
      <c r="E23" s="14"/>
      <c r="F23" s="15"/>
      <c r="G23" s="16"/>
      <c r="H23" s="10"/>
      <c r="I23" s="10"/>
      <c r="J23" s="28"/>
      <c r="K23" s="332"/>
      <c r="L23" s="333"/>
      <c r="M23" s="334"/>
      <c r="P23" s="2" t="s">
        <v>195</v>
      </c>
    </row>
    <row r="24" spans="1:16">
      <c r="A24" s="10" t="str">
        <f t="shared" si="0"/>
        <v xml:space="preserve"> </v>
      </c>
      <c r="B24" s="20"/>
      <c r="C24" s="22"/>
      <c r="D24" s="18"/>
      <c r="E24" s="14"/>
      <c r="F24" s="15"/>
      <c r="G24" s="16"/>
      <c r="H24" s="10"/>
      <c r="I24" s="10"/>
      <c r="J24" s="28"/>
      <c r="K24" s="271"/>
      <c r="L24" s="272"/>
      <c r="M24" s="273"/>
    </row>
    <row r="25" spans="1:16">
      <c r="A25" s="10" t="str">
        <f t="shared" si="0"/>
        <v xml:space="preserve"> </v>
      </c>
      <c r="B25" s="11"/>
      <c r="C25" s="12"/>
      <c r="D25" s="18"/>
      <c r="E25" s="14"/>
      <c r="F25" s="15"/>
      <c r="G25" s="16"/>
      <c r="H25" s="10"/>
      <c r="I25" s="10"/>
      <c r="J25" s="28"/>
      <c r="K25" s="453"/>
      <c r="L25" s="454"/>
      <c r="M25" s="455"/>
    </row>
    <row r="26" spans="1:16">
      <c r="A26" s="10" t="str">
        <f t="shared" si="0"/>
        <v xml:space="preserve"> </v>
      </c>
      <c r="B26" s="20"/>
      <c r="C26" s="12"/>
      <c r="D26" s="18"/>
      <c r="E26" s="14"/>
      <c r="F26" s="15"/>
      <c r="G26" s="16"/>
      <c r="H26" s="10"/>
      <c r="I26" s="10"/>
      <c r="J26" s="28"/>
      <c r="K26" s="332"/>
      <c r="L26" s="333"/>
      <c r="M26" s="334"/>
    </row>
    <row r="27" spans="1:16">
      <c r="A27" s="10" t="str">
        <f t="shared" si="0"/>
        <v xml:space="preserve"> </v>
      </c>
      <c r="B27" s="20"/>
      <c r="C27" s="12"/>
      <c r="D27" s="18"/>
      <c r="E27" s="14"/>
      <c r="F27" s="15"/>
      <c r="G27" s="16"/>
      <c r="H27" s="10"/>
      <c r="I27" s="10"/>
      <c r="J27" s="28"/>
      <c r="K27" s="332"/>
      <c r="L27" s="333"/>
      <c r="M27" s="334"/>
    </row>
    <row r="28" spans="1:16">
      <c r="A28" s="10" t="str">
        <f t="shared" si="0"/>
        <v xml:space="preserve"> </v>
      </c>
      <c r="B28" s="20"/>
      <c r="C28" s="12"/>
      <c r="D28" s="18"/>
      <c r="E28" s="14"/>
      <c r="F28" s="15"/>
      <c r="G28" s="16"/>
      <c r="H28" s="10"/>
      <c r="I28" s="10"/>
      <c r="J28" s="28"/>
      <c r="K28" s="332"/>
      <c r="L28" s="333"/>
      <c r="M28" s="334"/>
    </row>
    <row r="29" spans="1:16">
      <c r="A29" s="10" t="str">
        <f t="shared" si="0"/>
        <v xml:space="preserve"> </v>
      </c>
      <c r="B29" s="20"/>
      <c r="C29" s="12"/>
      <c r="D29" s="18"/>
      <c r="E29" s="14"/>
      <c r="F29" s="15"/>
      <c r="G29" s="16"/>
      <c r="H29" s="10"/>
      <c r="I29" s="10"/>
      <c r="J29" s="28"/>
      <c r="K29" s="332"/>
      <c r="L29" s="333"/>
      <c r="M29" s="334"/>
    </row>
    <row r="30" spans="1:16">
      <c r="A30" s="10" t="str">
        <f t="shared" si="0"/>
        <v xml:space="preserve"> </v>
      </c>
      <c r="B30" s="20"/>
      <c r="C30" s="12"/>
      <c r="D30" s="18"/>
      <c r="E30" s="14"/>
      <c r="F30" s="15"/>
      <c r="G30" s="16"/>
      <c r="H30" s="10"/>
      <c r="I30" s="10"/>
      <c r="J30" s="28"/>
      <c r="K30" s="332"/>
      <c r="L30" s="333"/>
      <c r="M30" s="334"/>
    </row>
    <row r="31" spans="1:16">
      <c r="A31" s="10" t="str">
        <f t="shared" si="0"/>
        <v xml:space="preserve"> </v>
      </c>
      <c r="B31" s="20"/>
      <c r="C31" s="12"/>
      <c r="D31" s="18"/>
      <c r="E31" s="14"/>
      <c r="F31" s="15"/>
      <c r="G31" s="16"/>
      <c r="H31" s="10"/>
      <c r="I31" s="10"/>
      <c r="J31" s="28"/>
      <c r="K31" s="332"/>
      <c r="L31" s="333"/>
      <c r="M31" s="334"/>
    </row>
    <row r="32" spans="1:16">
      <c r="A32" s="10" t="str">
        <f t="shared" si="0"/>
        <v xml:space="preserve"> </v>
      </c>
      <c r="B32" s="11"/>
      <c r="C32" s="23"/>
      <c r="D32" s="18"/>
      <c r="E32" s="14"/>
      <c r="F32" s="15"/>
      <c r="G32" s="16"/>
      <c r="H32" s="10"/>
      <c r="I32" s="10"/>
      <c r="J32" s="28"/>
      <c r="K32" s="332"/>
      <c r="L32" s="333"/>
      <c r="M32" s="334"/>
    </row>
    <row r="33" spans="1:16">
      <c r="A33" s="10" t="str">
        <f t="shared" si="0"/>
        <v xml:space="preserve"> </v>
      </c>
      <c r="B33" s="11"/>
      <c r="C33" s="23"/>
      <c r="D33" s="18"/>
      <c r="E33" s="14"/>
      <c r="F33" s="15"/>
      <c r="G33" s="16"/>
      <c r="H33" s="10"/>
      <c r="I33" s="10"/>
      <c r="J33" s="28"/>
      <c r="K33" s="453"/>
      <c r="L33" s="454"/>
      <c r="M33" s="455"/>
    </row>
    <row r="34" spans="1:16">
      <c r="A34" s="10" t="str">
        <f t="shared" si="0"/>
        <v xml:space="preserve"> </v>
      </c>
      <c r="B34" s="11"/>
      <c r="C34" s="12"/>
      <c r="D34" s="18"/>
      <c r="E34" s="14"/>
      <c r="F34" s="15"/>
      <c r="G34" s="16"/>
      <c r="H34" s="10"/>
      <c r="I34" s="10"/>
      <c r="J34" s="28"/>
      <c r="K34" s="308"/>
      <c r="L34" s="278"/>
      <c r="M34" s="279"/>
    </row>
    <row r="35" spans="1:16">
      <c r="A35" s="10" t="str">
        <f t="shared" si="0"/>
        <v xml:space="preserve"> </v>
      </c>
      <c r="B35" s="20"/>
      <c r="C35" s="12"/>
      <c r="D35" s="18"/>
      <c r="E35" s="14"/>
      <c r="F35" s="15"/>
      <c r="G35" s="16"/>
      <c r="H35" s="10"/>
      <c r="I35" s="10"/>
      <c r="J35" s="28"/>
      <c r="K35" s="271"/>
      <c r="L35" s="272"/>
      <c r="M35" s="273"/>
    </row>
    <row r="36" spans="1:16">
      <c r="A36" s="10" t="str">
        <f t="shared" si="0"/>
        <v xml:space="preserve"> </v>
      </c>
      <c r="B36" s="11"/>
      <c r="C36" s="12"/>
      <c r="D36" s="18"/>
      <c r="E36" s="14"/>
      <c r="F36" s="15"/>
      <c r="G36" s="16"/>
      <c r="H36" s="10"/>
      <c r="I36" s="10"/>
      <c r="J36" s="28"/>
      <c r="K36" s="332"/>
      <c r="L36" s="333"/>
      <c r="M36" s="334"/>
    </row>
    <row r="37" spans="1:16">
      <c r="A37" s="10" t="str">
        <f t="shared" si="0"/>
        <v xml:space="preserve"> </v>
      </c>
      <c r="B37" s="11"/>
      <c r="C37" s="12"/>
      <c r="D37" s="18"/>
      <c r="E37" s="14"/>
      <c r="F37" s="15"/>
      <c r="G37" s="16"/>
      <c r="H37" s="10"/>
      <c r="I37" s="10"/>
      <c r="J37" s="28"/>
      <c r="K37" s="332"/>
      <c r="L37" s="333"/>
      <c r="M37" s="334"/>
    </row>
    <row r="38" spans="1:16">
      <c r="A38" s="10" t="str">
        <f t="shared" si="0"/>
        <v xml:space="preserve"> </v>
      </c>
      <c r="B38" s="11"/>
      <c r="C38" s="12"/>
      <c r="D38" s="18"/>
      <c r="E38" s="14"/>
      <c r="F38" s="15"/>
      <c r="G38" s="16"/>
      <c r="H38" s="10"/>
      <c r="I38" s="10"/>
      <c r="J38" s="28"/>
      <c r="K38" s="271"/>
      <c r="L38" s="272"/>
      <c r="M38" s="273"/>
    </row>
    <row r="39" spans="1:16">
      <c r="A39" s="10" t="str">
        <f t="shared" si="0"/>
        <v xml:space="preserve"> </v>
      </c>
      <c r="B39" s="11"/>
      <c r="C39" s="12"/>
      <c r="D39" s="18"/>
      <c r="E39" s="14"/>
      <c r="F39" s="15"/>
      <c r="G39" s="16"/>
      <c r="H39" s="10"/>
      <c r="I39" s="10"/>
      <c r="J39" s="28"/>
      <c r="K39" s="332"/>
      <c r="L39" s="333"/>
      <c r="M39" s="334"/>
    </row>
    <row r="40" spans="1:16">
      <c r="A40" s="10" t="str">
        <f t="shared" si="0"/>
        <v xml:space="preserve"> </v>
      </c>
      <c r="B40" s="11"/>
      <c r="C40" s="12"/>
      <c r="D40" s="18"/>
      <c r="E40" s="14"/>
      <c r="F40" s="15"/>
      <c r="G40" s="16"/>
      <c r="H40" s="10"/>
      <c r="I40" s="10"/>
      <c r="J40" s="28"/>
      <c r="K40" s="332"/>
      <c r="L40" s="333"/>
      <c r="M40" s="334"/>
    </row>
    <row r="41" spans="1:16">
      <c r="A41" s="10" t="str">
        <f t="shared" si="0"/>
        <v xml:space="preserve"> </v>
      </c>
      <c r="B41" s="17"/>
      <c r="C41" s="12"/>
      <c r="D41" s="18"/>
      <c r="E41" s="14"/>
      <c r="F41" s="15"/>
      <c r="G41" s="16"/>
      <c r="H41" s="10"/>
      <c r="I41" s="10"/>
      <c r="J41" s="28"/>
      <c r="K41" s="332"/>
      <c r="L41" s="333"/>
      <c r="M41" s="334"/>
    </row>
    <row r="42" spans="1:16">
      <c r="A42" s="10" t="str">
        <f t="shared" si="0"/>
        <v xml:space="preserve"> </v>
      </c>
      <c r="B42" s="20"/>
      <c r="C42" s="12"/>
      <c r="D42" s="18"/>
      <c r="E42" s="14"/>
      <c r="F42" s="15"/>
      <c r="G42" s="16"/>
      <c r="H42" s="10"/>
      <c r="I42" s="10"/>
      <c r="J42" s="28"/>
      <c r="K42" s="332"/>
      <c r="L42" s="333"/>
      <c r="M42" s="334"/>
    </row>
    <row r="43" spans="1:16">
      <c r="A43" s="10" t="str">
        <f t="shared" si="0"/>
        <v xml:space="preserve"> </v>
      </c>
      <c r="B43" s="11"/>
      <c r="C43" s="12"/>
      <c r="D43" s="18"/>
      <c r="E43" s="14"/>
      <c r="F43" s="15"/>
      <c r="G43" s="16"/>
      <c r="H43" s="10"/>
      <c r="I43" s="10"/>
      <c r="J43" s="28"/>
      <c r="K43" s="332"/>
      <c r="L43" s="333"/>
      <c r="M43" s="334"/>
    </row>
    <row r="44" spans="1:16">
      <c r="A44" s="10" t="str">
        <f t="shared" si="0"/>
        <v xml:space="preserve"> </v>
      </c>
      <c r="B44" s="11"/>
      <c r="C44" s="21"/>
      <c r="D44" s="18"/>
      <c r="E44" s="14"/>
      <c r="F44" s="15"/>
      <c r="G44" s="16"/>
      <c r="H44" s="10"/>
      <c r="I44" s="10"/>
      <c r="J44" s="28"/>
      <c r="K44" s="332"/>
      <c r="L44" s="333"/>
      <c r="M44" s="334"/>
      <c r="P44" s="2" t="s">
        <v>174</v>
      </c>
    </row>
    <row r="45" spans="1:16">
      <c r="A45" s="10" t="str">
        <f t="shared" si="0"/>
        <v xml:space="preserve"> </v>
      </c>
      <c r="B45" s="11"/>
      <c r="C45" s="12"/>
      <c r="D45" s="18"/>
      <c r="E45" s="14"/>
      <c r="F45" s="15"/>
      <c r="G45" s="16"/>
      <c r="H45" s="10"/>
      <c r="I45" s="10"/>
      <c r="J45" s="28"/>
      <c r="K45" s="332"/>
      <c r="L45" s="333"/>
      <c r="M45" s="334"/>
    </row>
    <row r="46" spans="1:16">
      <c r="A46" s="10" t="str">
        <f t="shared" si="0"/>
        <v xml:space="preserve"> </v>
      </c>
      <c r="B46" s="11"/>
      <c r="C46" s="12"/>
      <c r="D46" s="18"/>
      <c r="E46" s="14"/>
      <c r="F46" s="15"/>
      <c r="G46" s="16"/>
      <c r="H46" s="10"/>
      <c r="I46" s="10"/>
      <c r="J46" s="28"/>
      <c r="K46" s="332"/>
      <c r="L46" s="333"/>
      <c r="M46" s="334"/>
    </row>
    <row r="47" spans="1:16">
      <c r="A47" s="10" t="str">
        <f t="shared" si="0"/>
        <v xml:space="preserve"> </v>
      </c>
      <c r="B47" s="11"/>
      <c r="C47" s="12"/>
      <c r="D47" s="18"/>
      <c r="E47" s="14"/>
      <c r="F47" s="15"/>
      <c r="G47" s="16"/>
      <c r="H47" s="10"/>
      <c r="I47" s="10"/>
      <c r="J47" s="28"/>
      <c r="K47" s="332"/>
      <c r="L47" s="333"/>
      <c r="M47" s="334"/>
    </row>
    <row r="48" spans="1:16">
      <c r="A48" s="10" t="str">
        <f t="shared" si="0"/>
        <v xml:space="preserve"> </v>
      </c>
      <c r="B48" s="11"/>
      <c r="C48" s="12"/>
      <c r="D48" s="18"/>
      <c r="E48" s="14"/>
      <c r="F48" s="15"/>
      <c r="G48" s="16"/>
      <c r="H48" s="10"/>
      <c r="I48" s="10"/>
      <c r="J48" s="28"/>
      <c r="K48" s="271"/>
      <c r="L48" s="272"/>
      <c r="M48" s="273"/>
    </row>
    <row r="49" spans="1:13">
      <c r="A49" s="10" t="str">
        <f t="shared" si="0"/>
        <v xml:space="preserve"> </v>
      </c>
      <c r="B49" s="11"/>
      <c r="C49" s="21"/>
      <c r="D49" s="13"/>
      <c r="E49" s="14"/>
      <c r="F49" s="15"/>
      <c r="G49" s="16"/>
      <c r="H49" s="10"/>
      <c r="I49" s="10"/>
      <c r="J49" s="28"/>
      <c r="K49" s="271"/>
      <c r="L49" s="272"/>
      <c r="M49" s="273"/>
    </row>
    <row r="50" spans="1:13">
      <c r="A50" s="10" t="str">
        <f t="shared" si="0"/>
        <v xml:space="preserve"> </v>
      </c>
      <c r="B50" s="11"/>
      <c r="C50" s="21"/>
      <c r="D50" s="13"/>
      <c r="E50" s="14"/>
      <c r="F50" s="15"/>
      <c r="G50" s="16"/>
      <c r="H50" s="10"/>
      <c r="I50" s="10"/>
      <c r="J50" s="28"/>
      <c r="K50" s="271"/>
      <c r="L50" s="272"/>
      <c r="M50" s="273"/>
    </row>
    <row r="51" spans="1:13">
      <c r="A51" s="10" t="str">
        <f t="shared" si="0"/>
        <v xml:space="preserve"> </v>
      </c>
      <c r="B51" s="11"/>
      <c r="C51" s="12"/>
      <c r="D51" s="18"/>
      <c r="E51" s="14"/>
      <c r="F51" s="15"/>
      <c r="G51" s="16"/>
      <c r="H51" s="10"/>
      <c r="I51" s="10"/>
      <c r="J51" s="28"/>
      <c r="K51" s="332"/>
      <c r="L51" s="333"/>
      <c r="M51" s="334"/>
    </row>
    <row r="52" spans="1:13">
      <c r="A52" s="10" t="str">
        <f t="shared" si="0"/>
        <v xml:space="preserve"> </v>
      </c>
      <c r="B52" s="11"/>
      <c r="C52" s="12"/>
      <c r="D52" s="18"/>
      <c r="E52" s="14"/>
      <c r="F52" s="15"/>
      <c r="G52" s="16"/>
      <c r="H52" s="10"/>
      <c r="I52" s="10"/>
      <c r="J52" s="28"/>
      <c r="K52" s="332"/>
      <c r="L52" s="333"/>
      <c r="M52" s="334"/>
    </row>
    <row r="53" spans="1:13">
      <c r="A53" s="10" t="str">
        <f t="shared" si="0"/>
        <v xml:space="preserve"> </v>
      </c>
      <c r="B53" s="11"/>
      <c r="C53" s="12"/>
      <c r="D53" s="18"/>
      <c r="E53" s="14"/>
      <c r="F53" s="15"/>
      <c r="G53" s="16"/>
      <c r="H53" s="10"/>
      <c r="I53" s="10"/>
      <c r="J53" s="28"/>
      <c r="K53" s="332"/>
      <c r="L53" s="333"/>
      <c r="M53" s="334"/>
    </row>
    <row r="54" spans="1:13">
      <c r="A54" s="10" t="str">
        <f t="shared" si="0"/>
        <v xml:space="preserve"> </v>
      </c>
      <c r="B54" s="11"/>
      <c r="C54" s="12"/>
      <c r="D54" s="18"/>
      <c r="E54" s="14"/>
      <c r="F54" s="15"/>
      <c r="G54" s="16"/>
      <c r="H54" s="10"/>
      <c r="I54" s="10"/>
      <c r="J54" s="28"/>
      <c r="K54" s="332"/>
      <c r="L54" s="333"/>
      <c r="M54" s="334"/>
    </row>
    <row r="55" spans="1:13">
      <c r="A55" s="10" t="str">
        <f t="shared" si="0"/>
        <v xml:space="preserve"> </v>
      </c>
      <c r="B55" s="11"/>
      <c r="C55" s="12"/>
      <c r="D55" s="18"/>
      <c r="E55" s="14"/>
      <c r="F55" s="15"/>
      <c r="G55" s="16"/>
      <c r="H55" s="10"/>
      <c r="I55" s="10"/>
      <c r="J55" s="28"/>
      <c r="K55" s="453"/>
      <c r="L55" s="454"/>
      <c r="M55" s="455"/>
    </row>
    <row r="56" spans="1:13">
      <c r="B56" s="3"/>
      <c r="H56" s="1"/>
      <c r="I56" s="1"/>
      <c r="J56" s="33"/>
      <c r="K56" s="34"/>
      <c r="L56" s="34"/>
      <c r="M56" s="34"/>
    </row>
    <row r="57" spans="1:13">
      <c r="B57" s="2" t="s">
        <v>235</v>
      </c>
    </row>
    <row r="97" spans="2:5">
      <c r="C97" s="3"/>
    </row>
    <row r="99" spans="2:5">
      <c r="C99" s="3"/>
    </row>
    <row r="102" spans="2:5">
      <c r="B102" s="35"/>
      <c r="D102" s="2" t="s">
        <v>1198</v>
      </c>
    </row>
    <row r="104" spans="2:5">
      <c r="B104" s="35"/>
      <c r="D104" s="36" t="s">
        <v>1201</v>
      </c>
      <c r="E104" s="36"/>
    </row>
    <row r="105" spans="2:5">
      <c r="D105" s="36" t="s">
        <v>1202</v>
      </c>
      <c r="E105" s="36"/>
    </row>
    <row r="106" spans="2:5">
      <c r="D106" s="36" t="s">
        <v>1203</v>
      </c>
      <c r="E106" s="36"/>
    </row>
    <row r="107" spans="2:5">
      <c r="D107" s="36" t="s">
        <v>1204</v>
      </c>
      <c r="E107" s="36"/>
    </row>
    <row r="108" spans="2:5">
      <c r="D108" s="36" t="s">
        <v>1205</v>
      </c>
      <c r="E108" s="36"/>
    </row>
    <row r="109" spans="2:5">
      <c r="D109" s="36" t="s">
        <v>1206</v>
      </c>
      <c r="E109" s="36"/>
    </row>
    <row r="110" spans="2:5">
      <c r="D110" s="36" t="s">
        <v>1207</v>
      </c>
      <c r="E110" s="36"/>
    </row>
    <row r="111" spans="2:5">
      <c r="D111" s="36" t="s">
        <v>1208</v>
      </c>
      <c r="E111" s="36"/>
    </row>
    <row r="112" spans="2:5">
      <c r="D112" s="2" t="s">
        <v>1209</v>
      </c>
    </row>
    <row r="114" spans="2:7">
      <c r="C114" s="37"/>
      <c r="D114" s="37"/>
      <c r="E114" s="37"/>
      <c r="G114" s="2" t="s">
        <v>838</v>
      </c>
    </row>
    <row r="116" spans="2:7">
      <c r="B116" s="35"/>
      <c r="D116" s="2" t="s">
        <v>458</v>
      </c>
    </row>
    <row r="118" spans="2:7">
      <c r="D118" s="2" t="s">
        <v>1211</v>
      </c>
    </row>
    <row r="120" spans="2:7">
      <c r="D120" s="2" t="s">
        <v>1213</v>
      </c>
    </row>
  </sheetData>
  <mergeCells count="63">
    <mergeCell ref="K52:M52"/>
    <mergeCell ref="K53:M53"/>
    <mergeCell ref="K54:M54"/>
    <mergeCell ref="K55:M55"/>
    <mergeCell ref="A5:A6"/>
    <mergeCell ref="K5:M6"/>
    <mergeCell ref="K47:M47"/>
    <mergeCell ref="K48:M48"/>
    <mergeCell ref="K49:M49"/>
    <mergeCell ref="K50:M50"/>
    <mergeCell ref="K51:M51"/>
    <mergeCell ref="K42:M42"/>
    <mergeCell ref="K43:M43"/>
    <mergeCell ref="K44:M44"/>
    <mergeCell ref="K45:M45"/>
    <mergeCell ref="K46:M46"/>
    <mergeCell ref="K37:M37"/>
    <mergeCell ref="K38:M38"/>
    <mergeCell ref="K39:M39"/>
    <mergeCell ref="K40:M40"/>
    <mergeCell ref="K41:M41"/>
    <mergeCell ref="K32:M32"/>
    <mergeCell ref="K33:M33"/>
    <mergeCell ref="K34:M34"/>
    <mergeCell ref="K35:M35"/>
    <mergeCell ref="K36:M36"/>
    <mergeCell ref="K27:M27"/>
    <mergeCell ref="K28:M28"/>
    <mergeCell ref="K29:M29"/>
    <mergeCell ref="K30:M30"/>
    <mergeCell ref="K31:M31"/>
    <mergeCell ref="K22:M22"/>
    <mergeCell ref="K23:M23"/>
    <mergeCell ref="K24:M24"/>
    <mergeCell ref="K25:M25"/>
    <mergeCell ref="K26:M26"/>
    <mergeCell ref="K17:M17"/>
    <mergeCell ref="K18:M18"/>
    <mergeCell ref="K19:M19"/>
    <mergeCell ref="K20:M20"/>
    <mergeCell ref="K21:M21"/>
    <mergeCell ref="K12:M12"/>
    <mergeCell ref="K13:M13"/>
    <mergeCell ref="K14:M14"/>
    <mergeCell ref="K15:M15"/>
    <mergeCell ref="K16:M16"/>
    <mergeCell ref="K7:M7"/>
    <mergeCell ref="K8:M8"/>
    <mergeCell ref="K9:M9"/>
    <mergeCell ref="K10:M10"/>
    <mergeCell ref="K11:M11"/>
    <mergeCell ref="A4:B4"/>
    <mergeCell ref="C4:G4"/>
    <mergeCell ref="H4:I4"/>
    <mergeCell ref="B5:C5"/>
    <mergeCell ref="D5:H5"/>
    <mergeCell ref="I5:J5"/>
    <mergeCell ref="A2:B2"/>
    <mergeCell ref="C2:G2"/>
    <mergeCell ref="H2:J2"/>
    <mergeCell ref="A3:B3"/>
    <mergeCell ref="C3:G3"/>
    <mergeCell ref="H3:I3"/>
  </mergeCells>
  <phoneticPr fontId="22"/>
  <pageMargins left="0.69930555555555596" right="0.69930555555555596" top="0.75" bottom="0.75" header="0.3" footer="0.3"/>
  <pageSetup paperSize="9" orientation="portrait" horizontalDpi="1200" verticalDpi="120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44</vt:i4>
      </vt:variant>
      <vt:variant>
        <vt:lpstr>名前付き一覧</vt:lpstr>
      </vt:variant>
      <vt:variant>
        <vt:i4>78</vt:i4>
      </vt:variant>
    </vt:vector>
  </HeadingPairs>
  <TitlesOfParts>
    <vt:vector size="122" baseType="lpstr">
      <vt:lpstr>テーブル一覧</vt:lpstr>
      <vt:lpstr>治験拡張属性</vt:lpstr>
      <vt:lpstr>患者情報</vt:lpstr>
      <vt:lpstr>検体属性情報</vt:lpstr>
      <vt:lpstr>検体項目紐付け情報</vt:lpstr>
      <vt:lpstr>依頼情報</vt:lpstr>
      <vt:lpstr>分注結果情報</vt:lpstr>
      <vt:lpstr>検体認識情報</vt:lpstr>
      <vt:lpstr>検査オーダー情報</vt:lpstr>
      <vt:lpstr>即時チェック情報</vt:lpstr>
      <vt:lpstr>検査結果情報</vt:lpstr>
      <vt:lpstr>検査結果詳細情報</vt:lpstr>
      <vt:lpstr>相関情報</vt:lpstr>
      <vt:lpstr>履歴情報</vt:lpstr>
      <vt:lpstr>異常者データ情報</vt:lpstr>
      <vt:lpstr>Ｘ－Ｍ情報</vt:lpstr>
      <vt:lpstr>コントロール管理情報</vt:lpstr>
      <vt:lpstr>コントロール結果情報</vt:lpstr>
      <vt:lpstr>スタンダード情報</vt:lpstr>
      <vt:lpstr>バッチ管理情報</vt:lpstr>
      <vt:lpstr>トレー管理情報</vt:lpstr>
      <vt:lpstr>アッセイラック管理情報</vt:lpstr>
      <vt:lpstr>検体ポジション情報</vt:lpstr>
      <vt:lpstr>ワークシートＳＥＱ管理情報</vt:lpstr>
      <vt:lpstr>検査SEQ採番管理情報</vt:lpstr>
      <vt:lpstr>報告管理情報</vt:lpstr>
      <vt:lpstr>スライド情報</vt:lpstr>
      <vt:lpstr>ＸＥ分析機フラグ情報</vt:lpstr>
      <vt:lpstr>検体ID不明結果情報</vt:lpstr>
      <vt:lpstr>トレーラック紐付け情報</vt:lpstr>
      <vt:lpstr>ログ情報</vt:lpstr>
      <vt:lpstr>別紙属性情報</vt:lpstr>
      <vt:lpstr>別紙結果情報</vt:lpstr>
      <vt:lpstr>表示項目情報</vt:lpstr>
      <vt:lpstr>緊急ロット情報</vt:lpstr>
      <vt:lpstr>項目別テスト数集計</vt:lpstr>
      <vt:lpstr>検査進行状況集計</vt:lpstr>
      <vt:lpstr>保留依頼情報</vt:lpstr>
      <vt:lpstr>他サテライト検査結果情報</vt:lpstr>
      <vt:lpstr>結果変換管理情報</vt:lpstr>
      <vt:lpstr>LT報告不可情報</vt:lpstr>
      <vt:lpstr>翌日通常切り分け情報</vt:lpstr>
      <vt:lpstr>分析機問合せラック情報</vt:lpstr>
      <vt:lpstr>未報告検体情報</vt:lpstr>
      <vt:lpstr>LT報告不可情報!Print_Area</vt:lpstr>
      <vt:lpstr>ＸＥ分析機フラグ情報!Print_Area</vt:lpstr>
      <vt:lpstr>'Ｘ－Ｍ情報'!Print_Area</vt:lpstr>
      <vt:lpstr>アッセイラック管理情報!Print_Area</vt:lpstr>
      <vt:lpstr>コントロール管理情報!Print_Area</vt:lpstr>
      <vt:lpstr>コントロール結果情報!Print_Area</vt:lpstr>
      <vt:lpstr>スタンダード情報!Print_Area</vt:lpstr>
      <vt:lpstr>スライド情報!Print_Area</vt:lpstr>
      <vt:lpstr>テーブル一覧!Print_Area</vt:lpstr>
      <vt:lpstr>トレーラック紐付け情報!Print_Area</vt:lpstr>
      <vt:lpstr>トレー管理情報!Print_Area</vt:lpstr>
      <vt:lpstr>バッチ管理情報!Print_Area</vt:lpstr>
      <vt:lpstr>ログ情報!Print_Area</vt:lpstr>
      <vt:lpstr>ワークシートＳＥＱ管理情報!Print_Area</vt:lpstr>
      <vt:lpstr>依頼情報!Print_Area</vt:lpstr>
      <vt:lpstr>異常者データ情報!Print_Area</vt:lpstr>
      <vt:lpstr>患者情報!Print_Area</vt:lpstr>
      <vt:lpstr>緊急ロット情報!Print_Area</vt:lpstr>
      <vt:lpstr>検査SEQ採番管理情報!Print_Area</vt:lpstr>
      <vt:lpstr>検査オーダー情報!Print_Area</vt:lpstr>
      <vt:lpstr>検査結果詳細情報!Print_Area</vt:lpstr>
      <vt:lpstr>検査結果情報!Print_Area</vt:lpstr>
      <vt:lpstr>検査進行状況集計!Print_Area</vt:lpstr>
      <vt:lpstr>検体ID不明結果情報!Print_Area</vt:lpstr>
      <vt:lpstr>検体ポジション情報!Print_Area</vt:lpstr>
      <vt:lpstr>検体項目紐付け情報!Print_Area</vt:lpstr>
      <vt:lpstr>検体属性情報!Print_Area</vt:lpstr>
      <vt:lpstr>検体認識情報!Print_Area</vt:lpstr>
      <vt:lpstr>項目別テスト数集計!Print_Area</vt:lpstr>
      <vt:lpstr>治験拡張属性!Print_Area</vt:lpstr>
      <vt:lpstr>相関情報!Print_Area</vt:lpstr>
      <vt:lpstr>即時チェック情報!Print_Area</vt:lpstr>
      <vt:lpstr>他サテライト検査結果情報!Print_Area</vt:lpstr>
      <vt:lpstr>表示項目情報!Print_Area</vt:lpstr>
      <vt:lpstr>分注結果情報!Print_Area</vt:lpstr>
      <vt:lpstr>別紙結果情報!Print_Area</vt:lpstr>
      <vt:lpstr>別紙属性情報!Print_Area</vt:lpstr>
      <vt:lpstr>保留依頼情報!Print_Area</vt:lpstr>
      <vt:lpstr>報告管理情報!Print_Area</vt:lpstr>
      <vt:lpstr>履歴情報!Print_Area</vt:lpstr>
      <vt:lpstr>ＸＥ分析機フラグ情報!Print_Titles</vt:lpstr>
      <vt:lpstr>'Ｘ－Ｍ情報'!Print_Titles</vt:lpstr>
      <vt:lpstr>アッセイラック管理情報!Print_Titles</vt:lpstr>
      <vt:lpstr>コントロール管理情報!Print_Titles</vt:lpstr>
      <vt:lpstr>コントロール結果情報!Print_Titles</vt:lpstr>
      <vt:lpstr>スタンダード情報!Print_Titles</vt:lpstr>
      <vt:lpstr>スライド情報!Print_Titles</vt:lpstr>
      <vt:lpstr>トレーラック紐付け情報!Print_Titles</vt:lpstr>
      <vt:lpstr>トレー管理情報!Print_Titles</vt:lpstr>
      <vt:lpstr>バッチ管理情報!Print_Titles</vt:lpstr>
      <vt:lpstr>ログ情報!Print_Titles</vt:lpstr>
      <vt:lpstr>ワークシートＳＥＱ管理情報!Print_Titles</vt:lpstr>
      <vt:lpstr>依頼情報!Print_Titles</vt:lpstr>
      <vt:lpstr>異常者データ情報!Print_Titles</vt:lpstr>
      <vt:lpstr>患者情報!Print_Titles</vt:lpstr>
      <vt:lpstr>緊急ロット情報!Print_Titles</vt:lpstr>
      <vt:lpstr>検査SEQ採番管理情報!Print_Titles</vt:lpstr>
      <vt:lpstr>検査オーダー情報!Print_Titles</vt:lpstr>
      <vt:lpstr>検査結果詳細情報!Print_Titles</vt:lpstr>
      <vt:lpstr>検査結果情報!Print_Titles</vt:lpstr>
      <vt:lpstr>検査進行状況集計!Print_Titles</vt:lpstr>
      <vt:lpstr>検体ID不明結果情報!Print_Titles</vt:lpstr>
      <vt:lpstr>検体ポジション情報!Print_Titles</vt:lpstr>
      <vt:lpstr>検体項目紐付け情報!Print_Titles</vt:lpstr>
      <vt:lpstr>検体属性情報!Print_Titles</vt:lpstr>
      <vt:lpstr>検体認識情報!Print_Titles</vt:lpstr>
      <vt:lpstr>項目別テスト数集計!Print_Titles</vt:lpstr>
      <vt:lpstr>治験拡張属性!Print_Titles</vt:lpstr>
      <vt:lpstr>相関情報!Print_Titles</vt:lpstr>
      <vt:lpstr>即時チェック情報!Print_Titles</vt:lpstr>
      <vt:lpstr>他サテライト検査結果情報!Print_Titles</vt:lpstr>
      <vt:lpstr>表示項目情報!Print_Titles</vt:lpstr>
      <vt:lpstr>分注結果情報!Print_Titles</vt:lpstr>
      <vt:lpstr>別紙結果情報!Print_Titles</vt:lpstr>
      <vt:lpstr>別紙属性情報!Print_Titles</vt:lpstr>
      <vt:lpstr>保留依頼情報!Print_Titles</vt:lpstr>
      <vt:lpstr>報告管理情報!Print_Titles</vt:lpstr>
      <vt:lpstr>履歴情報!Print_Titles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osada</dc:creator>
  <cp:lastModifiedBy>Hanyu Tatsuya</cp:lastModifiedBy>
  <cp:lastPrinted>2006-12-19T02:05:00Z</cp:lastPrinted>
  <dcterms:created xsi:type="dcterms:W3CDTF">2005-10-14T02:09:00Z</dcterms:created>
  <dcterms:modified xsi:type="dcterms:W3CDTF">2023-08-16T02:34:02Z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1041-10.8.0.6184</vt:lpwstr>
  </property>
</Properties>
</file>